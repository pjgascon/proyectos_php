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comments4.xml" ContentType="application/vnd.openxmlformats-officedocument.spreadsheetml.comments+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9.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11.xml.rels" ContentType="application/vnd.openxmlformats-package.relationships+xml"/>
  <Override PartName="/xl/worksheets/_rels/sheet3.xml.rels" ContentType="application/vnd.openxmlformats-package.relationships+xml"/>
  <Override PartName="/xl/worksheets/_rels/sheet10.xml.rels" ContentType="application/vnd.openxmlformats-package.relationships+xml"/>
  <Override PartName="/xl/worksheets/_rels/sheet1.xml.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3.xml" ContentType="application/vnd.openxmlformats-officedocument.spreadsheetml.comments+xml"/>
  <Override PartName="/xl/externalLinks/_rels/externalLink1.xml.rels" ContentType="application/vnd.openxmlformats-package.relationships+xml"/>
  <Override PartName="/xl/externalLinks/externalLink1.xml" ContentType="application/vnd.openxmlformats-officedocument.spreadsheetml.externalLink+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xl/drawings/drawing6.xml" ContentType="application/vnd.openxmlformats-officedocument.drawing+xml"/>
  <Override PartName="/xl/drawings/drawing3.xml" ContentType="application/vnd.openxmlformats-officedocument.drawing+xml"/>
  <Override PartName="/xl/drawings/vmlDrawing2.vml" ContentType="application/vnd.openxmlformats-officedocument.vmlDrawing"/>
  <Override PartName="/xl/drawings/drawing7.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1" activeTab="2"/>
  </bookViews>
  <sheets>
    <sheet name="PVP VaP Auton-McrPyme (3)" sheetId="1" state="hidden" r:id="rId2"/>
    <sheet name="Comp.Permanencia" sheetId="2" state="visible" r:id="rId3"/>
    <sheet name="PVP VaP Auton-McrPyme" sheetId="3" state="visible" r:id="rId4"/>
    <sheet name="PVP VaP Linea Principal" sheetId="4" state="visible" r:id="rId5"/>
    <sheet name="PVP Nuevo Modelo Financiación" sheetId="5" state="visible" r:id="rId6"/>
    <sheet name="PVP IEI Auton-McrPyme" sheetId="6" state="visible" r:id="rId7"/>
    <sheet name="PVP VaP Mi Fijo Auton-McrPyme " sheetId="7" state="visible" r:id="rId8"/>
    <sheet name="PVP Subv IEI Pro Auton-McrPyme" sheetId="8" state="visible" r:id="rId9"/>
    <sheet name="PVP VaP 2º Dispo Auton-McrPyme" sheetId="9" state="visible" r:id="rId10"/>
    <sheet name="PVP VaP Auton-McrPyme Riesg Alt" sheetId="10" state="visible" r:id="rId11"/>
    <sheet name="BEW" sheetId="11" state="hidden" r:id="rId12"/>
  </sheets>
  <externalReferences>
    <externalReference r:id="rId13"/>
  </externalReferences>
  <definedNames>
    <definedName function="false" hidden="true" localSheetId="10" name="_xlnm._FilterDatabase" vbProcedure="false">BEW!$A$1:$C$47</definedName>
    <definedName function="false" hidden="false" localSheetId="4" name="_xlnm.Print_Area" vbProcedure="false">'PVP Nuevo Modelo Financiación'!$B$2:$S$67</definedName>
    <definedName function="false" hidden="true" localSheetId="4" name="_xlnm._FilterDatabase" vbProcedure="false">'PVP Nuevo Modelo Financiación'!$B$28:$X$497</definedName>
    <definedName function="false" hidden="false" localSheetId="7" name="_xlnm.Print_Area" vbProcedure="false">'PVP Subv IEI Pro Auton-McrPyme'!$B$2:$K$31</definedName>
    <definedName function="false" hidden="true" localSheetId="8" name="_xlnm._FilterDatabase" vbProcedure="false">'PVP VaP 2º Dispo Auton-McrPyme'!$A$24:$AI$506</definedName>
    <definedName function="false" hidden="false" localSheetId="2" name="_xlnm.Print_Area" vbProcedure="false">'PVP VaP Auton-McrPyme'!$B$2:$AA$67</definedName>
    <definedName function="false" hidden="true" localSheetId="2" name="_xlnm._FilterDatabase" vbProcedure="false">'PVP VaP Auton-McrPyme'!$A$28:$DA$510</definedName>
    <definedName function="false" hidden="false" localSheetId="0" name="_xlnm.Print_Area" vbProcedure="false">'PVP VaP Auton-McrPyme (3)'!$B$2:$AA$112</definedName>
    <definedName function="false" hidden="true" localSheetId="0" name="_xlnm._FilterDatabase" vbProcedure="false">'PVP VaP Auton-McrPyme (3)'!$B$28:$C$28</definedName>
    <definedName function="false" hidden="true" localSheetId="9" name="_xlnm._FilterDatabase" vbProcedure="false">'PVP VaP Auton-McrPyme Riesg Alt'!$A$28:$BI$203</definedName>
    <definedName function="false" hidden="false" localSheetId="3" name="_xlnm.Print_Area" vbProcedure="false">'PVP VaP Linea Principal'!$B$2:$AC$30</definedName>
    <definedName function="false" hidden="true" localSheetId="3" name="_xlnm._FilterDatabase" vbProcedure="false">'PVP VaP Linea Principal'!$A$30:$DC$32</definedName>
    <definedName function="false" hidden="false" localSheetId="6" name="_xlnm.Print_Area" vbProcedure="false">'PVP VaP Mi Fijo Auton-McrPyme '!$B$2:$P$41</definedName>
    <definedName function="false" hidden="false" localSheetId="0" name="ID" vbProcedure="false">"7ba26635-40a5-4132-983f-b649d8b85c2f"</definedName>
    <definedName function="false" hidden="false" localSheetId="1" name="ID" vbProcedure="false">"a42b918a-5d41-4b90-ba70-712c015a0519"</definedName>
    <definedName function="false" hidden="false" localSheetId="2" name="ID" vbProcedure="false">"eefb642f-43cd-4dd4-aa1c-35536ec2cb5a"</definedName>
    <definedName function="false" hidden="false" localSheetId="3" name="ID" vbProcedure="false">"4dd7ae40-cd35-4da6-974b-e062d5b3bffd"</definedName>
    <definedName function="false" hidden="false" localSheetId="4" name="ID" vbProcedure="false">"edb96ec6-a293-4be0-bda1-5c9c1661752d"</definedName>
    <definedName function="false" hidden="false" localSheetId="5" name="ID" vbProcedure="false">"e490b3ee-c3df-4860-bfeb-7fcca33442c1"</definedName>
    <definedName function="false" hidden="false" localSheetId="5" name="_xlnm.Print_Area" vbProcedure="false">'pvp iei auton-mcrpyme'!#ref!</definedName>
    <definedName function="false" hidden="false" localSheetId="6" name="ID" vbProcedure="false">"2f2f3731-5e24-4f86-844d-0001ede775d3"</definedName>
    <definedName function="false" hidden="false" localSheetId="7" name="ID" vbProcedure="false">"ff14c9d6-0ed5-46d5-9cc8-9e09dcf3a002"</definedName>
    <definedName function="false" hidden="false" localSheetId="8" name="ID" vbProcedure="false">"b9085781-790e-4733-9a91-dec45eff1018"</definedName>
    <definedName function="false" hidden="false" localSheetId="9" name="ID" vbProcedure="false">"16abfa87-f42b-4532-9c04-7306266bd759"</definedName>
    <definedName function="false" hidden="false" localSheetId="10" name="ID" vbProcedure="false">"430a9376-cb49-406d-8edc-4d2162289c1b"</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 </author>
  </authors>
  <commentList>
    <comment ref="J30" authorId="0">
      <text>
        <r>
          <rPr>
            <sz val="10"/>
            <rFont val="Arial"/>
            <family val="0"/>
            <charset val="1"/>
          </rPr>
          <t xml:space="preserve">GONZALEZ GOMEZ, ALFONSO:
</t>
        </r>
        <r>
          <rPr>
            <sz val="9"/>
            <color rgb="FF000000"/>
            <rFont val="Tahoma"/>
            <family val="2"/>
            <charset val="1"/>
          </rPr>
          <t xml:space="preserve">No tienen oferta al estar por debajo de 4 meses. Pasado este tiempo pasa a las ofertas siguientes que sí tienen</t>
        </r>
      </text>
    </comment>
    <comment ref="CM24" authorId="0">
      <text>
        <r>
          <rPr>
            <sz val="10"/>
            <rFont val="Arial"/>
            <family val="0"/>
            <charset val="1"/>
          </rPr>
          <t xml:space="preserve">Al igual que el resto de columnas los precios son sin IVA</t>
        </r>
      </text>
    </comment>
    <comment ref="CM29" authorId="0">
      <text>
        <r>
          <rPr>
            <sz val="10"/>
            <rFont val="Arial"/>
            <family val="0"/>
            <charset val="1"/>
          </rPr>
          <t xml:space="preserve">Al igual que el resto de columnas los precios son sin IVA</t>
        </r>
      </text>
    </comment>
  </commentList>
</comments>
</file>

<file path=xl/comments4.xml><?xml version="1.0" encoding="utf-8"?>
<comments xmlns="http://schemas.openxmlformats.org/spreadsheetml/2006/main" xmlns:xdr="http://schemas.openxmlformats.org/drawingml/2006/spreadsheetDrawing">
  <authors>
    <author> </author>
  </authors>
  <commentList>
    <comment ref="CO26" authorId="0">
      <text>
        <r>
          <rPr>
            <sz val="10"/>
            <rFont val="Arial"/>
            <family val="0"/>
            <charset val="1"/>
          </rPr>
          <t xml:space="preserve">Al igual que el resto de columnas los precios son sin IVA</t>
        </r>
      </text>
    </comment>
  </commentList>
</comments>
</file>

<file path=xl/sharedStrings.xml><?xml version="1.0" encoding="utf-8"?>
<sst xmlns="http://schemas.openxmlformats.org/spreadsheetml/2006/main" count="12577" uniqueCount="855">
  <si>
    <t xml:space="preserve">OFERTA TÁCTICA EMPRESAS</t>
  </si>
  <si>
    <t xml:space="preserve">Pago
Único</t>
  </si>
  <si>
    <t xml:space="preserve">CAPTA</t>
  </si>
  <si>
    <t xml:space="preserve">PORTABILIDAD</t>
  </si>
  <si>
    <t xml:space="preserve">ENTRADA
PRO</t>
  </si>
  <si>
    <t xml:space="preserve">NORMAL
PRO</t>
  </si>
  <si>
    <t xml:space="preserve">VALOR
PRO</t>
  </si>
  <si>
    <t xml:space="preserve">PREMIUM
PRO</t>
  </si>
  <si>
    <t xml:space="preserve">NORMAL 
PRO</t>
  </si>
  <si>
    <r>
      <rPr>
        <b val="true"/>
        <sz val="26"/>
        <color rgb="FFFF6600"/>
        <rFont val="Arial"/>
        <family val="2"/>
        <charset val="1"/>
      </rPr>
      <t xml:space="preserve"> 1. </t>
    </r>
    <r>
      <rPr>
        <b val="true"/>
        <sz val="18"/>
        <color rgb="FFFF6600"/>
        <rFont val="Arial"/>
        <family val="2"/>
        <charset val="1"/>
      </rPr>
      <t xml:space="preserve"> </t>
    </r>
    <r>
      <rPr>
        <b val="true"/>
        <sz val="18"/>
        <rFont val="Arial"/>
        <family val="2"/>
        <charset val="1"/>
      </rPr>
      <t xml:space="preserve">CONDICIONES DE LA OFERTA VENTA A PLAZOS
</t>
    </r>
    <r>
      <rPr>
        <sz val="12"/>
        <rFont val="Arial"/>
        <family val="2"/>
        <charset val="1"/>
      </rPr>
      <t xml:space="preserve">(según tarifa y situación del cliente)</t>
    </r>
  </si>
  <si>
    <t xml:space="preserve">Tarifas</t>
  </si>
  <si>
    <t xml:space="preserve">Todas
Tarifas</t>
  </si>
  <si>
    <t xml:space="preserve">-</t>
  </si>
  <si>
    <t xml:space="preserve">GO NEG BASICO (1)</t>
  </si>
  <si>
    <t xml:space="preserve">GO NEG ESENCIAL</t>
  </si>
  <si>
    <t xml:space="preserve">GO NEG SIN LIMITES</t>
  </si>
  <si>
    <t xml:space="preserve">GO NEG TOTAL+</t>
  </si>
  <si>
    <t xml:space="preserve">LOVE NEG BASICO (1)</t>
  </si>
  <si>
    <t xml:space="preserve">LOVE NEG 1</t>
  </si>
  <si>
    <t xml:space="preserve">LOVE NEG 1+
LOVE NEG 2</t>
  </si>
  <si>
    <t xml:space="preserve">LOVE NEG 3
LOVE NEG 5</t>
  </si>
  <si>
    <t xml:space="preserve">GO NEG ESE                (2)</t>
  </si>
  <si>
    <t xml:space="preserve">LOVE NEG 1       (2)
LOVE NEG 1+     (2)
LOVE NEG 2       (2)
LOVE NEG 3       (2)
LOVE NEG 5       (2)</t>
  </si>
  <si>
    <t xml:space="preserve">GO NEG SLM               (2)</t>
  </si>
  <si>
    <t xml:space="preserve">GO NEG TOTAL+      (2)</t>
  </si>
  <si>
    <t xml:space="preserve">Lineas Adicionales</t>
  </si>
  <si>
    <t xml:space="preserve">LINEA 
NEG SLM</t>
  </si>
  <si>
    <t xml:space="preserve">LINEA NEG SLM
+ LN 1, LN 1+, LN 2, LN 3, LN 5 (2)</t>
  </si>
  <si>
    <t xml:space="preserve">LINEA NEG SLM
+ LN 1</t>
  </si>
  <si>
    <t xml:space="preserve">LINEA NEG SLM
+ LN 1+, LN 2</t>
  </si>
  <si>
    <t xml:space="preserve">LINEA NEG SLM
+ LN 3, LN5</t>
  </si>
  <si>
    <t xml:space="preserve">LINEA 
NEG 250min</t>
  </si>
  <si>
    <t xml:space="preserve">LINEA NEG 250min
+ LN 1, LN 1+, LN 2, LN 3, LN 5 (2)</t>
  </si>
  <si>
    <r>
      <rPr>
        <sz val="10"/>
        <rFont val="Arial"/>
        <family val="2"/>
        <charset val="1"/>
      </rPr>
      <t xml:space="preserve">LINEA NEG 250min
</t>
    </r>
    <r>
      <rPr>
        <sz val="9"/>
        <rFont val="Arial"/>
        <family val="2"/>
        <charset val="1"/>
      </rPr>
      <t xml:space="preserve">+ LN 1, LN 1+, LN 2, LN 3, LN 5</t>
    </r>
  </si>
  <si>
    <r>
      <rPr>
        <b val="true"/>
        <sz val="12"/>
        <color rgb="FFFFFFFF"/>
        <rFont val="Arial"/>
        <family val="2"/>
        <charset val="1"/>
      </rPr>
      <t xml:space="preserve">Ampliaciones
</t>
    </r>
    <r>
      <rPr>
        <sz val="12"/>
        <color rgb="FFFFFFFF"/>
        <rFont val="Arial"/>
        <family val="2"/>
        <charset val="1"/>
      </rPr>
      <t xml:space="preserve">(meses antigüedad)</t>
    </r>
  </si>
  <si>
    <t xml:space="preserve">(1 ) Todos
(2) - 4 M</t>
  </si>
  <si>
    <t xml:space="preserve">+ 4 M</t>
  </si>
  <si>
    <r>
      <rPr>
        <b val="true"/>
        <sz val="12"/>
        <color rgb="FFFFFFFF"/>
        <rFont val="Arial"/>
        <family val="2"/>
        <charset val="1"/>
      </rPr>
      <t xml:space="preserve">Origen 
</t>
    </r>
    <r>
      <rPr>
        <sz val="12"/>
        <color rgb="FFFFFFFF"/>
        <rFont val="Arial"/>
        <family val="2"/>
        <charset val="1"/>
      </rPr>
      <t xml:space="preserve">(Porta / Migra)</t>
    </r>
  </si>
  <si>
    <t xml:space="preserve">Capta
Pos/Pre
Migra</t>
  </si>
  <si>
    <t xml:space="preserve">Capta 
de cliente nuevo o de cliente -4 M, solo accede a Pago Único</t>
  </si>
  <si>
    <t xml:space="preserve">(1) Pos / Pre / Migr
(2) Pre / Migr</t>
  </si>
  <si>
    <t xml:space="preserve">Postpago</t>
  </si>
  <si>
    <t xml:space="preserve">CP Tarifa</t>
  </si>
  <si>
    <t xml:space="preserve">24 M</t>
  </si>
  <si>
    <r>
      <rPr>
        <b val="true"/>
        <sz val="12"/>
        <color rgb="FFFFFFFF"/>
        <rFont val="Arial"/>
        <family val="2"/>
        <charset val="1"/>
      </rPr>
      <t xml:space="preserve">Bono Extra </t>
    </r>
    <r>
      <rPr>
        <b val="true"/>
        <sz val="12"/>
        <color rgb="FFFF6600"/>
        <rFont val="Arial"/>
        <family val="2"/>
        <charset val="1"/>
      </rPr>
      <t xml:space="preserve">(*)
</t>
    </r>
    <r>
      <rPr>
        <sz val="11"/>
        <color rgb="FFFFFFFF"/>
        <rFont val="Arial"/>
        <family val="2"/>
        <charset val="1"/>
      </rPr>
      <t xml:space="preserve">(Solo con VaP de terminal)</t>
    </r>
  </si>
  <si>
    <t xml:space="preserve">SEGÚN 
TARIFA</t>
  </si>
  <si>
    <t xml:space="preserve">SEGÚN TARIFA</t>
  </si>
  <si>
    <t xml:space="preserve">GO NEG BASICO</t>
  </si>
  <si>
    <t xml:space="preserve">GO NEG
 SIN LIMITE</t>
  </si>
  <si>
    <t xml:space="preserve">GO NEG  TOT</t>
  </si>
  <si>
    <t xml:space="preserve">LOVE 
NEG 1</t>
  </si>
  <si>
    <t xml:space="preserve">LOVE 
NEG 1+</t>
  </si>
  <si>
    <t xml:space="preserve">LOVE 
NEG 2</t>
  </si>
  <si>
    <t xml:space="preserve">LOVE 
NEG 3</t>
  </si>
  <si>
    <t xml:space="preserve">LOVE 
NEG 5</t>
  </si>
  <si>
    <r>
      <rPr>
        <sz val="10"/>
        <rFont val="Arial"/>
        <family val="2"/>
        <charset val="1"/>
      </rPr>
      <t xml:space="preserve">LINEA 
</t>
    </r>
    <r>
      <rPr>
        <sz val="9"/>
        <rFont val="Arial"/>
        <family val="2"/>
        <charset val="1"/>
      </rPr>
      <t xml:space="preserve">NEG 250min</t>
    </r>
  </si>
  <si>
    <t xml:space="preserve">(2) Para ampliaciones de -4 M y portabilidades origen prepago (-4M / +4M) de las tarifas Go Neg Esencial, Go Neg SLM, Go Neg Total+, Love Neg 1, Love Neg 1+, Love Neg 2, Love Neg 3, Love Neg 5, Love Neg SLM y Love Neg 250min aplican las condiciones de ENTRADA PRO, a excepción del bono extra.</t>
  </si>
  <si>
    <t xml:space="preserve">DIFERENCIAS Vs MES ANTERIOR</t>
  </si>
  <si>
    <t xml:space="preserve">AHORRO VaP Vs LIBRE</t>
  </si>
  <si>
    <t xml:space="preserve">(**) Para Migraciones de -4M / +4M meses aplican las condiciones de ENTRADA PRO</t>
  </si>
  <si>
    <r>
      <rPr>
        <b val="true"/>
        <sz val="11"/>
        <color rgb="FFFF6600"/>
        <rFont val="Arial"/>
        <family val="2"/>
        <charset val="1"/>
      </rPr>
      <t xml:space="preserve">(*) </t>
    </r>
    <r>
      <rPr>
        <sz val="11"/>
        <rFont val="Arial"/>
        <family val="2"/>
        <charset val="1"/>
      </rPr>
      <t xml:space="preserve"> El bono  Extra correspondiente a cada tarifa indicada, aplica independientemente de la antigüedad del cliente y el origen de portabilidad.  El Bono Extra  asociado a cada tarifa también aplica a Pago Único. La Línea Negocio SLM hereda el mismo bono de la tarifa principal a la cual se asocia.</t>
    </r>
  </si>
  <si>
    <r>
      <rPr>
        <b val="true"/>
        <sz val="26"/>
        <color rgb="FFFF6600"/>
        <rFont val="Arial"/>
        <family val="2"/>
        <charset val="1"/>
      </rPr>
      <t xml:space="preserve">2.  </t>
    </r>
    <r>
      <rPr>
        <b val="true"/>
        <sz val="18"/>
        <rFont val="Arial"/>
        <family val="2"/>
        <charset val="1"/>
      </rPr>
      <t xml:space="preserve">PRECIO DEL TERMINAL POR GRUPO DE TARIFAS</t>
    </r>
  </si>
  <si>
    <r>
      <rPr>
        <b val="true"/>
        <sz val="14"/>
        <color rgb="FFFFFFFF"/>
        <rFont val="Arial"/>
        <family val="2"/>
        <charset val="1"/>
      </rPr>
      <t xml:space="preserve">PVPR CAPTA
</t>
    </r>
    <r>
      <rPr>
        <sz val="11"/>
        <color rgb="FFFFFFFF"/>
        <rFont val="Arial"/>
        <family val="2"/>
        <charset val="1"/>
      </rPr>
      <t xml:space="preserve">(tarifas móvil y convergentes)</t>
    </r>
  </si>
  <si>
    <t xml:space="preserve">PVPR PORTABILIDAD</t>
  </si>
  <si>
    <t xml:space="preserve">BONO EXTRA</t>
  </si>
  <si>
    <t xml:space="preserve">DxC
Pago
Único</t>
  </si>
  <si>
    <r>
      <rPr>
        <b val="true"/>
        <sz val="14"/>
        <color rgb="FFFFFFFF"/>
        <rFont val="Arial"/>
        <family val="2"/>
        <charset val="1"/>
      </rPr>
      <t xml:space="preserve">DxC CAPTA
</t>
    </r>
    <r>
      <rPr>
        <sz val="11"/>
        <color rgb="FFFFFFFF"/>
        <rFont val="Arial"/>
        <family val="2"/>
        <charset val="1"/>
      </rPr>
      <t xml:space="preserve">(tarifas móvil y convergentes)</t>
    </r>
  </si>
  <si>
    <t xml:space="preserve">DxC PORTABILIDAD</t>
  </si>
  <si>
    <t xml:space="preserve">GRUPOS DE TARIFAS SÓLO MÓVIL</t>
  </si>
  <si>
    <r>
      <rPr>
        <b val="true"/>
        <sz val="13"/>
        <rFont val="Arial"/>
        <family val="2"/>
        <charset val="1"/>
      </rPr>
      <t xml:space="preserve">GRUPOS DE TARIFAS CONVERGENTES 
</t>
    </r>
    <r>
      <rPr>
        <sz val="13"/>
        <rFont val="Arial"/>
        <family val="2"/>
        <charset val="1"/>
      </rPr>
      <t xml:space="preserve">(MÓVIL + ADSL)</t>
    </r>
  </si>
  <si>
    <t xml:space="preserve">ENTRADA PLUS
PRO</t>
  </si>
  <si>
    <t xml:space="preserve">NORMAL PLUS
PRO</t>
  </si>
  <si>
    <t xml:space="preserve">VALOR PLUS
PRO</t>
  </si>
  <si>
    <t xml:space="preserve">PREMIUM PLUS 
PRO</t>
  </si>
  <si>
    <t xml:space="preserve">MARCA</t>
  </si>
  <si>
    <r>
      <rPr>
        <b val="true"/>
        <sz val="10"/>
        <rFont val="Arial"/>
        <family val="2"/>
        <charset val="1"/>
      </rPr>
      <t xml:space="preserve">Modelo </t>
    </r>
    <r>
      <rPr>
        <sz val="10"/>
        <color rgb="FF0000FF"/>
        <rFont val="Arial"/>
        <family val="2"/>
        <charset val="1"/>
      </rPr>
      <t xml:space="preserve">(Novedades)</t>
    </r>
  </si>
  <si>
    <t xml:space="preserve">Precio Cesión</t>
  </si>
  <si>
    <t xml:space="preserve">Canon Digital</t>
  </si>
  <si>
    <t xml:space="preserve">Gama</t>
  </si>
  <si>
    <t xml:space="preserve">Meses
Cuota</t>
  </si>
  <si>
    <r>
      <rPr>
        <b val="true"/>
        <sz val="10"/>
        <rFont val="Arial"/>
        <family val="2"/>
        <charset val="1"/>
      </rPr>
      <t xml:space="preserve">Pago
Unico
</t>
    </r>
    <r>
      <rPr>
        <sz val="9"/>
        <rFont val="Arial"/>
        <family val="2"/>
        <charset val="1"/>
      </rPr>
      <t xml:space="preserve">(sin IVA)</t>
    </r>
  </si>
  <si>
    <r>
      <rPr>
        <b val="true"/>
        <sz val="10"/>
        <rFont val="Arial"/>
        <family val="2"/>
        <charset val="1"/>
      </rPr>
      <t xml:space="preserve">Pago
Inicial 
</t>
    </r>
    <r>
      <rPr>
        <sz val="9"/>
        <rFont val="Arial"/>
        <family val="2"/>
        <charset val="1"/>
      </rPr>
      <t xml:space="preserve">(sin IVA)</t>
    </r>
  </si>
  <si>
    <r>
      <rPr>
        <b val="true"/>
        <sz val="10"/>
        <rFont val="Arial"/>
        <family val="2"/>
        <charset val="1"/>
      </rPr>
      <t xml:space="preserve">Cuota
Mes 
</t>
    </r>
    <r>
      <rPr>
        <sz val="9"/>
        <rFont val="Arial"/>
        <family val="2"/>
        <charset val="1"/>
      </rPr>
      <t xml:space="preserve">(sin IVA)</t>
    </r>
  </si>
  <si>
    <r>
      <rPr>
        <b val="true"/>
        <sz val="10"/>
        <rFont val="Arial"/>
        <family val="2"/>
        <charset val="1"/>
      </rPr>
      <t xml:space="preserve">Cuota
Mes
</t>
    </r>
    <r>
      <rPr>
        <sz val="9"/>
        <rFont val="Arial"/>
        <family val="2"/>
        <charset val="1"/>
      </rPr>
      <t xml:space="preserve">(sin IVA)</t>
    </r>
  </si>
  <si>
    <r>
      <rPr>
        <b val="true"/>
        <sz val="10"/>
        <rFont val="Arial"/>
        <family val="2"/>
        <charset val="1"/>
      </rPr>
      <t xml:space="preserve">Bono
Extra
</t>
    </r>
    <r>
      <rPr>
        <sz val="9"/>
        <rFont val="Arial"/>
        <family val="2"/>
        <charset val="1"/>
      </rPr>
      <t xml:space="preserve">(GB)</t>
    </r>
  </si>
  <si>
    <t xml:space="preserve">DxC
Pago
Unico</t>
  </si>
  <si>
    <t xml:space="preserve">DxC
Precio</t>
  </si>
  <si>
    <t xml:space="preserve">DxC
VaP</t>
  </si>
  <si>
    <r>
      <rPr>
        <b val="true"/>
        <sz val="10"/>
        <rFont val="Arial"/>
        <family val="2"/>
        <charset val="1"/>
      </rPr>
      <t xml:space="preserve">Ahorro VaP vs Libre
</t>
    </r>
    <r>
      <rPr>
        <sz val="9"/>
        <rFont val="Arial"/>
        <family val="2"/>
        <charset val="1"/>
      </rPr>
      <t xml:space="preserve">(sin IVA)</t>
    </r>
  </si>
  <si>
    <r>
      <rPr>
        <b val="true"/>
        <sz val="10"/>
        <rFont val="Arial"/>
        <family val="2"/>
        <charset val="1"/>
      </rPr>
      <t xml:space="preserve">Ahorro VaP vs Libre
</t>
    </r>
    <r>
      <rPr>
        <sz val="9"/>
        <rFont val="Arial"/>
        <family val="2"/>
        <charset val="1"/>
      </rPr>
      <t xml:space="preserve">(sin IVA) </t>
    </r>
  </si>
  <si>
    <t xml:space="preserve">ALCATEL</t>
  </si>
  <si>
    <t xml:space="preserve">Alcatel 1066G</t>
  </si>
  <si>
    <t xml:space="preserve">4 GB</t>
  </si>
  <si>
    <t xml:space="preserve">15 GB</t>
  </si>
  <si>
    <t xml:space="preserve">30 GB</t>
  </si>
  <si>
    <t xml:space="preserve">3 GB</t>
  </si>
  <si>
    <t xml:space="preserve">5 GB</t>
  </si>
  <si>
    <t xml:space="preserve">8 GB</t>
  </si>
  <si>
    <t xml:space="preserve">10 GB</t>
  </si>
  <si>
    <t xml:space="preserve">Alcatel 2008</t>
  </si>
  <si>
    <t xml:space="preserve">Alcatel 2051</t>
  </si>
  <si>
    <t xml:space="preserve">Alcatel 2053</t>
  </si>
  <si>
    <t xml:space="preserve">Alcatel 3</t>
  </si>
  <si>
    <t xml:space="preserve">Alcatel 3026</t>
  </si>
  <si>
    <t xml:space="preserve">Alcatel 3X</t>
  </si>
  <si>
    <t xml:space="preserve">Alcatel 5V</t>
  </si>
  <si>
    <t xml:space="preserve">Alcatel OT-2038</t>
  </si>
  <si>
    <t xml:space="preserve">Alcatel Tab 1T 7" WiFi</t>
  </si>
  <si>
    <t xml:space="preserve">SCHNEIDER</t>
  </si>
  <si>
    <t xml:space="preserve">All in One Schneider 23,8"</t>
  </si>
  <si>
    <t xml:space="preserve">BIGBEN</t>
  </si>
  <si>
    <t xml:space="preserve">Altavoz  BT Luminoso Figuras 15W RMS.</t>
  </si>
  <si>
    <t xml:space="preserve">APPLE</t>
  </si>
  <si>
    <t xml:space="preserve">Apple Watch NIKE S4 CELLULAR 44MM</t>
  </si>
  <si>
    <t xml:space="preserve">Apple Watch S3 (GPS) 38MM</t>
  </si>
  <si>
    <t xml:space="preserve">Apple Watch S3 (GPS) 42MM</t>
  </si>
  <si>
    <t xml:space="preserve">Apple Watch S3 CELLULAR 38MM</t>
  </si>
  <si>
    <t xml:space="preserve">Apple Watch S3 CELLULAR 42MM</t>
  </si>
  <si>
    <t xml:space="preserve">Apple Watch S4 CELLULAR 40MM</t>
  </si>
  <si>
    <t xml:space="preserve">Apple Watch S4 CELLULAR 44MM</t>
  </si>
  <si>
    <t xml:space="preserve">ASUS</t>
  </si>
  <si>
    <t xml:space="preserve">Asus Gaming Notebook 3</t>
  </si>
  <si>
    <t xml:space="preserve">BQ</t>
  </si>
  <si>
    <t xml:space="preserve">BQ Aquaris C</t>
  </si>
  <si>
    <t xml:space="preserve">GOOGLE</t>
  </si>
  <si>
    <t xml:space="preserve">Chromecast</t>
  </si>
  <si>
    <t xml:space="preserve">Dual Book Schneider 10,1"</t>
  </si>
  <si>
    <t xml:space="preserve">Google Home</t>
  </si>
  <si>
    <t xml:space="preserve">Google Home Mini</t>
  </si>
  <si>
    <t xml:space="preserve">Google Home Mini + Chromecast</t>
  </si>
  <si>
    <t xml:space="preserve">HUAWEI</t>
  </si>
  <si>
    <t xml:space="preserve">Huawei Band 2 Pro</t>
  </si>
  <si>
    <t xml:space="preserve">Huawei Mate 10</t>
  </si>
  <si>
    <t xml:space="preserve">Huawei Mate 20</t>
  </si>
  <si>
    <t xml:space="preserve">Huawei Mate 20 + PC Matebook D I3</t>
  </si>
  <si>
    <t xml:space="preserve">Huawei Mate 20 Lite</t>
  </si>
  <si>
    <t xml:space="preserve">Huawei Mate 20 Pro</t>
  </si>
  <si>
    <t xml:space="preserve">Huawei Mediapad T3 10.0 4G</t>
  </si>
  <si>
    <t xml:space="preserve">Huawei Mediapad T3 8.0 4G</t>
  </si>
  <si>
    <t xml:space="preserve">Huawei Mediapad T5 10" 4G</t>
  </si>
  <si>
    <t xml:space="preserve">Huawei P Smart</t>
  </si>
  <si>
    <t xml:space="preserve">Huawei P Smart 2019</t>
  </si>
  <si>
    <t xml:space="preserve">Huawei P Smart 2019 + Smartband 3E</t>
  </si>
  <si>
    <t xml:space="preserve">Huawei P20</t>
  </si>
  <si>
    <t xml:space="preserve">Huawei P20 Lite</t>
  </si>
  <si>
    <t xml:space="preserve">Huawei P20 Pro</t>
  </si>
  <si>
    <t xml:space="preserve">Huawei PC Matebook D 15,6"</t>
  </si>
  <si>
    <t xml:space="preserve">Huawei PC Matebook D i3</t>
  </si>
  <si>
    <t xml:space="preserve">Huawei Watch 2 4G</t>
  </si>
  <si>
    <t xml:space="preserve">Huawei Y6 2017 4G</t>
  </si>
  <si>
    <t xml:space="preserve">Huawei Y6 2018</t>
  </si>
  <si>
    <t xml:space="preserve">Huawei Y7 2018</t>
  </si>
  <si>
    <t xml:space="preserve">Huawei Y7 4G</t>
  </si>
  <si>
    <t xml:space="preserve">Ipad 32GB 4G</t>
  </si>
  <si>
    <t xml:space="preserve">Ipad 32GB Wifi</t>
  </si>
  <si>
    <t xml:space="preserve">Ipad Pro 10.5" 256GB 4G</t>
  </si>
  <si>
    <t xml:space="preserve">iPad Pro 12.9 256GB 4G</t>
  </si>
  <si>
    <t xml:space="preserve">iPad Pro 128 GB 4G</t>
  </si>
  <si>
    <t xml:space="preserve">iPhone 6 32GB 4G</t>
  </si>
  <si>
    <t xml:space="preserve">Iphone 6S 16GB 4G REA</t>
  </si>
  <si>
    <t xml:space="preserve">iPhone 6S 32GB 4G</t>
  </si>
  <si>
    <t xml:space="preserve">Iphone 6S 64GB 4G REA</t>
  </si>
  <si>
    <t xml:space="preserve">Iphone 7 128GB 4G REA</t>
  </si>
  <si>
    <t xml:space="preserve">Iphone 7 32GB 4G</t>
  </si>
  <si>
    <t xml:space="preserve">Iphone 7 32GB 4G REA</t>
  </si>
  <si>
    <t xml:space="preserve">Iphone 7 Plus 128GB 4G REA</t>
  </si>
  <si>
    <t xml:space="preserve">Iphone 7 Plus 32GB 4G REA</t>
  </si>
  <si>
    <t xml:space="preserve">iPhone 8 256GB 4G</t>
  </si>
  <si>
    <t xml:space="preserve">iPhone 8 64GB 4G</t>
  </si>
  <si>
    <t xml:space="preserve">iPhone 8 Plus 256GB 4G</t>
  </si>
  <si>
    <t xml:space="preserve">iPhone 8 Plus 64GB 4G</t>
  </si>
  <si>
    <t xml:space="preserve">iPhone SE 128GB 4G</t>
  </si>
  <si>
    <t xml:space="preserve">iPhone SE 32GB 4G</t>
  </si>
  <si>
    <t xml:space="preserve">iPhone X 256GB 4G</t>
  </si>
  <si>
    <t xml:space="preserve">iPhone X 64GB 4G</t>
  </si>
  <si>
    <t xml:space="preserve">iPhone XR 128GB</t>
  </si>
  <si>
    <t xml:space="preserve">iPhone XR 256GB</t>
  </si>
  <si>
    <t xml:space="preserve">iPhone XR 64GB</t>
  </si>
  <si>
    <t xml:space="preserve">iPhone XS 256GB</t>
  </si>
  <si>
    <t xml:space="preserve">iPhone XS 512GB</t>
  </si>
  <si>
    <t xml:space="preserve">iPhone XS 64GB</t>
  </si>
  <si>
    <t xml:space="preserve">iPhone XS MAX 256GB</t>
  </si>
  <si>
    <t xml:space="preserve">iPhone XS MAX 512GB</t>
  </si>
  <si>
    <t xml:space="preserve">iPhone XS MAX 64GB</t>
  </si>
  <si>
    <t xml:space="preserve">LENOVO</t>
  </si>
  <si>
    <t xml:space="preserve">Lenovo IdeaPad 320 15" i3 8+1TB</t>
  </si>
  <si>
    <t xml:space="preserve">Lenovo IdeaPad 330 i3 8+1TB</t>
  </si>
  <si>
    <t xml:space="preserve">Lenovo Legion Y530 Notebook Gaming</t>
  </si>
  <si>
    <t xml:space="preserve">Lenovo Tab 10.1 WiFi</t>
  </si>
  <si>
    <t xml:space="preserve">Lenovo tab 4 10" Plus 32GB 4G</t>
  </si>
  <si>
    <t xml:space="preserve">LG</t>
  </si>
  <si>
    <t xml:space="preserve">LG G7</t>
  </si>
  <si>
    <t xml:space="preserve">LG G7 + K11</t>
  </si>
  <si>
    <t xml:space="preserve">LG G7 Fit</t>
  </si>
  <si>
    <t xml:space="preserve">LG K11</t>
  </si>
  <si>
    <t xml:space="preserve">LG K4 2017 4G</t>
  </si>
  <si>
    <t xml:space="preserve">LG K8 2017 4G</t>
  </si>
  <si>
    <t xml:space="preserve">LG K9</t>
  </si>
  <si>
    <t xml:space="preserve">LG Q6 4G</t>
  </si>
  <si>
    <t xml:space="preserve">LG Q7</t>
  </si>
  <si>
    <t xml:space="preserve">SAMSUNG</t>
  </si>
  <si>
    <t xml:space="preserve">LG Smart TV 65" UK6470PLC</t>
  </si>
  <si>
    <t xml:space="preserve">LG Television 28"</t>
  </si>
  <si>
    <t xml:space="preserve">LG Television 32"</t>
  </si>
  <si>
    <t xml:space="preserve">LG Television 43"</t>
  </si>
  <si>
    <t xml:space="preserve">LG Television 49"</t>
  </si>
  <si>
    <t xml:space="preserve">LG Television 50"</t>
  </si>
  <si>
    <t xml:space="preserve">LG Television 55"</t>
  </si>
  <si>
    <t xml:space="preserve">LG V30</t>
  </si>
  <si>
    <t xml:space="preserve">MICROSOFT</t>
  </si>
  <si>
    <t xml:space="preserve">Microsoft Surface Go 10" 64GB + accesorios</t>
  </si>
  <si>
    <t xml:space="preserve">MOTOROLA</t>
  </si>
  <si>
    <t xml:space="preserve">Motorola Moto E5</t>
  </si>
  <si>
    <t xml:space="preserve">Motorola Moto G 5S</t>
  </si>
  <si>
    <t xml:space="preserve">Motorola Moto G6 + TAB 10.1 WiFi</t>
  </si>
  <si>
    <t xml:space="preserve">Motorola Moto G6 Play</t>
  </si>
  <si>
    <t xml:space="preserve">NINTENDO</t>
  </si>
  <si>
    <t xml:space="preserve">Nintendo Classic Mini Nes</t>
  </si>
  <si>
    <t xml:space="preserve">Nintendo Switch Hw + juego Zelda</t>
  </si>
  <si>
    <t xml:space="preserve">ORANGE</t>
  </si>
  <si>
    <t xml:space="preserve">Orange Rise 33</t>
  </si>
  <si>
    <t xml:space="preserve">Orange Rise 52</t>
  </si>
  <si>
    <t xml:space="preserve">Orange Rise 54</t>
  </si>
  <si>
    <t xml:space="preserve">Pixel 2 XL</t>
  </si>
  <si>
    <t xml:space="preserve">Pixel 3</t>
  </si>
  <si>
    <t xml:space="preserve">Pixel 3 XL</t>
  </si>
  <si>
    <t xml:space="preserve">Samsung Galaxy A5 2017 4G</t>
  </si>
  <si>
    <t xml:space="preserve">Samsung Galaxy A6 2018</t>
  </si>
  <si>
    <t xml:space="preserve">Samsung Galaxy A6+ 2018</t>
  </si>
  <si>
    <t xml:space="preserve">Samsung Galaxy A7</t>
  </si>
  <si>
    <t xml:space="preserve">Samsung Galaxy A8</t>
  </si>
  <si>
    <t xml:space="preserve">Samsung Galaxy A9</t>
  </si>
  <si>
    <t xml:space="preserve">Samsung Galaxy J3 2017</t>
  </si>
  <si>
    <t xml:space="preserve">Samsung Galaxy J4+</t>
  </si>
  <si>
    <t xml:space="preserve">Samsung Galaxy J5 2017 4G</t>
  </si>
  <si>
    <t xml:space="preserve">Samsung Galaxy J6 2018</t>
  </si>
  <si>
    <t xml:space="preserve">Samsung Galaxy J6+</t>
  </si>
  <si>
    <t xml:space="preserve">Samsung Galaxy J7 2017 4G</t>
  </si>
  <si>
    <t xml:space="preserve">Samsung Galaxy Note 9 128GB</t>
  </si>
  <si>
    <t xml:space="preserve">Samsung Galaxy Note 9 512GB</t>
  </si>
  <si>
    <t xml:space="preserve">Samsung Galaxy S10 128GB</t>
  </si>
  <si>
    <t xml:space="preserve">Samsung Galaxy S10+ 128GB</t>
  </si>
  <si>
    <t xml:space="preserve">Samsung Galaxy S10+ 1TB</t>
  </si>
  <si>
    <t xml:space="preserve">Samsung Galaxy S10+ 512GB</t>
  </si>
  <si>
    <t xml:space="preserve">Samsung Galaxy S10e 128GB</t>
  </si>
  <si>
    <t xml:space="preserve">Samsung Galaxy S8 4G</t>
  </si>
  <si>
    <t xml:space="preserve">Samsung Galaxy S9</t>
  </si>
  <si>
    <t xml:space="preserve">Samsung Galaxy S9 Plus</t>
  </si>
  <si>
    <t xml:space="preserve">Samsung Galaxy Tab A 10.1 32GB 4G</t>
  </si>
  <si>
    <t xml:space="preserve">Samsung Galaxy Watch 42MM eSIM + Auricular JBL U&amp;A</t>
  </si>
  <si>
    <t xml:space="preserve">Samsung Galaxy Watch 46MM eSIM + Auricular JBL U&amp;A</t>
  </si>
  <si>
    <t xml:space="preserve">Samsung Galaxy Xcover 4 32 GB</t>
  </si>
  <si>
    <t xml:space="preserve">Samsung Gear Fit2</t>
  </si>
  <si>
    <t xml:space="preserve">Samsung Gear S3 Classic</t>
  </si>
  <si>
    <t xml:space="preserve">Samsung Smart Tv 32" Ue32N5305</t>
  </si>
  <si>
    <t xml:space="preserve">Samsung Smart TV 58"</t>
  </si>
  <si>
    <t xml:space="preserve">Samsung Television 32"</t>
  </si>
  <si>
    <t xml:space="preserve">Samsung Television 50"</t>
  </si>
  <si>
    <t xml:space="preserve">Samsung Television 55"</t>
  </si>
  <si>
    <t xml:space="preserve">Samsung Television 55" QLED</t>
  </si>
  <si>
    <t xml:space="preserve">SONY</t>
  </si>
  <si>
    <t xml:space="preserve">Sony PS4 1TB Pro</t>
  </si>
  <si>
    <t xml:space="preserve">Sony PS4 500GB Slim + FIFA 2018</t>
  </si>
  <si>
    <t xml:space="preserve">Sony PS4 Pro 1TB + FIFA 2019</t>
  </si>
  <si>
    <t xml:space="preserve">Sony PS4 Slim 1TB</t>
  </si>
  <si>
    <t xml:space="preserve">Sony PS4 Slim 500GB</t>
  </si>
  <si>
    <t xml:space="preserve">Sony Television 49"</t>
  </si>
  <si>
    <t xml:space="preserve">Sony Xperia 10</t>
  </si>
  <si>
    <t xml:space="preserve">Sony Xperia 10 + Google Home Mini</t>
  </si>
  <si>
    <t xml:space="preserve">Sony Xperia L1 4G</t>
  </si>
  <si>
    <t xml:space="preserve">Sony Xperia L2</t>
  </si>
  <si>
    <t xml:space="preserve">Sony Xperia L3</t>
  </si>
  <si>
    <t xml:space="preserve">Sony Xperia XA2</t>
  </si>
  <si>
    <t xml:space="preserve">Sony Xperia XZ2</t>
  </si>
  <si>
    <t xml:space="preserve">Sony Xperia XZ2 Compact</t>
  </si>
  <si>
    <t xml:space="preserve">Sony Xperia XZ3</t>
  </si>
  <si>
    <t xml:space="preserve">Sony Xperia XZ3 + PS4 500GB Slim</t>
  </si>
  <si>
    <t xml:space="preserve">SPC</t>
  </si>
  <si>
    <t xml:space="preserve">SPC Felicity 2017</t>
  </si>
  <si>
    <t xml:space="preserve">WIKO</t>
  </si>
  <si>
    <t xml:space="preserve">Wiko view Lite</t>
  </si>
  <si>
    <t xml:space="preserve">WIFI</t>
  </si>
  <si>
    <t xml:space="preserve">HUAWEI P30</t>
  </si>
  <si>
    <t xml:space="preserve">HUAWEI P30 PRO</t>
  </si>
  <si>
    <t xml:space="preserve">Altavoz Anker Flare</t>
  </si>
  <si>
    <t xml:space="preserve">Altavoz Anker Flare Plus</t>
  </si>
  <si>
    <t xml:space="preserve">Altavoz Anker Mini</t>
  </si>
  <si>
    <t xml:space="preserve">JBL</t>
  </si>
  <si>
    <t xml:space="preserve">Altavoz JBL GO BT</t>
  </si>
  <si>
    <t xml:space="preserve">MONSTER</t>
  </si>
  <si>
    <t xml:space="preserve">Altavoz Monster BT 100 speaker</t>
  </si>
  <si>
    <t xml:space="preserve">Altavoz SPC BT ducha 4405a</t>
  </si>
  <si>
    <t xml:space="preserve">THOMSON</t>
  </si>
  <si>
    <t xml:space="preserve">Altavoz Thomson bt ws02 mini</t>
  </si>
  <si>
    <t xml:space="preserve">Altavoz Thomson bt ws03 grande</t>
  </si>
  <si>
    <t xml:space="preserve">Auricular JBL BT T110</t>
  </si>
  <si>
    <t xml:space="preserve">Auricular JBL T450BT</t>
  </si>
  <si>
    <t xml:space="preserve">EBON</t>
  </si>
  <si>
    <t xml:space="preserve">Auricular SPC Ebon</t>
  </si>
  <si>
    <t xml:space="preserve">Auriculares Jbl 500</t>
  </si>
  <si>
    <t xml:space="preserve">JVC</t>
  </si>
  <si>
    <t xml:space="preserve">Auriculares JVC infantil HA-kd5</t>
  </si>
  <si>
    <t xml:space="preserve">Barra Sonido LG SK1</t>
  </si>
  <si>
    <t xml:space="preserve">Bascula Thomson</t>
  </si>
  <si>
    <t xml:space="preserve">Bigben Altavoz BT mini xboy</t>
  </si>
  <si>
    <t xml:space="preserve">DOMOS</t>
  </si>
  <si>
    <t xml:space="preserve">Bombilla Inteligente WiFi Domos</t>
  </si>
  <si>
    <t xml:space="preserve">PLAYBULB</t>
  </si>
  <si>
    <t xml:space="preserve">Bombilla Playbulb BT multicolor rainbow</t>
  </si>
  <si>
    <t xml:space="preserve">Bombilla vela Playbulb BT multicolor</t>
  </si>
  <si>
    <t xml:space="preserve">ASCENDEO</t>
  </si>
  <si>
    <t xml:space="preserve">Camara de Seguridad ISmart Alarm</t>
  </si>
  <si>
    <t xml:space="preserve">MUVIT</t>
  </si>
  <si>
    <t xml:space="preserve">Camara deportiva WiFi HD 4k muvit i/o</t>
  </si>
  <si>
    <t xml:space="preserve">Camara IP WiFi Domos</t>
  </si>
  <si>
    <t xml:space="preserve">CANON</t>
  </si>
  <si>
    <t xml:space="preserve">Canon Impresora PIXMA TS3150</t>
  </si>
  <si>
    <t xml:space="preserve">MYWAY</t>
  </si>
  <si>
    <t xml:space="preserve">Disco Duro USB WIFI 32 GB MYWAY</t>
  </si>
  <si>
    <t xml:space="preserve">Drone Bigben Hawk WiFi</t>
  </si>
  <si>
    <t xml:space="preserve">PARROT</t>
  </si>
  <si>
    <t xml:space="preserve">Drone Parrot Airbone Cargo Travis</t>
  </si>
  <si>
    <t xml:space="preserve">Enchufe Inteligente WiFi Domos</t>
  </si>
  <si>
    <t xml:space="preserve">Enchufe inteligente WiFi Smart Alarm</t>
  </si>
  <si>
    <t xml:space="preserve">KODAK</t>
  </si>
  <si>
    <t xml:space="preserve">Kodak Mini Printer PM210</t>
  </si>
  <si>
    <t xml:space="preserve">UNIC</t>
  </si>
  <si>
    <t xml:space="preserve">Mini Proyector Unic UC46</t>
  </si>
  <si>
    <t xml:space="preserve">Pencil For iPad Pro</t>
  </si>
  <si>
    <t xml:space="preserve">Proyector LG PH150G</t>
  </si>
  <si>
    <t xml:space="preserve">GARMIN</t>
  </si>
  <si>
    <t xml:space="preserve">Pulsera actividad Garmin</t>
  </si>
  <si>
    <t xml:space="preserve">Pulsera actividad Garmin VivoActive HR</t>
  </si>
  <si>
    <t xml:space="preserve">Pulsera actividad Garmin VivoSmart HR</t>
  </si>
  <si>
    <t xml:space="preserve">Reloj Garmin Forerunner 35</t>
  </si>
  <si>
    <t xml:space="preserve">Reloj multidep. Garmin Forerunner 235 </t>
  </si>
  <si>
    <t xml:space="preserve">Sensor de Movimiento WiFi Domos</t>
  </si>
  <si>
    <t xml:space="preserve">Sensor de Puertas WiFi Domos</t>
  </si>
  <si>
    <t xml:space="preserve">Smart Keyboard iPad Pro 10,5"</t>
  </si>
  <si>
    <t xml:space="preserve">FITBIT</t>
  </si>
  <si>
    <t xml:space="preserve">Smartband FitBit Alta</t>
  </si>
  <si>
    <t xml:space="preserve">Smartband FitBit Alta HR</t>
  </si>
  <si>
    <t xml:space="preserve">Smartband Fitbit Flex 2</t>
  </si>
  <si>
    <t xml:space="preserve">IHEALTH</t>
  </si>
  <si>
    <t xml:space="preserve">Tensiometro ihealth Track inalam intelig</t>
  </si>
  <si>
    <r>
      <rPr>
        <sz val="11"/>
        <color rgb="FF333333"/>
        <rFont val="Arial"/>
        <family val="2"/>
        <charset val="1"/>
      </rPr>
      <t xml:space="preserve">Desde el </t>
    </r>
    <r>
      <rPr>
        <b val="true"/>
        <sz val="11"/>
        <color rgb="FF333333"/>
        <rFont val="Arial"/>
        <family val="2"/>
        <charset val="1"/>
      </rPr>
      <t xml:space="preserve">1 de junio de 2021</t>
    </r>
    <r>
      <rPr>
        <sz val="11"/>
        <color rgb="FF333333"/>
        <rFont val="Arial"/>
        <family val="2"/>
        <charset val="1"/>
      </rPr>
      <t xml:space="preserve">, se aplican </t>
    </r>
    <r>
      <rPr>
        <sz val="11"/>
        <color rgb="FFFF6600"/>
        <rFont val="Arial"/>
        <family val="2"/>
        <charset val="1"/>
      </rPr>
      <t xml:space="preserve">4 nuevos compromisos de permanencia de 24 meses</t>
    </r>
    <r>
      <rPr>
        <sz val="11"/>
        <color rgb="FF333333"/>
        <rFont val="Arial"/>
        <family val="2"/>
        <charset val="1"/>
      </rPr>
      <t xml:space="preserve">, con distinto importe de penalización, que se asignarán a través de la oferta táctica de </t>
    </r>
    <r>
      <rPr>
        <b val="true"/>
        <sz val="11"/>
        <color rgb="FF333333"/>
        <rFont val="Arial"/>
        <family val="2"/>
        <charset val="1"/>
      </rPr>
      <t xml:space="preserve">venta a plazos de captación</t>
    </r>
    <r>
      <rPr>
        <sz val="11"/>
        <color rgb="FF333333"/>
        <rFont val="Arial"/>
        <family val="2"/>
        <charset val="1"/>
      </rPr>
      <t xml:space="preserve"> (alta nueva) </t>
    </r>
    <r>
      <rPr>
        <b val="true"/>
        <sz val="11"/>
        <color rgb="FF333333"/>
        <rFont val="Arial"/>
        <family val="2"/>
        <charset val="1"/>
      </rPr>
      <t xml:space="preserve">y de renove de terminal</t>
    </r>
    <r>
      <rPr>
        <sz val="11"/>
        <color rgb="FF333333"/>
        <rFont val="Arial"/>
        <family val="2"/>
        <charset val="1"/>
      </rPr>
      <t xml:space="preserve">, en función de la tarifa y la gama de terminal elegido por el cliente.Como novedad, además,</t>
    </r>
    <r>
      <rPr>
        <b val="true"/>
        <sz val="11"/>
        <color rgb="FF333333"/>
        <rFont val="Arial"/>
        <family val="2"/>
        <charset val="1"/>
      </rPr>
      <t xml:space="preserve"> las penalizaciones de estos nuevos compromisos de permanencia de móvil, decrecen por tramos semestrales </t>
    </r>
    <r>
      <rPr>
        <sz val="11"/>
        <color rgb="FF333333"/>
        <rFont val="Arial"/>
        <family val="2"/>
        <charset val="1"/>
      </rPr>
      <t xml:space="preserve">en lugar de hacerlo diariamente y estos nuevos compromisos de permanencia son exclusivos de mercado empresa autónomos y micropymes:</t>
    </r>
  </si>
  <si>
    <t xml:space="preserve">Importes de Penalización</t>
  </si>
  <si>
    <t xml:space="preserve">Nombre Compromiso de Permanencia</t>
  </si>
  <si>
    <t xml:space="preserve">Código Compromiso de Permanencia</t>
  </si>
  <si>
    <t xml:space="preserve">Importe Penalización</t>
  </si>
  <si>
    <t xml:space="preserve">Compromiso de Permanencia 1</t>
  </si>
  <si>
    <t xml:space="preserve">CPC4</t>
  </si>
  <si>
    <t xml:space="preserve">150 euros</t>
  </si>
  <si>
    <t xml:space="preserve">Compromiso de Permanencia 2</t>
  </si>
  <si>
    <t xml:space="preserve">CPC5</t>
  </si>
  <si>
    <t xml:space="preserve">250 euros</t>
  </si>
  <si>
    <t xml:space="preserve">Compromiso de Permanencia 3</t>
  </si>
  <si>
    <t xml:space="preserve">CPC6</t>
  </si>
  <si>
    <t xml:space="preserve">300 euros</t>
  </si>
  <si>
    <t xml:space="preserve">Compromiso de Permanencia 4</t>
  </si>
  <si>
    <t xml:space="preserve">CPC7</t>
  </si>
  <si>
    <t xml:space="preserve">400 euros</t>
  </si>
  <si>
    <t xml:space="preserve">Comportamiento del compromiso de Penalización por meses.</t>
  </si>
  <si>
    <t xml:space="preserve">Compromisos de permanencia móvil</t>
  </si>
  <si>
    <t xml:space="preserve">Penalización en el alta</t>
  </si>
  <si>
    <t xml:space="preserve">Mes 6</t>
  </si>
  <si>
    <t xml:space="preserve">Mes 12</t>
  </si>
  <si>
    <t xml:space="preserve">Mes 18</t>
  </si>
  <si>
    <t xml:space="preserve">Tipo de Compromisos de Permanencia por tarifa y Precio de Terminal.</t>
  </si>
  <si>
    <t xml:space="preserve">Precio Pago Único Terminal</t>
  </si>
  <si>
    <t xml:space="preserve">TARIFA</t>
  </si>
  <si>
    <t xml:space="preserve"> &gt;800€</t>
  </si>
  <si>
    <t xml:space="preserve">800€ &gt;500€</t>
  </si>
  <si>
    <t xml:space="preserve">500€ &gt;300€</t>
  </si>
  <si>
    <t xml:space="preserve">&lt;300€</t>
  </si>
  <si>
    <t xml:space="preserve">Love Smartphone 250 min</t>
  </si>
  <si>
    <t xml:space="preserve">Love Empresa Activa</t>
  </si>
  <si>
    <t xml:space="preserve">Love Empresa Impulsa 1</t>
  </si>
  <si>
    <t xml:space="preserve">Love Empresa Impulsa 2</t>
  </si>
  <si>
    <t xml:space="preserve">Love Empresa Impulsa 3</t>
  </si>
  <si>
    <t xml:space="preserve">Love Empresa Impulsa 5</t>
  </si>
  <si>
    <t xml:space="preserve">Love Empresa Crece 10</t>
  </si>
  <si>
    <t xml:space="preserve">Love Empresa Crece 20</t>
  </si>
  <si>
    <t xml:space="preserve">Go Empresa Flex Prima</t>
  </si>
  <si>
    <t xml:space="preserve">Go Empresa Flex Extra</t>
  </si>
  <si>
    <t xml:space="preserve">Go Empresa Ilimitada 1</t>
  </si>
  <si>
    <t xml:space="preserve">Go Empresa Ilimitada 2</t>
  </si>
  <si>
    <t xml:space="preserve">4G de Orange en tu negocio</t>
  </si>
  <si>
    <t xml:space="preserve">Internet Empresa Ilimitado</t>
  </si>
  <si>
    <t xml:space="preserve">Internet Movil 90GB Empresa</t>
  </si>
  <si>
    <t xml:space="preserve">Internet Movil 25GB Empresa</t>
  </si>
  <si>
    <t xml:space="preserve">Internet Movil 10GB Empresa</t>
  </si>
  <si>
    <t xml:space="preserve">Internet Movil Pro 3GB</t>
  </si>
  <si>
    <t xml:space="preserve">Mi Fijo</t>
  </si>
  <si>
    <t xml:space="preserve">* El resto de nuestras tarifas mantienen los compromisos actuales.</t>
  </si>
  <si>
    <t xml:space="preserve">1/04 al 4/05</t>
  </si>
  <si>
    <t xml:space="preserve">GO EMP FLEX (1)</t>
  </si>
  <si>
    <t xml:space="preserve">GO EMP ILIMITADA +</t>
  </si>
  <si>
    <t xml:space="preserve">GO EMP ILIMITADA 2</t>
  </si>
  <si>
    <t xml:space="preserve">LOVE EMP ACTIVA
LOVE EMP IMPULSA 1     
LOVE EMP IMPULSA 2</t>
  </si>
  <si>
    <t xml:space="preserve">LOVE EMP IMPULSA 3
</t>
  </si>
  <si>
    <t xml:space="preserve">LOVE EMP IMPULSA 5
</t>
  </si>
  <si>
    <t xml:space="preserve">LOVE EMP CRECE 10
LOVE EMP CRECE 20</t>
  </si>
  <si>
    <t xml:space="preserve">LOVE EMP ACTIVA                (2)
LOVE EMP IMPUL 1,2,3,5       (2)
LOVE EMP CRECE  10,20       (2)
</t>
  </si>
  <si>
    <t xml:space="preserve">GO EMP ILIMITADA +           (2)</t>
  </si>
  <si>
    <t xml:space="preserve">GO EMP ILIMITADA 2          (2)</t>
  </si>
  <si>
    <t xml:space="preserve">LINEA SMARTP SLM
+ LE AC, LEI 1,2,3,5 (2)</t>
  </si>
  <si>
    <t xml:space="preserve">LINEA SMARTP SLM
+ LE ACT, LE1</t>
  </si>
  <si>
    <t xml:space="preserve">LINEA SMARTP SLM
+ LEI 3</t>
  </si>
  <si>
    <t xml:space="preserve">LINEA SMARTP SLM
+ LEI 5</t>
  </si>
  <si>
    <t xml:space="preserve">LINEA SMARTP SLM
+ LEC 10 +LEC 20</t>
  </si>
  <si>
    <t xml:space="preserve">LINEA SMARTP 250 min
+ LE AC, LEI 1,2,3,5,LEC 10,20 (2)</t>
  </si>
  <si>
    <t xml:space="preserve">LINEA SMARTP 250 min
+ LE AC, LEI 1,2,3,5,LEC 10,20</t>
  </si>
  <si>
    <t xml:space="preserve">Capta de cliente nuevo o de cliente -4 M, solo accede a Pago Único</t>
  </si>
  <si>
    <t xml:space="preserve">(2) Para ampliaciones de -4 M y portabilidades origen prepago (-4M / +4M) de las tarifas Go Emp Flex,Go Emp Ilimitada +, 2, Love Emp Activa, Love Emp Imp 1, 3, 5, Love Emp Crec 10, 20, Love Smartp SLM y Love Smartp 250min aplican las condiciones de ENTRADA PRO, a excepción del bono extra.</t>
  </si>
  <si>
    <t xml:space="preserve">AHORRO VaP Vs PVPR Fabricante</t>
  </si>
  <si>
    <r>
      <rPr>
        <b val="true"/>
        <sz val="11"/>
        <rFont val="Arial"/>
        <family val="2"/>
        <charset val="1"/>
      </rPr>
      <t xml:space="preserve">(*) </t>
    </r>
    <r>
      <rPr>
        <sz val="11"/>
        <rFont val="Arial"/>
        <family val="2"/>
        <charset val="1"/>
      </rPr>
      <t xml:space="preserve"> El bono  Extra correspondiente a cada tarifa indicada, aplica independientemente de la antigüedad del cliente y el origen de portabilidad.  El Bono Extra  asociado a cada tarifa también aplica a Pago Único. La Línea Negocio SLM hereda el mismo bono de la tarifa principal a la cual se asocia.</t>
    </r>
  </si>
  <si>
    <t xml:space="preserve">PVPR
Pago
Único</t>
  </si>
  <si>
    <t xml:space="preserve">GRUPOS DE TARIFAS CONVERGENTES </t>
  </si>
  <si>
    <t xml:space="preserve">PVPR FABRICANTE</t>
  </si>
  <si>
    <t xml:space="preserve">Modelo</t>
  </si>
  <si>
    <t xml:space="preserve">Ahorro VaP vs Libre
(sin IVA) </t>
  </si>
  <si>
    <t xml:space="preserve">Ahorro VaP vs PVPR
(sin IVA)</t>
  </si>
  <si>
    <t xml:space="preserve">Ahorro VaP vs PVPR
(sin IVA) </t>
  </si>
  <si>
    <t xml:space="preserve">AD HOC</t>
  </si>
  <si>
    <t xml:space="preserve">ADOC SC01</t>
  </si>
  <si>
    <t xml:space="preserve">VOZ</t>
  </si>
  <si>
    <t xml:space="preserve">ADOC SC04</t>
  </si>
  <si>
    <t xml:space="preserve">TCL</t>
  </si>
  <si>
    <t xml:space="preserve">TCL ONETOUCH 4042s</t>
  </si>
  <si>
    <t xml:space="preserve">TCL ONETOUCH 4043</t>
  </si>
  <si>
    <t xml:space="preserve">IPHONE 15 128GB CON 5G</t>
  </si>
  <si>
    <t xml:space="preserve">SMARTPHONE</t>
  </si>
  <si>
    <t xml:space="preserve">IPHONE 16e 128GB CON 5G</t>
  </si>
  <si>
    <t xml:space="preserve">IPHONE 16e 256GB CON 5G</t>
  </si>
  <si>
    <t xml:space="preserve">IPHONE 16 128GB CON 5G</t>
  </si>
  <si>
    <t xml:space="preserve">IPHONE 16 256GB CON 5G</t>
  </si>
  <si>
    <t xml:space="preserve">IPHONE 16 PLUS 128GB CON 5G</t>
  </si>
  <si>
    <t xml:space="preserve">IPHONE 16 PLUS 256GB CON 5G</t>
  </si>
  <si>
    <t xml:space="preserve">IPHONE 16 PRO 128GB CON 5G</t>
  </si>
  <si>
    <t xml:space="preserve">IPHONE 16 PRO 256GB CON 5G</t>
  </si>
  <si>
    <t xml:space="preserve">IPHONE 16 PRO MAX 256 CON 5G</t>
  </si>
  <si>
    <t xml:space="preserve">IPHONE 16 PRO MAX 512 CON 5G</t>
  </si>
  <si>
    <t xml:space="preserve">GOOGLE PIXEL 8A 128GB 5G</t>
  </si>
  <si>
    <t xml:space="preserve">GOOGLE PIXEL 8A 256GB 5G</t>
  </si>
  <si>
    <t xml:space="preserve">GOOGLE PIXEL 9 128GB 5G</t>
  </si>
  <si>
    <t xml:space="preserve">GOOGLE PIXEL 9A 128GB 5G</t>
  </si>
  <si>
    <t xml:space="preserve">GOOGLE PIXEL 9A 256GB 5G</t>
  </si>
  <si>
    <t xml:space="preserve">GOOGLE PIXEL 9 PRO 256GB 5G</t>
  </si>
  <si>
    <t xml:space="preserve">GOOGLE PIXEL 9 PRO XL 512GB 5G</t>
  </si>
  <si>
    <t xml:space="preserve">HONOR</t>
  </si>
  <si>
    <t xml:space="preserve">HONOR 200 512GB 5G</t>
  </si>
  <si>
    <t xml:space="preserve">HONOR 200 LITE 256GB 5G</t>
  </si>
  <si>
    <t xml:space="preserve">HONOR 200 PRO 512GB 5G</t>
  </si>
  <si>
    <t xml:space="preserve">HONOR 200 SMART 256GB 5G</t>
  </si>
  <si>
    <t xml:space="preserve">HONOR MAGIC V3 512GB 5G</t>
  </si>
  <si>
    <t xml:space="preserve">HONOR MAGIC7 LITE 512GB 5G</t>
  </si>
  <si>
    <t xml:space="preserve">HONOR MAGIC7 PRO 512GB 5G</t>
  </si>
  <si>
    <t xml:space="preserve">MOTOROLA EDGE 50 NEO 512GB 5G</t>
  </si>
  <si>
    <t xml:space="preserve">MOTOROLA EDGE 50 PRO 5G</t>
  </si>
  <si>
    <t xml:space="preserve">MOTOROLA MOTO G35 128GB 5G</t>
  </si>
  <si>
    <t xml:space="preserve">MOTOROLA MOTO G55 256GB 5G</t>
  </si>
  <si>
    <t xml:space="preserve">MOTOROLA MOTO G85 256GB 5G</t>
  </si>
  <si>
    <t xml:space="preserve">MOTOROLA RAZR 50 256GB 5G</t>
  </si>
  <si>
    <t xml:space="preserve">MOTOROLA MOTO THINKPHONE 25 256GB 5G</t>
  </si>
  <si>
    <t xml:space="preserve">OPPO</t>
  </si>
  <si>
    <t xml:space="preserve">OPPO A40 128GB</t>
  </si>
  <si>
    <t xml:space="preserve">OPPO A60 128GB 5G</t>
  </si>
  <si>
    <t xml:space="preserve">OPPO A80 256GB 5G</t>
  </si>
  <si>
    <t xml:space="preserve">OPPO FIND X8 PRO 512GB 5G</t>
  </si>
  <si>
    <t xml:space="preserve">OPPO RENO13 256GB 5G</t>
  </si>
  <si>
    <t xml:space="preserve">OPPO RENO13 F 256GB 5G</t>
  </si>
  <si>
    <t xml:space="preserve">OPPO RENO13 PRO 512GB 5G</t>
  </si>
  <si>
    <t xml:space="preserve">SAMSUNG GALAXY A16 128GB</t>
  </si>
  <si>
    <t xml:space="preserve">SAMSUNG GALAXY A16 128GB 5G</t>
  </si>
  <si>
    <t xml:space="preserve">SAMSUNG GALAXY A26 128GB 5G</t>
  </si>
  <si>
    <t xml:space="preserve">SAMSUNG GALAXY A36 128GB 5G</t>
  </si>
  <si>
    <t xml:space="preserve">SAMSUNG GALAXY A56 128GB 5G</t>
  </si>
  <si>
    <t xml:space="preserve">SAMSUNG GALAXY S23 256GB 5G</t>
  </si>
  <si>
    <t xml:space="preserve">SAMSUNG GALAXY S24 128GB 5G</t>
  </si>
  <si>
    <t xml:space="preserve">SAMSUNG GALAXY S24 256GB 5G</t>
  </si>
  <si>
    <t xml:space="preserve">SAMSUNG GALAXY S24 FE 128GB 5G</t>
  </si>
  <si>
    <t xml:space="preserve">SAMSUNG GALAXY S25 128GB 5G</t>
  </si>
  <si>
    <t xml:space="preserve">SAMSUNG GALAXY S25 256GB 5G</t>
  </si>
  <si>
    <t xml:space="preserve">SAMSUNG GALAXY S25 ULTRA 1TB 5G</t>
  </si>
  <si>
    <t xml:space="preserve">SAMSUNG GALAXY S25 ULTRA 256GB 5G</t>
  </si>
  <si>
    <t xml:space="preserve">SAMSUNG GALAXY S25 ULTRA 512GB 5G</t>
  </si>
  <si>
    <t xml:space="preserve">SAMSUNG GALAXY S25+ 256GB 5G</t>
  </si>
  <si>
    <t xml:space="preserve">SAMSUNG GALAXY S25+ 512GB 5G</t>
  </si>
  <si>
    <t xml:space="preserve">SAMSUNG GALAXY Z FLIP6 256GB 5G</t>
  </si>
  <si>
    <t xml:space="preserve">SAMSUNG GALAXY Z FLIP6 512GB 5G</t>
  </si>
  <si>
    <t xml:space="preserve">SAMSUNG GALAXY Z FOLD6 256GB 5G</t>
  </si>
  <si>
    <t xml:space="preserve">SAMSUNG GALAXY Z FOLD6 512GB 5G</t>
  </si>
  <si>
    <t xml:space="preserve">SAMSUNG GALAXY XCOVER 7 5G</t>
  </si>
  <si>
    <t xml:space="preserve">TCL 40 SE</t>
  </si>
  <si>
    <t xml:space="preserve">TCL 50 5G</t>
  </si>
  <si>
    <t xml:space="preserve">TCL 50 NXTPAPER PRO 512GB 5G</t>
  </si>
  <si>
    <t xml:space="preserve">XIAOMI</t>
  </si>
  <si>
    <t xml:space="preserve">XIAOMI 14C 128GB</t>
  </si>
  <si>
    <t xml:space="preserve">XIAOMI 14T 256GB 5G</t>
  </si>
  <si>
    <t xml:space="preserve">XIAOMI 14T PRO 256GB 5G</t>
  </si>
  <si>
    <t xml:space="preserve">XIAOMI 14T PRO 512GB 5G</t>
  </si>
  <si>
    <t xml:space="preserve">XIAOMI 15 512GB 5G</t>
  </si>
  <si>
    <t xml:space="preserve">XIAOMI 15 ULTRA 512GB 5G</t>
  </si>
  <si>
    <t xml:space="preserve">XIAOMI REDMI 13C 5G</t>
  </si>
  <si>
    <t xml:space="preserve">XIAOMI REDMI 13C 256GB 5G</t>
  </si>
  <si>
    <t xml:space="preserve">XIAOMI REDMI 14C 128GB</t>
  </si>
  <si>
    <t xml:space="preserve">XIAOMI REDMI NOTE 14 256GB 5G</t>
  </si>
  <si>
    <t xml:space="preserve">XIAOMI REDMI NOTE 14 PRO 256GB 5G</t>
  </si>
  <si>
    <t xml:space="preserve">XIAOMI REDMI NOTE 14 PRO+ 256GB 5G</t>
  </si>
  <si>
    <t xml:space="preserve">ZTE</t>
  </si>
  <si>
    <t xml:space="preserve">ZTE A75 128GB 5G</t>
  </si>
  <si>
    <t xml:space="preserve">ZTE NUBIA FLIP2 256GB 5G</t>
  </si>
  <si>
    <t xml:space="preserve">LG SMART TV 32" LQ</t>
  </si>
  <si>
    <t xml:space="preserve">SMART TV</t>
  </si>
  <si>
    <t xml:space="preserve">LG SMART TV 43" UR78 4K</t>
  </si>
  <si>
    <t xml:space="preserve">LG SMART TV 50" UR78 4K</t>
  </si>
  <si>
    <t xml:space="preserve">LG SMART TV 55" OLED C46 4K</t>
  </si>
  <si>
    <t xml:space="preserve">LG SMART TV 55" UR78 4K</t>
  </si>
  <si>
    <t xml:space="preserve">LG SMART TV 65" OLED C46 4K</t>
  </si>
  <si>
    <t xml:space="preserve">LG SMART TV 65" UR78 4K</t>
  </si>
  <si>
    <t xml:space="preserve">LG SMART TV 75" UT80 4K</t>
  </si>
  <si>
    <t xml:space="preserve">LG SMART TV 75" NANO 80</t>
  </si>
  <si>
    <t xml:space="preserve">LG SMART TV 65" OLED 65C56 4K</t>
  </si>
  <si>
    <t xml:space="preserve">LG SMART TV 55" OLED 55C56 4K</t>
  </si>
  <si>
    <t xml:space="preserve">SAMSUNG SMART TV 43" DU7105</t>
  </si>
  <si>
    <t xml:space="preserve">SAMSUNG SMART TV 55" DU7105</t>
  </si>
  <si>
    <t xml:space="preserve">SAMSUNG SMART TV 65" DU7105</t>
  </si>
  <si>
    <t xml:space="preserve">SAMSUNG SMART TV 75" DU7105</t>
  </si>
  <si>
    <t xml:space="preserve">TCL ANDROID TV 32" S5400A</t>
  </si>
  <si>
    <t xml:space="preserve">TCL GOOGLE TV 43" QLED C655 4K</t>
  </si>
  <si>
    <t xml:space="preserve">TCL GOOGLE TV 50" QLED C655 4K</t>
  </si>
  <si>
    <t xml:space="preserve">TCL GOOGLE TV 55" QLED C655 4K</t>
  </si>
  <si>
    <t xml:space="preserve">TCL GOOGLE TV 65" QLED C655 4K</t>
  </si>
  <si>
    <t xml:space="preserve">TCL GOOGLE TV 75" QLED P7K 4K</t>
  </si>
  <si>
    <t xml:space="preserve">XIAOMI GOOGLE TV 43" QLED A PRO</t>
  </si>
  <si>
    <t xml:space="preserve">XIAOMI GOOGLE TV 55" QLED A PRO</t>
  </si>
  <si>
    <t xml:space="preserve">XIAOMI GOOGLE TV 65" QLED A PRO</t>
  </si>
  <si>
    <t xml:space="preserve">XIAOMI SMART TV A 32"</t>
  </si>
  <si>
    <t xml:space="preserve">XIAOMI TV S MINI LED 75" 2025</t>
  </si>
  <si>
    <t xml:space="preserve">IPAD AIR M2 WIFI 11" 128GB</t>
  </si>
  <si>
    <t xml:space="preserve">TABLET</t>
  </si>
  <si>
    <t xml:space="preserve">IPAD AIR M2 WIFI 13" 128GB</t>
  </si>
  <si>
    <t xml:space="preserve">IPAD PRO M4 WIFI 11" 256GB</t>
  </si>
  <si>
    <t xml:space="preserve">IPAD 11a Gen 2025 WIFI+CELL eSIM 5G 128GB</t>
  </si>
  <si>
    <t xml:space="preserve">IPAD 11a Gen 2025 WIFI 128GB 2025</t>
  </si>
  <si>
    <t xml:space="preserve">IPAD 11a Gen 2025 WIFI 256GB 2025</t>
  </si>
  <si>
    <t xml:space="preserve">IPAD AIR M3 WIFI 11” 256GB</t>
  </si>
  <si>
    <t xml:space="preserve">IPAD AIR M3 WIFI 13” 128GB</t>
  </si>
  <si>
    <t xml:space="preserve">IPAD AIR M3 WIFI 11” 128GB</t>
  </si>
  <si>
    <t xml:space="preserve">TCL NXTPAPER 11 PLUS 4+128GB WIFI+FUNDA+LAPIZ</t>
  </si>
  <si>
    <t xml:space="preserve">LENOVO TAB M11 WIFI 4+128GB + LAPIZ</t>
  </si>
  <si>
    <t xml:space="preserve">SAMSUNG GALAXY TAB A9 8,7" WIFI</t>
  </si>
  <si>
    <t xml:space="preserve">SAMSUNG GALAXY TAB A9+ 11" 5G</t>
  </si>
  <si>
    <t xml:space="preserve">SAMSUNG GALAXY TAB A9+ 11" WIFI</t>
  </si>
  <si>
    <t xml:space="preserve">SAMSUNG GALAXY TAB S10 ULTRA 12+256GB WIFI</t>
  </si>
  <si>
    <t xml:space="preserve">SAMSUNG GALAXY TAB S9 FE 10.9" WIFI</t>
  </si>
  <si>
    <t xml:space="preserve">SAMSUNG GALAXY TAB ACTIVE 5 5G</t>
  </si>
  <si>
    <t xml:space="preserve">TCL NXTPAPER 11 WIFI + FUNDA + LAPIZ</t>
  </si>
  <si>
    <t xml:space="preserve">TCL TAB 10 2a GEN WIFI</t>
  </si>
  <si>
    <t xml:space="preserve">TCL TAB 10L WIFI</t>
  </si>
  <si>
    <t xml:space="preserve">TCL TAB 11 FE WIFI 4+128GB</t>
  </si>
  <si>
    <t xml:space="preserve">TABLETS</t>
  </si>
  <si>
    <t xml:space="preserve">XIAOMI PAD SE 11" WIFI</t>
  </si>
  <si>
    <t xml:space="preserve">XIAOMI REDMI PAD PRO WIFI</t>
  </si>
  <si>
    <t xml:space="preserve">IPAD 10a GEN 64GB 2024 WIFI</t>
  </si>
  <si>
    <t xml:space="preserve">HONOR PAD X8a 11" 4+128GB WIFI</t>
  </si>
  <si>
    <t xml:space="preserve">XBOX SERIES S</t>
  </si>
  <si>
    <t xml:space="preserve">CONSOLA</t>
  </si>
  <si>
    <t xml:space="preserve">NINTENDO SWITCH + SUPER MARIO ODYSSEY</t>
  </si>
  <si>
    <t xml:space="preserve">NINTENDO SWITCH LITE</t>
  </si>
  <si>
    <t xml:space="preserve">NINTENDO SWITCH OLED + MARIO BROS WONDER</t>
  </si>
  <si>
    <t xml:space="preserve">SONY PLAYSTATION 5</t>
  </si>
  <si>
    <t xml:space="preserve">SONY PLAYSTATION 5 + 50 EUR FORNITE</t>
  </si>
  <si>
    <t xml:space="preserve">SONY PLAYSTATION 5 DIGITAL</t>
  </si>
  <si>
    <t xml:space="preserve">SONY PLAYSTATION 5 DIGITAL + 50 EUR FORNITE</t>
  </si>
  <si>
    <t xml:space="preserve">SONY PS5 PRO 2TB</t>
  </si>
  <si>
    <t xml:space="preserve">SONY PS5 + JUEGO ASTRO BOT</t>
  </si>
  <si>
    <t xml:space="preserve">SONY PS5 DIGITAL + JUEGO ASTRO BOT</t>
  </si>
  <si>
    <t xml:space="preserve">HUAWEI PC MATEBOOK D 14" I5 12 GEN</t>
  </si>
  <si>
    <t xml:space="preserve">PC</t>
  </si>
  <si>
    <t xml:space="preserve">HUAWEI PC MATEBOOK D 16" I5 12 GEN</t>
  </si>
  <si>
    <t xml:space="preserve">LENOVO IDEAPAD 1 15ADA7 4500 8+256GB</t>
  </si>
  <si>
    <t xml:space="preserve">LENOVO IDEAPAD 3 15IAH8 CI5 8+512GB</t>
  </si>
  <si>
    <t xml:space="preserve">LENOVO IDEAPAD 5 16IRL8 I7 13GEN 16GB+1TB</t>
  </si>
  <si>
    <t xml:space="preserve">LENOVO LOQ 3 15IRH8 i5 RTX 2050</t>
  </si>
  <si>
    <t xml:space="preserve">LENOVO 14" SOHO WINDOWS PROFESSIONAL 16+512GB</t>
  </si>
  <si>
    <t xml:space="preserve">LG GRAM BOOK 15U50T i5 16+512GB</t>
  </si>
  <si>
    <t xml:space="preserve">LG ULTRA 16" U70R R5 16+512GB</t>
  </si>
  <si>
    <t xml:space="preserve">SAMSUNG GXY BOOK4 15,6" i3 13GEN 8+256GB W HOME</t>
  </si>
  <si>
    <t xml:space="preserve">SAMSUNG GXY BOOK4 15,6" i5 13GEN 16+512GB W PRO</t>
  </si>
  <si>
    <t xml:space="preserve">SAMSUNG GALAXY BOOK4 EDGE15 16+256GB</t>
  </si>
  <si>
    <t xml:space="preserve">SAMSUNG GXY BOOK5 PRO16 16" i5 ULTRA 16+512GB</t>
  </si>
  <si>
    <t xml:space="preserve">ATLANTIS</t>
  </si>
  <si>
    <t xml:space="preserve">ALTAVOZ SONY SRS-XG300B</t>
  </si>
  <si>
    <t xml:space="preserve">OC_ALTAVOZ</t>
  </si>
  <si>
    <t xml:space="preserve">ALTAVOZ LG XBOOM XG2 TBK</t>
  </si>
  <si>
    <t xml:space="preserve">ALTAVOZ LG XBOOM XG5QBK</t>
  </si>
  <si>
    <t xml:space="preserve">ALTAVOZ SONY BT ULT FIELD</t>
  </si>
  <si>
    <t xml:space="preserve">ALTAVOZ LG XBOOM PARTY</t>
  </si>
  <si>
    <t xml:space="preserve">ALTAVOZ LG XBOOM BOUNCE</t>
  </si>
  <si>
    <t xml:space="preserve">ALTAVOZ SONY BT ULT-50</t>
  </si>
  <si>
    <t xml:space="preserve">AURICULARES AD HOC BT01</t>
  </si>
  <si>
    <t xml:space="preserve">OC_AURICULARES</t>
  </si>
  <si>
    <t xml:space="preserve">AURICULARES ADOC BT02 PRO</t>
  </si>
  <si>
    <t xml:space="preserve">AURICULARES AD HOC HC01</t>
  </si>
  <si>
    <t xml:space="preserve">APPLE AIRPODS 4</t>
  </si>
  <si>
    <t xml:space="preserve">APPLE AIRPODS 4 CON CANCELACION ACTIVA RUIDO</t>
  </si>
  <si>
    <t xml:space="preserve">APPLE AIRPODS PRO 2a GENERACION MAGSAFE USBC</t>
  </si>
  <si>
    <t xml:space="preserve">AURICULARES DIADEMA SONY ULT WEAR 900</t>
  </si>
  <si>
    <t xml:space="preserve">AURICULARES GOOGLE PIXEL BUDS PRO 2</t>
  </si>
  <si>
    <t xml:space="preserve">AURICULARES HONOR EARBUDS X6</t>
  </si>
  <si>
    <t xml:space="preserve">AURICULARES HUAWEI FREEBUDS 6i</t>
  </si>
  <si>
    <t xml:space="preserve">AURICULARES HUAWEI FREEBUDS PRO 4</t>
  </si>
  <si>
    <t xml:space="preserve">AURICULARES HUAWEI FREEBUDS SE2</t>
  </si>
  <si>
    <t xml:space="preserve">AURICULARES MOTOROLA MOTO BUDS</t>
  </si>
  <si>
    <t xml:space="preserve">AURICULARES OPPO ENCO BUDS2 PRO</t>
  </si>
  <si>
    <t xml:space="preserve">AURICULARES SAMSUNG GALAXY BUDS 3</t>
  </si>
  <si>
    <t xml:space="preserve">AURICULARES SAMSUNG GALAXY BUDS 3 PRO</t>
  </si>
  <si>
    <t xml:space="preserve">AURICULARES SAMSUNG GALAXY BUDS FE</t>
  </si>
  <si>
    <t xml:space="preserve">AURICULARES TCL MOVEAUDIO GO</t>
  </si>
  <si>
    <t xml:space="preserve">AURICULARES TCL MOVEAUDIO NEO</t>
  </si>
  <si>
    <t xml:space="preserve">AURICULARES XIAOMI BUDS 5</t>
  </si>
  <si>
    <t xml:space="preserve">AURICULARES XIAOMI REDMI BUDS 6 LITE</t>
  </si>
  <si>
    <t xml:space="preserve">AURICULARES XIAOMI REDMI BUDS 6 PRO</t>
  </si>
  <si>
    <t xml:space="preserve">AURICULARES ZTE BUDS 2</t>
  </si>
  <si>
    <t xml:space="preserve">AURICULARES DIADEMA SONY WH1000XM4</t>
  </si>
  <si>
    <t xml:space="preserve">AURICULARES OPPO ENCO BUDS 3 PRO</t>
  </si>
  <si>
    <t xml:space="preserve">AURICULARES HUAWEI FREEARC</t>
  </si>
  <si>
    <t xml:space="preserve">BARRA DE SONIDO LG SQC2 2.1 300W</t>
  </si>
  <si>
    <t xml:space="preserve">OC_BARRA DE SONIDO</t>
  </si>
  <si>
    <t xml:space="preserve">BARRA SONIDO LG S40TR 4.1 400W</t>
  </si>
  <si>
    <t xml:space="preserve">BARRA SONIDO SAMSUNG HW-C430</t>
  </si>
  <si>
    <t xml:space="preserve">BARRA SONIDO SCHNEIDER SC600SND</t>
  </si>
  <si>
    <t xml:space="preserve">BARRA SONIDO TCL S55H W 2.1 220W</t>
  </si>
  <si>
    <t xml:space="preserve">BARRA DE SONIDO SONY HT-SF150 120W</t>
  </si>
  <si>
    <t xml:space="preserve">META</t>
  </si>
  <si>
    <t xml:space="preserve">GAFAS VR META QUEST 3 128GB + CORREA ELITE</t>
  </si>
  <si>
    <t xml:space="preserve">OC_GAFAS GAMING</t>
  </si>
  <si>
    <t xml:space="preserve">GAFAS VR META QUEST 3 512GB + CORREA ELITE</t>
  </si>
  <si>
    <t xml:space="preserve">GAFAS VR META QUEST 3S 256GB</t>
  </si>
  <si>
    <t xml:space="preserve">TECHDATA</t>
  </si>
  <si>
    <t xml:space="preserve">RAY-BAN META WAYFARER M-NEGRA B / C-FOTOCROMA</t>
  </si>
  <si>
    <t xml:space="preserve">OC_OTROS DISPOSITIVOS</t>
  </si>
  <si>
    <t xml:space="preserve">RAY-BAN META SKYLER M-NEGRA B / C-FOTOCROMAT</t>
  </si>
  <si>
    <t xml:space="preserve">RAY-BAN META WAYFARER M-NEGRA B / C-VERDE</t>
  </si>
  <si>
    <t xml:space="preserve">RAY-BAN META WAYFARER M-NEGRA M / C-GRIS</t>
  </si>
  <si>
    <t xml:space="preserve">PACK 2 BOMBILLAS A60 BLANCO Y COLOR + ENCHUFE WIFI</t>
  </si>
  <si>
    <t xml:space="preserve">OC_HOGAR INTELIGENTE</t>
  </si>
  <si>
    <t xml:space="preserve">PACK 3 BOMBILLAS WIFI A60 BLANCO Y COLOR</t>
  </si>
  <si>
    <t xml:space="preserve">PACK 3 BOMBILLAS WIFI FILAMENTOS GLOBO PEQUEÑA</t>
  </si>
  <si>
    <t xml:space="preserve">PACK 3 BOMBILLAS WIFI GU10 BLANCO Y COLOR</t>
  </si>
  <si>
    <t xml:space="preserve">MUVIT IO</t>
  </si>
  <si>
    <t xml:space="preserve">PACK 3 BOMBILLAS INTELIGENTES FILAMENTO MUVIT</t>
  </si>
  <si>
    <t xml:space="preserve">REGLETA INTELIGENTE 4 ENCHUFES WIFI MUVIT</t>
  </si>
  <si>
    <t xml:space="preserve">PHILIPS</t>
  </si>
  <si>
    <t xml:space="preserve">PACK PHILIPS HUE BRIDGE+LAMPARA HUE GO+INTERRUPTOR</t>
  </si>
  <si>
    <t xml:space="preserve">CAMARA INALAMBRICA VIDEOVIGILANCIA ORANGE</t>
  </si>
  <si>
    <t xml:space="preserve">CAMARA VIDEOVIGILANCIA PUERTA ORANGE</t>
  </si>
  <si>
    <t xml:space="preserve">SENSORES WIFI VIDEOVIGILANCIA ORANGE</t>
  </si>
  <si>
    <t xml:space="preserve">VIDEOVIGILANCIA ORANGE</t>
  </si>
  <si>
    <t xml:space="preserve">XIAOMI SMART TV STICK 4K</t>
  </si>
  <si>
    <t xml:space="preserve">OC_MEDIA STREAMER</t>
  </si>
  <si>
    <t xml:space="preserve">ZTE STICK GOOGLE TV 4K</t>
  </si>
  <si>
    <t xml:space="preserve">DEF</t>
  </si>
  <si>
    <t xml:space="preserve">BALIZA CONECTADA DGT</t>
  </si>
  <si>
    <t xml:space="preserve">BALIZA CONECTADA DGT 2025</t>
  </si>
  <si>
    <t xml:space="preserve">CONTROLADOR WIFI AIRE ACONDICIONADO Y BOMBA CALOR</t>
  </si>
  <si>
    <t xml:space="preserve">DYSON</t>
  </si>
  <si>
    <t xml:space="preserve">ASPIRADOR DE ESCOBA DYSON V15 DETECT</t>
  </si>
  <si>
    <t xml:space="preserve">OC_PAE</t>
  </si>
  <si>
    <t xml:space="preserve">PLANCHA SECADOR DE PELO DYSON AIRSTRAIT</t>
  </si>
  <si>
    <t xml:space="preserve">SECADOR DE PELO DYSON SUPERSONIC</t>
  </si>
  <si>
    <t xml:space="preserve">ASPIRADOR DE ESCOBA DYSON V12 DETECT SLIM</t>
  </si>
  <si>
    <t xml:space="preserve">FREGONA ELECTRICA DYSON WASH G1</t>
  </si>
  <si>
    <t xml:space="preserve">PURIFICADOR HUMIDIFICADOR VENTILADOR DYSON PH04</t>
  </si>
  <si>
    <t xml:space="preserve">PURIFICADOR VENTILADOR DYSON BIG+QUIET BP04</t>
  </si>
  <si>
    <t xml:space="preserve">MOLDEADOR Y SECADOR DE PELO DYSON AIRWRAP HS08</t>
  </si>
  <si>
    <t xml:space="preserve">OC_SALUD</t>
  </si>
  <si>
    <t xml:space="preserve">INNOV8</t>
  </si>
  <si>
    <t xml:space="preserve">MASCOTAS DE ORANGE. BEBEDERO WIFI ULTRA 2L</t>
  </si>
  <si>
    <t xml:space="preserve">MASCOTAS DE ORANGE. COMEDERO WIFI CON CAMARA 2,6L</t>
  </si>
  <si>
    <t xml:space="preserve">MICROONDAS FREIDORA DE AIRE SAMSUNG</t>
  </si>
  <si>
    <t xml:space="preserve">DELONGHI</t>
  </si>
  <si>
    <t xml:space="preserve">CAFETERA DELONGHI SUPERAUTO MAGNIFICA S SMART</t>
  </si>
  <si>
    <t xml:space="preserve">CAFETERA DELONGHI CAPSULAS VERTUO POP+AEROCHINO</t>
  </si>
  <si>
    <t xml:space="preserve">KRUPS</t>
  </si>
  <si>
    <t xml:space="preserve">CAFETERA KRUPS SUPER AUTOMATICA ESSENTIAL PISA</t>
  </si>
  <si>
    <t xml:space="preserve">FREIDORA DE AIRE XIAOMI MI SMART AIR FRYER 6,5L</t>
  </si>
  <si>
    <t xml:space="preserve">ASPIRADOR DE ESCOBA SAMSUNG JET65 PET</t>
  </si>
  <si>
    <t xml:space="preserve">ROBOT ASPIRADOR XIAOMI VACUUM S20</t>
  </si>
  <si>
    <t xml:space="preserve">ROBOT ASPIRADOR XIAOMI VACUUM X20 + DEP. LIMPIEZA</t>
  </si>
  <si>
    <t xml:space="preserve">INGRAM</t>
  </si>
  <si>
    <t xml:space="preserve">ASPIRADOR DE ESCOBA XIAOMI G20 MAX</t>
  </si>
  <si>
    <t xml:space="preserve">HP</t>
  </si>
  <si>
    <t xml:space="preserve">IMPRESORA HP DESKJET 2720e</t>
  </si>
  <si>
    <t xml:space="preserve">OC_PERIFERICOS INFORMATICA</t>
  </si>
  <si>
    <t xml:space="preserve">IMPRESORA HP SMART TANK 5105</t>
  </si>
  <si>
    <t xml:space="preserve">IMPRESORA HP DESKJET 2822e</t>
  </si>
  <si>
    <t xml:space="preserve">MONITOR LENOVO 27" L27i-40 ALTAVOCES INTEGRADOS</t>
  </si>
  <si>
    <t xml:space="preserve">BASCULA XIAOMI MI BODY COMPOSITION SCALE S400</t>
  </si>
  <si>
    <t xml:space="preserve">CEPILLO DE DIENTES PHILIPS DIAMONDCLEAN 9400</t>
  </si>
  <si>
    <t xml:space="preserve">DEPILADORA PHILIPS LUMEA 9900</t>
  </si>
  <si>
    <t xml:space="preserve">AFEITADORA PHILIPS XP9200/30</t>
  </si>
  <si>
    <t xml:space="preserve">HONOR BAND 9</t>
  </si>
  <si>
    <t xml:space="preserve">OC_SMART BAND</t>
  </si>
  <si>
    <t xml:space="preserve">HUAWEI BAND 9</t>
  </si>
  <si>
    <t xml:space="preserve">HUAWEI BAND 10</t>
  </si>
  <si>
    <t xml:space="preserve">SAMSUNG GALAXY FIT 3</t>
  </si>
  <si>
    <t xml:space="preserve">APPLE WATCH S10 CELLULAR 42MM</t>
  </si>
  <si>
    <t xml:space="preserve">OC_SMART WATCH</t>
  </si>
  <si>
    <t xml:space="preserve">APPLE WATCH S10 CELLULAR 46MM</t>
  </si>
  <si>
    <t xml:space="preserve">APPLE WATCH S10 GPS 42MM</t>
  </si>
  <si>
    <t xml:space="preserve">APPLE WATCH S10 GPS 46MM</t>
  </si>
  <si>
    <t xml:space="preserve">APPLE WATCH S9 CELLULAR 45MM</t>
  </si>
  <si>
    <t xml:space="preserve">APPLE WATCH SE 3 CELLULAR 40MM</t>
  </si>
  <si>
    <t xml:space="preserve">APPLE WATCH SE 3 CELLULAR 44MM</t>
  </si>
  <si>
    <t xml:space="preserve">APPLE WATCH ULTRA 2 CELLULAR 49MM</t>
  </si>
  <si>
    <t xml:space="preserve">GOOGLE PIXEL WATCH 3 41MM BT</t>
  </si>
  <si>
    <t xml:space="preserve">HUAWEI WATCH FIT 3</t>
  </si>
  <si>
    <t xml:space="preserve">HUAWEI WATCH GT5 41MM</t>
  </si>
  <si>
    <t xml:space="preserve">HUAWEI WATCH GT5 46MM</t>
  </si>
  <si>
    <t xml:space="preserve">HUAWEI WATCH GT5 PRO 46MM</t>
  </si>
  <si>
    <t xml:space="preserve">HUAWEI WATCH GT5 PRO 46MM CORREA NEGRA</t>
  </si>
  <si>
    <t xml:space="preserve">HUAWEI WATCH ULTIMATE</t>
  </si>
  <si>
    <t xml:space="preserve">HUAWEI WATCH D2</t>
  </si>
  <si>
    <t xml:space="preserve">OPPO WATCH X 46MM BT</t>
  </si>
  <si>
    <t xml:space="preserve">SAMSUNG GALAXY WATCH 6 CLASSIC 47MM BT</t>
  </si>
  <si>
    <t xml:space="preserve">SAMSUNG GALAXY WATCH 7 40MM BT</t>
  </si>
  <si>
    <t xml:space="preserve">SAMSUNG GALAXY WATCH 7 44MM 4G</t>
  </si>
  <si>
    <t xml:space="preserve">SAMSUNG GALAXY WATCH 7 44MM BT</t>
  </si>
  <si>
    <t xml:space="preserve">SAMSUNG GALAXY WATCH ULTRA 47MM 4G</t>
  </si>
  <si>
    <t xml:space="preserve">XIAOMI REDMI WATCH 5</t>
  </si>
  <si>
    <t xml:space="preserve">XIAOMI REDMI WATCH 5 LITE</t>
  </si>
  <si>
    <t xml:space="preserve">XIAOMI WATCH 2 PRO 4G</t>
  </si>
  <si>
    <t xml:space="preserve">XIAOMI WATCH S4</t>
  </si>
  <si>
    <t xml:space="preserve">PROYECTOR XIAOMI MI SMART 2</t>
  </si>
  <si>
    <t xml:space="preserve">OC_TIEMPO LIBRE</t>
  </si>
  <si>
    <t xml:space="preserve">XIAOMI MI ELECTRIC SCOOTER 4</t>
  </si>
  <si>
    <t xml:space="preserve">XIAOMI MI ELECTRIC SCOOTER 4 PRO 2a GEN</t>
  </si>
  <si>
    <t xml:space="preserve">XIAOMI MI ELECTRIC SCOOTER 5 PRO</t>
  </si>
  <si>
    <t xml:space="preserve">XIAOMI MI ELECTRIC SCOOTER ELITE</t>
  </si>
  <si>
    <t xml:space="preserve">ORANGE GAMA 120 4G</t>
  </si>
  <si>
    <t xml:space="preserve">FIXED STYLE</t>
  </si>
  <si>
    <t xml:space="preserve">ORANGE GAMA 120 4G + SIM</t>
  </si>
  <si>
    <t xml:space="preserve">ORANGE GAMA 402</t>
  </si>
  <si>
    <t xml:space="preserve">ORANGE GAMA 803</t>
  </si>
  <si>
    <t xml:space="preserve">ORANGE GAMA 401</t>
  </si>
  <si>
    <t xml:space="preserve">ORANGE GAMA 804</t>
  </si>
  <si>
    <t xml:space="preserve">ADOC D30</t>
  </si>
  <si>
    <t xml:space="preserve">AURICULARES SPC BRAVE PRO</t>
  </si>
  <si>
    <t xml:space="preserve">AURICULARES SPC DREAMER PRO</t>
  </si>
  <si>
    <t xml:space="preserve">NEXTIVITY</t>
  </si>
  <si>
    <t xml:space="preserve">REPETIDOR NEXTIVITY CELFI CONNECT C41</t>
  </si>
  <si>
    <t xml:space="preserve">BASCULA DE PESAJE</t>
  </si>
  <si>
    <t xml:space="preserve">CAJON PORTAMONEDAS</t>
  </si>
  <si>
    <t xml:space="preserve">IMPRESORA TICKTETS TERMICA WIFI</t>
  </si>
  <si>
    <t xml:space="preserve">TPV TACTIL 15.6" FT-16N</t>
  </si>
  <si>
    <t xml:space="preserve">TPV MONITOR TACTIL WIFI 15.6" 10T-16J</t>
  </si>
  <si>
    <t xml:space="preserve">PACK LECTOR CODIGO BARRAS WIFI</t>
  </si>
  <si>
    <t xml:space="preserve">LECTOR CODIGO BARRAS WIFI</t>
  </si>
  <si>
    <t xml:space="preserve">GO EMP FLEX PRIMA</t>
  </si>
  <si>
    <t xml:space="preserve">GO EMP FLEX EXTRA</t>
  </si>
  <si>
    <t xml:space="preserve">GO EMP ILIMITADA 1</t>
  </si>
  <si>
    <t xml:space="preserve">GO EMP FLEX EXTRA         (2)</t>
  </si>
  <si>
    <t xml:space="preserve">GO EMP ILIMITADA 1           (2)</t>
  </si>
  <si>
    <t xml:space="preserve">GO EMPFLEX EXTRA</t>
  </si>
  <si>
    <t xml:space="preserve">(2) Para ampliaciones de -4 M y portabilidades origen prepago (-4M / +4M) de las tarifas Go Emp Flex prima, extra,Go Emp Ilimitada 1, 2, Love Emp Activa, Love Emp Imp 1, 3, 5, Love Emp Crec 10, 20, Love Smartp SLM y Love Smartp 250min aplican las condiciones de ENTRADA PRO, a excepción del bono extra.</t>
  </si>
  <si>
    <t xml:space="preserve">Lín. Principal Vs Lín. Adicional.</t>
  </si>
  <si>
    <r>
      <rPr>
        <b val="true"/>
        <sz val="11"/>
        <color rgb="FFFFFFFF"/>
        <rFont val="Arial"/>
        <family val="2"/>
        <charset val="1"/>
      </rPr>
      <t xml:space="preserve">(*) </t>
    </r>
    <r>
      <rPr>
        <sz val="11"/>
        <color rgb="FFFFFFFF"/>
        <rFont val="Arial"/>
        <family val="2"/>
        <charset val="1"/>
      </rPr>
      <t xml:space="preserve"> El bono  Extra correspondiente a cada tarifa indicada, aplica independientemente de la antigüedad del cliente y el origen de portabilidad.  El Bono Extra  asociado a cada tarifa también aplica a Pago Único. La Línea Negocio SLM hereda el mismo bono de la tarifa principal a la cual se asocia.</t>
    </r>
  </si>
  <si>
    <t xml:space="preserve">ESTA OFERTA APLICA A LINEA PRINCIPAL DE LA TARIFA CONVERGENTE SÓLO PARA CLIENTES NUEVOS EN LA PARTE MÓVIL. (no aplica a clientes que ya dispongan de otro contrato móvil)</t>
  </si>
  <si>
    <t xml:space="preserve">Pago
Total</t>
  </si>
  <si>
    <t xml:space="preserve">LOVE EMP IMPULSA 3</t>
  </si>
  <si>
    <t xml:space="preserve">LOVE EMP IMPULSA  5</t>
  </si>
  <si>
    <t xml:space="preserve">GO EMP ILIMITADA +          (2)</t>
  </si>
  <si>
    <t xml:space="preserve">LINEA SMARTP SLM
+ LEI 3 </t>
  </si>
  <si>
    <r>
      <rPr>
        <b val="true"/>
        <sz val="10"/>
        <rFont val="Arial"/>
        <family val="2"/>
        <charset val="1"/>
      </rPr>
      <t xml:space="preserve">Pago
Total
</t>
    </r>
    <r>
      <rPr>
        <sz val="9"/>
        <rFont val="Arial"/>
        <family val="2"/>
        <charset val="1"/>
      </rPr>
      <t xml:space="preserve">(sin IVA)</t>
    </r>
  </si>
  <si>
    <r>
      <rPr>
        <b val="true"/>
        <sz val="10"/>
        <rFont val="Arial"/>
        <family val="2"/>
        <charset val="1"/>
      </rPr>
      <t xml:space="preserve">Pago mínimo
Inicial 
</t>
    </r>
    <r>
      <rPr>
        <sz val="9"/>
        <rFont val="Arial"/>
        <family val="2"/>
        <charset val="1"/>
      </rPr>
      <t xml:space="preserve">(sin IVA)</t>
    </r>
  </si>
  <si>
    <t xml:space="preserve">Internet Movil 25GB Empresa
</t>
  </si>
  <si>
    <r>
      <rPr>
        <sz val="10"/>
        <color rgb="FF000000"/>
        <rFont val="Arial"/>
        <family val="2"/>
        <charset val="1"/>
      </rPr>
      <t xml:space="preserve">Internet Movil 90GB Empresa
</t>
    </r>
    <r>
      <rPr>
        <sz val="10"/>
        <color rgb="FFFF6600"/>
        <rFont val="Arial"/>
        <family val="2"/>
        <charset val="1"/>
      </rPr>
      <t xml:space="preserve">Internet Empresa Ilimitado 
Internet 5G en tu Negocio </t>
    </r>
  </si>
  <si>
    <t xml:space="preserve">Origen 
</t>
  </si>
  <si>
    <t xml:space="preserve">Alta, portabilidad y 
Migración</t>
  </si>
  <si>
    <t xml:space="preserve"> (*) Capta 
de cliente nuevo o de cliente -4 M, solo tienen acceso a Pago Único</t>
  </si>
  <si>
    <t xml:space="preserve">CP Operador</t>
  </si>
  <si>
    <t xml:space="preserve">12 M / 24 M (Tablet)</t>
  </si>
  <si>
    <r>
      <rPr>
        <sz val="11"/>
        <rFont val="Arial"/>
        <family val="2"/>
        <charset val="1"/>
      </rPr>
      <t xml:space="preserve">(*) Para Capta de cliente nuevo o cliente de -4 meses que activen en el </t>
    </r>
    <r>
      <rPr>
        <b val="true"/>
        <sz val="11"/>
        <rFont val="Arial"/>
        <family val="2"/>
        <charset val="1"/>
      </rPr>
      <t xml:space="preserve">mismo acto comercial</t>
    </r>
    <r>
      <rPr>
        <sz val="11"/>
        <rFont val="Arial"/>
        <family val="2"/>
        <charset val="1"/>
      </rPr>
      <t xml:space="preserve"> tarifas de voz y tarifas de IEW Pro, aplican las condiciones de Portabilidad origen Pospago</t>
    </r>
  </si>
  <si>
    <t xml:space="preserve">
Pago
Único</t>
  </si>
  <si>
    <t xml:space="preserve">PVPR CAPTA</t>
  </si>
  <si>
    <t xml:space="preserve">PVP</t>
  </si>
  <si>
    <t xml:space="preserve">DxC CAPTA</t>
  </si>
  <si>
    <t xml:space="preserve">DxC</t>
  </si>
  <si>
    <t xml:space="preserve">GRUPOS DE TARIFAS IEW Pro</t>
  </si>
  <si>
    <t xml:space="preserve">DxC
Pago Unico</t>
  </si>
  <si>
    <t xml:space="preserve">TP-LINK</t>
  </si>
  <si>
    <t xml:space="preserve">TP-LINK FLYBOX 4G</t>
  </si>
  <si>
    <t xml:space="preserve">MBB</t>
  </si>
  <si>
    <t xml:space="preserve">FLYBOX HUAWEI H153-381 5G CESIÓN</t>
  </si>
  <si>
    <t xml:space="preserve">ALCATEL AIRBOX 4G MW45</t>
  </si>
  <si>
    <t xml:space="preserve">ROUTER TPLINK MR200 IEW 4G</t>
  </si>
  <si>
    <t xml:space="preserve">ZTE AIRBOX MF920U 4G</t>
  </si>
  <si>
    <t xml:space="preserve">FLYBOX HUAWEI H153-381 5G</t>
  </si>
  <si>
    <t xml:space="preserve">NOKIA</t>
  </si>
  <si>
    <t xml:space="preserve">FLYBOX NOKIA FASTMILE 5G</t>
  </si>
  <si>
    <t xml:space="preserve">ZTE AIRBOX MU5001 5G</t>
  </si>
  <si>
    <t xml:space="preserve">Condiciones especiales para Fibra Oro</t>
  </si>
  <si>
    <r>
      <rPr>
        <b val="true"/>
        <sz val="26"/>
        <color rgb="FFFF6600"/>
        <rFont val="Arial"/>
        <family val="2"/>
        <charset val="1"/>
      </rPr>
      <t xml:space="preserve"> 1. </t>
    </r>
    <r>
      <rPr>
        <b val="true"/>
        <sz val="18"/>
        <color rgb="FFFF6600"/>
        <rFont val="Arial"/>
        <family val="2"/>
        <charset val="1"/>
      </rPr>
      <t xml:space="preserve"> </t>
    </r>
    <r>
      <rPr>
        <b val="true"/>
        <sz val="18"/>
        <rFont val="Arial"/>
        <family val="2"/>
        <charset val="1"/>
      </rPr>
      <t xml:space="preserve">CONDICIONES DE LA OFERTA SUBVENCIONADA
</t>
    </r>
    <r>
      <rPr>
        <sz val="12"/>
        <rFont val="Arial"/>
        <family val="2"/>
        <charset val="1"/>
      </rPr>
      <t xml:space="preserve">(según tarifa y situación del cliente)</t>
    </r>
  </si>
  <si>
    <t xml:space="preserve">MI Fijo</t>
  </si>
  <si>
    <t xml:space="preserve">Todos</t>
  </si>
  <si>
    <r>
      <rPr>
        <b val="true"/>
        <sz val="12"/>
        <color rgb="FFFFFFFF"/>
        <rFont val="Arial"/>
        <family val="2"/>
        <charset val="1"/>
      </rPr>
      <t xml:space="preserve">Origen 
</t>
    </r>
    <r>
      <rPr>
        <sz val="12"/>
        <color rgb="FFFFFFFF"/>
        <rFont val="Arial"/>
        <family val="2"/>
        <charset val="1"/>
      </rPr>
      <t xml:space="preserve">(Portabilidad / Migración)</t>
    </r>
  </si>
  <si>
    <t xml:space="preserve">Captación
Migración</t>
  </si>
  <si>
    <t xml:space="preserve">Pos / Pre
Migración</t>
  </si>
  <si>
    <t xml:space="preserve">GRUPOS DE TARIFA MI FIJO</t>
  </si>
  <si>
    <t xml:space="preserve">RIESGO BAJO</t>
  </si>
  <si>
    <t xml:space="preserve">RIESGO ALTO</t>
  </si>
  <si>
    <t xml:space="preserve">CAPTA / PORTABILIDAD</t>
  </si>
  <si>
    <t xml:space="preserve">Internet Movil 90GB Empresa
Internet Empresa Ilimitado 
Internet 5G en tu Negocio</t>
  </si>
  <si>
    <t xml:space="preserve">DxC </t>
  </si>
  <si>
    <r>
      <rPr>
        <b val="true"/>
        <sz val="10"/>
        <rFont val="Arial"/>
        <family val="2"/>
        <charset val="1"/>
      </rPr>
      <t xml:space="preserve">PVP
</t>
    </r>
    <r>
      <rPr>
        <sz val="9"/>
        <rFont val="Arial"/>
        <family val="2"/>
        <charset val="1"/>
      </rPr>
      <t xml:space="preserve">(sin IVA)</t>
    </r>
  </si>
  <si>
    <t xml:space="preserve">CAPTA / PORTA</t>
  </si>
  <si>
    <t xml:space="preserve">2º DISPOSITIVO</t>
  </si>
  <si>
    <r>
      <rPr>
        <b val="true"/>
        <sz val="26"/>
        <color rgb="FFFF6600"/>
        <rFont val="Arial"/>
        <family val="2"/>
        <charset val="1"/>
      </rPr>
      <t xml:space="preserve"> 1.</t>
    </r>
    <r>
      <rPr>
        <b val="true"/>
        <sz val="18"/>
        <rFont val="Arial"/>
        <family val="2"/>
        <charset val="1"/>
      </rPr>
      <t xml:space="preserve">  CONDICIONES DE LA OFERTA VENTA A PLAZOS
</t>
    </r>
    <r>
      <rPr>
        <sz val="12"/>
        <rFont val="Arial"/>
        <family val="2"/>
        <charset val="1"/>
      </rPr>
      <t xml:space="preserve">(según tarifa y situación del cliente)</t>
    </r>
  </si>
  <si>
    <t xml:space="preserve">Capta
Pos / Pre
Migracion</t>
  </si>
  <si>
    <r>
      <rPr>
        <b val="true"/>
        <sz val="26"/>
        <color rgb="FFFF6600"/>
        <rFont val="Arial"/>
        <family val="2"/>
        <charset val="1"/>
      </rPr>
      <t xml:space="preserve">2.</t>
    </r>
    <r>
      <rPr>
        <b val="true"/>
        <sz val="18"/>
        <rFont val="Arial"/>
        <family val="2"/>
        <charset val="1"/>
      </rPr>
      <t xml:space="preserve">  PRECIO DEL TERMINAL POR GRUPO DE TARIFAS</t>
    </r>
  </si>
  <si>
    <t xml:space="preserve">PVPR 
CAPTA / PORTA</t>
  </si>
  <si>
    <t xml:space="preserve">DxC 
CAPTA / PORTA</t>
  </si>
  <si>
    <t xml:space="preserve">Modelo </t>
  </si>
  <si>
    <t xml:space="preserve">GO EMP FLEX</t>
  </si>
  <si>
    <t xml:space="preserve">Estas condiciones aplican a aquellos clientes de Riesgo Alto que no tienen acceso a las condiciones standard de Venta a Plazos</t>
  </si>
  <si>
    <t xml:space="preserve">Riesgo Alto GO</t>
  </si>
  <si>
    <t xml:space="preserve">Sombreado</t>
  </si>
  <si>
    <t xml:space="preserve">Blanco</t>
  </si>
  <si>
    <t xml:space="preserve">ALCATEL 1T 7" 2021 WIFI</t>
  </si>
  <si>
    <t xml:space="preserve">Verde</t>
  </si>
  <si>
    <t xml:space="preserve">ALCATEL TAB 10" SMART WIFI</t>
  </si>
  <si>
    <t xml:space="preserve">HUAWEI AIRBOX E5576-320 IEW 4G</t>
  </si>
  <si>
    <t xml:space="preserve">HUAWEI MATEPAD T10s WIFI</t>
  </si>
  <si>
    <t xml:space="preserve">IPAD AIR CELL 256GB 4G</t>
  </si>
  <si>
    <t xml:space="preserve">IPAD AIR WIFI 64GB 2020</t>
  </si>
  <si>
    <t xml:space="preserve">IPAD WIFI 128GB 2020</t>
  </si>
  <si>
    <t xml:space="preserve">IPAD WIFI 32GB 2020</t>
  </si>
  <si>
    <t xml:space="preserve">LENOVO SMART TAB M10 PLUS 10.3'' WIFI</t>
  </si>
  <si>
    <t xml:space="preserve">SAMSUNG GALAXY TAB A 8" WIFI</t>
  </si>
  <si>
    <t xml:space="preserve">FLYBOX NUCOM HL553 </t>
  </si>
  <si>
    <t xml:space="preserve">SAMSUNG GALAXY TAB A7 10.4" 4G</t>
  </si>
  <si>
    <t xml:space="preserve">SAMSUNG GALAXY TAB A7 10.4" WIFI</t>
  </si>
  <si>
    <t xml:space="preserve">SAMSUNG GALAXY TAB S6e LITE 10" 4G</t>
  </si>
  <si>
    <t xml:space="preserve">SAMSUNG GALAXY TAB S7+ 10" 5G</t>
  </si>
  <si>
    <t xml:space="preserve">TCL TAB 10S 4G</t>
  </si>
  <si>
    <t xml:space="preserve">IPAD PRO 11 256GB 5G</t>
  </si>
  <si>
    <t xml:space="preserve">SAMSUNG GALAXY TAB A7 LITE WIFI</t>
  </si>
  <si>
    <t xml:space="preserve">SAMSUNG GALAXY TAB S7 FE 12,4" 5G</t>
  </si>
  <si>
    <t xml:space="preserve">ALCATEL AIRBOX 4G MW70</t>
  </si>
  <si>
    <t xml:space="preserve">ZTE FLYBOX MC801A 5G</t>
  </si>
  <si>
    <t xml:space="preserve">FLYBOX NUCOM 4G (HL553)</t>
  </si>
  <si>
    <t xml:space="preserve">ALCATEL AIRBOX 4G MW40 2018</t>
  </si>
</sst>
</file>

<file path=xl/styles.xml><?xml version="1.0" encoding="utf-8"?>
<styleSheet xmlns="http://schemas.openxmlformats.org/spreadsheetml/2006/main">
  <numFmts count="15">
    <numFmt numFmtId="164" formatCode="General"/>
    <numFmt numFmtId="165" formatCode="#,##0"/>
    <numFmt numFmtId="166" formatCode="_-* #,##0.00\ _€_-;\-* #,##0.00\ _€_-;_-* \-??\ _€_-;_-@_-"/>
    <numFmt numFmtId="167" formatCode="_-* #,##0.00_-;\-* #,##0.00_-;_-* \-??_-;_-@_-"/>
    <numFmt numFmtId="168" formatCode="_-\€* #,##0.00_-;&quot;-€&quot;* #,##0.00_-;_-\€* \-??_-;_-@_-"/>
    <numFmt numFmtId="169" formatCode="mmm\-yy"/>
    <numFmt numFmtId="170" formatCode="#,##0.00"/>
    <numFmt numFmtId="171" formatCode="General"/>
    <numFmt numFmtId="172" formatCode="0.00"/>
    <numFmt numFmtId="173" formatCode="#,##0&quot; €&quot;;[RED]\-#,##0&quot; €&quot;"/>
    <numFmt numFmtId="174" formatCode="0.0"/>
    <numFmt numFmtId="175" formatCode="@"/>
    <numFmt numFmtId="176" formatCode="0"/>
    <numFmt numFmtId="177" formatCode="_-* #,##0.0\ _€_-;\-* #,##0.0\ _€_-;_-* \-??\ _€_-;_-@_-"/>
    <numFmt numFmtId="178" formatCode="#,##0.0"/>
  </numFmts>
  <fonts count="66">
    <font>
      <sz val="10"/>
      <name val="Arial"/>
      <family val="0"/>
      <charset val="1"/>
    </font>
    <font>
      <sz val="10"/>
      <name val="Arial"/>
      <family val="0"/>
    </font>
    <font>
      <sz val="10"/>
      <name val="Arial"/>
      <family val="0"/>
    </font>
    <font>
      <sz val="10"/>
      <name val="Arial"/>
      <family val="0"/>
    </font>
    <font>
      <sz val="10"/>
      <name val="Arial"/>
      <family val="2"/>
      <charset val="1"/>
    </font>
    <font>
      <sz val="12"/>
      <name val="Times New Roman"/>
      <family val="1"/>
      <charset val="1"/>
    </font>
    <font>
      <b val="true"/>
      <sz val="10.5"/>
      <color rgb="FF165D81"/>
      <name val="Calibri"/>
      <family val="2"/>
      <charset val="1"/>
    </font>
    <font>
      <b val="true"/>
      <sz val="10.5"/>
      <color rgb="FF404040"/>
      <name val="Calibri"/>
      <family val="2"/>
      <charset val="1"/>
    </font>
    <font>
      <b val="true"/>
      <sz val="10.5"/>
      <color rgb="FF595959"/>
      <name val="Calibri"/>
      <family val="2"/>
      <charset val="1"/>
    </font>
    <font>
      <b val="true"/>
      <sz val="10.5"/>
      <color rgb="FF4F81BD"/>
      <name val="Calibri"/>
      <family val="2"/>
      <charset val="1"/>
    </font>
    <font>
      <b val="true"/>
      <sz val="10.5"/>
      <color rgb="FF8064A2"/>
      <name val="Calibri"/>
      <family val="2"/>
      <charset val="1"/>
    </font>
    <font>
      <b val="true"/>
      <sz val="10.5"/>
      <color rgb="FFD99694"/>
      <name val="Calibri"/>
      <family val="2"/>
      <charset val="1"/>
    </font>
    <font>
      <b val="true"/>
      <sz val="10.5"/>
      <color rgb="FF336577"/>
      <name val="Calibri"/>
      <family val="2"/>
      <charset val="1"/>
    </font>
    <font>
      <sz val="11"/>
      <color rgb="FF000000"/>
      <name val="Calibri"/>
      <family val="2"/>
      <charset val="1"/>
    </font>
    <font>
      <b val="true"/>
      <sz val="10.5"/>
      <color rgb="FF77933C"/>
      <name val="Calibri"/>
      <family val="2"/>
      <charset val="1"/>
    </font>
    <font>
      <b val="true"/>
      <sz val="10.5"/>
      <color rgb="FF558ED5"/>
      <name val="Calibri"/>
      <family val="2"/>
      <charset val="1"/>
    </font>
    <font>
      <b val="true"/>
      <sz val="20"/>
      <color rgb="FFE46C0A"/>
      <name val="Arial"/>
      <family val="2"/>
      <charset val="1"/>
    </font>
    <font>
      <b val="true"/>
      <sz val="13"/>
      <color rgb="FFFFFFFF"/>
      <name val="Arial"/>
      <family val="2"/>
      <charset val="1"/>
    </font>
    <font>
      <b val="true"/>
      <sz val="14"/>
      <color rgb="FFFFFFFF"/>
      <name val="Arial"/>
      <family val="2"/>
      <charset val="1"/>
    </font>
    <font>
      <b val="true"/>
      <sz val="14"/>
      <name val="Arial"/>
      <family val="2"/>
      <charset val="1"/>
    </font>
    <font>
      <b val="true"/>
      <sz val="16"/>
      <name val="Arial"/>
      <family val="2"/>
      <charset val="1"/>
    </font>
    <font>
      <b val="true"/>
      <sz val="12"/>
      <name val="Arial"/>
      <family val="2"/>
      <charset val="1"/>
    </font>
    <font>
      <b val="true"/>
      <sz val="10"/>
      <name val="Arial"/>
      <family val="2"/>
      <charset val="1"/>
    </font>
    <font>
      <b val="true"/>
      <sz val="9"/>
      <name val="Arial"/>
      <family val="2"/>
      <charset val="1"/>
    </font>
    <font>
      <b val="true"/>
      <sz val="26"/>
      <color rgb="FFFF6600"/>
      <name val="Arial"/>
      <family val="2"/>
      <charset val="1"/>
    </font>
    <font>
      <b val="true"/>
      <sz val="18"/>
      <color rgb="FFFF6600"/>
      <name val="Arial"/>
      <family val="2"/>
      <charset val="1"/>
    </font>
    <font>
      <b val="true"/>
      <sz val="18"/>
      <name val="Arial"/>
      <family val="2"/>
      <charset val="1"/>
    </font>
    <font>
      <sz val="12"/>
      <name val="Arial"/>
      <family val="2"/>
      <charset val="1"/>
    </font>
    <font>
      <sz val="9"/>
      <name val="Arial"/>
      <family val="2"/>
      <charset val="1"/>
    </font>
    <font>
      <sz val="10"/>
      <color rgb="FFFF0000"/>
      <name val="Arial"/>
      <family val="2"/>
      <charset val="1"/>
    </font>
    <font>
      <b val="true"/>
      <sz val="12"/>
      <color rgb="FFFFFFFF"/>
      <name val="Arial"/>
      <family val="2"/>
      <charset val="1"/>
    </font>
    <font>
      <sz val="12"/>
      <color rgb="FFFFFFFF"/>
      <name val="Arial"/>
      <family val="2"/>
      <charset val="1"/>
    </font>
    <font>
      <b val="true"/>
      <sz val="12"/>
      <color rgb="FFFF6600"/>
      <name val="Arial"/>
      <family val="2"/>
      <charset val="1"/>
    </font>
    <font>
      <sz val="11"/>
      <color rgb="FFFFFFFF"/>
      <name val="Arial"/>
      <family val="2"/>
      <charset val="1"/>
    </font>
    <font>
      <sz val="11"/>
      <name val="Arial"/>
      <family val="2"/>
      <charset val="1"/>
    </font>
    <font>
      <sz val="10"/>
      <color rgb="FF0000FF"/>
      <name val="Arial"/>
      <family val="2"/>
      <charset val="1"/>
    </font>
    <font>
      <b val="true"/>
      <sz val="11"/>
      <color rgb="FFFF6600"/>
      <name val="Arial"/>
      <family val="2"/>
      <charset val="1"/>
    </font>
    <font>
      <b val="true"/>
      <sz val="10"/>
      <color rgb="FFFFFFFF"/>
      <name val="Arial"/>
      <family val="2"/>
      <charset val="1"/>
    </font>
    <font>
      <b val="true"/>
      <sz val="13"/>
      <name val="Arial"/>
      <family val="2"/>
      <charset val="1"/>
    </font>
    <font>
      <sz val="13"/>
      <name val="Arial"/>
      <family val="2"/>
      <charset val="1"/>
    </font>
    <font>
      <sz val="11"/>
      <color rgb="FF333333"/>
      <name val="Arial"/>
      <family val="2"/>
      <charset val="1"/>
    </font>
    <font>
      <b val="true"/>
      <sz val="11"/>
      <color rgb="FF333333"/>
      <name val="Arial"/>
      <family val="2"/>
      <charset val="1"/>
    </font>
    <font>
      <sz val="11"/>
      <color rgb="FFFF6600"/>
      <name val="Arial"/>
      <family val="2"/>
      <charset val="1"/>
    </font>
    <font>
      <b val="true"/>
      <sz val="14"/>
      <color rgb="FFE46C0A"/>
      <name val="Calibri"/>
      <family val="2"/>
      <charset val="1"/>
    </font>
    <font>
      <sz val="9"/>
      <color rgb="FF000000"/>
      <name val="Arial"/>
      <family val="2"/>
      <charset val="1"/>
    </font>
    <font>
      <sz val="9"/>
      <color rgb="FF333333"/>
      <name val="Arial"/>
      <family val="2"/>
      <charset val="1"/>
    </font>
    <font>
      <sz val="18"/>
      <color rgb="FFFFFFFF"/>
      <name val="Arial"/>
      <family val="2"/>
      <charset val="1"/>
    </font>
    <font>
      <b val="true"/>
      <sz val="10"/>
      <color rgb="FFFF0000"/>
      <name val="Arial"/>
      <family val="2"/>
      <charset val="1"/>
    </font>
    <font>
      <sz val="10"/>
      <color rgb="FFFFFFFF"/>
      <name val="Arial"/>
      <family val="2"/>
      <charset val="1"/>
    </font>
    <font>
      <b val="true"/>
      <sz val="11"/>
      <name val="Arial"/>
      <family val="2"/>
      <charset val="1"/>
    </font>
    <font>
      <sz val="10"/>
      <color rgb="FF000000"/>
      <name val="Arial"/>
      <family val="2"/>
      <charset val="1"/>
    </font>
    <font>
      <sz val="9"/>
      <color rgb="FF000000"/>
      <name val="Tahoma"/>
      <family val="2"/>
      <charset val="1"/>
    </font>
    <font>
      <b val="true"/>
      <sz val="11"/>
      <color rgb="FFFFFFFF"/>
      <name val="Arial"/>
      <family val="2"/>
      <charset val="1"/>
    </font>
    <font>
      <b val="true"/>
      <sz val="16"/>
      <color rgb="FFFFFFFF"/>
      <name val="Arial"/>
      <family val="2"/>
      <charset val="1"/>
    </font>
    <font>
      <sz val="10"/>
      <color rgb="FFFF6600"/>
      <name val="Arial"/>
      <family val="2"/>
      <charset val="1"/>
    </font>
    <font>
      <sz val="10"/>
      <color rgb="FFA6A6A6"/>
      <name val="Arial"/>
      <family val="2"/>
      <charset val="1"/>
    </font>
    <font>
      <b val="true"/>
      <sz val="11"/>
      <color rgb="FFFF6600"/>
      <name val="Calibri"/>
      <family val="0"/>
    </font>
    <font>
      <sz val="11"/>
      <color rgb="FFFF6600"/>
      <name val="Calibri"/>
      <family val="0"/>
    </font>
    <font>
      <sz val="11"/>
      <color rgb="FF000000"/>
      <name val="Calibri"/>
      <family val="0"/>
    </font>
    <font>
      <sz val="12"/>
      <color rgb="FF000000"/>
      <name val="Calibri"/>
      <family val="0"/>
    </font>
    <font>
      <sz val="12"/>
      <color rgb="FFFF6600"/>
      <name val="Calibri"/>
      <family val="0"/>
    </font>
    <font>
      <b val="true"/>
      <sz val="8"/>
      <color rgb="FFBFBFBF"/>
      <name val="Arial"/>
      <family val="2"/>
      <charset val="1"/>
    </font>
    <font>
      <b val="true"/>
      <sz val="10"/>
      <color rgb="FFFF6600"/>
      <name val="Helvetica 55 Roman"/>
      <family val="2"/>
      <charset val="1"/>
    </font>
    <font>
      <sz val="10"/>
      <color rgb="FFBFBFBF"/>
      <name val="Arial"/>
      <family val="2"/>
      <charset val="1"/>
    </font>
    <font>
      <b val="true"/>
      <sz val="14"/>
      <color rgb="FFBFBFBF"/>
      <name val="Arial"/>
      <family val="2"/>
      <charset val="1"/>
    </font>
    <font>
      <b val="true"/>
      <sz val="10"/>
      <color rgb="FFBFBFBF"/>
      <name val="Arial"/>
      <family val="2"/>
      <charset val="1"/>
    </font>
  </fonts>
  <fills count="19">
    <fill>
      <patternFill patternType="none"/>
    </fill>
    <fill>
      <patternFill patternType="gray125"/>
    </fill>
    <fill>
      <patternFill patternType="solid">
        <fgColor rgb="FFBED7A5"/>
        <bgColor rgb="FFD7E4BD"/>
      </patternFill>
    </fill>
    <fill>
      <patternFill patternType="solid">
        <fgColor rgb="FFDBEEF4"/>
        <bgColor rgb="FFEBF1DE"/>
      </patternFill>
    </fill>
    <fill>
      <patternFill patternType="solid">
        <fgColor rgb="FFFFFFFF"/>
        <bgColor rgb="FFFFFFCC"/>
      </patternFill>
    </fill>
    <fill>
      <patternFill patternType="solid">
        <fgColor rgb="FFFF6600"/>
        <bgColor rgb="FFE46C0A"/>
      </patternFill>
    </fill>
    <fill>
      <patternFill patternType="solid">
        <fgColor rgb="FFFCD5B5"/>
        <bgColor rgb="FFFFC7CE"/>
      </patternFill>
    </fill>
    <fill>
      <patternFill patternType="solid">
        <fgColor rgb="FFA6A6A6"/>
        <bgColor rgb="FF969696"/>
      </patternFill>
    </fill>
    <fill>
      <patternFill patternType="solid">
        <fgColor rgb="FFFAC090"/>
        <bgColor rgb="FFFFAFB1"/>
      </patternFill>
    </fill>
    <fill>
      <patternFill patternType="solid">
        <fgColor rgb="FFD9D9D9"/>
        <bgColor rgb="FFDDD9C3"/>
      </patternFill>
    </fill>
    <fill>
      <patternFill patternType="solid">
        <fgColor rgb="FFC0C0C0"/>
        <bgColor rgb="FFBFBFBF"/>
      </patternFill>
    </fill>
    <fill>
      <patternFill patternType="solid">
        <fgColor rgb="FFD7E4BD"/>
        <bgColor rgb="FFDDD9C3"/>
      </patternFill>
    </fill>
    <fill>
      <patternFill patternType="solid">
        <fgColor rgb="FFEBF1DE"/>
        <bgColor rgb="FFDBEEF4"/>
      </patternFill>
    </fill>
    <fill>
      <patternFill patternType="solid">
        <fgColor rgb="FFFF0000"/>
        <bgColor rgb="FFFF3300"/>
      </patternFill>
    </fill>
    <fill>
      <patternFill patternType="solid">
        <fgColor rgb="FF963634"/>
        <bgColor rgb="FF9C0006"/>
      </patternFill>
    </fill>
    <fill>
      <patternFill patternType="solid">
        <fgColor rgb="FF00B050"/>
        <bgColor rgb="FF008080"/>
      </patternFill>
    </fill>
    <fill>
      <patternFill patternType="solid">
        <fgColor rgb="FFFFFFCC"/>
        <bgColor rgb="FFEBF1DE"/>
      </patternFill>
    </fill>
    <fill>
      <patternFill patternType="solid">
        <fgColor rgb="FFFFAFB1"/>
        <bgColor rgb="FFFAC090"/>
      </patternFill>
    </fill>
    <fill>
      <patternFill patternType="solid">
        <fgColor rgb="FFFFFF00"/>
        <bgColor rgb="FFFFFFCC"/>
      </patternFill>
    </fill>
  </fills>
  <borders count="115">
    <border diagonalUp="false" diagonalDown="false">
      <left/>
      <right/>
      <top/>
      <bottom/>
      <diagonal/>
    </border>
    <border diagonalUp="false" diagonalDown="false">
      <left style="medium">
        <color rgb="FFBFBFBF"/>
      </left>
      <right style="medium">
        <color rgb="FFBFBFBF"/>
      </right>
      <top style="medium">
        <color rgb="FFBFBFBF"/>
      </top>
      <bottom style="medium">
        <color rgb="FFBFBFBF"/>
      </bottom>
      <diagonal/>
    </border>
    <border diagonalUp="false" diagonalDown="false">
      <left style="thin">
        <color rgb="FFBFBFBF"/>
      </left>
      <right style="thin">
        <color rgb="FFBFBFBF"/>
      </right>
      <top/>
      <bottom/>
      <diagonal/>
    </border>
    <border diagonalUp="false" diagonalDown="false">
      <left style="thin">
        <color rgb="FFBFBFBF"/>
      </left>
      <right style="medium">
        <color rgb="FFBFBFBF"/>
      </right>
      <top style="thin">
        <color rgb="FFBFBFBF"/>
      </top>
      <bottom style="thin">
        <color rgb="FFBFBFBF"/>
      </bottom>
      <diagonal/>
    </border>
    <border diagonalUp="false" diagonalDown="false">
      <left style="thin">
        <color rgb="FFBFBFBF"/>
      </left>
      <right style="thin">
        <color rgb="FFBFBFBF"/>
      </right>
      <top style="thin">
        <color rgb="FFBFBFBF"/>
      </top>
      <bottom style="medium">
        <color rgb="FFBFBFBF"/>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style="medium">
        <color rgb="FF808080"/>
      </left>
      <right style="medium">
        <color rgb="FF808080"/>
      </right>
      <top style="medium">
        <color rgb="FF808080"/>
      </top>
      <bottom/>
      <diagonal/>
    </border>
    <border diagonalUp="false" diagonalDown="false">
      <left style="medium">
        <color rgb="FF969696"/>
      </left>
      <right style="medium">
        <color rgb="FF969696"/>
      </right>
      <top style="medium">
        <color rgb="FF969696"/>
      </top>
      <bottom/>
      <diagonal/>
    </border>
    <border diagonalUp="false" diagonalDown="false">
      <left style="medium">
        <color rgb="FFA6A6A6"/>
      </left>
      <right/>
      <top/>
      <bottom/>
      <diagonal/>
    </border>
    <border diagonalUp="false" diagonalDown="false">
      <left style="medium">
        <color rgb="FF969696"/>
      </left>
      <right style="medium">
        <color rgb="FF969696"/>
      </right>
      <top/>
      <bottom/>
      <diagonal/>
    </border>
    <border diagonalUp="false" diagonalDown="false">
      <left/>
      <right style="medium">
        <color rgb="FF808080"/>
      </right>
      <top/>
      <bottom style="medium">
        <color rgb="FFA6A6A6"/>
      </bottom>
      <diagonal/>
    </border>
    <border diagonalUp="false" diagonalDown="false">
      <left style="medium">
        <color rgb="FFA6A6A6"/>
      </left>
      <right style="medium">
        <color rgb="FFA6A6A6"/>
      </right>
      <top/>
      <bottom style="hair">
        <color rgb="FF969696"/>
      </bottom>
      <diagonal/>
    </border>
    <border diagonalUp="false" diagonalDown="false">
      <left style="medium">
        <color rgb="FF969696"/>
      </left>
      <right/>
      <top/>
      <bottom style="hair">
        <color rgb="FF969696"/>
      </bottom>
      <diagonal/>
    </border>
    <border diagonalUp="false" diagonalDown="false">
      <left style="thin">
        <color rgb="FFFFFFFF"/>
      </left>
      <right/>
      <top/>
      <bottom style="hair">
        <color rgb="FF969696"/>
      </bottom>
      <diagonal/>
    </border>
    <border diagonalUp="false" diagonalDown="false">
      <left style="thin">
        <color rgb="FFFFFFFF"/>
      </left>
      <right/>
      <top/>
      <bottom/>
      <diagonal/>
    </border>
    <border diagonalUp="false" diagonalDown="false">
      <left style="thin">
        <color rgb="FFFFFFFF"/>
      </left>
      <right style="medium">
        <color rgb="FF969696"/>
      </right>
      <top/>
      <bottom/>
      <diagonal/>
    </border>
    <border diagonalUp="false" diagonalDown="false">
      <left style="medium">
        <color rgb="FFA6A6A6"/>
      </left>
      <right style="medium">
        <color rgb="FFA6A6A6"/>
      </right>
      <top style="medium">
        <color rgb="FFA6A6A6"/>
      </top>
      <bottom style="medium">
        <color rgb="FFA6A6A6"/>
      </bottom>
      <diagonal/>
    </border>
    <border diagonalUp="false" diagonalDown="false">
      <left/>
      <right style="medium">
        <color rgb="FFA6A6A6"/>
      </right>
      <top style="medium">
        <color rgb="FFA6A6A6"/>
      </top>
      <bottom style="medium">
        <color rgb="FFA6A6A6"/>
      </bottom>
      <diagonal/>
    </border>
    <border diagonalUp="false" diagonalDown="false">
      <left/>
      <right style="medium">
        <color rgb="FF969696"/>
      </right>
      <top style="hair">
        <color rgb="FF969696"/>
      </top>
      <bottom/>
      <diagonal/>
    </border>
    <border diagonalUp="false" diagonalDown="false">
      <left style="medium">
        <color rgb="FF969696"/>
      </left>
      <right style="medium">
        <color rgb="FF969696"/>
      </right>
      <top style="hair">
        <color rgb="FF969696"/>
      </top>
      <bottom style="medium">
        <color rgb="FF969696"/>
      </bottom>
      <diagonal/>
    </border>
    <border diagonalUp="false" diagonalDown="false">
      <left style="medium">
        <color rgb="FF969696"/>
      </left>
      <right/>
      <top style="hair">
        <color rgb="FF969696"/>
      </top>
      <bottom/>
      <diagonal/>
    </border>
    <border diagonalUp="false" diagonalDown="false">
      <left style="hair">
        <color rgb="FF969696"/>
      </left>
      <right/>
      <top style="hair">
        <color rgb="FF969696"/>
      </top>
      <bottom style="medium">
        <color rgb="FF969696"/>
      </bottom>
      <diagonal/>
    </border>
    <border diagonalUp="false" diagonalDown="false">
      <left style="hair">
        <color rgb="FF969696"/>
      </left>
      <right/>
      <top/>
      <bottom style="medium">
        <color rgb="FF969696"/>
      </bottom>
      <diagonal/>
    </border>
    <border diagonalUp="false" diagonalDown="false">
      <left style="medium">
        <color rgb="FF969696"/>
      </left>
      <right style="hair">
        <color rgb="FF969696"/>
      </right>
      <top style="hair">
        <color rgb="FF969696"/>
      </top>
      <bottom/>
      <diagonal/>
    </border>
    <border diagonalUp="false" diagonalDown="false">
      <left style="hair">
        <color rgb="FF969696"/>
      </left>
      <right style="medium">
        <color rgb="FF969696"/>
      </right>
      <top/>
      <bottom style="medium">
        <color rgb="FF969696"/>
      </bottom>
      <diagonal/>
    </border>
    <border diagonalUp="false" diagonalDown="false">
      <left style="medium">
        <color rgb="FF969696"/>
      </left>
      <right/>
      <top/>
      <bottom/>
      <diagonal/>
    </border>
    <border diagonalUp="false" diagonalDown="false">
      <left/>
      <right style="hair">
        <color rgb="FF969696"/>
      </right>
      <top/>
      <bottom/>
      <diagonal/>
    </border>
    <border diagonalUp="false" diagonalDown="false">
      <left style="medium">
        <color rgb="FF969696"/>
      </left>
      <right style="hair">
        <color rgb="FF969696"/>
      </right>
      <top/>
      <bottom style="medium">
        <color rgb="FF969696"/>
      </bottom>
      <diagonal/>
    </border>
    <border diagonalUp="false" diagonalDown="false">
      <left style="medium">
        <color rgb="FF969696"/>
      </left>
      <right/>
      <top/>
      <bottom style="medium">
        <color rgb="FF969696"/>
      </bottom>
      <diagonal/>
    </border>
    <border diagonalUp="false" diagonalDown="false">
      <left/>
      <right/>
      <top/>
      <bottom style="medium">
        <color rgb="FF969696"/>
      </bottom>
      <diagonal/>
    </border>
    <border diagonalUp="false" diagonalDown="false">
      <left style="medium">
        <color rgb="FFA6A6A6"/>
      </left>
      <right/>
      <top style="medium">
        <color rgb="FFA6A6A6"/>
      </top>
      <bottom style="thin">
        <color rgb="FFFFFFFF"/>
      </bottom>
      <diagonal/>
    </border>
    <border diagonalUp="false" diagonalDown="false">
      <left/>
      <right style="medium">
        <color rgb="FF969696"/>
      </right>
      <top style="medium">
        <color rgb="FF969696"/>
      </top>
      <bottom style="hair">
        <color rgb="FF969696"/>
      </bottom>
      <diagonal/>
    </border>
    <border diagonalUp="false" diagonalDown="false">
      <left style="medium">
        <color rgb="FF969696"/>
      </left>
      <right style="medium">
        <color rgb="FF969696"/>
      </right>
      <top style="medium">
        <color rgb="FF969696"/>
      </top>
      <bottom style="hair">
        <color rgb="FF969696"/>
      </bottom>
      <diagonal/>
    </border>
    <border diagonalUp="false" diagonalDown="false">
      <left style="medium">
        <color rgb="FF969696"/>
      </left>
      <right style="hair">
        <color rgb="FF969696"/>
      </right>
      <top style="medium">
        <color rgb="FF969696"/>
      </top>
      <bottom style="hair">
        <color rgb="FF969696"/>
      </bottom>
      <diagonal/>
    </border>
    <border diagonalUp="false" diagonalDown="false">
      <left style="hair">
        <color rgb="FF969696"/>
      </left>
      <right style="hair">
        <color rgb="FF969696"/>
      </right>
      <top style="medium">
        <color rgb="FF969696"/>
      </top>
      <bottom style="hair">
        <color rgb="FF969696"/>
      </bottom>
      <diagonal/>
    </border>
    <border diagonalUp="false" diagonalDown="false">
      <left style="hair">
        <color rgb="FF969696"/>
      </left>
      <right style="medium">
        <color rgb="FF969696"/>
      </right>
      <top style="medium">
        <color rgb="FF969696"/>
      </top>
      <bottom style="hair">
        <color rgb="FF969696"/>
      </bottom>
      <diagonal/>
    </border>
    <border diagonalUp="false" diagonalDown="false">
      <left/>
      <right style="medium">
        <color rgb="FF969696"/>
      </right>
      <top/>
      <bottom style="medium">
        <color rgb="FF969696"/>
      </bottom>
      <diagonal/>
    </border>
    <border diagonalUp="false" diagonalDown="false">
      <left style="medium">
        <color rgb="FF969696"/>
      </left>
      <right style="hair">
        <color rgb="FF969696"/>
      </right>
      <top style="hair">
        <color rgb="FF969696"/>
      </top>
      <bottom style="medium">
        <color rgb="FF969696"/>
      </bottom>
      <diagonal/>
    </border>
    <border diagonalUp="false" diagonalDown="false">
      <left style="hair">
        <color rgb="FF969696"/>
      </left>
      <right style="hair">
        <color rgb="FF969696"/>
      </right>
      <top style="hair">
        <color rgb="FF969696"/>
      </top>
      <bottom style="medium">
        <color rgb="FF969696"/>
      </bottom>
      <diagonal/>
    </border>
    <border diagonalUp="false" diagonalDown="false">
      <left style="hair">
        <color rgb="FF969696"/>
      </left>
      <right style="medium">
        <color rgb="FF969696"/>
      </right>
      <top style="hair">
        <color rgb="FF969696"/>
      </top>
      <bottom style="medium">
        <color rgb="FF969696"/>
      </bottom>
      <diagonal/>
    </border>
    <border diagonalUp="false" diagonalDown="false">
      <left/>
      <right/>
      <top style="hair">
        <color rgb="FF969696"/>
      </top>
      <bottom style="medium">
        <color rgb="FF969696"/>
      </bottom>
      <diagonal/>
    </border>
    <border diagonalUp="false" diagonalDown="false">
      <left/>
      <right style="medium">
        <color rgb="FF969696"/>
      </right>
      <top style="hair">
        <color rgb="FF969696"/>
      </top>
      <bottom style="medium">
        <color rgb="FF969696"/>
      </bottom>
      <diagonal/>
    </border>
    <border diagonalUp="false" diagonalDown="false">
      <left/>
      <right style="medium">
        <color rgb="FF969696"/>
      </right>
      <top style="thin">
        <color rgb="FFFFFFFF"/>
      </top>
      <bottom style="thin">
        <color rgb="FFFFFFFF"/>
      </bottom>
      <diagonal/>
    </border>
    <border diagonalUp="false" diagonalDown="false">
      <left style="medium">
        <color rgb="FF969696"/>
      </left>
      <right style="medium">
        <color rgb="FF969696"/>
      </right>
      <top style="medium">
        <color rgb="FF969696"/>
      </top>
      <bottom style="medium">
        <color rgb="FF969696"/>
      </bottom>
      <diagonal/>
    </border>
    <border diagonalUp="false" diagonalDown="false">
      <left style="medium">
        <color rgb="FF969696"/>
      </left>
      <right/>
      <top style="medium">
        <color rgb="FF969696"/>
      </top>
      <bottom style="medium">
        <color rgb="FF969696"/>
      </bottom>
      <diagonal/>
    </border>
    <border diagonalUp="false" diagonalDown="false">
      <left style="hair">
        <color rgb="FF969696"/>
      </left>
      <right/>
      <top style="medium">
        <color rgb="FF969696"/>
      </top>
      <bottom style="medium">
        <color rgb="FF969696"/>
      </bottom>
      <diagonal/>
    </border>
    <border diagonalUp="false" diagonalDown="false">
      <left style="hair">
        <color rgb="FF969696"/>
      </left>
      <right style="medium">
        <color rgb="FF969696"/>
      </right>
      <top style="medium">
        <color rgb="FF969696"/>
      </top>
      <bottom style="medium">
        <color rgb="FF969696"/>
      </bottom>
      <diagonal/>
    </border>
    <border diagonalUp="false" diagonalDown="false">
      <left style="medium">
        <color rgb="FF969696"/>
      </left>
      <right style="medium">
        <color rgb="FF969696"/>
      </right>
      <top style="hair">
        <color rgb="FF969696"/>
      </top>
      <bottom/>
      <diagonal/>
    </border>
    <border diagonalUp="false" diagonalDown="false">
      <left style="medium">
        <color rgb="FF969696"/>
      </left>
      <right style="medium">
        <color rgb="FF969696"/>
      </right>
      <top/>
      <bottom style="medium">
        <color rgb="FFA6A6A6"/>
      </bottom>
      <diagonal/>
    </border>
    <border diagonalUp="false" diagonalDown="false">
      <left style="medium">
        <color rgb="FFA6A6A6"/>
      </left>
      <right style="medium">
        <color rgb="FF969696"/>
      </right>
      <top style="thin">
        <color rgb="FFFFFFFF"/>
      </top>
      <bottom style="medium">
        <color rgb="FFA6A6A6"/>
      </bottom>
      <diagonal/>
    </border>
    <border diagonalUp="false" diagonalDown="false">
      <left style="hair">
        <color rgb="FF969696"/>
      </left>
      <right style="hair">
        <color rgb="FF969696"/>
      </right>
      <top style="medium">
        <color rgb="FF969696"/>
      </top>
      <bottom style="medium">
        <color rgb="FF969696"/>
      </bottom>
      <diagonal/>
    </border>
    <border diagonalUp="false" diagonalDown="false">
      <left style="medium">
        <color rgb="FF969696"/>
      </left>
      <right style="hair">
        <color rgb="FF969696"/>
      </right>
      <top style="medium">
        <color rgb="FF969696"/>
      </top>
      <bottom style="medium">
        <color rgb="FF969696"/>
      </bottom>
      <diagonal/>
    </border>
    <border diagonalUp="false" diagonalDown="false">
      <left style="medium">
        <color rgb="FF808080"/>
      </left>
      <right style="medium">
        <color rgb="FF808080"/>
      </right>
      <top style="medium">
        <color rgb="FF808080"/>
      </top>
      <bottom style="medium">
        <color rgb="FF808080"/>
      </bottom>
      <diagonal/>
    </border>
    <border diagonalUp="false" diagonalDown="false">
      <left style="medium">
        <color rgb="FF808080"/>
      </left>
      <right/>
      <top/>
      <bottom/>
      <diagonal/>
    </border>
    <border diagonalUp="false" diagonalDown="false">
      <left style="medium">
        <color rgb="FF808080"/>
      </left>
      <right style="medium">
        <color rgb="FF808080"/>
      </right>
      <top/>
      <bottom/>
      <diagonal/>
    </border>
    <border diagonalUp="false" diagonalDown="false">
      <left/>
      <right style="medium">
        <color rgb="FF808080"/>
      </right>
      <top/>
      <bottom/>
      <diagonal/>
    </border>
    <border diagonalUp="false" diagonalDown="false">
      <left style="thin">
        <color rgb="FFFFFFFF"/>
      </left>
      <right style="medium">
        <color rgb="FF808080"/>
      </right>
      <top/>
      <bottom style="hair">
        <color rgb="FF969696"/>
      </bottom>
      <diagonal/>
    </border>
    <border diagonalUp="false" diagonalDown="false">
      <left style="medium">
        <color rgb="FF808080"/>
      </left>
      <right style="thin">
        <color rgb="FF808080"/>
      </right>
      <top/>
      <bottom/>
      <diagonal/>
    </border>
    <border diagonalUp="false" diagonalDown="false">
      <left style="thin">
        <color rgb="FF808080"/>
      </left>
      <right/>
      <top/>
      <bottom/>
      <diagonal/>
    </border>
    <border diagonalUp="false" diagonalDown="false">
      <left style="thin">
        <color rgb="FF808080"/>
      </left>
      <right style="thin">
        <color rgb="FF808080"/>
      </right>
      <top/>
      <bottom/>
      <diagonal/>
    </border>
    <border diagonalUp="false" diagonalDown="false">
      <left style="thin">
        <color rgb="FF808080"/>
      </left>
      <right style="medium">
        <color rgb="FF808080"/>
      </right>
      <top/>
      <bottom/>
      <diagonal/>
    </border>
    <border diagonalUp="false" diagonalDown="false">
      <left style="hair">
        <color rgb="FF808080"/>
      </left>
      <right style="hair">
        <color rgb="FF808080"/>
      </right>
      <top/>
      <bottom/>
      <diagonal/>
    </border>
    <border diagonalUp="false" diagonalDown="false">
      <left/>
      <right style="hair">
        <color rgb="FF808080"/>
      </right>
      <top/>
      <bottom/>
      <diagonal/>
    </border>
    <border diagonalUp="false" diagonalDown="false">
      <left style="medium">
        <color rgb="FF808080"/>
      </left>
      <right style="hair">
        <color rgb="FF808080"/>
      </right>
      <top/>
      <bottom/>
      <diagonal/>
    </border>
    <border diagonalUp="false" diagonalDown="false">
      <left style="thin"/>
      <right style="thin"/>
      <top style="thin"/>
      <bottom style="thin"/>
      <diagonal/>
    </border>
    <border diagonalUp="false" diagonalDown="false">
      <left style="thin"/>
      <right style="thin"/>
      <top/>
      <bottom/>
      <diagonal/>
    </border>
    <border diagonalUp="false" diagonalDown="false">
      <left/>
      <right style="thin"/>
      <top/>
      <bottom/>
      <diagonal/>
    </border>
    <border diagonalUp="false" diagonalDown="false">
      <left style="thin"/>
      <right style="thin"/>
      <top/>
      <bottom style="thin"/>
      <diagonal/>
    </border>
    <border diagonalUp="false" diagonalDown="false">
      <left/>
      <right/>
      <top/>
      <bottom style="thin"/>
      <diagonal/>
    </border>
    <border diagonalUp="false" diagonalDown="false">
      <left/>
      <right style="thin"/>
      <top/>
      <bottom style="thin"/>
      <diagonal/>
    </border>
    <border diagonalUp="false" diagonalDown="false">
      <left style="thin"/>
      <right style="thin"/>
      <top style="thin"/>
      <bottom/>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style="thin"/>
      <right/>
      <top/>
      <bottom style="thin"/>
      <diagonal/>
    </border>
    <border diagonalUp="false" diagonalDown="false">
      <left/>
      <right/>
      <top/>
      <bottom style="medium">
        <color rgb="FFA6A6A6"/>
      </bottom>
      <diagonal/>
    </border>
    <border diagonalUp="false" diagonalDown="false">
      <left/>
      <right/>
      <top style="thin">
        <color rgb="FFFFFFFF"/>
      </top>
      <bottom/>
      <diagonal/>
    </border>
    <border diagonalUp="false" diagonalDown="false">
      <left/>
      <right/>
      <top style="medium">
        <color rgb="FF969696"/>
      </top>
      <bottom/>
      <diagonal/>
    </border>
    <border diagonalUp="false" diagonalDown="false">
      <left style="medium">
        <color rgb="FF808080"/>
      </left>
      <right style="medium">
        <color rgb="FF808080"/>
      </right>
      <top/>
      <bottom style="medium">
        <color rgb="FF808080"/>
      </bottom>
      <diagonal/>
    </border>
    <border diagonalUp="false" diagonalDown="false">
      <left/>
      <right/>
      <top style="medium">
        <color rgb="FF808080"/>
      </top>
      <bottom/>
      <diagonal/>
    </border>
    <border diagonalUp="false" diagonalDown="false">
      <left/>
      <right/>
      <top/>
      <bottom style="medium">
        <color rgb="FF808080"/>
      </bottom>
      <diagonal/>
    </border>
    <border diagonalUp="false" diagonalDown="false">
      <left/>
      <right style="medium">
        <color rgb="FF808080"/>
      </right>
      <top/>
      <bottom style="medium">
        <color rgb="FF808080"/>
      </bottom>
      <diagonal/>
    </border>
    <border diagonalUp="false" diagonalDown="false">
      <left style="medium">
        <color rgb="FF808080"/>
      </left>
      <right/>
      <top/>
      <bottom style="medium">
        <color rgb="FF808080"/>
      </bottom>
      <diagonal/>
    </border>
    <border diagonalUp="false" diagonalDown="false">
      <left style="medium">
        <color rgb="FF969696"/>
      </left>
      <right/>
      <top style="medium">
        <color rgb="FF969696"/>
      </top>
      <bottom/>
      <diagonal/>
    </border>
    <border diagonalUp="false" diagonalDown="false">
      <left/>
      <right style="medium">
        <color rgb="FF969696"/>
      </right>
      <top/>
      <bottom/>
      <diagonal/>
    </border>
    <border diagonalUp="false" diagonalDown="false">
      <left style="medium">
        <color rgb="FFA6A6A6"/>
      </left>
      <right/>
      <top/>
      <bottom style="hair">
        <color rgb="FF969696"/>
      </bottom>
      <diagonal/>
    </border>
    <border diagonalUp="false" diagonalDown="false">
      <left style="medium">
        <color rgb="FF969696"/>
      </left>
      <right/>
      <top style="hair">
        <color rgb="FF969696"/>
      </top>
      <bottom style="medium">
        <color rgb="FF969696"/>
      </bottom>
      <diagonal/>
    </border>
    <border diagonalUp="false" diagonalDown="false">
      <left style="medium">
        <color rgb="FF969696"/>
      </left>
      <right/>
      <top style="medium">
        <color rgb="FF969696"/>
      </top>
      <bottom style="hair">
        <color rgb="FF969696"/>
      </bottom>
      <diagonal/>
    </border>
    <border diagonalUp="false" diagonalDown="false">
      <left style="hair">
        <color rgb="FF969696"/>
      </left>
      <right/>
      <top style="medium">
        <color rgb="FF969696"/>
      </top>
      <bottom style="hair">
        <color rgb="FF969696"/>
      </bottom>
      <diagonal/>
    </border>
    <border diagonalUp="false" diagonalDown="false">
      <left style="medium">
        <color rgb="FF808080"/>
      </left>
      <right/>
      <top style="medium">
        <color rgb="FF808080"/>
      </top>
      <bottom/>
      <diagonal/>
    </border>
    <border diagonalUp="false" diagonalDown="false">
      <left style="medium">
        <color rgb="FF808080"/>
      </left>
      <right/>
      <top/>
      <bottom style="thin"/>
      <diagonal/>
    </border>
    <border diagonalUp="false" diagonalDown="false">
      <left style="medium">
        <color rgb="FF808080"/>
      </left>
      <right style="medium">
        <color rgb="FF808080"/>
      </right>
      <top/>
      <bottom style="thin"/>
      <diagonal/>
    </border>
    <border diagonalUp="false" diagonalDown="false">
      <left style="medium">
        <color rgb="FFA6A6A6"/>
      </left>
      <right style="medium">
        <color rgb="FF969696"/>
      </right>
      <top style="medium">
        <color rgb="FF969696"/>
      </top>
      <bottom style="medium">
        <color rgb="FF969696"/>
      </bottom>
      <diagonal/>
    </border>
    <border diagonalUp="false" diagonalDown="false">
      <left style="medium"/>
      <right style="medium"/>
      <top style="medium"/>
      <bottom style="medium"/>
      <diagonal/>
    </border>
    <border diagonalUp="false" diagonalDown="false">
      <left/>
      <right style="medium">
        <color rgb="FF969696"/>
      </right>
      <top style="medium">
        <color rgb="FF969696"/>
      </top>
      <bottom style="medium">
        <color rgb="FF969696"/>
      </bottom>
      <diagonal/>
    </border>
    <border diagonalUp="false" diagonalDown="false">
      <left/>
      <right/>
      <top style="medium">
        <color rgb="FF969696"/>
      </top>
      <bottom style="medium">
        <color rgb="FF969696"/>
      </bottom>
      <diagonal/>
    </border>
    <border diagonalUp="false" diagonalDown="false">
      <left style="medium"/>
      <right/>
      <top/>
      <bottom/>
      <diagonal/>
    </border>
    <border diagonalUp="false" diagonalDown="false">
      <left/>
      <right style="medium"/>
      <top/>
      <bottom/>
      <diagonal/>
    </border>
    <border diagonalUp="false" diagonalDown="false">
      <left style="medium"/>
      <right style="medium"/>
      <top/>
      <bottom/>
      <diagonal/>
    </border>
    <border diagonalUp="false" diagonalDown="false">
      <left/>
      <right style="medium">
        <color rgb="FF808080"/>
      </right>
      <top style="medium">
        <color rgb="FF808080"/>
      </top>
      <bottom/>
      <diagonal/>
    </border>
    <border diagonalUp="false" diagonalDown="false">
      <left style="medium">
        <color rgb="FF969696"/>
      </left>
      <right style="thin">
        <color rgb="FFFFFFFF"/>
      </right>
      <top/>
      <bottom style="hair">
        <color rgb="FF969696"/>
      </bottom>
      <diagonal/>
    </border>
    <border diagonalUp="false" diagonalDown="false">
      <left style="thin">
        <color rgb="FFFFFFFF"/>
      </left>
      <right style="medium">
        <color rgb="FF969696"/>
      </right>
      <top/>
      <bottom style="hair">
        <color rgb="FF969696"/>
      </bottom>
      <diagonal/>
    </border>
    <border diagonalUp="false" diagonalDown="false">
      <left/>
      <right style="medium">
        <color rgb="FF969696"/>
      </right>
      <top/>
      <bottom style="thin">
        <color rgb="FFFFFFFF"/>
      </bottom>
      <diagonal/>
    </border>
    <border diagonalUp="false" diagonalDown="false">
      <left/>
      <right style="medium">
        <color rgb="FF808080"/>
      </right>
      <top/>
      <bottom style="thin"/>
      <diagonal/>
    </border>
    <border diagonalUp="false" diagonalDown="false">
      <left style="medium">
        <color rgb="FF969696"/>
      </left>
      <right/>
      <top/>
      <bottom style="medium">
        <color rgb="FFA6A6A6"/>
      </bottom>
      <diagonal/>
    </border>
    <border diagonalUp="false" diagonalDown="false">
      <left style="medium">
        <color rgb="FF969696"/>
      </left>
      <right/>
      <top style="medium">
        <color rgb="FF969696"/>
      </top>
      <bottom style="medium">
        <color rgb="FFA6A6A6"/>
      </bottom>
      <diagonal/>
    </border>
    <border diagonalUp="false" diagonalDown="false">
      <left style="hair">
        <color rgb="FF969696"/>
      </left>
      <right style="hair">
        <color rgb="FF969696"/>
      </right>
      <top style="medium">
        <color rgb="FF969696"/>
      </top>
      <bottom style="medium">
        <color rgb="FFA6A6A6"/>
      </bottom>
      <diagonal/>
    </border>
    <border diagonalUp="false" diagonalDown="false">
      <left/>
      <right style="medium">
        <color rgb="FF969696"/>
      </right>
      <top style="medium">
        <color rgb="FF969696"/>
      </top>
      <bottom style="medium">
        <color rgb="FFA6A6A6"/>
      </bottom>
      <diagonal/>
    </border>
    <border diagonalUp="false" diagonalDown="false">
      <left style="medium">
        <color rgb="FF969696"/>
      </left>
      <right style="medium">
        <color rgb="FF969696"/>
      </right>
      <top/>
      <bottom style="hair">
        <color rgb="FF969696"/>
      </bottom>
      <diagonal/>
    </border>
    <border diagonalUp="false" diagonalDown="false">
      <left style="medium">
        <color rgb="FFA6A6A6"/>
      </left>
      <right/>
      <top/>
      <bottom style="medium">
        <color rgb="FFA6A6A6"/>
      </bottom>
      <diagonal/>
    </border>
    <border diagonalUp="false" diagonalDown="false">
      <left style="medium">
        <color rgb="FF808080"/>
      </left>
      <right style="medium">
        <color rgb="FF808080"/>
      </right>
      <top/>
      <bottom style="hair">
        <color rgb="FF969696"/>
      </bottom>
      <diagonal/>
    </border>
    <border diagonalUp="false" diagonalDown="false">
      <left style="thin">
        <color rgb="FFFFFFFF"/>
      </left>
      <right style="thin">
        <color rgb="FFFFFFFF"/>
      </right>
      <top/>
      <bottom/>
      <diagonal/>
    </border>
    <border diagonalUp="false" diagonalDown="false">
      <left style="medium">
        <color rgb="FF808080"/>
      </left>
      <right style="medium">
        <color rgb="FF7F7F7F"/>
      </right>
      <top/>
      <bottom/>
      <diagonal/>
    </border>
  </borders>
  <cellStyleXfs count="119">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6"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false" applyAlignment="true" applyProtection="true">
      <alignment horizontal="general" vertical="bottom" textRotation="0" wrapText="false" indent="0" shrinkToFit="false"/>
      <protection locked="true" hidden="false"/>
    </xf>
    <xf numFmtId="164" fontId="5" fillId="0" borderId="0" applyFont="true" applyBorder="fals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6" fillId="0" borderId="1" applyFont="true" applyBorder="true" applyAlignment="true" applyProtection="false">
      <alignment horizontal="center" vertical="center" textRotation="0" wrapText="false" indent="0" shrinkToFit="false"/>
    </xf>
    <xf numFmtId="165" fontId="0" fillId="0" borderId="2" applyFont="true" applyBorder="true" applyAlignment="true" applyProtection="false">
      <alignment horizontal="general" vertical="bottom" textRotation="0" wrapText="false" indent="0" shrinkToFit="false"/>
    </xf>
    <xf numFmtId="165" fontId="0" fillId="0" borderId="2" applyFont="true" applyBorder="true" applyAlignment="true" applyProtection="false">
      <alignment horizontal="general" vertical="bottom" textRotation="0" wrapText="false" indent="0" shrinkToFit="false"/>
    </xf>
    <xf numFmtId="165" fontId="0" fillId="0" borderId="2" applyFont="true" applyBorder="true" applyAlignment="true" applyProtection="false">
      <alignment horizontal="general" vertical="bottom" textRotation="0" wrapText="false" indent="0" shrinkToFit="false"/>
    </xf>
    <xf numFmtId="165" fontId="0" fillId="0" borderId="2" applyFont="true" applyBorder="true" applyAlignment="true" applyProtection="false">
      <alignment horizontal="general" vertical="bottom" textRotation="0" wrapText="false" indent="0" shrinkToFit="false"/>
    </xf>
    <xf numFmtId="165" fontId="0" fillId="0" borderId="2" applyFont="true" applyBorder="true" applyAlignment="true" applyProtection="false">
      <alignment horizontal="general" vertical="bottom" textRotation="0" wrapText="false" indent="0" shrinkToFit="false"/>
    </xf>
    <xf numFmtId="165" fontId="0" fillId="0" borderId="2" applyFont="true" applyBorder="true" applyAlignment="true" applyProtection="false">
      <alignment horizontal="general" vertical="bottom" textRotation="0" wrapText="false" indent="0" shrinkToFit="false"/>
    </xf>
    <xf numFmtId="165" fontId="0" fillId="0" borderId="2" applyFont="true" applyBorder="true" applyAlignment="true" applyProtection="false">
      <alignment horizontal="general" vertical="bottom" textRotation="0" wrapText="false" indent="0" shrinkToFit="false"/>
    </xf>
    <xf numFmtId="165" fontId="0" fillId="0" borderId="2" applyFont="true" applyBorder="true" applyAlignment="true" applyProtection="false">
      <alignment horizontal="general" vertical="bottom" textRotation="0" wrapText="false" indent="0" shrinkToFit="false"/>
    </xf>
    <xf numFmtId="164" fontId="6" fillId="0" borderId="1" applyFont="true" applyBorder="true" applyAlignment="true" applyProtection="false">
      <alignment horizontal="general" vertical="bottom" textRotation="0" wrapText="false" indent="0" shrinkToFit="false"/>
    </xf>
    <xf numFmtId="164" fontId="6" fillId="0" borderId="1" applyFont="true" applyBorder="true" applyAlignment="true" applyProtection="false">
      <alignment horizontal="general" vertical="bottom" textRotation="0" wrapText="false" indent="0" shrinkToFit="false"/>
    </xf>
    <xf numFmtId="164" fontId="6" fillId="0" borderId="1" applyFont="true" applyBorder="true" applyAlignment="true" applyProtection="false">
      <alignment horizontal="general" vertical="bottom" textRotation="0" wrapText="false" indent="0" shrinkToFit="false"/>
    </xf>
    <xf numFmtId="164" fontId="6" fillId="0" borderId="1" applyFont="true" applyBorder="true" applyAlignment="true" applyProtection="false">
      <alignment horizontal="general" vertical="bottom" textRotation="0" wrapText="false" indent="0" shrinkToFit="false"/>
    </xf>
    <xf numFmtId="164" fontId="6" fillId="0" borderId="1" applyFont="true" applyBorder="true" applyAlignment="true" applyProtection="false">
      <alignment horizontal="general" vertical="bottom" textRotation="0" wrapText="false" indent="0" shrinkToFit="false"/>
    </xf>
    <xf numFmtId="164" fontId="6" fillId="0" borderId="1" applyFont="true" applyBorder="true" applyAlignment="true" applyProtection="false">
      <alignment horizontal="general" vertical="bottom" textRotation="0" wrapText="false" indent="0" shrinkToFit="false"/>
    </xf>
    <xf numFmtId="164" fontId="6" fillId="0" borderId="1" applyFont="true" applyBorder="true" applyAlignment="true" applyProtection="false">
      <alignment horizontal="general" vertical="bottom" textRotation="0" wrapText="false" indent="0" shrinkToFit="false"/>
    </xf>
    <xf numFmtId="164" fontId="6" fillId="0" borderId="1" applyFont="true" applyBorder="tru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2" applyFont="true" applyBorder="true" applyAlignment="true" applyProtection="false">
      <alignment horizontal="general" vertical="bottom" textRotation="0" wrapText="false" indent="0" shrinkToFit="false"/>
    </xf>
    <xf numFmtId="164" fontId="7" fillId="0" borderId="2" applyFont="true" applyBorder="true" applyAlignment="true" applyProtection="false">
      <alignment horizontal="general" vertical="bottom" textRotation="0" wrapText="false" indent="0" shrinkToFit="false"/>
    </xf>
    <xf numFmtId="164" fontId="7" fillId="0" borderId="2" applyFont="true" applyBorder="true" applyAlignment="true" applyProtection="true">
      <alignment horizontal="right" vertical="center" textRotation="0" wrapText="false" indent="0" shrinkToFit="false"/>
      <protection locked="true" hidden="false"/>
    </xf>
    <xf numFmtId="165" fontId="7" fillId="2" borderId="2" applyFont="true" applyBorder="true" applyAlignment="true" applyProtection="true">
      <alignment horizontal="center" vertical="center" textRotation="0" wrapText="false" indent="0" shrinkToFit="false"/>
      <protection locked="true" hidden="false"/>
    </xf>
    <xf numFmtId="164" fontId="7" fillId="2" borderId="2" applyFont="true" applyBorder="true" applyAlignment="true" applyProtection="true">
      <alignment horizontal="right" vertical="center" textRotation="0" wrapText="false" indent="0" shrinkToFit="false"/>
      <protection locked="true" hidden="false"/>
    </xf>
    <xf numFmtId="164" fontId="6" fillId="0" borderId="3" applyFont="true" applyBorder="true" applyAlignment="true" applyProtection="true">
      <alignment horizontal="left" vertical="center" textRotation="0" wrapText="false" indent="0" shrinkToFit="false"/>
      <protection locked="true" hidden="false"/>
    </xf>
    <xf numFmtId="164" fontId="6" fillId="0" borderId="4" applyFont="true" applyBorder="true" applyAlignment="true" applyProtection="true">
      <alignment horizontal="center" vertical="center" textRotation="0" wrapText="false" indent="0" shrinkToFit="false"/>
      <protection locked="true" hidden="false"/>
    </xf>
    <xf numFmtId="164" fontId="8" fillId="0" borderId="5" applyFont="true" applyBorder="true" applyAlignment="true" applyProtection="true">
      <alignment horizontal="center" vertical="center" textRotation="0" wrapText="false" indent="0" shrinkToFit="false"/>
      <protection locked="true" hidden="false"/>
    </xf>
    <xf numFmtId="164" fontId="7" fillId="3" borderId="2" applyFont="true" applyBorder="true" applyAlignment="true" applyProtection="true">
      <alignment horizontal="general" vertical="bottom" textRotation="0" wrapText="false" indent="0" shrinkToFit="false"/>
      <protection locked="true" hidden="false"/>
    </xf>
    <xf numFmtId="165" fontId="9" fillId="0" borderId="2" applyFont="true" applyBorder="true" applyAlignment="true" applyProtection="true">
      <alignment horizontal="general" vertical="bottom" textRotation="0" wrapText="false" indent="0" shrinkToFit="false"/>
      <protection locked="true" hidden="false"/>
    </xf>
    <xf numFmtId="165" fontId="10" fillId="0" borderId="2" applyFont="true" applyBorder="true" applyAlignment="true" applyProtection="true">
      <alignment horizontal="general" vertical="bottom" textRotation="0" wrapText="false" indent="0" shrinkToFit="false"/>
      <protection locked="true" hidden="false"/>
    </xf>
    <xf numFmtId="164" fontId="6" fillId="0" borderId="4" applyFont="true" applyBorder="true" applyAlignment="true" applyProtection="true">
      <alignment horizontal="left" vertical="top" textRotation="0" wrapText="false" indent="0" shrinkToFit="false"/>
      <protection locked="true" hidden="false"/>
    </xf>
    <xf numFmtId="164" fontId="11" fillId="0" borderId="2" applyFont="true" applyBorder="true" applyAlignment="true" applyProtection="true">
      <alignment horizontal="general" vertical="bottom" textRotation="0" wrapText="false" indent="0" shrinkToFit="false"/>
      <protection locked="true" hidden="false"/>
    </xf>
    <xf numFmtId="164" fontId="6" fillId="0" borderId="4" applyFont="true" applyBorder="true" applyAlignment="true" applyProtection="true">
      <alignment horizontal="left" vertical="center" textRotation="0" wrapText="false" indent="0" shrinkToFit="false"/>
      <protection locked="true" hidden="false"/>
    </xf>
    <xf numFmtId="164" fontId="7" fillId="2" borderId="6" applyFont="true" applyBorder="true" applyAlignment="true" applyProtection="true">
      <alignment horizontal="general" vertical="bottom" textRotation="0" wrapText="false" indent="0" shrinkToFit="false"/>
      <protection locked="true" hidden="false"/>
    </xf>
    <xf numFmtId="165" fontId="7" fillId="0" borderId="2" applyFont="true" applyBorder="true" applyAlignment="true" applyProtection="true">
      <alignment horizontal="right" vertical="center" textRotation="0" wrapText="false" indent="0" shrinkToFit="false"/>
      <protection locked="true" hidden="false"/>
    </xf>
    <xf numFmtId="164" fontId="6" fillId="0" borderId="4" applyFont="true" applyBorder="true" applyAlignment="true" applyProtection="true">
      <alignment horizontal="right" vertical="center" textRotation="0" wrapText="false" indent="0" shrinkToFit="false"/>
      <protection locked="true" hidden="false"/>
    </xf>
    <xf numFmtId="164" fontId="7" fillId="0" borderId="5" applyFont="true" applyBorder="true" applyAlignment="true" applyProtection="true">
      <alignment horizontal="center" vertical="center" textRotation="0" wrapText="false" indent="0" shrinkToFit="false"/>
      <protection locked="true" hidden="false"/>
    </xf>
    <xf numFmtId="165" fontId="7" fillId="0" borderId="2" applyFont="true" applyBorder="true" applyAlignment="true" applyProtection="true">
      <alignment horizontal="general" vertical="bottom" textRotation="0" wrapText="false" indent="0" shrinkToFit="false"/>
      <protection locked="true" hidden="false"/>
    </xf>
    <xf numFmtId="165" fontId="7" fillId="0" borderId="2" applyFont="true" applyBorder="true" applyAlignment="true" applyProtection="true">
      <alignment horizontal="general" vertical="bottom" textRotation="0" wrapText="false" indent="0" shrinkToFit="false"/>
      <protection locked="true" hidden="false"/>
    </xf>
    <xf numFmtId="164" fontId="7" fillId="0" borderId="5" applyFont="true" applyBorder="true" applyAlignment="true" applyProtection="true">
      <alignment horizontal="center" vertical="center" textRotation="0" wrapText="true" indent="0" shrinkToFit="false"/>
      <protection locked="true" hidden="false"/>
    </xf>
    <xf numFmtId="166"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4" fontId="12" fillId="0" borderId="5" applyFont="true" applyBorder="true" applyAlignment="true" applyProtection="true">
      <alignment horizontal="left" vertical="center" textRotation="0" wrapText="false" indent="1" shrinkToFit="false"/>
      <protection locked="true" hidden="false"/>
    </xf>
    <xf numFmtId="164" fontId="13" fillId="0" borderId="0" applyFont="true" applyBorder="true" applyAlignment="true" applyProtection="true">
      <alignment horizontal="general" vertical="bottom" textRotation="0" wrapText="false" indent="0" shrinkToFit="false"/>
      <protection locked="true" hidden="false"/>
    </xf>
    <xf numFmtId="164" fontId="13"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false" applyAlignment="true" applyProtection="true">
      <alignment horizontal="general" vertical="bottom" textRotation="0" wrapText="false" indent="0" shrinkToFit="false"/>
      <protection locked="true" hidden="false"/>
    </xf>
    <xf numFmtId="164" fontId="4" fillId="0" borderId="0" applyFont="true" applyBorder="false" applyAlignment="true" applyProtection="true">
      <alignment horizontal="general" vertical="bottom" textRotation="0" wrapText="false" indent="0" shrinkToFit="false"/>
      <protection locked="true" hidden="false"/>
    </xf>
    <xf numFmtId="164" fontId="13"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fals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false" applyAlignment="true" applyProtection="true">
      <alignment horizontal="general" vertical="bottom" textRotation="0" wrapText="false" indent="0" shrinkToFit="false"/>
      <protection locked="true" hidden="false"/>
    </xf>
    <xf numFmtId="164" fontId="4" fillId="0" borderId="0" applyFont="true" applyBorder="false" applyAlignment="true" applyProtection="true">
      <alignment horizontal="general" vertical="bottom" textRotation="0" wrapText="false" indent="0" shrinkToFit="false"/>
      <protection locked="true" hidden="false"/>
    </xf>
    <xf numFmtId="164" fontId="4" fillId="0" borderId="0" applyFont="true" applyBorder="false" applyAlignment="true" applyProtection="true">
      <alignment horizontal="general" vertical="bottom" textRotation="0" wrapText="false" indent="0" shrinkToFit="false"/>
      <protection locked="true" hidden="false"/>
    </xf>
    <xf numFmtId="164" fontId="13" fillId="0" borderId="0" applyFont="true" applyBorder="true" applyAlignment="true" applyProtection="true">
      <alignment horizontal="general" vertical="bottom" textRotation="0" wrapText="false" indent="0" shrinkToFit="false"/>
      <protection locked="true" hidden="false"/>
    </xf>
    <xf numFmtId="164" fontId="13" fillId="0" borderId="0" applyFont="true" applyBorder="true" applyAlignment="true" applyProtection="true">
      <alignment horizontal="general" vertical="bottom" textRotation="0" wrapText="false" indent="0" shrinkToFit="false"/>
      <protection locked="true" hidden="false"/>
    </xf>
    <xf numFmtId="164" fontId="13" fillId="0" borderId="0" applyFont="true" applyBorder="true" applyAlignment="true" applyProtection="true">
      <alignment horizontal="general" vertical="bottom" textRotation="0" wrapText="false" indent="0" shrinkToFit="false"/>
      <protection locked="true" hidden="false"/>
    </xf>
    <xf numFmtId="164" fontId="13" fillId="0" borderId="0" applyFont="true" applyBorder="true" applyAlignment="true" applyProtection="true">
      <alignment horizontal="general" vertical="bottom" textRotation="0" wrapText="false" indent="0" shrinkToFit="false"/>
      <protection locked="true" hidden="false"/>
    </xf>
    <xf numFmtId="164" fontId="13" fillId="0" borderId="0" applyFont="true" applyBorder="true" applyAlignment="true" applyProtection="true">
      <alignment horizontal="general" vertical="bottom" textRotation="0" wrapText="false" indent="0" shrinkToFit="false"/>
      <protection locked="true" hidden="false"/>
    </xf>
    <xf numFmtId="164" fontId="13" fillId="0" borderId="0" applyFont="true" applyBorder="true" applyAlignment="true" applyProtection="true">
      <alignment horizontal="general" vertical="bottom" textRotation="0" wrapText="false" indent="0" shrinkToFit="false"/>
      <protection locked="true" hidden="false"/>
    </xf>
    <xf numFmtId="164" fontId="13" fillId="0" borderId="0" applyFont="true" applyBorder="true" applyAlignment="true" applyProtection="true">
      <alignment horizontal="general" vertical="bottom" textRotation="0" wrapText="false" indent="0" shrinkToFit="false"/>
      <protection locked="true" hidden="false"/>
    </xf>
    <xf numFmtId="164" fontId="13" fillId="0" borderId="0" applyFont="true" applyBorder="true" applyAlignment="true" applyProtection="true">
      <alignment horizontal="general" vertical="bottom" textRotation="0" wrapText="false" indent="0" shrinkToFit="false"/>
      <protection locked="true" hidden="false"/>
    </xf>
    <xf numFmtId="164" fontId="13" fillId="0" borderId="0" applyFont="true" applyBorder="true" applyAlignment="true" applyProtection="true">
      <alignment horizontal="general" vertical="bottom" textRotation="0" wrapText="false" indent="0" shrinkToFit="false"/>
      <protection locked="true" hidden="false"/>
    </xf>
    <xf numFmtId="164" fontId="13" fillId="0" borderId="0" applyFont="true" applyBorder="true" applyAlignment="true" applyProtection="true">
      <alignment horizontal="general" vertical="bottom" textRotation="0" wrapText="false" indent="0" shrinkToFit="false"/>
      <protection locked="true" hidden="false"/>
    </xf>
    <xf numFmtId="164" fontId="14" fillId="0" borderId="2" applyFont="true" applyBorder="true" applyAlignment="true" applyProtection="true">
      <alignment horizontal="general" vertical="bottom" textRotation="0" wrapText="false" indent="0" shrinkToFit="false"/>
      <protection locked="true" hidden="false"/>
    </xf>
    <xf numFmtId="164" fontId="6" fillId="0" borderId="3" applyFont="true" applyBorder="true" applyAlignment="true" applyProtection="true">
      <alignment horizontal="left" vertical="center" textRotation="0" wrapText="false" indent="0" shrinkToFit="false"/>
      <protection locked="true" hidden="false"/>
    </xf>
    <xf numFmtId="165" fontId="7" fillId="0" borderId="2" applyFont="true" applyBorder="true" applyAlignment="true" applyProtection="true">
      <alignment horizontal="center" vertical="center" textRotation="0" wrapText="false" indent="0" shrinkToFit="false"/>
      <protection locked="true" hidden="false"/>
    </xf>
    <xf numFmtId="164" fontId="6" fillId="0" borderId="4" applyFont="true" applyBorder="true" applyAlignment="true" applyProtection="true">
      <alignment horizontal="center" vertical="center" textRotation="0" wrapText="false" indent="0" shrinkToFit="false"/>
      <protection locked="true" hidden="false"/>
    </xf>
    <xf numFmtId="164" fontId="6" fillId="0" borderId="4" applyFont="true" applyBorder="true" applyAlignment="true" applyProtection="true">
      <alignment horizontal="center" vertical="center" textRotation="0" wrapText="false" indent="0" shrinkToFit="false"/>
      <protection locked="true" hidden="false"/>
    </xf>
    <xf numFmtId="164" fontId="6" fillId="0" borderId="3" applyFont="true" applyBorder="true" applyAlignment="true" applyProtection="true">
      <alignment horizontal="left" vertical="center" textRotation="0" wrapText="false" indent="0" shrinkToFit="false"/>
      <protection locked="true" hidden="false"/>
    </xf>
    <xf numFmtId="164" fontId="6" fillId="0" borderId="3" applyFont="true" applyBorder="true" applyAlignment="true" applyProtection="true">
      <alignment horizontal="left" vertical="center" textRotation="0" wrapText="false" indent="0" shrinkToFit="false"/>
      <protection locked="true" hidden="false"/>
    </xf>
    <xf numFmtId="164" fontId="15" fillId="0" borderId="2" applyFont="true" applyBorder="true" applyAlignment="true" applyProtection="true">
      <alignment horizontal="general" vertical="bottom" textRotation="0" wrapText="false" indent="0" shrinkToFit="false"/>
      <protection locked="true" hidden="false"/>
    </xf>
  </cellStyleXfs>
  <cellXfs count="69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94" applyFont="false" applyBorder="false" applyAlignment="false" applyProtection="false">
      <alignment horizontal="general" vertical="bottom" textRotation="0" wrapText="false" indent="0" shrinkToFit="false"/>
      <protection locked="true" hidden="false"/>
    </xf>
    <xf numFmtId="164" fontId="4" fillId="4" borderId="0" xfId="94" applyFont="false" applyBorder="false" applyAlignment="false" applyProtection="false">
      <alignment horizontal="general" vertical="bottom" textRotation="0" wrapText="false" indent="0" shrinkToFit="false"/>
      <protection locked="true" hidden="false"/>
    </xf>
    <xf numFmtId="164" fontId="16" fillId="0" borderId="0" xfId="94" applyFont="true" applyBorder="true" applyAlignment="true" applyProtection="false">
      <alignment horizontal="left" vertical="center" textRotation="0" wrapText="false" indent="0" shrinkToFit="false"/>
      <protection locked="true" hidden="false"/>
    </xf>
    <xf numFmtId="164" fontId="17" fillId="5" borderId="7" xfId="94" applyFont="true" applyBorder="true" applyAlignment="true" applyProtection="false">
      <alignment horizontal="center" vertical="center" textRotation="0" wrapText="true" indent="0" shrinkToFit="false"/>
      <protection locked="true" hidden="false"/>
    </xf>
    <xf numFmtId="164" fontId="17" fillId="5" borderId="8" xfId="94" applyFont="true" applyBorder="true" applyAlignment="true" applyProtection="false">
      <alignment horizontal="center" vertical="center" textRotation="0" wrapText="true" indent="0" shrinkToFit="false"/>
      <protection locked="true" hidden="false"/>
    </xf>
    <xf numFmtId="164" fontId="18" fillId="0" borderId="0" xfId="94" applyFont="true" applyBorder="false" applyAlignment="true" applyProtection="false">
      <alignment horizontal="center" vertical="center" textRotation="0" wrapText="false" indent="0" shrinkToFit="false"/>
      <protection locked="true" hidden="false"/>
    </xf>
    <xf numFmtId="164" fontId="17" fillId="5" borderId="8" xfId="94" applyFont="true" applyBorder="true" applyAlignment="true" applyProtection="false">
      <alignment horizontal="center" vertical="center" textRotation="0" wrapText="false" indent="0" shrinkToFit="false"/>
      <protection locked="true" hidden="false"/>
    </xf>
    <xf numFmtId="164" fontId="17" fillId="4" borderId="0" xfId="94" applyFont="true" applyBorder="false" applyAlignment="true" applyProtection="false">
      <alignment horizontal="general" vertical="center" textRotation="0" wrapText="true" indent="0" shrinkToFit="false"/>
      <protection locked="true" hidden="false"/>
    </xf>
    <xf numFmtId="164" fontId="17" fillId="4" borderId="0" xfId="94" applyFont="true" applyBorder="false" applyAlignment="true" applyProtection="false">
      <alignment horizontal="general" vertical="center" textRotation="0" wrapText="false" indent="0" shrinkToFit="false"/>
      <protection locked="true" hidden="false"/>
    </xf>
    <xf numFmtId="164" fontId="17" fillId="0" borderId="0" xfId="94" applyFont="true" applyBorder="false" applyAlignment="true" applyProtection="false">
      <alignment horizontal="general" vertical="center"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9" xfId="0" applyFont="false" applyBorder="true" applyAlignment="false" applyProtection="false">
      <alignment horizontal="general" vertical="bottom" textRotation="0" wrapText="false" indent="0" shrinkToFit="false"/>
      <protection locked="true" hidden="false"/>
    </xf>
    <xf numFmtId="164" fontId="0" fillId="0" borderId="10" xfId="0" applyFont="false" applyBorder="true" applyAlignment="false" applyProtection="false">
      <alignment horizontal="general" vertical="bottom" textRotation="0" wrapText="false" indent="0" shrinkToFit="false"/>
      <protection locked="true" hidden="false"/>
    </xf>
    <xf numFmtId="164" fontId="19" fillId="0" borderId="0" xfId="94" applyFont="true" applyBorder="false" applyAlignment="true" applyProtection="false">
      <alignment horizontal="center" vertical="center" textRotation="0" wrapText="tru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19" fillId="4" borderId="0" xfId="94" applyFont="true" applyBorder="false" applyAlignment="true" applyProtection="false">
      <alignment horizontal="center" vertical="center" textRotation="0" wrapText="true" indent="0" shrinkToFit="false"/>
      <protection locked="true" hidden="false"/>
    </xf>
    <xf numFmtId="164" fontId="4" fillId="0" borderId="0" xfId="94" applyFont="false" applyBorder="false" applyAlignment="true" applyProtection="false">
      <alignment horizontal="general" vertical="center" textRotation="0" wrapText="false" indent="0" shrinkToFit="false"/>
      <protection locked="true" hidden="false"/>
    </xf>
    <xf numFmtId="169" fontId="20" fillId="4" borderId="0" xfId="94" applyFont="true" applyBorder="false" applyAlignment="true" applyProtection="false">
      <alignment horizontal="left" vertical="center" textRotation="0" wrapText="false" indent="0" shrinkToFit="false"/>
      <protection locked="true" hidden="false"/>
    </xf>
    <xf numFmtId="169" fontId="19" fillId="4" borderId="0" xfId="94" applyFont="true" applyBorder="false" applyAlignment="true" applyProtection="false">
      <alignment horizontal="center" vertical="center" textRotation="0" wrapText="false" indent="0" shrinkToFit="false"/>
      <protection locked="true" hidden="false"/>
    </xf>
    <xf numFmtId="164" fontId="21" fillId="4" borderId="11" xfId="94" applyFont="true" applyBorder="true" applyAlignment="true" applyProtection="false">
      <alignment horizontal="center" vertical="center" textRotation="0" wrapText="false" indent="0" shrinkToFit="false"/>
      <protection locked="true" hidden="false"/>
    </xf>
    <xf numFmtId="164" fontId="22" fillId="0" borderId="0" xfId="94" applyFont="true" applyBorder="false" applyAlignment="true" applyProtection="false">
      <alignment horizontal="center" vertical="center" textRotation="0" wrapText="true" indent="0" shrinkToFit="false"/>
      <protection locked="true" hidden="false"/>
    </xf>
    <xf numFmtId="164" fontId="22" fillId="6" borderId="12" xfId="94" applyFont="true" applyBorder="true" applyAlignment="true" applyProtection="false">
      <alignment horizontal="center" vertical="center" textRotation="0" wrapText="true" indent="0" shrinkToFit="false"/>
      <protection locked="true" hidden="false"/>
    </xf>
    <xf numFmtId="164" fontId="22" fillId="6" borderId="13" xfId="94" applyFont="true" applyBorder="true" applyAlignment="true" applyProtection="false">
      <alignment horizontal="center" vertical="center" textRotation="0" wrapText="true" indent="0" shrinkToFit="false"/>
      <protection locked="true" hidden="false"/>
    </xf>
    <xf numFmtId="164" fontId="22" fillId="6" borderId="14" xfId="94" applyFont="true" applyBorder="true" applyAlignment="true" applyProtection="false">
      <alignment horizontal="center" vertical="center" textRotation="0" wrapText="true" indent="0" shrinkToFit="false"/>
      <protection locked="true" hidden="false"/>
    </xf>
    <xf numFmtId="164" fontId="22" fillId="6" borderId="15" xfId="94" applyFont="true" applyBorder="true" applyAlignment="true" applyProtection="false">
      <alignment horizontal="center" vertical="center" textRotation="0" wrapText="true" indent="0" shrinkToFit="false"/>
      <protection locked="true" hidden="false"/>
    </xf>
    <xf numFmtId="164" fontId="22" fillId="0" borderId="10" xfId="94" applyFont="true" applyBorder="true" applyAlignment="true" applyProtection="false">
      <alignment horizontal="general" vertical="center" textRotation="0" wrapText="true" indent="0" shrinkToFit="false"/>
      <protection locked="true" hidden="false"/>
    </xf>
    <xf numFmtId="164" fontId="22" fillId="6" borderId="16" xfId="94" applyFont="true" applyBorder="true" applyAlignment="true" applyProtection="false">
      <alignment horizontal="center" vertical="center" textRotation="0" wrapText="true" indent="0" shrinkToFit="false"/>
      <protection locked="true" hidden="false"/>
    </xf>
    <xf numFmtId="164" fontId="4" fillId="4" borderId="0" xfId="94" applyFont="false" applyBorder="false" applyAlignment="true" applyProtection="false">
      <alignment horizontal="general" vertical="center" textRotation="0" wrapText="false" indent="0" shrinkToFit="false"/>
      <protection locked="true" hidden="false"/>
    </xf>
    <xf numFmtId="164" fontId="22" fillId="4" borderId="0" xfId="94" applyFont="true" applyBorder="false" applyAlignment="true" applyProtection="false">
      <alignment horizontal="general" vertical="center" textRotation="0" wrapText="true" indent="0" shrinkToFit="false"/>
      <protection locked="true" hidden="false"/>
    </xf>
    <xf numFmtId="164" fontId="22" fillId="0" borderId="0" xfId="94" applyFont="true" applyBorder="false" applyAlignment="true" applyProtection="false">
      <alignment horizontal="general" vertical="center" textRotation="0" wrapText="true" indent="0" shrinkToFit="false"/>
      <protection locked="true" hidden="false"/>
    </xf>
    <xf numFmtId="164" fontId="23" fillId="4" borderId="0" xfId="94" applyFont="true" applyBorder="false" applyAlignment="true" applyProtection="false">
      <alignment horizontal="general" vertical="center" textRotation="0" wrapText="true" indent="0" shrinkToFit="false"/>
      <protection locked="true" hidden="false"/>
    </xf>
    <xf numFmtId="164" fontId="24" fillId="0" borderId="17" xfId="94" applyFont="true" applyBorder="true" applyAlignment="true" applyProtection="false">
      <alignment horizontal="center" vertical="center" textRotation="0" wrapText="true" indent="0" shrinkToFit="false"/>
      <protection locked="true" hidden="false"/>
    </xf>
    <xf numFmtId="164" fontId="21" fillId="0" borderId="18" xfId="94" applyFont="true" applyBorder="true" applyAlignment="true" applyProtection="false">
      <alignment horizontal="center" vertical="center" textRotation="0" wrapText="true" indent="0" shrinkToFit="false"/>
      <protection locked="true" hidden="false"/>
    </xf>
    <xf numFmtId="164" fontId="4" fillId="4" borderId="19" xfId="94" applyFont="true" applyBorder="true" applyAlignment="true" applyProtection="false">
      <alignment horizontal="center" vertical="center" textRotation="0" wrapText="true" indent="0" shrinkToFit="false"/>
      <protection locked="true" hidden="false"/>
    </xf>
    <xf numFmtId="164" fontId="4" fillId="0" borderId="0" xfId="94" applyFont="false" applyBorder="false" applyAlignment="true" applyProtection="false">
      <alignment horizontal="center" vertical="center" textRotation="0" wrapText="true" indent="0" shrinkToFit="false"/>
      <protection locked="true" hidden="false"/>
    </xf>
    <xf numFmtId="164" fontId="4" fillId="4" borderId="20" xfId="94" applyFont="true" applyBorder="true" applyAlignment="true" applyProtection="false">
      <alignment horizontal="center" vertical="center" textRotation="0" wrapText="true" indent="0" shrinkToFit="false"/>
      <protection locked="true" hidden="false"/>
    </xf>
    <xf numFmtId="164" fontId="4" fillId="0" borderId="0" xfId="94" applyFont="false" applyBorder="false" applyAlignment="true" applyProtection="false">
      <alignment horizontal="center" vertical="center" textRotation="0" wrapText="false" indent="0" shrinkToFit="false"/>
      <protection locked="true" hidden="false"/>
    </xf>
    <xf numFmtId="164" fontId="4" fillId="4" borderId="21" xfId="94" applyFont="true" applyBorder="true" applyAlignment="true" applyProtection="false">
      <alignment horizontal="center" vertical="center" textRotation="0" wrapText="false" indent="0" shrinkToFit="false"/>
      <protection locked="true" hidden="false"/>
    </xf>
    <xf numFmtId="164" fontId="4" fillId="4" borderId="22" xfId="94" applyFont="true" applyBorder="true" applyAlignment="true" applyProtection="false">
      <alignment horizontal="center" vertical="center" textRotation="0" wrapText="false" indent="0" shrinkToFit="false"/>
      <protection locked="true" hidden="false"/>
    </xf>
    <xf numFmtId="164" fontId="4" fillId="4" borderId="22" xfId="94" applyFont="true" applyBorder="true" applyAlignment="true" applyProtection="false">
      <alignment horizontal="center" vertical="center" textRotation="0" wrapText="true" indent="0" shrinkToFit="false"/>
      <protection locked="true" hidden="false"/>
    </xf>
    <xf numFmtId="164" fontId="4" fillId="4" borderId="23" xfId="94" applyFont="true" applyBorder="true" applyAlignment="true" applyProtection="false">
      <alignment horizontal="center" vertical="center" textRotation="0" wrapText="true" indent="0" shrinkToFit="false"/>
      <protection locked="true" hidden="false"/>
    </xf>
    <xf numFmtId="164" fontId="4" fillId="0" borderId="10" xfId="94" applyFont="false" applyBorder="true" applyAlignment="true" applyProtection="false">
      <alignment horizontal="center" vertical="center" textRotation="0" wrapText="false" indent="0" shrinkToFit="false"/>
      <protection locked="true" hidden="false"/>
    </xf>
    <xf numFmtId="164" fontId="4" fillId="4" borderId="24" xfId="94" applyFont="true" applyBorder="true" applyAlignment="true" applyProtection="false">
      <alignment horizontal="center" vertical="center" textRotation="0" wrapText="true" indent="0" shrinkToFit="false"/>
      <protection locked="true" hidden="false"/>
    </xf>
    <xf numFmtId="164" fontId="4" fillId="4" borderId="25" xfId="94" applyFont="true" applyBorder="true" applyAlignment="true" applyProtection="false">
      <alignment horizontal="center" vertical="center" textRotation="0" wrapText="true" indent="0" shrinkToFit="false"/>
      <protection locked="true" hidden="false"/>
    </xf>
    <xf numFmtId="164" fontId="4" fillId="4" borderId="0" xfId="94" applyFont="false" applyBorder="false" applyAlignment="true" applyProtection="false">
      <alignment horizontal="general" vertical="center" textRotation="0" wrapText="true" indent="0" shrinkToFit="false"/>
      <protection locked="true" hidden="false"/>
    </xf>
    <xf numFmtId="164" fontId="4" fillId="4" borderId="26" xfId="94" applyFont="false" applyBorder="true" applyAlignment="true" applyProtection="false">
      <alignment horizontal="general" vertical="center" textRotation="0" wrapText="false" indent="0" shrinkToFit="false"/>
      <protection locked="true" hidden="false"/>
    </xf>
    <xf numFmtId="164" fontId="4" fillId="4" borderId="27" xfId="94" applyFont="false" applyBorder="true" applyAlignment="true" applyProtection="false">
      <alignment horizontal="general" vertical="center" textRotation="0" wrapText="false" indent="0" shrinkToFit="false"/>
      <protection locked="true" hidden="false"/>
    </xf>
    <xf numFmtId="164" fontId="28" fillId="4" borderId="26" xfId="94" applyFont="true" applyBorder="true" applyAlignment="true" applyProtection="false">
      <alignment horizontal="general" vertical="center" textRotation="0" wrapText="false" indent="0" shrinkToFit="false"/>
      <protection locked="true" hidden="false"/>
    </xf>
    <xf numFmtId="164" fontId="4" fillId="4" borderId="28" xfId="94" applyFont="true" applyBorder="true" applyAlignment="true" applyProtection="false">
      <alignment horizontal="left" vertical="center" textRotation="0" wrapText="true" indent="0" shrinkToFit="false"/>
      <protection locked="true" hidden="false"/>
    </xf>
    <xf numFmtId="164" fontId="29" fillId="4" borderId="0" xfId="94" applyFont="true" applyBorder="false" applyAlignment="true" applyProtection="false">
      <alignment horizontal="general" vertical="center" textRotation="0" wrapText="false" indent="0" shrinkToFit="false"/>
      <protection locked="true" hidden="false"/>
    </xf>
    <xf numFmtId="164" fontId="28" fillId="4" borderId="29" xfId="94" applyFont="true" applyBorder="true" applyAlignment="true" applyProtection="false">
      <alignment horizontal="general" vertical="center" textRotation="0" wrapText="false" indent="0" shrinkToFit="false"/>
      <protection locked="true" hidden="false"/>
    </xf>
    <xf numFmtId="164" fontId="4" fillId="4" borderId="30" xfId="94" applyFont="false" applyBorder="true" applyAlignment="true" applyProtection="false">
      <alignment horizontal="general" vertical="center" textRotation="0" wrapText="false" indent="0" shrinkToFit="false"/>
      <protection locked="true" hidden="false"/>
    </xf>
    <xf numFmtId="164" fontId="4" fillId="4" borderId="0" xfId="94" applyFont="false" applyBorder="false" applyAlignment="true" applyProtection="false">
      <alignment horizontal="general" vertical="top" textRotation="0" wrapText="false" indent="0" shrinkToFit="false"/>
      <protection locked="true" hidden="false"/>
    </xf>
    <xf numFmtId="164" fontId="30" fillId="7" borderId="31" xfId="94" applyFont="true" applyBorder="true" applyAlignment="true" applyProtection="false">
      <alignment horizontal="center" vertical="center" textRotation="0" wrapText="true" indent="0" shrinkToFit="false"/>
      <protection locked="true" hidden="false"/>
    </xf>
    <xf numFmtId="164" fontId="28" fillId="4" borderId="32" xfId="94" applyFont="true" applyBorder="true" applyAlignment="true" applyProtection="false">
      <alignment horizontal="center" vertical="center" textRotation="0" wrapText="true" indent="0" shrinkToFit="false"/>
      <protection locked="true" hidden="false"/>
    </xf>
    <xf numFmtId="164" fontId="4" fillId="4" borderId="33" xfId="94" applyFont="true" applyBorder="true" applyAlignment="true" applyProtection="false">
      <alignment horizontal="center" vertical="center" textRotation="0" wrapText="false" indent="0" shrinkToFit="false"/>
      <protection locked="true" hidden="false"/>
    </xf>
    <xf numFmtId="164" fontId="28" fillId="4" borderId="34" xfId="94" applyFont="true" applyBorder="true" applyAlignment="true" applyProtection="false">
      <alignment horizontal="center" vertical="center" textRotation="0" wrapText="false" indent="0" shrinkToFit="false"/>
      <protection locked="true" hidden="false"/>
    </xf>
    <xf numFmtId="164" fontId="4" fillId="4" borderId="35" xfId="94" applyFont="true" applyBorder="true" applyAlignment="true" applyProtection="false">
      <alignment horizontal="center" vertical="center" textRotation="0" wrapText="false" indent="0" shrinkToFit="false"/>
      <protection locked="true" hidden="false"/>
    </xf>
    <xf numFmtId="164" fontId="4" fillId="4" borderId="35" xfId="94" applyFont="true" applyBorder="true" applyAlignment="true" applyProtection="false">
      <alignment horizontal="center" vertical="center" textRotation="0" wrapText="true" indent="0" shrinkToFit="false"/>
      <protection locked="true" hidden="false"/>
    </xf>
    <xf numFmtId="164" fontId="4" fillId="4" borderId="36" xfId="94" applyFont="true" applyBorder="true" applyAlignment="true" applyProtection="false">
      <alignment horizontal="center" vertical="center" textRotation="0" wrapText="true" indent="0" shrinkToFit="false"/>
      <protection locked="true" hidden="false"/>
    </xf>
    <xf numFmtId="164" fontId="28" fillId="4" borderId="34" xfId="94" applyFont="true" applyBorder="true" applyAlignment="true" applyProtection="false">
      <alignment horizontal="center" vertical="center" textRotation="0" wrapText="true" indent="0" shrinkToFit="false"/>
      <protection locked="true" hidden="false"/>
    </xf>
    <xf numFmtId="164" fontId="28" fillId="4" borderId="37" xfId="94" applyFont="true" applyBorder="true" applyAlignment="true" applyProtection="false">
      <alignment horizontal="center" vertical="center" textRotation="0" wrapText="true" indent="0" shrinkToFit="false"/>
      <protection locked="true" hidden="false"/>
    </xf>
    <xf numFmtId="164" fontId="4" fillId="4" borderId="20" xfId="94" applyFont="true" applyBorder="true" applyAlignment="true" applyProtection="false">
      <alignment horizontal="center" vertical="center" textRotation="0" wrapText="false" indent="0" shrinkToFit="false"/>
      <protection locked="true" hidden="false"/>
    </xf>
    <xf numFmtId="164" fontId="28" fillId="4" borderId="38" xfId="94" applyFont="true" applyBorder="true" applyAlignment="true" applyProtection="false">
      <alignment horizontal="center" vertical="center" textRotation="0" wrapText="false" indent="0" shrinkToFit="false"/>
      <protection locked="true" hidden="false"/>
    </xf>
    <xf numFmtId="164" fontId="4" fillId="4" borderId="39" xfId="94" applyFont="true" applyBorder="true" applyAlignment="true" applyProtection="false">
      <alignment horizontal="center" vertical="center" textRotation="0" wrapText="false" indent="0" shrinkToFit="false"/>
      <protection locked="true" hidden="false"/>
    </xf>
    <xf numFmtId="164" fontId="4" fillId="4" borderId="39" xfId="94" applyFont="true" applyBorder="true" applyAlignment="true" applyProtection="false">
      <alignment horizontal="center" vertical="center" textRotation="0" wrapText="true" indent="0" shrinkToFit="false"/>
      <protection locked="true" hidden="false"/>
    </xf>
    <xf numFmtId="164" fontId="4" fillId="4" borderId="40" xfId="94" applyFont="true" applyBorder="true" applyAlignment="true" applyProtection="false">
      <alignment horizontal="center" vertical="center" textRotation="0" wrapText="true" indent="0" shrinkToFit="false"/>
      <protection locked="true" hidden="false"/>
    </xf>
    <xf numFmtId="164" fontId="28" fillId="4" borderId="38" xfId="94" applyFont="true" applyBorder="true" applyAlignment="true" applyProtection="false">
      <alignment horizontal="center" vertical="center" textRotation="0" wrapText="true" indent="0" shrinkToFit="false"/>
      <protection locked="true" hidden="false"/>
    </xf>
    <xf numFmtId="164" fontId="4" fillId="4" borderId="22" xfId="94" applyFont="false" applyBorder="true" applyAlignment="true" applyProtection="false">
      <alignment horizontal="center" vertical="center" textRotation="0" wrapText="true" indent="0" shrinkToFit="false"/>
      <protection locked="true" hidden="false"/>
    </xf>
    <xf numFmtId="164" fontId="4" fillId="4" borderId="41" xfId="94" applyFont="false" applyBorder="true" applyAlignment="true" applyProtection="false">
      <alignment horizontal="center" vertical="center" textRotation="0" wrapText="true" indent="0" shrinkToFit="false"/>
      <protection locked="true" hidden="false"/>
    </xf>
    <xf numFmtId="164" fontId="4" fillId="4" borderId="42" xfId="94" applyFont="false" applyBorder="true" applyAlignment="true" applyProtection="false">
      <alignment horizontal="center" vertical="center" textRotation="0" wrapText="true" indent="0" shrinkToFit="false"/>
      <protection locked="true" hidden="false"/>
    </xf>
    <xf numFmtId="164" fontId="30" fillId="7" borderId="43" xfId="94" applyFont="true" applyBorder="true" applyAlignment="true" applyProtection="false">
      <alignment horizontal="center" vertical="center" textRotation="0" wrapText="true" indent="0" shrinkToFit="false"/>
      <protection locked="true" hidden="false"/>
    </xf>
    <xf numFmtId="164" fontId="4" fillId="4" borderId="44" xfId="94" applyFont="true" applyBorder="true" applyAlignment="true" applyProtection="false">
      <alignment horizontal="center" vertical="center" textRotation="0" wrapText="true" indent="0" shrinkToFit="false"/>
      <protection locked="true" hidden="false"/>
    </xf>
    <xf numFmtId="164" fontId="4" fillId="0" borderId="26" xfId="94" applyFont="false" applyBorder="true" applyAlignment="true" applyProtection="false">
      <alignment horizontal="center" vertical="center" textRotation="0" wrapText="true" indent="0" shrinkToFit="false"/>
      <protection locked="true" hidden="false"/>
    </xf>
    <xf numFmtId="164" fontId="4" fillId="4" borderId="44" xfId="94" applyFont="true" applyBorder="true" applyAlignment="true" applyProtection="false">
      <alignment horizontal="center" vertical="center" textRotation="0" wrapText="false" indent="0" shrinkToFit="false"/>
      <protection locked="true" hidden="false"/>
    </xf>
    <xf numFmtId="164" fontId="4" fillId="4" borderId="45" xfId="94" applyFont="true" applyBorder="true" applyAlignment="true" applyProtection="false">
      <alignment horizontal="center" vertical="center" textRotation="0" wrapText="true" indent="0" shrinkToFit="false"/>
      <protection locked="true" hidden="false"/>
    </xf>
    <xf numFmtId="164" fontId="4" fillId="4" borderId="46" xfId="94" applyFont="true" applyBorder="true" applyAlignment="true" applyProtection="false">
      <alignment horizontal="center" vertical="center" textRotation="0" wrapText="true" indent="0" shrinkToFit="false"/>
      <protection locked="true" hidden="false"/>
    </xf>
    <xf numFmtId="164" fontId="4" fillId="4" borderId="46" xfId="94" applyFont="true" applyBorder="true" applyAlignment="true" applyProtection="false">
      <alignment horizontal="center" vertical="center" textRotation="0" wrapText="false" indent="0" shrinkToFit="false"/>
      <protection locked="true" hidden="false"/>
    </xf>
    <xf numFmtId="164" fontId="4" fillId="4" borderId="47" xfId="94" applyFont="true" applyBorder="true" applyAlignment="true" applyProtection="false">
      <alignment horizontal="center" vertical="center" textRotation="0" wrapText="false" indent="0" shrinkToFit="false"/>
      <protection locked="true" hidden="false"/>
    </xf>
    <xf numFmtId="164" fontId="4" fillId="4" borderId="0" xfId="94" applyFont="false" applyBorder="false" applyAlignment="true" applyProtection="false">
      <alignment horizontal="center" vertical="center" textRotation="0" wrapText="true" indent="0" shrinkToFit="false"/>
      <protection locked="true" hidden="false"/>
    </xf>
    <xf numFmtId="164" fontId="4" fillId="4" borderId="48" xfId="94" applyFont="true" applyBorder="true" applyAlignment="true" applyProtection="false">
      <alignment horizontal="center" vertical="center" textRotation="0" wrapText="true" indent="0" shrinkToFit="false"/>
      <protection locked="true" hidden="false"/>
    </xf>
    <xf numFmtId="164" fontId="4" fillId="4" borderId="45" xfId="94" applyFont="true" applyBorder="true" applyAlignment="true" applyProtection="false">
      <alignment horizontal="left" vertical="center" textRotation="0" wrapText="true" indent="0" shrinkToFit="false"/>
      <protection locked="true" hidden="false"/>
    </xf>
    <xf numFmtId="164" fontId="4" fillId="4" borderId="47" xfId="94" applyFont="true" applyBorder="true" applyAlignment="true" applyProtection="false">
      <alignment horizontal="center" vertical="center" textRotation="0" wrapText="true" indent="0" shrinkToFit="false"/>
      <protection locked="true" hidden="false"/>
    </xf>
    <xf numFmtId="164" fontId="30" fillId="7" borderId="9" xfId="94" applyFont="true" applyBorder="true" applyAlignment="true" applyProtection="false">
      <alignment horizontal="center" vertical="center" textRotation="0" wrapText="true" indent="0" shrinkToFit="false"/>
      <protection locked="true" hidden="false"/>
    </xf>
    <xf numFmtId="164" fontId="4" fillId="4" borderId="49" xfId="94" applyFont="true" applyBorder="true" applyAlignment="true" applyProtection="false">
      <alignment horizontal="center" vertical="center" textRotation="0" wrapText="false" indent="0" shrinkToFit="false"/>
      <protection locked="true" hidden="false"/>
    </xf>
    <xf numFmtId="164" fontId="4" fillId="0" borderId="26" xfId="94" applyFont="false" applyBorder="true" applyAlignment="true" applyProtection="false">
      <alignment horizontal="center" vertical="center" textRotation="0" wrapText="false" indent="0" shrinkToFit="false"/>
      <protection locked="true" hidden="false"/>
    </xf>
    <xf numFmtId="164" fontId="4" fillId="4" borderId="45" xfId="94" applyFont="true" applyBorder="true" applyAlignment="true" applyProtection="false">
      <alignment horizontal="center" vertical="center" textRotation="0" wrapText="false" indent="0" shrinkToFit="false"/>
      <protection locked="true" hidden="false"/>
    </xf>
    <xf numFmtId="164" fontId="4" fillId="4" borderId="0" xfId="94" applyFont="false" applyBorder="false" applyAlignment="true" applyProtection="false">
      <alignment horizontal="center" vertical="center" textRotation="0" wrapText="false" indent="0" shrinkToFit="false"/>
      <protection locked="true" hidden="false"/>
    </xf>
    <xf numFmtId="164" fontId="26" fillId="0" borderId="0" xfId="94" applyFont="true" applyBorder="false" applyAlignment="true" applyProtection="false">
      <alignment horizontal="center" vertical="center" textRotation="0" wrapText="true" indent="0" shrinkToFit="false"/>
      <protection locked="true" hidden="false"/>
    </xf>
    <xf numFmtId="164" fontId="30" fillId="7" borderId="50" xfId="94" applyFont="true" applyBorder="true" applyAlignment="true" applyProtection="false">
      <alignment horizontal="center" vertical="center" textRotation="0" wrapText="true" indent="0" shrinkToFit="false"/>
      <protection locked="true" hidden="false"/>
    </xf>
    <xf numFmtId="164" fontId="4" fillId="4" borderId="49" xfId="94" applyFont="true" applyBorder="true" applyAlignment="true" applyProtection="false">
      <alignment horizontal="center" vertical="center" textRotation="0" wrapText="true" indent="0" shrinkToFit="false"/>
      <protection locked="true" hidden="false"/>
    </xf>
    <xf numFmtId="164" fontId="4" fillId="4" borderId="51" xfId="94" applyFont="true" applyBorder="true" applyAlignment="true" applyProtection="false">
      <alignment horizontal="center" vertical="center" textRotation="0" wrapText="true" indent="0" shrinkToFit="false"/>
      <protection locked="true" hidden="false"/>
    </xf>
    <xf numFmtId="164" fontId="4" fillId="4" borderId="52" xfId="94" applyFont="true" applyBorder="true" applyAlignment="true" applyProtection="false">
      <alignment horizontal="center" vertical="center" textRotation="0" wrapText="true" indent="0" shrinkToFit="false"/>
      <protection locked="true" hidden="false"/>
    </xf>
    <xf numFmtId="164" fontId="28" fillId="4" borderId="51" xfId="94" applyFont="true" applyBorder="true" applyAlignment="true" applyProtection="false">
      <alignment horizontal="center" vertical="center" textRotation="0" wrapText="true" indent="0" shrinkToFit="false"/>
      <protection locked="true" hidden="false"/>
    </xf>
    <xf numFmtId="164" fontId="19" fillId="4" borderId="0" xfId="94" applyFont="true" applyBorder="false" applyAlignment="true" applyProtection="false">
      <alignment horizontal="left" vertical="center" textRotation="0" wrapText="false" indent="0" shrinkToFit="false"/>
      <protection locked="true" hidden="false"/>
    </xf>
    <xf numFmtId="164" fontId="34" fillId="4" borderId="0" xfId="94" applyFont="true" applyBorder="false" applyAlignment="true" applyProtection="false">
      <alignment horizontal="general" vertical="center" textRotation="0" wrapText="false" indent="0" shrinkToFit="false"/>
      <protection locked="true" hidden="false"/>
    </xf>
    <xf numFmtId="164" fontId="18" fillId="5" borderId="53" xfId="94" applyFont="true" applyBorder="true" applyAlignment="true" applyProtection="false">
      <alignment horizontal="center" vertical="center" textRotation="0" wrapText="true" indent="0" shrinkToFit="false"/>
      <protection locked="true" hidden="false"/>
    </xf>
    <xf numFmtId="164" fontId="18" fillId="8" borderId="53" xfId="94" applyFont="true" applyBorder="true" applyAlignment="true" applyProtection="false">
      <alignment horizontal="center" vertical="center" textRotation="0" wrapText="true" indent="0" shrinkToFit="false"/>
      <protection locked="true" hidden="false"/>
    </xf>
    <xf numFmtId="164" fontId="35" fillId="4" borderId="0" xfId="94" applyFont="true" applyBorder="false" applyAlignment="false" applyProtection="false">
      <alignment horizontal="general" vertical="bottom" textRotation="0" wrapText="false" indent="0" shrinkToFit="false"/>
      <protection locked="true" hidden="false"/>
    </xf>
    <xf numFmtId="164" fontId="36" fillId="4" borderId="0" xfId="94" applyFont="true" applyBorder="false" applyAlignment="true" applyProtection="false">
      <alignment horizontal="general" vertical="center" textRotation="0" wrapText="false" indent="0" shrinkToFit="false"/>
      <protection locked="true" hidden="false"/>
    </xf>
    <xf numFmtId="164" fontId="24" fillId="4" borderId="7" xfId="94" applyFont="true" applyBorder="true" applyAlignment="true" applyProtection="false">
      <alignment horizontal="center" vertical="center" textRotation="0" wrapText="false" indent="0" shrinkToFit="false"/>
      <protection locked="true" hidden="false"/>
    </xf>
    <xf numFmtId="164" fontId="18" fillId="5" borderId="7" xfId="94" applyFont="true" applyBorder="true" applyAlignment="true" applyProtection="false">
      <alignment horizontal="center" vertical="center" textRotation="0" wrapText="true" indent="0" shrinkToFit="false"/>
      <protection locked="true" hidden="false"/>
    </xf>
    <xf numFmtId="164" fontId="37" fillId="5" borderId="7" xfId="94" applyFont="true" applyBorder="true" applyAlignment="true" applyProtection="false">
      <alignment horizontal="center" vertical="center" textRotation="0" wrapText="false" indent="0" shrinkToFit="false"/>
      <protection locked="true" hidden="false"/>
    </xf>
    <xf numFmtId="164" fontId="18" fillId="5" borderId="54" xfId="94" applyFont="true" applyBorder="true" applyAlignment="true" applyProtection="false">
      <alignment horizontal="center" vertical="center" textRotation="0" wrapText="true" indent="0" shrinkToFit="false"/>
      <protection locked="true" hidden="false"/>
    </xf>
    <xf numFmtId="164" fontId="18" fillId="0" borderId="0" xfId="94" applyFont="true" applyBorder="false" applyAlignment="true" applyProtection="false">
      <alignment horizontal="center" vertical="center" textRotation="0" wrapText="true" indent="0" shrinkToFit="false"/>
      <protection locked="true" hidden="false"/>
    </xf>
    <xf numFmtId="164" fontId="38" fillId="9" borderId="55" xfId="94" applyFont="true" applyBorder="true" applyAlignment="true" applyProtection="false">
      <alignment horizontal="center" vertical="center" textRotation="0" wrapText="true" indent="0" shrinkToFit="false"/>
      <protection locked="true" hidden="false"/>
    </xf>
    <xf numFmtId="164" fontId="19" fillId="0" borderId="54" xfId="94" applyFont="true" applyBorder="true" applyAlignment="true" applyProtection="false">
      <alignment horizontal="center" vertical="center" textRotation="0" wrapText="true" indent="0" shrinkToFit="false"/>
      <protection locked="true" hidden="false"/>
    </xf>
    <xf numFmtId="164" fontId="19" fillId="0" borderId="56" xfId="94" applyFont="true" applyBorder="true" applyAlignment="true" applyProtection="false">
      <alignment horizontal="center" vertical="center" textRotation="0" wrapText="true" indent="0" shrinkToFit="false"/>
      <protection locked="true" hidden="false"/>
    </xf>
    <xf numFmtId="164" fontId="4" fillId="0" borderId="56" xfId="94" applyFont="false" applyBorder="true" applyAlignment="false" applyProtection="false">
      <alignment horizontal="general" vertical="bottom" textRotation="0" wrapText="false" indent="0" shrinkToFit="false"/>
      <protection locked="true" hidden="false"/>
    </xf>
    <xf numFmtId="164" fontId="37" fillId="0" borderId="0" xfId="94" applyFont="true" applyBorder="false" applyAlignment="true" applyProtection="false">
      <alignment horizontal="center" vertical="bottom" textRotation="0" wrapText="true" indent="0" shrinkToFit="false"/>
      <protection locked="true" hidden="false"/>
    </xf>
    <xf numFmtId="164" fontId="22" fillId="6" borderId="55" xfId="94" applyFont="true" applyBorder="true" applyAlignment="true" applyProtection="false">
      <alignment horizontal="center" vertical="center" textRotation="0" wrapText="true" indent="0" shrinkToFit="false"/>
      <protection locked="true" hidden="false"/>
    </xf>
    <xf numFmtId="164" fontId="22" fillId="6" borderId="54" xfId="94" applyFont="true" applyBorder="true" applyAlignment="true" applyProtection="false">
      <alignment horizontal="center" vertical="center" textRotation="0" wrapText="true" indent="0" shrinkToFit="false"/>
      <protection locked="true" hidden="false"/>
    </xf>
    <xf numFmtId="164" fontId="23" fillId="6" borderId="55" xfId="94" applyFont="true" applyBorder="true" applyAlignment="true" applyProtection="false">
      <alignment horizontal="center" vertical="center" textRotation="0" wrapText="true" indent="0" shrinkToFit="false"/>
      <protection locked="true" hidden="false"/>
    </xf>
    <xf numFmtId="164" fontId="22" fillId="6" borderId="56" xfId="94" applyFont="true" applyBorder="true" applyAlignment="true" applyProtection="false">
      <alignment horizontal="center" vertical="center" textRotation="0" wrapText="true" indent="0" shrinkToFit="false"/>
      <protection locked="true" hidden="false"/>
    </xf>
    <xf numFmtId="164" fontId="23" fillId="6" borderId="57" xfId="94" applyFont="true" applyBorder="true" applyAlignment="true" applyProtection="false">
      <alignment horizontal="center" vertical="center" textRotation="0" wrapText="true" indent="0" shrinkToFit="false"/>
      <protection locked="true" hidden="false"/>
    </xf>
    <xf numFmtId="164" fontId="23" fillId="6" borderId="56" xfId="94" applyFont="true" applyBorder="true" applyAlignment="true" applyProtection="false">
      <alignment horizontal="center" vertical="center" textRotation="0" wrapText="true" indent="0" shrinkToFit="false"/>
      <protection locked="true" hidden="false"/>
    </xf>
    <xf numFmtId="164" fontId="4" fillId="0" borderId="54" xfId="0" applyFont="true" applyBorder="true" applyAlignment="false" applyProtection="false">
      <alignment horizontal="general" vertical="bottom" textRotation="0" wrapText="false" indent="0" shrinkToFit="false"/>
      <protection locked="true" hidden="false"/>
    </xf>
    <xf numFmtId="164" fontId="0" fillId="0" borderId="55" xfId="0" applyFont="false" applyBorder="true" applyAlignment="false" applyProtection="false">
      <alignment horizontal="general" vertical="bottom" textRotation="0" wrapText="false" indent="0" shrinkToFit="false"/>
      <protection locked="true" hidden="false"/>
    </xf>
    <xf numFmtId="164" fontId="0" fillId="0" borderId="54" xfId="0" applyFont="false" applyBorder="true" applyAlignment="false" applyProtection="false">
      <alignment horizontal="general" vertical="bottom" textRotation="0" wrapText="false" indent="0" shrinkToFit="false"/>
      <protection locked="true" hidden="false"/>
    </xf>
    <xf numFmtId="164" fontId="0" fillId="0" borderId="56" xfId="0" applyFont="false" applyBorder="true" applyAlignment="false" applyProtection="false">
      <alignment horizontal="general" vertical="bottom" textRotation="0" wrapText="false" indent="0" shrinkToFit="false"/>
      <protection locked="true" hidden="false"/>
    </xf>
    <xf numFmtId="164" fontId="22" fillId="10" borderId="54" xfId="94" applyFont="true" applyBorder="true" applyAlignment="true" applyProtection="false">
      <alignment horizontal="center" vertical="center" textRotation="0" wrapText="true" indent="0" shrinkToFit="false"/>
      <protection locked="true" hidden="false"/>
    </xf>
    <xf numFmtId="164" fontId="22" fillId="10" borderId="55" xfId="94" applyFont="true" applyBorder="true" applyAlignment="true" applyProtection="false">
      <alignment horizontal="center" vertical="center" textRotation="0" wrapText="true" indent="0" shrinkToFit="false"/>
      <protection locked="true" hidden="false"/>
    </xf>
    <xf numFmtId="165" fontId="22" fillId="10" borderId="55" xfId="94" applyFont="true" applyBorder="true" applyAlignment="true" applyProtection="false">
      <alignment horizontal="center" vertical="center" textRotation="0" wrapText="true" indent="0" shrinkToFit="false"/>
      <protection locked="true" hidden="false"/>
    </xf>
    <xf numFmtId="164" fontId="22" fillId="10" borderId="58" xfId="94" applyFont="true" applyBorder="true" applyAlignment="true" applyProtection="false">
      <alignment horizontal="center" vertical="center" textRotation="0" wrapText="true" indent="0" shrinkToFit="false"/>
      <protection locked="true" hidden="false"/>
    </xf>
    <xf numFmtId="164" fontId="22" fillId="10" borderId="56" xfId="94" applyFont="true" applyBorder="true" applyAlignment="true" applyProtection="false">
      <alignment horizontal="center" vertical="center" textRotation="0" wrapText="true" indent="0" shrinkToFit="false"/>
      <protection locked="true" hidden="false"/>
    </xf>
    <xf numFmtId="164" fontId="22" fillId="10" borderId="59" xfId="94" applyFont="true" applyBorder="true" applyAlignment="true" applyProtection="false">
      <alignment horizontal="center" vertical="center" textRotation="0" wrapText="true" indent="0" shrinkToFit="false"/>
      <protection locked="true" hidden="false"/>
    </xf>
    <xf numFmtId="164" fontId="22" fillId="10" borderId="60" xfId="94" applyFont="true" applyBorder="true" applyAlignment="true" applyProtection="false">
      <alignment horizontal="center" vertical="center" textRotation="0" wrapText="true" indent="0" shrinkToFit="false"/>
      <protection locked="true" hidden="false"/>
    </xf>
    <xf numFmtId="164" fontId="22" fillId="10" borderId="61" xfId="94" applyFont="true" applyBorder="true" applyAlignment="true" applyProtection="false">
      <alignment horizontal="center" vertical="center" textRotation="0" wrapText="true" indent="0" shrinkToFit="false"/>
      <protection locked="true" hidden="false"/>
    </xf>
    <xf numFmtId="164" fontId="22" fillId="11" borderId="54" xfId="94" applyFont="true" applyBorder="true" applyAlignment="true" applyProtection="false">
      <alignment horizontal="center" vertical="center" textRotation="0" wrapText="true" indent="0" shrinkToFit="false"/>
      <protection locked="true" hidden="false"/>
    </xf>
    <xf numFmtId="164" fontId="22" fillId="11" borderId="62" xfId="94" applyFont="true" applyBorder="true" applyAlignment="true" applyProtection="false">
      <alignment horizontal="center" vertical="center" textRotation="0" wrapText="true" indent="0" shrinkToFit="false"/>
      <protection locked="true" hidden="false"/>
    </xf>
    <xf numFmtId="164" fontId="22" fillId="11" borderId="63" xfId="94" applyFont="true" applyBorder="true" applyAlignment="true" applyProtection="false">
      <alignment horizontal="center" vertical="center" textRotation="0" wrapText="true" indent="0" shrinkToFit="false"/>
      <protection locked="true" hidden="false"/>
    </xf>
    <xf numFmtId="164" fontId="22" fillId="11" borderId="56" xfId="94" applyFont="true" applyBorder="true" applyAlignment="true" applyProtection="false">
      <alignment horizontal="center" vertical="center" textRotation="0" wrapText="true" indent="0" shrinkToFit="false"/>
      <protection locked="true" hidden="false"/>
    </xf>
    <xf numFmtId="164" fontId="22" fillId="11" borderId="64" xfId="94" applyFont="true" applyBorder="true" applyAlignment="true" applyProtection="false">
      <alignment horizontal="center" vertical="center" textRotation="0" wrapText="true" indent="0" shrinkToFit="false"/>
      <protection locked="true" hidden="false"/>
    </xf>
    <xf numFmtId="170" fontId="4" fillId="0" borderId="54" xfId="94" applyFont="true" applyBorder="true" applyAlignment="true" applyProtection="false">
      <alignment horizontal="center" vertical="bottom" textRotation="0" wrapText="false" indent="0" shrinkToFit="false"/>
      <protection locked="true" hidden="false"/>
    </xf>
    <xf numFmtId="164" fontId="4" fillId="0" borderId="55" xfId="21" applyFont="true" applyBorder="true" applyAlignment="true" applyProtection="false">
      <alignment horizontal="center" vertical="bottom" textRotation="0" wrapText="false" indent="0" shrinkToFit="false"/>
      <protection locked="true" hidden="false"/>
    </xf>
    <xf numFmtId="171" fontId="4" fillId="0" borderId="55" xfId="15" applyFont="true" applyBorder="true" applyAlignment="true" applyProtection="true">
      <alignment horizontal="center" vertical="center" textRotation="0" wrapText="false" indent="0" shrinkToFit="false"/>
      <protection locked="true" hidden="false"/>
    </xf>
    <xf numFmtId="170" fontId="4" fillId="0" borderId="0" xfId="21" applyFont="false" applyBorder="false" applyAlignment="true" applyProtection="false">
      <alignment horizontal="center" vertical="bottom" textRotation="0" wrapText="false" indent="0" shrinkToFit="false"/>
      <protection locked="true" hidden="false"/>
    </xf>
    <xf numFmtId="165" fontId="4" fillId="0" borderId="54" xfId="21" applyFont="false" applyBorder="true" applyAlignment="true" applyProtection="false">
      <alignment horizontal="center" vertical="bottom" textRotation="0" wrapText="false" indent="0" shrinkToFit="false"/>
      <protection locked="true" hidden="false"/>
    </xf>
    <xf numFmtId="165" fontId="4" fillId="0" borderId="56" xfId="21" applyFont="false" applyBorder="true" applyAlignment="true" applyProtection="false">
      <alignment horizontal="center" vertical="bottom" textRotation="0" wrapText="false" indent="0" shrinkToFit="false"/>
      <protection locked="true" hidden="false"/>
    </xf>
    <xf numFmtId="165" fontId="4" fillId="0" borderId="0" xfId="21" applyFont="false" applyBorder="false" applyAlignment="true" applyProtection="false">
      <alignment horizontal="center" vertical="bottom" textRotation="0" wrapText="false" indent="0" shrinkToFit="false"/>
      <protection locked="true" hidden="false"/>
    </xf>
    <xf numFmtId="165" fontId="4" fillId="0" borderId="62" xfId="21" applyFont="true" applyBorder="true" applyAlignment="true" applyProtection="false">
      <alignment horizontal="center" vertical="bottom" textRotation="0" wrapText="false" indent="0" shrinkToFit="false"/>
      <protection locked="true" hidden="false"/>
    </xf>
    <xf numFmtId="165" fontId="4" fillId="0" borderId="55" xfId="21" applyFont="false" applyBorder="true" applyAlignment="true" applyProtection="false">
      <alignment horizontal="center" vertical="bottom" textRotation="0" wrapText="false" indent="0" shrinkToFit="false"/>
      <protection locked="true" hidden="false"/>
    </xf>
    <xf numFmtId="170" fontId="4" fillId="4" borderId="55" xfId="21" applyFont="false" applyBorder="true" applyAlignment="true" applyProtection="false">
      <alignment horizontal="center" vertical="bottom" textRotation="0" wrapText="false" indent="0" shrinkToFit="false"/>
      <protection locked="true" hidden="false"/>
    </xf>
    <xf numFmtId="165" fontId="4" fillId="4" borderId="55" xfId="21" applyFont="false" applyBorder="true" applyAlignment="true" applyProtection="false">
      <alignment horizontal="center" vertical="bottom" textRotation="0" wrapText="false" indent="0" shrinkToFit="false"/>
      <protection locked="true" hidden="false"/>
    </xf>
    <xf numFmtId="170" fontId="4" fillId="12" borderId="54" xfId="94" applyFont="true" applyBorder="true" applyAlignment="true" applyProtection="false">
      <alignment horizontal="center" vertical="bottom" textRotation="0" wrapText="false" indent="0" shrinkToFit="false"/>
      <protection locked="true" hidden="false"/>
    </xf>
    <xf numFmtId="164" fontId="4" fillId="12" borderId="55" xfId="21" applyFont="true" applyBorder="true" applyAlignment="true" applyProtection="false">
      <alignment horizontal="center" vertical="bottom" textRotation="0" wrapText="false" indent="0" shrinkToFit="false"/>
      <protection locked="true" hidden="false"/>
    </xf>
    <xf numFmtId="171" fontId="4" fillId="12" borderId="55" xfId="15" applyFont="true" applyBorder="true" applyAlignment="true" applyProtection="true">
      <alignment horizontal="center" vertical="center" textRotation="0" wrapText="false" indent="0" shrinkToFit="false"/>
      <protection locked="true" hidden="false"/>
    </xf>
    <xf numFmtId="172" fontId="4" fillId="12" borderId="55" xfId="15" applyFont="true" applyBorder="true" applyAlignment="true" applyProtection="true">
      <alignment horizontal="center" vertical="center" textRotation="0" wrapText="false" indent="0" shrinkToFit="false"/>
      <protection locked="true" hidden="false"/>
    </xf>
    <xf numFmtId="170" fontId="4" fillId="12" borderId="55" xfId="21" applyFont="false" applyBorder="true" applyAlignment="true" applyProtection="false">
      <alignment horizontal="center" vertical="bottom" textRotation="0" wrapText="false" indent="0" shrinkToFit="false"/>
      <protection locked="true" hidden="false"/>
    </xf>
    <xf numFmtId="165" fontId="4" fillId="12" borderId="54" xfId="21" applyFont="false" applyBorder="true" applyAlignment="true" applyProtection="false">
      <alignment horizontal="center" vertical="bottom" textRotation="0" wrapText="false" indent="0" shrinkToFit="false"/>
      <protection locked="true" hidden="false"/>
    </xf>
    <xf numFmtId="165" fontId="4" fillId="12" borderId="56" xfId="21" applyFont="false" applyBorder="true" applyAlignment="true" applyProtection="false">
      <alignment horizontal="center" vertical="bottom" textRotation="0" wrapText="false" indent="0" shrinkToFit="false"/>
      <protection locked="true" hidden="false"/>
    </xf>
    <xf numFmtId="165" fontId="4" fillId="12" borderId="0" xfId="21" applyFont="false" applyBorder="false" applyAlignment="true" applyProtection="false">
      <alignment horizontal="center" vertical="bottom" textRotation="0" wrapText="false" indent="0" shrinkToFit="false"/>
      <protection locked="true" hidden="false"/>
    </xf>
    <xf numFmtId="165" fontId="4" fillId="12" borderId="62" xfId="21" applyFont="true" applyBorder="true" applyAlignment="true" applyProtection="false">
      <alignment horizontal="center" vertical="bottom" textRotation="0" wrapText="false" indent="0" shrinkToFit="false"/>
      <protection locked="true" hidden="false"/>
    </xf>
    <xf numFmtId="165" fontId="4" fillId="12" borderId="55" xfId="21" applyFont="false" applyBorder="true" applyAlignment="true" applyProtection="false">
      <alignment horizontal="center" vertical="bottom" textRotation="0" wrapText="false" indent="0" shrinkToFit="false"/>
      <protection locked="true" hidden="false"/>
    </xf>
    <xf numFmtId="170" fontId="4" fillId="12" borderId="0" xfId="21" applyFont="false" applyBorder="false" applyAlignment="true" applyProtection="false">
      <alignment horizontal="center" vertical="bottom" textRotation="0" wrapText="false" indent="0" shrinkToFit="false"/>
      <protection locked="true" hidden="false"/>
    </xf>
    <xf numFmtId="164" fontId="4" fillId="12" borderId="0" xfId="94" applyFont="false" applyBorder="false" applyAlignment="false" applyProtection="false">
      <alignment horizontal="general" vertical="bottom" textRotation="0" wrapText="false" indent="0" shrinkToFit="false"/>
      <protection locked="true" hidden="false"/>
    </xf>
    <xf numFmtId="172" fontId="4" fillId="0" borderId="55" xfId="15" applyFont="true" applyBorder="true" applyAlignment="true" applyProtection="true">
      <alignment horizontal="center" vertical="center" textRotation="0" wrapText="false" indent="0" shrinkToFit="false"/>
      <protection locked="true" hidden="false"/>
    </xf>
    <xf numFmtId="170" fontId="4" fillId="0" borderId="55" xfId="21" applyFont="false" applyBorder="true" applyAlignment="true" applyProtection="false">
      <alignment horizontal="center" vertical="bottom" textRotation="0" wrapText="false" indent="0" shrinkToFit="false"/>
      <protection locked="true" hidden="false"/>
    </xf>
    <xf numFmtId="170" fontId="35" fillId="0" borderId="54" xfId="94" applyFont="true" applyBorder="true" applyAlignment="true" applyProtection="false">
      <alignment horizontal="center" vertical="bottom" textRotation="0" wrapText="false" indent="0" shrinkToFit="false"/>
      <protection locked="true" hidden="false"/>
    </xf>
    <xf numFmtId="164" fontId="35" fillId="0" borderId="55" xfId="21" applyFont="true" applyBorder="true" applyAlignment="true" applyProtection="false">
      <alignment horizontal="center" vertical="bottom" textRotation="0" wrapText="false" indent="0" shrinkToFit="false"/>
      <protection locked="true" hidden="false"/>
    </xf>
    <xf numFmtId="170" fontId="35" fillId="12" borderId="54" xfId="94" applyFont="true" applyBorder="true" applyAlignment="true" applyProtection="false">
      <alignment horizontal="center" vertical="bottom" textRotation="0" wrapText="false" indent="0" shrinkToFit="false"/>
      <protection locked="true" hidden="false"/>
    </xf>
    <xf numFmtId="164" fontId="35" fillId="12" borderId="55" xfId="21" applyFont="true" applyBorder="true" applyAlignment="true" applyProtection="false">
      <alignment horizontal="center" vertical="bottom" textRotation="0" wrapText="false" indent="0" shrinkToFit="false"/>
      <protection locked="true" hidden="false"/>
    </xf>
    <xf numFmtId="170" fontId="4" fillId="13" borderId="54" xfId="94" applyFont="true" applyBorder="true" applyAlignment="true" applyProtection="false">
      <alignment horizontal="center" vertical="bottom" textRotation="0" wrapText="false" indent="0" shrinkToFit="false"/>
      <protection locked="true" hidden="false"/>
    </xf>
    <xf numFmtId="164" fontId="4" fillId="13" borderId="55" xfId="21" applyFont="true" applyBorder="true" applyAlignment="true" applyProtection="false">
      <alignment horizontal="center" vertical="bottom" textRotation="0" wrapText="false" indent="0" shrinkToFit="false"/>
      <protection locked="true" hidden="false"/>
    </xf>
    <xf numFmtId="164" fontId="40" fillId="0" borderId="0" xfId="0" applyFont="true" applyBorder="true" applyAlignment="true" applyProtection="false">
      <alignment horizontal="left" vertical="center" textRotation="0" wrapText="true" indent="0" shrinkToFit="false"/>
      <protection locked="true" hidden="false"/>
    </xf>
    <xf numFmtId="164" fontId="43" fillId="9" borderId="0" xfId="0" applyFont="true" applyBorder="true" applyAlignment="true" applyProtection="false">
      <alignment horizontal="center" vertical="bottom" textRotation="0" wrapText="false" indent="0" shrinkToFit="false"/>
      <protection locked="true" hidden="false"/>
    </xf>
    <xf numFmtId="164" fontId="43" fillId="0" borderId="0" xfId="0" applyFont="true" applyBorder="false" applyAlignment="true" applyProtection="false">
      <alignment horizontal="center" vertical="bottom" textRotation="0" wrapText="false" indent="0" shrinkToFit="false"/>
      <protection locked="true" hidden="false"/>
    </xf>
    <xf numFmtId="164" fontId="37" fillId="5" borderId="65" xfId="0" applyFont="true" applyBorder="true" applyAlignment="true" applyProtection="false">
      <alignment horizontal="center" vertical="center" textRotation="0" wrapText="tru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22" fillId="0" borderId="0" xfId="0" applyFont="true" applyBorder="false" applyAlignment="true" applyProtection="false">
      <alignment horizontal="center" vertical="bottom" textRotation="0" wrapText="false" indent="0" shrinkToFit="false"/>
      <protection locked="true" hidden="false"/>
    </xf>
    <xf numFmtId="164" fontId="22" fillId="0" borderId="66"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0" fillId="0" borderId="67" xfId="0" applyFont="true" applyBorder="true" applyAlignment="true" applyProtection="false">
      <alignment horizontal="center" vertical="bottom" textRotation="0" wrapText="false" indent="0" shrinkToFit="false"/>
      <protection locked="true" hidden="false"/>
    </xf>
    <xf numFmtId="164" fontId="22" fillId="12" borderId="66" xfId="0" applyFont="true" applyBorder="true" applyAlignment="false" applyProtection="false">
      <alignment horizontal="general" vertical="bottom" textRotation="0" wrapText="false" indent="0" shrinkToFit="false"/>
      <protection locked="true" hidden="false"/>
    </xf>
    <xf numFmtId="164" fontId="0" fillId="12" borderId="0" xfId="0" applyFont="true" applyBorder="false" applyAlignment="true" applyProtection="false">
      <alignment horizontal="center" vertical="bottom" textRotation="0" wrapText="false" indent="0" shrinkToFit="false"/>
      <protection locked="true" hidden="false"/>
    </xf>
    <xf numFmtId="164" fontId="0" fillId="12" borderId="67" xfId="0" applyFont="true" applyBorder="true" applyAlignment="true" applyProtection="false">
      <alignment horizontal="center" vertical="bottom" textRotation="0" wrapText="false" indent="0" shrinkToFit="false"/>
      <protection locked="true" hidden="false"/>
    </xf>
    <xf numFmtId="164" fontId="22" fillId="12" borderId="68" xfId="0" applyFont="true" applyBorder="true" applyAlignment="false" applyProtection="false">
      <alignment horizontal="general" vertical="bottom" textRotation="0" wrapText="false" indent="0" shrinkToFit="false"/>
      <protection locked="true" hidden="false"/>
    </xf>
    <xf numFmtId="164" fontId="0" fillId="12" borderId="69" xfId="0" applyFont="true" applyBorder="true" applyAlignment="true" applyProtection="false">
      <alignment horizontal="center" vertical="bottom" textRotation="0" wrapText="false" indent="0" shrinkToFit="false"/>
      <protection locked="true" hidden="false"/>
    </xf>
    <xf numFmtId="164" fontId="0" fillId="12" borderId="70" xfId="0" applyFont="true" applyBorder="true" applyAlignment="true" applyProtection="false">
      <alignment horizontal="center" vertical="bottom" textRotation="0" wrapText="false" indent="0" shrinkToFit="false"/>
      <protection locked="true" hidden="false"/>
    </xf>
    <xf numFmtId="164" fontId="37" fillId="5" borderId="65" xfId="0" applyFont="true" applyBorder="true" applyAlignment="true" applyProtection="false">
      <alignment horizontal="center" vertical="bottom" textRotation="0" wrapText="false" indent="0" shrinkToFit="false"/>
      <protection locked="true" hidden="false"/>
    </xf>
    <xf numFmtId="164" fontId="22" fillId="0" borderId="71" xfId="0" applyFont="true" applyBorder="true" applyAlignment="true" applyProtection="false">
      <alignment horizontal="center" vertical="center" textRotation="0" wrapText="true" indent="0" shrinkToFit="false"/>
      <protection locked="true" hidden="false"/>
    </xf>
    <xf numFmtId="164" fontId="22" fillId="0" borderId="72" xfId="0" applyFont="true" applyBorder="true" applyAlignment="false" applyProtection="false">
      <alignment horizontal="general" vertical="bottom" textRotation="0" wrapText="false" indent="0" shrinkToFit="false"/>
      <protection locked="true" hidden="false"/>
    </xf>
    <xf numFmtId="173" fontId="44" fillId="4" borderId="72" xfId="0" applyFont="true" applyBorder="true" applyAlignment="true" applyProtection="false">
      <alignment horizontal="center" vertical="center" textRotation="0" wrapText="false" indent="0" shrinkToFit="false"/>
      <protection locked="true" hidden="false"/>
    </xf>
    <xf numFmtId="173" fontId="44" fillId="4" borderId="73" xfId="0" applyFont="true" applyBorder="true" applyAlignment="true" applyProtection="false">
      <alignment horizontal="center" vertical="center" textRotation="0" wrapText="false" indent="0" shrinkToFit="false"/>
      <protection locked="true" hidden="false"/>
    </xf>
    <xf numFmtId="173" fontId="44" fillId="4" borderId="74" xfId="0" applyFont="true" applyBorder="true" applyAlignment="true" applyProtection="false">
      <alignment horizontal="center" vertical="center" textRotation="0" wrapText="false" indent="0" shrinkToFit="false"/>
      <protection locked="true" hidden="false"/>
    </xf>
    <xf numFmtId="164" fontId="22" fillId="12" borderId="75" xfId="0" applyFont="true" applyBorder="true" applyAlignment="false" applyProtection="false">
      <alignment horizontal="general" vertical="bottom" textRotation="0" wrapText="false" indent="0" shrinkToFit="false"/>
      <protection locked="true" hidden="false"/>
    </xf>
    <xf numFmtId="173" fontId="44" fillId="12" borderId="75" xfId="0" applyFont="true" applyBorder="true" applyAlignment="true" applyProtection="false">
      <alignment horizontal="center" vertical="center" textRotation="0" wrapText="false" indent="0" shrinkToFit="false"/>
      <protection locked="true" hidden="false"/>
    </xf>
    <xf numFmtId="173" fontId="44" fillId="12" borderId="0" xfId="0" applyFont="true" applyBorder="false" applyAlignment="true" applyProtection="false">
      <alignment horizontal="center" vertical="center" textRotation="0" wrapText="false" indent="0" shrinkToFit="false"/>
      <protection locked="true" hidden="false"/>
    </xf>
    <xf numFmtId="173" fontId="44" fillId="12" borderId="67" xfId="0" applyFont="true" applyBorder="true" applyAlignment="true" applyProtection="false">
      <alignment horizontal="center" vertical="center" textRotation="0" wrapText="false" indent="0" shrinkToFit="false"/>
      <protection locked="true" hidden="false"/>
    </xf>
    <xf numFmtId="164" fontId="22" fillId="0" borderId="75" xfId="0" applyFont="true" applyBorder="true" applyAlignment="false" applyProtection="false">
      <alignment horizontal="general" vertical="bottom" textRotation="0" wrapText="false" indent="0" shrinkToFit="false"/>
      <protection locked="true" hidden="false"/>
    </xf>
    <xf numFmtId="173" fontId="44" fillId="4" borderId="75" xfId="0" applyFont="true" applyBorder="true" applyAlignment="true" applyProtection="false">
      <alignment horizontal="center" vertical="center" textRotation="0" wrapText="false" indent="0" shrinkToFit="false"/>
      <protection locked="true" hidden="false"/>
    </xf>
    <xf numFmtId="173" fontId="44" fillId="4" borderId="0" xfId="0" applyFont="true" applyBorder="false" applyAlignment="true" applyProtection="false">
      <alignment horizontal="center" vertical="center" textRotation="0" wrapText="false" indent="0" shrinkToFit="false"/>
      <protection locked="true" hidden="false"/>
    </xf>
    <xf numFmtId="173" fontId="44" fillId="4" borderId="67" xfId="0" applyFont="true" applyBorder="true" applyAlignment="true" applyProtection="false">
      <alignment horizontal="center" vertical="center" textRotation="0" wrapText="false" indent="0" shrinkToFit="false"/>
      <protection locked="true" hidden="false"/>
    </xf>
    <xf numFmtId="164" fontId="22" fillId="12" borderId="76" xfId="0" applyFont="true" applyBorder="true" applyAlignment="false" applyProtection="false">
      <alignment horizontal="general" vertical="bottom" textRotation="0" wrapText="false" indent="0" shrinkToFit="false"/>
      <protection locked="true" hidden="false"/>
    </xf>
    <xf numFmtId="173" fontId="44" fillId="12" borderId="76" xfId="0" applyFont="true" applyBorder="true" applyAlignment="true" applyProtection="false">
      <alignment horizontal="center" vertical="center" textRotation="0" wrapText="false" indent="0" shrinkToFit="false"/>
      <protection locked="true" hidden="false"/>
    </xf>
    <xf numFmtId="173" fontId="44" fillId="12" borderId="69" xfId="0" applyFont="true" applyBorder="true" applyAlignment="true" applyProtection="false">
      <alignment horizontal="center" vertical="center" textRotation="0" wrapText="false" indent="0" shrinkToFit="false"/>
      <protection locked="true" hidden="false"/>
    </xf>
    <xf numFmtId="173" fontId="44" fillId="12" borderId="70" xfId="0" applyFont="true" applyBorder="true" applyAlignment="true" applyProtection="false">
      <alignment horizontal="center" vertical="center" textRotation="0" wrapText="false" indent="0" shrinkToFit="false"/>
      <protection locked="true" hidden="false"/>
    </xf>
    <xf numFmtId="164" fontId="45" fillId="0" borderId="0" xfId="0" applyFont="true" applyBorder="false" applyAlignment="true" applyProtection="false">
      <alignment horizontal="left" vertical="center" textRotation="0" wrapText="true" indent="0" shrinkToFit="false"/>
      <protection locked="true" hidden="false"/>
    </xf>
    <xf numFmtId="164" fontId="37" fillId="5" borderId="65" xfId="0" applyFont="true" applyBorder="true" applyAlignment="false" applyProtection="false">
      <alignment horizontal="general" vertical="bottom" textRotation="0" wrapText="false" indent="0" shrinkToFit="false"/>
      <protection locked="true" hidden="false"/>
    </xf>
    <xf numFmtId="164" fontId="22" fillId="4" borderId="65" xfId="0" applyFont="true" applyBorder="true" applyAlignment="true" applyProtection="false">
      <alignment horizontal="center" vertical="center" textRotation="0" wrapText="true" indent="0" shrinkToFit="false"/>
      <protection locked="true" hidden="false"/>
    </xf>
    <xf numFmtId="164" fontId="22" fillId="4" borderId="66" xfId="0" applyFont="true" applyBorder="true" applyAlignment="false" applyProtection="false">
      <alignment horizontal="general" vertical="bottom" textRotation="0" wrapText="false" indent="0" shrinkToFit="false"/>
      <protection locked="true" hidden="false"/>
    </xf>
    <xf numFmtId="164" fontId="19" fillId="0" borderId="68" xfId="0" applyFont="true" applyBorder="true" applyAlignment="true" applyProtection="false">
      <alignment horizontal="center" vertical="center" textRotation="0" wrapText="true" indent="0" shrinkToFit="false"/>
      <protection locked="true" hidden="false"/>
    </xf>
    <xf numFmtId="164" fontId="22" fillId="12" borderId="71" xfId="0" applyFont="true" applyBorder="true" applyAlignment="false" applyProtection="false">
      <alignment horizontal="general" vertical="bottom" textRotation="0" wrapText="false" indent="0" shrinkToFit="false"/>
      <protection locked="true" hidden="false"/>
    </xf>
    <xf numFmtId="164" fontId="19" fillId="12" borderId="65" xfId="0" applyFont="true" applyBorder="true" applyAlignment="true" applyProtection="false">
      <alignment horizontal="center" vertical="center" textRotation="0" wrapText="true" indent="0" shrinkToFit="false"/>
      <protection locked="true" hidden="false"/>
    </xf>
    <xf numFmtId="164" fontId="22" fillId="4" borderId="71" xfId="0" applyFont="true" applyBorder="true" applyAlignment="false" applyProtection="false">
      <alignment horizontal="general" vertical="bottom" textRotation="0" wrapText="false" indent="0" shrinkToFit="false"/>
      <protection locked="true" hidden="false"/>
    </xf>
    <xf numFmtId="164" fontId="19" fillId="4" borderId="71" xfId="0" applyFont="true" applyBorder="true" applyAlignment="true" applyProtection="false">
      <alignment horizontal="center" vertical="center" textRotation="0" wrapText="true" indent="0" shrinkToFit="false"/>
      <protection locked="true" hidden="false"/>
    </xf>
    <xf numFmtId="164" fontId="22" fillId="12" borderId="65" xfId="0" applyFont="true" applyBorder="true" applyAlignment="true" applyProtection="false">
      <alignment horizontal="left" vertical="center" textRotation="0" wrapText="false" indent="0" shrinkToFit="false"/>
      <protection locked="true" hidden="false"/>
    </xf>
    <xf numFmtId="164" fontId="19" fillId="4" borderId="65" xfId="0" applyFont="true" applyBorder="true" applyAlignment="true" applyProtection="false">
      <alignment horizontal="center" vertical="center" textRotation="0" wrapText="true" indent="0" shrinkToFit="false"/>
      <protection locked="true" hidden="false"/>
    </xf>
    <xf numFmtId="164" fontId="22" fillId="4" borderId="68" xfId="0" applyFont="true" applyBorder="true" applyAlignment="false" applyProtection="false">
      <alignment horizontal="general" vertical="bottom" textRotation="0" wrapText="false" indent="0" shrinkToFit="false"/>
      <protection locked="true" hidden="false"/>
    </xf>
    <xf numFmtId="164" fontId="29" fillId="4" borderId="0" xfId="94" applyFont="true" applyBorder="false" applyAlignment="false" applyProtection="false">
      <alignment horizontal="general" vertical="bottom" textRotation="0" wrapText="false" indent="0" shrinkToFit="false"/>
      <protection locked="true" hidden="false"/>
    </xf>
    <xf numFmtId="164" fontId="4" fillId="4" borderId="0" xfId="94" applyFont="true" applyBorder="false" applyAlignment="false" applyProtection="false">
      <alignment horizontal="general" vertical="bottom" textRotation="0" wrapText="false" indent="0" shrinkToFit="false"/>
      <protection locked="true" hidden="false"/>
    </xf>
    <xf numFmtId="166" fontId="4" fillId="4" borderId="0" xfId="15" applyFont="true" applyBorder="true" applyAlignment="true" applyProtection="true">
      <alignment horizontal="general" vertical="bottom" textRotation="0" wrapText="false" indent="0" shrinkToFit="false"/>
      <protection locked="true" hidden="false"/>
    </xf>
    <xf numFmtId="164" fontId="29" fillId="0" borderId="0" xfId="94" applyFont="true" applyBorder="false" applyAlignment="false" applyProtection="false">
      <alignment horizontal="general" vertical="bottom" textRotation="0" wrapText="false" indent="0" shrinkToFit="false"/>
      <protection locked="true" hidden="false"/>
    </xf>
    <xf numFmtId="174" fontId="4" fillId="4" borderId="0" xfId="94" applyFont="false" applyBorder="false" applyAlignment="false" applyProtection="false">
      <alignment horizontal="general" vertical="bottom" textRotation="0" wrapText="false" indent="0" shrinkToFit="false"/>
      <protection locked="true" hidden="false"/>
    </xf>
    <xf numFmtId="166" fontId="17" fillId="5" borderId="7" xfId="15" applyFont="true" applyBorder="true" applyAlignment="true" applyProtection="true">
      <alignment horizontal="center" vertical="center" textRotation="0" wrapText="true" indent="0" shrinkToFit="false"/>
      <protection locked="true" hidden="false"/>
    </xf>
    <xf numFmtId="164" fontId="18" fillId="4" borderId="0" xfId="94" applyFont="true" applyBorder="false" applyAlignment="true" applyProtection="false">
      <alignment horizontal="center" vertical="center" textRotation="0" wrapText="false" indent="0" shrinkToFit="false"/>
      <protection locked="true" hidden="false"/>
    </xf>
    <xf numFmtId="164" fontId="29" fillId="0" borderId="0" xfId="0" applyFont="true" applyBorder="false" applyAlignment="false" applyProtection="false">
      <alignment horizontal="general" vertical="bottom" textRotation="0" wrapText="false" indent="0" shrinkToFit="false"/>
      <protection locked="true" hidden="false"/>
    </xf>
    <xf numFmtId="164" fontId="4" fillId="4" borderId="0" xfId="0" applyFont="true" applyBorder="false" applyAlignment="false" applyProtection="false">
      <alignment horizontal="general" vertical="bottom" textRotation="0" wrapText="false" indent="0" shrinkToFit="false"/>
      <protection locked="true" hidden="false"/>
    </xf>
    <xf numFmtId="174" fontId="19" fillId="0" borderId="0" xfId="94" applyFont="true" applyBorder="false" applyAlignment="true" applyProtection="false">
      <alignment horizontal="center" vertical="center" textRotation="0" wrapText="true" indent="0" shrinkToFit="false"/>
      <protection locked="true" hidden="false"/>
    </xf>
    <xf numFmtId="166" fontId="0" fillId="0" borderId="0" xfId="15" applyFont="true" applyBorder="true" applyAlignment="true" applyProtection="true">
      <alignment horizontal="general" vertical="bottom" textRotation="0" wrapText="false" indent="0" shrinkToFit="false"/>
      <protection locked="true" hidden="false"/>
    </xf>
    <xf numFmtId="175" fontId="19" fillId="4" borderId="0" xfId="94" applyFont="true" applyBorder="false" applyAlignment="true" applyProtection="false">
      <alignment horizontal="center" vertical="center" textRotation="0" wrapText="false" indent="0" shrinkToFit="false"/>
      <protection locked="true" hidden="false"/>
    </xf>
    <xf numFmtId="164" fontId="21" fillId="4" borderId="77" xfId="94" applyFont="true" applyBorder="true" applyAlignment="true" applyProtection="false">
      <alignment horizontal="general" vertical="center" textRotation="0" wrapText="false" indent="0" shrinkToFit="false"/>
      <protection locked="true" hidden="false"/>
    </xf>
    <xf numFmtId="165" fontId="46" fillId="4" borderId="0" xfId="95" applyFont="true" applyBorder="false" applyAlignment="true" applyProtection="false">
      <alignment horizontal="center" vertical="bottom" textRotation="0" wrapText="false" indent="0" shrinkToFit="false"/>
      <protection locked="true" hidden="false"/>
    </xf>
    <xf numFmtId="164" fontId="21" fillId="4" borderId="11" xfId="94" applyFont="true" applyBorder="true" applyAlignment="true" applyProtection="false">
      <alignment horizontal="general" vertical="center" textRotation="0" wrapText="false" indent="0" shrinkToFit="false"/>
      <protection locked="true" hidden="false"/>
    </xf>
    <xf numFmtId="164" fontId="47" fillId="0" borderId="0" xfId="94" applyFont="true" applyBorder="false" applyAlignment="true" applyProtection="false">
      <alignment horizontal="center" vertical="center" textRotation="0" wrapText="true" indent="0" shrinkToFit="false"/>
      <protection locked="true" hidden="false"/>
    </xf>
    <xf numFmtId="164" fontId="22" fillId="4" borderId="0" xfId="94" applyFont="true" applyBorder="false" applyAlignment="true" applyProtection="false">
      <alignment horizontal="center" vertical="center" textRotation="0" wrapText="true" indent="0" shrinkToFit="false"/>
      <protection locked="true" hidden="false"/>
    </xf>
    <xf numFmtId="166" fontId="4" fillId="4" borderId="0" xfId="15" applyFont="true" applyBorder="true" applyAlignment="true" applyProtection="true">
      <alignment horizontal="general" vertical="center" textRotation="0" wrapText="false" indent="0" shrinkToFit="false"/>
      <protection locked="true" hidden="false"/>
    </xf>
    <xf numFmtId="164" fontId="4" fillId="4" borderId="0" xfId="94" applyFont="true" applyBorder="false" applyAlignment="true" applyProtection="false">
      <alignment horizontal="general" vertical="center" textRotation="0" wrapText="false" indent="0" shrinkToFit="false"/>
      <protection locked="true" hidden="false"/>
    </xf>
    <xf numFmtId="166" fontId="4" fillId="4" borderId="19" xfId="15" applyFont="true" applyBorder="true" applyAlignment="true" applyProtection="true">
      <alignment horizontal="center" vertical="center" textRotation="0" wrapText="true" indent="0" shrinkToFit="false"/>
      <protection locked="true" hidden="false"/>
    </xf>
    <xf numFmtId="164" fontId="29" fillId="0" borderId="0" xfId="94" applyFont="true" applyBorder="false" applyAlignment="true" applyProtection="false">
      <alignment horizontal="center" vertical="center" textRotation="0" wrapText="true" indent="0" shrinkToFit="false"/>
      <protection locked="true" hidden="false"/>
    </xf>
    <xf numFmtId="164" fontId="4" fillId="4" borderId="21" xfId="95" applyFont="true" applyBorder="true" applyAlignment="true" applyProtection="false">
      <alignment horizontal="center" vertical="center" textRotation="0" wrapText="false" indent="0" shrinkToFit="false"/>
      <protection locked="true" hidden="false"/>
    </xf>
    <xf numFmtId="164" fontId="4" fillId="4" borderId="23" xfId="95" applyFont="true" applyBorder="true" applyAlignment="true" applyProtection="false">
      <alignment horizontal="center" vertical="center" textRotation="0" wrapText="true" indent="0" shrinkToFit="false"/>
      <protection locked="true" hidden="false"/>
    </xf>
    <xf numFmtId="164" fontId="4" fillId="4" borderId="10" xfId="94" applyFont="false" applyBorder="true" applyAlignment="true" applyProtection="false">
      <alignment horizontal="center" vertical="center" textRotation="0" wrapText="false" indent="0" shrinkToFit="false"/>
      <protection locked="true" hidden="false"/>
    </xf>
    <xf numFmtId="164" fontId="4" fillId="4" borderId="39" xfId="95" applyFont="true" applyBorder="true" applyAlignment="true" applyProtection="false">
      <alignment horizontal="center" vertical="center" textRotation="0" wrapText="true" indent="0" shrinkToFit="false"/>
      <protection locked="true" hidden="false"/>
    </xf>
    <xf numFmtId="164" fontId="29" fillId="0" borderId="0" xfId="94" applyFont="true" applyBorder="false" applyAlignment="true" applyProtection="false">
      <alignment horizontal="center" vertical="center" textRotation="0" wrapText="false" indent="0" shrinkToFit="false"/>
      <protection locked="true" hidden="false"/>
    </xf>
    <xf numFmtId="164" fontId="4" fillId="4" borderId="54" xfId="95" applyFont="false" applyBorder="true" applyAlignment="true" applyProtection="false">
      <alignment horizontal="general" vertical="center" textRotation="0" wrapText="false" indent="0" shrinkToFit="false"/>
      <protection locked="true" hidden="false"/>
    </xf>
    <xf numFmtId="164" fontId="4" fillId="4" borderId="0" xfId="95" applyFont="false" applyBorder="false" applyAlignment="true" applyProtection="false">
      <alignment horizontal="general" vertical="center" textRotation="0" wrapText="false" indent="0" shrinkToFit="false"/>
      <protection locked="true" hidden="false"/>
    </xf>
    <xf numFmtId="164" fontId="28" fillId="4" borderId="54" xfId="95" applyFont="true" applyBorder="true" applyAlignment="true" applyProtection="false">
      <alignment horizontal="general" vertical="center" textRotation="0" wrapText="false" indent="0" shrinkToFit="false"/>
      <protection locked="true" hidden="false"/>
    </xf>
    <xf numFmtId="164" fontId="4" fillId="4" borderId="54" xfId="94" applyFont="false" applyBorder="true" applyAlignment="false" applyProtection="false">
      <alignment horizontal="general" vertical="bottom" textRotation="0" wrapText="false" indent="0" shrinkToFit="false"/>
      <protection locked="true" hidden="false"/>
    </xf>
    <xf numFmtId="164" fontId="28" fillId="4" borderId="29" xfId="95" applyFont="true" applyBorder="true" applyAlignment="true" applyProtection="false">
      <alignment horizontal="general" vertical="center" textRotation="0" wrapText="false" indent="0" shrinkToFit="false"/>
      <protection locked="true" hidden="false"/>
    </xf>
    <xf numFmtId="164" fontId="4" fillId="4" borderId="30" xfId="95" applyFont="false" applyBorder="true" applyAlignment="true" applyProtection="false">
      <alignment horizontal="general" vertical="center" textRotation="0" wrapText="false" indent="0" shrinkToFit="false"/>
      <protection locked="true" hidden="false"/>
    </xf>
    <xf numFmtId="166" fontId="28" fillId="4" borderId="32" xfId="15" applyFont="true" applyBorder="true" applyAlignment="true" applyProtection="true">
      <alignment horizontal="center" vertical="center" textRotation="0" wrapText="true" indent="0" shrinkToFit="false"/>
      <protection locked="true" hidden="false"/>
    </xf>
    <xf numFmtId="164" fontId="28" fillId="4" borderId="34" xfId="95" applyFont="true" applyBorder="true" applyAlignment="true" applyProtection="false">
      <alignment horizontal="center" vertical="center" textRotation="0" wrapText="false" indent="0" shrinkToFit="false"/>
      <protection locked="true" hidden="false"/>
    </xf>
    <xf numFmtId="164" fontId="4" fillId="4" borderId="35" xfId="95" applyFont="true" applyBorder="true" applyAlignment="true" applyProtection="false">
      <alignment horizontal="center" vertical="center" textRotation="0" wrapText="true" indent="0" shrinkToFit="false"/>
      <protection locked="true" hidden="false"/>
    </xf>
    <xf numFmtId="164" fontId="28" fillId="0" borderId="34" xfId="94" applyFont="true" applyBorder="true" applyAlignment="true" applyProtection="false">
      <alignment horizontal="center" vertical="center" textRotation="0" wrapText="true" indent="0" shrinkToFit="false"/>
      <protection locked="true" hidden="false"/>
    </xf>
    <xf numFmtId="164" fontId="28" fillId="4" borderId="35" xfId="94" applyFont="true" applyBorder="true" applyAlignment="true" applyProtection="false">
      <alignment horizontal="center" vertical="center" textRotation="0" wrapText="true" indent="0" shrinkToFit="false"/>
      <protection locked="true" hidden="false"/>
    </xf>
    <xf numFmtId="166" fontId="28" fillId="4" borderId="37" xfId="15" applyFont="true" applyBorder="true" applyAlignment="true" applyProtection="true">
      <alignment horizontal="center" vertical="center" textRotation="0" wrapText="true" indent="0" shrinkToFit="false"/>
      <protection locked="true" hidden="false"/>
    </xf>
    <xf numFmtId="164" fontId="28" fillId="0" borderId="39" xfId="94" applyFont="true" applyBorder="true" applyAlignment="true" applyProtection="false">
      <alignment horizontal="center" vertical="center" textRotation="0" wrapText="true" indent="0" shrinkToFit="false"/>
      <protection locked="true" hidden="false"/>
    </xf>
    <xf numFmtId="164" fontId="28" fillId="4" borderId="22" xfId="94" applyFont="true" applyBorder="true" applyAlignment="true" applyProtection="false">
      <alignment horizontal="center" vertical="center" textRotation="0" wrapText="true" indent="0" shrinkToFit="false"/>
      <protection locked="true" hidden="false"/>
    </xf>
    <xf numFmtId="174" fontId="28" fillId="4" borderId="41" xfId="94" applyFont="true" applyBorder="true" applyAlignment="true" applyProtection="false">
      <alignment horizontal="center" vertical="center" textRotation="0" wrapText="true" indent="0" shrinkToFit="false"/>
      <protection locked="true" hidden="false"/>
    </xf>
    <xf numFmtId="164" fontId="28" fillId="4" borderId="41" xfId="94" applyFont="true" applyBorder="true" applyAlignment="true" applyProtection="false">
      <alignment horizontal="center" vertical="center" textRotation="0" wrapText="true" indent="0" shrinkToFit="false"/>
      <protection locked="true" hidden="false"/>
    </xf>
    <xf numFmtId="164" fontId="28" fillId="4" borderId="42" xfId="94" applyFont="true" applyBorder="true" applyAlignment="true" applyProtection="false">
      <alignment horizontal="center" vertical="center" textRotation="0" wrapText="true" indent="0" shrinkToFit="false"/>
      <protection locked="true" hidden="false"/>
    </xf>
    <xf numFmtId="166" fontId="4" fillId="4" borderId="44" xfId="15" applyFont="true" applyBorder="true" applyAlignment="true" applyProtection="true">
      <alignment horizontal="center" vertical="center" textRotation="0" wrapText="true" indent="0" shrinkToFit="false"/>
      <protection locked="true" hidden="false"/>
    </xf>
    <xf numFmtId="164" fontId="29" fillId="0" borderId="26" xfId="94" applyFont="true" applyBorder="true" applyAlignment="true" applyProtection="false">
      <alignment horizontal="center" vertical="center" textRotation="0" wrapText="true" indent="0" shrinkToFit="false"/>
      <protection locked="true" hidden="false"/>
    </xf>
    <xf numFmtId="166" fontId="4" fillId="4" borderId="49" xfId="15" applyFont="true" applyBorder="true" applyAlignment="true" applyProtection="true">
      <alignment horizontal="center" vertical="center" textRotation="0" wrapText="false" indent="0" shrinkToFit="false"/>
      <protection locked="true" hidden="false"/>
    </xf>
    <xf numFmtId="164" fontId="29" fillId="0" borderId="26" xfId="94" applyFont="true" applyBorder="true" applyAlignment="true" applyProtection="false">
      <alignment horizontal="center" vertical="center" textRotation="0" wrapText="false" indent="0" shrinkToFit="false"/>
      <protection locked="true" hidden="false"/>
    </xf>
    <xf numFmtId="164" fontId="26" fillId="4" borderId="0" xfId="94" applyFont="true" applyBorder="false" applyAlignment="true" applyProtection="false">
      <alignment horizontal="center" vertical="center" textRotation="0" wrapText="true" indent="0" shrinkToFit="false"/>
      <protection locked="true" hidden="false"/>
    </xf>
    <xf numFmtId="164" fontId="30" fillId="4" borderId="78" xfId="94" applyFont="true" applyBorder="true" applyAlignment="true" applyProtection="false">
      <alignment horizontal="general" vertical="center" textRotation="0" wrapText="true" indent="0" shrinkToFit="false"/>
      <protection locked="true" hidden="false"/>
    </xf>
    <xf numFmtId="164" fontId="30" fillId="4" borderId="78" xfId="94" applyFont="true" applyBorder="true" applyAlignment="true" applyProtection="false">
      <alignment horizontal="general" vertical="center" textRotation="0" wrapText="false" indent="0" shrinkToFit="false"/>
      <protection locked="true" hidden="false"/>
    </xf>
    <xf numFmtId="166" fontId="4" fillId="4" borderId="0" xfId="15" applyFont="true" applyBorder="true" applyAlignment="true" applyProtection="true">
      <alignment horizontal="center" vertical="center" textRotation="0" wrapText="true" indent="0" shrinkToFit="false"/>
      <protection locked="true" hidden="false"/>
    </xf>
    <xf numFmtId="164" fontId="29" fillId="4" borderId="0" xfId="94" applyFont="true" applyBorder="false" applyAlignment="true" applyProtection="false">
      <alignment horizontal="center" vertical="center" textRotation="0" wrapText="false" indent="0" shrinkToFit="false"/>
      <protection locked="true" hidden="false"/>
    </xf>
    <xf numFmtId="164" fontId="4" fillId="4" borderId="79" xfId="94" applyFont="false" applyBorder="true" applyAlignment="true" applyProtection="false">
      <alignment horizontal="general" vertical="center" textRotation="0" wrapText="false" indent="0" shrinkToFit="false"/>
      <protection locked="true" hidden="false"/>
    </xf>
    <xf numFmtId="164" fontId="4" fillId="4" borderId="79" xfId="94" applyFont="false" applyBorder="true" applyAlignment="true" applyProtection="false">
      <alignment horizontal="general" vertical="center" textRotation="0" wrapText="true" indent="0" shrinkToFit="false"/>
      <protection locked="true" hidden="false"/>
    </xf>
    <xf numFmtId="174" fontId="4" fillId="4" borderId="79" xfId="94" applyFont="false" applyBorder="true" applyAlignment="true" applyProtection="false">
      <alignment horizontal="general" vertical="center" textRotation="0" wrapText="true" indent="0" shrinkToFit="false"/>
      <protection locked="true" hidden="false"/>
    </xf>
    <xf numFmtId="164" fontId="18" fillId="5" borderId="80" xfId="94" applyFont="true" applyBorder="true" applyAlignment="true" applyProtection="false">
      <alignment horizontal="center" vertical="center" textRotation="0" wrapText="true" indent="0" shrinkToFit="false"/>
      <protection locked="true" hidden="false"/>
    </xf>
    <xf numFmtId="164" fontId="18" fillId="8" borderId="80" xfId="94" applyFont="true" applyBorder="true" applyAlignment="true" applyProtection="false">
      <alignment horizontal="center" vertical="center" textRotation="0" wrapText="true" indent="0" shrinkToFit="false"/>
      <protection locked="true" hidden="false"/>
    </xf>
    <xf numFmtId="164" fontId="18" fillId="14" borderId="80" xfId="94" applyFont="true" applyBorder="true" applyAlignment="true" applyProtection="false">
      <alignment horizontal="center" vertical="center" textRotation="0" wrapText="true" indent="0" shrinkToFit="false"/>
      <protection locked="true" hidden="false"/>
    </xf>
    <xf numFmtId="164" fontId="48" fillId="4" borderId="0" xfId="94" applyFont="true" applyBorder="false" applyAlignment="false" applyProtection="false">
      <alignment horizontal="general" vertical="bottom" textRotation="0" wrapText="false" indent="0" shrinkToFit="false"/>
      <protection locked="true" hidden="false"/>
    </xf>
    <xf numFmtId="164" fontId="49" fillId="4" borderId="0" xfId="94" applyFont="true" applyBorder="false" applyAlignment="true" applyProtection="false">
      <alignment horizontal="general" vertical="center" textRotation="0" wrapText="false" indent="0" shrinkToFit="false"/>
      <protection locked="true" hidden="false"/>
    </xf>
    <xf numFmtId="166" fontId="48" fillId="4" borderId="0" xfId="15" applyFont="true" applyBorder="true" applyAlignment="true" applyProtection="true">
      <alignment horizontal="general" vertical="bottom" textRotation="0" wrapText="false" indent="0" shrinkToFit="false"/>
      <protection locked="true" hidden="false"/>
    </xf>
    <xf numFmtId="164" fontId="48" fillId="0" borderId="0" xfId="94" applyFont="true" applyBorder="false" applyAlignment="false" applyProtection="false">
      <alignment horizontal="general" vertical="bottom" textRotation="0" wrapText="false" indent="0" shrinkToFit="false"/>
      <protection locked="true" hidden="false"/>
    </xf>
    <xf numFmtId="164" fontId="48" fillId="4" borderId="0" xfId="94" applyFont="true" applyBorder="false" applyAlignment="true" applyProtection="false">
      <alignment horizontal="center" vertical="bottom" textRotation="0" wrapText="false" indent="0" shrinkToFit="false"/>
      <protection locked="true" hidden="false"/>
    </xf>
    <xf numFmtId="166" fontId="18" fillId="5" borderId="7" xfId="15" applyFont="true" applyBorder="true" applyAlignment="true" applyProtection="true">
      <alignment horizontal="center" vertical="center" textRotation="0" wrapText="true" indent="0" shrinkToFit="false"/>
      <protection locked="true" hidden="false"/>
    </xf>
    <xf numFmtId="174" fontId="18" fillId="0" borderId="0" xfId="94" applyFont="true" applyBorder="false" applyAlignment="true" applyProtection="false">
      <alignment horizontal="center" vertical="center" textRotation="0" wrapText="false" indent="0" shrinkToFit="false"/>
      <protection locked="true" hidden="false"/>
    </xf>
    <xf numFmtId="166" fontId="18" fillId="0" borderId="0" xfId="15" applyFont="true" applyBorder="true" applyAlignment="true" applyProtection="true">
      <alignment horizontal="center" vertical="center" textRotation="0" wrapText="false" indent="0" shrinkToFit="false"/>
      <protection locked="true" hidden="false"/>
    </xf>
    <xf numFmtId="164" fontId="38" fillId="9" borderId="53" xfId="94" applyFont="true" applyBorder="true" applyAlignment="true" applyProtection="false">
      <alignment horizontal="center" vertical="center" textRotation="0" wrapText="true" indent="0" shrinkToFit="false"/>
      <protection locked="true" hidden="false"/>
    </xf>
    <xf numFmtId="164" fontId="30" fillId="15" borderId="7" xfId="94" applyFont="true" applyBorder="true" applyAlignment="true" applyProtection="false">
      <alignment horizontal="center" vertical="center" textRotation="0" wrapText="true" indent="0" shrinkToFit="false"/>
      <protection locked="true" hidden="false"/>
    </xf>
    <xf numFmtId="166" fontId="19" fillId="0" borderId="0" xfId="15" applyFont="true" applyBorder="true" applyAlignment="true" applyProtection="true">
      <alignment horizontal="center" vertical="center" textRotation="0" wrapText="true" indent="0" shrinkToFit="false"/>
      <protection locked="true" hidden="false"/>
    </xf>
    <xf numFmtId="166" fontId="19" fillId="0" borderId="56" xfId="15" applyFont="true" applyBorder="true" applyAlignment="true" applyProtection="true">
      <alignment horizontal="center" vertical="center" textRotation="0" wrapText="true" indent="0" shrinkToFit="false"/>
      <protection locked="true" hidden="false"/>
    </xf>
    <xf numFmtId="164" fontId="47" fillId="0" borderId="0" xfId="94" applyFont="true" applyBorder="false" applyAlignment="true" applyProtection="false">
      <alignment horizontal="center" vertical="bottom" textRotation="0" wrapText="true" indent="0" shrinkToFit="false"/>
      <protection locked="true" hidden="false"/>
    </xf>
    <xf numFmtId="166" fontId="23" fillId="6" borderId="56" xfId="15" applyFont="true" applyBorder="true" applyAlignment="true" applyProtection="true">
      <alignment horizontal="center" vertical="center" textRotation="0" wrapText="true" indent="0" shrinkToFit="false"/>
      <protection locked="true" hidden="false"/>
    </xf>
    <xf numFmtId="166" fontId="23" fillId="6" borderId="57" xfId="15" applyFont="true" applyBorder="true" applyAlignment="true" applyProtection="true">
      <alignment horizontal="center" vertical="center" textRotation="0" wrapText="true" indent="0" shrinkToFit="false"/>
      <protection locked="true" hidden="false"/>
    </xf>
    <xf numFmtId="164" fontId="22" fillId="6" borderId="53" xfId="94" applyFont="true" applyBorder="true" applyAlignment="true" applyProtection="false">
      <alignment horizontal="center" vertical="center" textRotation="0" wrapText="true" indent="0" shrinkToFit="false"/>
      <protection locked="true" hidden="false"/>
    </xf>
    <xf numFmtId="164" fontId="23" fillId="6" borderId="53" xfId="94" applyFont="true" applyBorder="true" applyAlignment="true" applyProtection="false">
      <alignment horizontal="center" vertical="center" textRotation="0" wrapText="true" indent="0" shrinkToFit="false"/>
      <protection locked="true" hidden="false"/>
    </xf>
    <xf numFmtId="164" fontId="37" fillId="4" borderId="0" xfId="94" applyFont="true" applyBorder="false" applyAlignment="true" applyProtection="false">
      <alignment horizontal="center" vertical="bottom" textRotation="0" wrapText="true" indent="0" shrinkToFit="false"/>
      <protection locked="true" hidden="false"/>
    </xf>
    <xf numFmtId="166" fontId="0" fillId="0" borderId="55" xfId="15" applyFont="true" applyBorder="true" applyAlignment="true" applyProtection="true">
      <alignment horizontal="general" vertical="bottom" textRotation="0" wrapText="fals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xf numFmtId="166" fontId="0" fillId="0" borderId="56" xfId="15" applyFont="true" applyBorder="true" applyAlignment="true" applyProtection="true">
      <alignment horizontal="general" vertical="bottom" textRotation="0" wrapText="false" indent="0" shrinkToFit="false"/>
      <protection locked="true" hidden="false"/>
    </xf>
    <xf numFmtId="164" fontId="0" fillId="0" borderId="81" xfId="0" applyFont="false" applyBorder="true" applyAlignment="false" applyProtection="false">
      <alignment horizontal="general" vertical="bottom" textRotation="0" wrapText="false" indent="0" shrinkToFit="false"/>
      <protection locked="true" hidden="false"/>
    </xf>
    <xf numFmtId="164" fontId="22" fillId="9" borderId="54" xfId="94" applyFont="true" applyBorder="true" applyAlignment="true" applyProtection="false">
      <alignment horizontal="center" vertical="center" textRotation="0" wrapText="true" indent="0" shrinkToFit="false"/>
      <protection locked="true" hidden="false"/>
    </xf>
    <xf numFmtId="165" fontId="22" fillId="9" borderId="55" xfId="94" applyFont="true" applyBorder="true" applyAlignment="true" applyProtection="false">
      <alignment horizontal="center" vertical="center" textRotation="0" wrapText="true" indent="0" shrinkToFit="false"/>
      <protection locked="true" hidden="false"/>
    </xf>
    <xf numFmtId="164" fontId="22" fillId="9" borderId="55" xfId="94" applyFont="true" applyBorder="true" applyAlignment="true" applyProtection="false">
      <alignment horizontal="center" vertical="center" textRotation="0" wrapText="true" indent="0" shrinkToFit="false"/>
      <protection locked="true" hidden="false"/>
    </xf>
    <xf numFmtId="166" fontId="22" fillId="9" borderId="55" xfId="15" applyFont="true" applyBorder="true" applyAlignment="true" applyProtection="true">
      <alignment horizontal="center" vertical="center" textRotation="0" wrapText="true" indent="0" shrinkToFit="false"/>
      <protection locked="true" hidden="false"/>
    </xf>
    <xf numFmtId="164" fontId="22" fillId="9" borderId="58" xfId="94" applyFont="true" applyBorder="true" applyAlignment="true" applyProtection="false">
      <alignment horizontal="center" vertical="center" textRotation="0" wrapText="true" indent="0" shrinkToFit="false"/>
      <protection locked="true" hidden="false"/>
    </xf>
    <xf numFmtId="164" fontId="22" fillId="9" borderId="59" xfId="94" applyFont="true" applyBorder="true" applyAlignment="true" applyProtection="false">
      <alignment horizontal="center" vertical="center" textRotation="0" wrapText="true" indent="0" shrinkToFit="false"/>
      <protection locked="true" hidden="false"/>
    </xf>
    <xf numFmtId="164" fontId="22" fillId="9" borderId="60" xfId="94" applyFont="true" applyBorder="true" applyAlignment="true" applyProtection="false">
      <alignment horizontal="center" vertical="center" textRotation="0" wrapText="true" indent="0" shrinkToFit="false"/>
      <protection locked="true" hidden="false"/>
    </xf>
    <xf numFmtId="164" fontId="22" fillId="9" borderId="61" xfId="94" applyFont="true" applyBorder="true" applyAlignment="true" applyProtection="false">
      <alignment horizontal="center" vertical="center" textRotation="0" wrapText="true" indent="0" shrinkToFit="false"/>
      <protection locked="true" hidden="false"/>
    </xf>
    <xf numFmtId="174" fontId="22" fillId="9" borderId="60" xfId="94" applyFont="true" applyBorder="true" applyAlignment="true" applyProtection="false">
      <alignment horizontal="center" vertical="center" textRotation="0" wrapText="true" indent="0" shrinkToFit="false"/>
      <protection locked="true" hidden="false"/>
    </xf>
    <xf numFmtId="164" fontId="22" fillId="9" borderId="56" xfId="94" applyFont="true" applyBorder="true" applyAlignment="true" applyProtection="false">
      <alignment horizontal="center" vertical="center" textRotation="0" wrapText="true" indent="0" shrinkToFit="false"/>
      <protection locked="true" hidden="false"/>
    </xf>
    <xf numFmtId="164" fontId="22" fillId="9" borderId="0" xfId="94" applyFont="true" applyBorder="false" applyAlignment="true" applyProtection="false">
      <alignment horizontal="center" vertical="center" textRotation="0" wrapText="true" indent="0" shrinkToFit="false"/>
      <protection locked="true" hidden="false"/>
    </xf>
    <xf numFmtId="166" fontId="22" fillId="10" borderId="58" xfId="15" applyFont="true" applyBorder="true" applyAlignment="true" applyProtection="true">
      <alignment horizontal="center" vertical="center" textRotation="0" wrapText="true" indent="0" shrinkToFit="false"/>
      <protection locked="true" hidden="false"/>
    </xf>
    <xf numFmtId="166" fontId="22" fillId="10" borderId="56" xfId="15" applyFont="true" applyBorder="true" applyAlignment="true" applyProtection="true">
      <alignment horizontal="center" vertical="center" textRotation="0" wrapText="true" indent="0" shrinkToFit="false"/>
      <protection locked="true" hidden="false"/>
    </xf>
    <xf numFmtId="164" fontId="22" fillId="10" borderId="7" xfId="94" applyFont="true" applyBorder="true" applyAlignment="true" applyProtection="false">
      <alignment horizontal="center" vertical="center" textRotation="0" wrapText="true" indent="0" shrinkToFit="false"/>
      <protection locked="true" hidden="false"/>
    </xf>
    <xf numFmtId="170" fontId="50" fillId="4" borderId="54" xfId="94" applyFont="true" applyBorder="true" applyAlignment="true" applyProtection="false">
      <alignment horizontal="center" vertical="bottom" textRotation="0" wrapText="false" indent="0" shrinkToFit="false"/>
      <protection locked="true" hidden="false"/>
    </xf>
    <xf numFmtId="164" fontId="4" fillId="4" borderId="55" xfId="22" applyFont="true" applyBorder="true" applyAlignment="true" applyProtection="false">
      <alignment horizontal="center" vertical="bottom" textRotation="0" wrapText="false" indent="0" shrinkToFit="false"/>
      <protection locked="true" hidden="false"/>
    </xf>
    <xf numFmtId="164" fontId="4" fillId="4" borderId="55" xfId="15" applyFont="true" applyBorder="true" applyAlignment="true" applyProtection="true">
      <alignment horizontal="center" vertical="center" textRotation="0" wrapText="false" indent="0" shrinkToFit="false"/>
      <protection locked="true" hidden="false"/>
    </xf>
    <xf numFmtId="165" fontId="4" fillId="4" borderId="55" xfId="15" applyFont="true" applyBorder="true" applyAlignment="true" applyProtection="true">
      <alignment horizontal="center" vertical="center" textRotation="0" wrapText="false" indent="0" shrinkToFit="false"/>
      <protection locked="true" hidden="false"/>
    </xf>
    <xf numFmtId="166" fontId="4" fillId="4" borderId="55" xfId="15" applyFont="true" applyBorder="true" applyAlignment="true" applyProtection="true">
      <alignment horizontal="center" vertical="center" textRotation="0" wrapText="false" indent="0" shrinkToFit="false"/>
      <protection locked="true" hidden="false"/>
    </xf>
    <xf numFmtId="165" fontId="4" fillId="4" borderId="56" xfId="21" applyFont="true" applyBorder="true" applyAlignment="true" applyProtection="false">
      <alignment horizontal="center" vertical="bottom" textRotation="0" wrapText="false" indent="0" shrinkToFit="false"/>
      <protection locked="true" hidden="false"/>
    </xf>
    <xf numFmtId="165" fontId="4" fillId="4" borderId="0" xfId="21" applyFont="false" applyBorder="false" applyAlignment="true" applyProtection="false">
      <alignment horizontal="center" vertical="bottom" textRotation="0" wrapText="false" indent="0" shrinkToFit="false"/>
      <protection locked="true" hidden="false"/>
    </xf>
    <xf numFmtId="165" fontId="4" fillId="4" borderId="54" xfId="21" applyFont="false" applyBorder="true" applyAlignment="true" applyProtection="false">
      <alignment horizontal="center" vertical="bottom" textRotation="0" wrapText="false" indent="0" shrinkToFit="false"/>
      <protection locked="true" hidden="false"/>
    </xf>
    <xf numFmtId="164" fontId="4" fillId="4" borderId="56" xfId="21" applyFont="false" applyBorder="true" applyAlignment="true" applyProtection="false">
      <alignment horizontal="center" vertical="bottom" textRotation="0" wrapText="false" indent="0" shrinkToFit="false"/>
      <protection locked="true" hidden="false"/>
    </xf>
    <xf numFmtId="165" fontId="4" fillId="4" borderId="54" xfId="22" applyFont="false" applyBorder="true" applyAlignment="true" applyProtection="false">
      <alignment horizontal="center" vertical="bottom" textRotation="0" wrapText="false" indent="0" shrinkToFit="false"/>
      <protection locked="true" hidden="false"/>
    </xf>
    <xf numFmtId="164" fontId="4" fillId="4" borderId="56" xfId="22" applyFont="false" applyBorder="true" applyAlignment="true" applyProtection="false">
      <alignment horizontal="center" vertical="bottom" textRotation="0" wrapText="false" indent="0" shrinkToFit="false"/>
      <protection locked="true" hidden="false"/>
    </xf>
    <xf numFmtId="170" fontId="4" fillId="4" borderId="0" xfId="21" applyFont="false" applyBorder="false" applyAlignment="true" applyProtection="false">
      <alignment horizontal="center" vertical="bottom" textRotation="0" wrapText="false" indent="0" shrinkToFit="false"/>
      <protection locked="true" hidden="false"/>
    </xf>
    <xf numFmtId="165" fontId="4" fillId="4" borderId="56" xfId="21" applyFont="false" applyBorder="true" applyAlignment="true" applyProtection="false">
      <alignment horizontal="center" vertical="bottom" textRotation="0" wrapText="false" indent="0" shrinkToFit="false"/>
      <protection locked="true" hidden="false"/>
    </xf>
    <xf numFmtId="166" fontId="4" fillId="4" borderId="54" xfId="15" applyFont="true" applyBorder="true" applyAlignment="true" applyProtection="true">
      <alignment horizontal="center" vertical="bottom" textRotation="0" wrapText="false" indent="0" shrinkToFit="false"/>
      <protection locked="true" hidden="false"/>
    </xf>
    <xf numFmtId="166" fontId="4" fillId="4" borderId="56" xfId="15" applyFont="true" applyBorder="true" applyAlignment="true" applyProtection="true">
      <alignment horizontal="center" vertical="bottom" textRotation="0" wrapText="false" indent="0" shrinkToFit="false"/>
      <protection locked="true" hidden="false"/>
    </xf>
    <xf numFmtId="170" fontId="4" fillId="4" borderId="55" xfId="21" applyFont="true" applyBorder="true" applyAlignment="true" applyProtection="false">
      <alignment horizontal="center" vertical="bottom" textRotation="0" wrapText="false" indent="0" shrinkToFit="false"/>
      <protection locked="true" hidden="false"/>
    </xf>
    <xf numFmtId="170" fontId="4" fillId="4" borderId="0" xfId="21" applyFont="true" applyBorder="false" applyAlignment="true" applyProtection="false">
      <alignment horizontal="center" vertical="bottom" textRotation="0" wrapText="false" indent="0" shrinkToFit="false"/>
      <protection locked="true" hidden="false"/>
    </xf>
    <xf numFmtId="165" fontId="4" fillId="4" borderId="55" xfId="21" applyFont="true" applyBorder="true" applyAlignment="true" applyProtection="false">
      <alignment horizontal="center" vertical="bottom" textRotation="0" wrapText="false" indent="0" shrinkToFit="false"/>
      <protection locked="true" hidden="false"/>
    </xf>
    <xf numFmtId="176" fontId="4" fillId="4" borderId="55" xfId="21" applyFont="true" applyBorder="true" applyAlignment="true" applyProtection="false">
      <alignment horizontal="center" vertical="bottom" textRotation="0" wrapText="false" indent="0" shrinkToFit="false"/>
      <protection locked="true" hidden="false"/>
    </xf>
    <xf numFmtId="176" fontId="4" fillId="4" borderId="0" xfId="21" applyFont="true" applyBorder="false" applyAlignment="true" applyProtection="false">
      <alignment horizontal="center" vertical="bottom" textRotation="0" wrapText="false" indent="0" shrinkToFit="false"/>
      <protection locked="true" hidden="false"/>
    </xf>
    <xf numFmtId="164" fontId="4" fillId="4" borderId="55" xfId="21" applyFont="true" applyBorder="true" applyAlignment="true" applyProtection="false">
      <alignment horizontal="center" vertical="bottom" textRotation="0" wrapText="false" indent="0" shrinkToFit="false"/>
      <protection locked="true" hidden="false"/>
    </xf>
    <xf numFmtId="166" fontId="4" fillId="4" borderId="55" xfId="15" applyFont="true" applyBorder="true" applyAlignment="true" applyProtection="true">
      <alignment horizontal="center" vertical="bottom" textRotation="0" wrapText="false" indent="0" shrinkToFit="false"/>
      <protection locked="true" hidden="false"/>
    </xf>
    <xf numFmtId="165" fontId="4" fillId="4" borderId="55" xfId="22" applyFont="true" applyBorder="true" applyAlignment="true" applyProtection="false">
      <alignment horizontal="center" vertical="bottom" textRotation="0" wrapText="false" indent="0" shrinkToFit="false"/>
      <protection locked="true" hidden="false"/>
    </xf>
    <xf numFmtId="164" fontId="4" fillId="16" borderId="55" xfId="22" applyFont="true" applyBorder="true" applyAlignment="true" applyProtection="false">
      <alignment horizontal="center" vertical="bottom" textRotation="0" wrapText="false" indent="0" shrinkToFit="false"/>
      <protection locked="true" hidden="false"/>
    </xf>
    <xf numFmtId="174" fontId="4" fillId="4" borderId="56" xfId="21" applyFont="false" applyBorder="true" applyAlignment="true" applyProtection="false">
      <alignment horizontal="center" vertical="bottom" textRotation="0" wrapText="false" indent="0" shrinkToFit="false"/>
      <protection locked="true" hidden="false"/>
    </xf>
    <xf numFmtId="164" fontId="50" fillId="4" borderId="55" xfId="15" applyFont="true" applyBorder="true" applyAlignment="true" applyProtection="true">
      <alignment horizontal="center" vertical="center" textRotation="0" wrapText="false" indent="0" shrinkToFit="false"/>
      <protection locked="true" hidden="false"/>
    </xf>
    <xf numFmtId="166" fontId="50" fillId="4" borderId="55" xfId="15" applyFont="true" applyBorder="true" applyAlignment="true" applyProtection="true">
      <alignment horizontal="center" vertical="center" textRotation="0" wrapText="false" indent="0" shrinkToFit="false"/>
      <protection locked="true" hidden="false"/>
    </xf>
    <xf numFmtId="165" fontId="29" fillId="4" borderId="55" xfId="21" applyFont="true" applyBorder="true" applyAlignment="true" applyProtection="false">
      <alignment horizontal="center" vertical="bottom" textRotation="0" wrapText="false" indent="0" shrinkToFit="false"/>
      <protection locked="true" hidden="false"/>
    </xf>
    <xf numFmtId="165" fontId="29" fillId="4" borderId="56" xfId="21" applyFont="true" applyBorder="true" applyAlignment="true" applyProtection="false">
      <alignment horizontal="center" vertical="bottom" textRotation="0" wrapText="false" indent="0" shrinkToFit="false"/>
      <protection locked="true" hidden="false"/>
    </xf>
    <xf numFmtId="165" fontId="29" fillId="4" borderId="0" xfId="21" applyFont="true" applyBorder="false" applyAlignment="true" applyProtection="false">
      <alignment horizontal="center" vertical="bottom" textRotation="0" wrapText="false" indent="0" shrinkToFit="false"/>
      <protection locked="true" hidden="false"/>
    </xf>
    <xf numFmtId="165" fontId="4" fillId="16" borderId="55" xfId="22" applyFont="true" applyBorder="true" applyAlignment="true" applyProtection="false">
      <alignment horizontal="center" vertical="bottom" textRotation="0" wrapText="false" indent="0" shrinkToFit="false"/>
      <protection locked="true" hidden="false"/>
    </xf>
    <xf numFmtId="164" fontId="4" fillId="4" borderId="80" xfId="22" applyFont="true" applyBorder="true" applyAlignment="true" applyProtection="false">
      <alignment horizontal="center" vertical="bottom" textRotation="0" wrapText="false" indent="0" shrinkToFit="false"/>
      <protection locked="true" hidden="false"/>
    </xf>
    <xf numFmtId="165" fontId="4" fillId="4" borderId="80" xfId="22" applyFont="true" applyBorder="true" applyAlignment="true" applyProtection="false">
      <alignment horizontal="center" vertical="bottom" textRotation="0" wrapText="false" indent="0" shrinkToFit="false"/>
      <protection locked="true" hidden="false"/>
    </xf>
    <xf numFmtId="164" fontId="4" fillId="4" borderId="80" xfId="15" applyFont="true" applyBorder="true" applyAlignment="true" applyProtection="true">
      <alignment horizontal="center" vertical="center" textRotation="0" wrapText="false" indent="0" shrinkToFit="false"/>
      <protection locked="true" hidden="false"/>
    </xf>
    <xf numFmtId="165" fontId="4" fillId="4" borderId="80" xfId="15" applyFont="true" applyBorder="true" applyAlignment="true" applyProtection="true">
      <alignment horizontal="center" vertical="center" textRotation="0" wrapText="false" indent="0" shrinkToFit="false"/>
      <protection locked="true" hidden="false"/>
    </xf>
    <xf numFmtId="166" fontId="4" fillId="4" borderId="80" xfId="15" applyFont="true" applyBorder="true" applyAlignment="true" applyProtection="true">
      <alignment horizontal="center" vertical="center" textRotation="0" wrapText="false" indent="0" shrinkToFit="false"/>
      <protection locked="true" hidden="false"/>
    </xf>
    <xf numFmtId="164" fontId="4" fillId="4" borderId="82" xfId="94" applyFont="false" applyBorder="true" applyAlignment="false" applyProtection="false">
      <alignment horizontal="general" vertical="bottom" textRotation="0" wrapText="false" indent="0" shrinkToFit="false"/>
      <protection locked="true" hidden="false"/>
    </xf>
    <xf numFmtId="165" fontId="4" fillId="4" borderId="80" xfId="21" applyFont="true" applyBorder="true" applyAlignment="true" applyProtection="false">
      <alignment horizontal="center" vertical="bottom" textRotation="0" wrapText="false" indent="0" shrinkToFit="false"/>
      <protection locked="true" hidden="false"/>
    </xf>
    <xf numFmtId="165" fontId="4" fillId="4" borderId="83" xfId="21" applyFont="true" applyBorder="true" applyAlignment="true" applyProtection="false">
      <alignment horizontal="center" vertical="bottom" textRotation="0" wrapText="false" indent="0" shrinkToFit="false"/>
      <protection locked="true" hidden="false"/>
    </xf>
    <xf numFmtId="165" fontId="4" fillId="4" borderId="82" xfId="21" applyFont="false" applyBorder="true" applyAlignment="true" applyProtection="false">
      <alignment horizontal="center" vertical="bottom" textRotation="0" wrapText="false" indent="0" shrinkToFit="false"/>
      <protection locked="true" hidden="false"/>
    </xf>
    <xf numFmtId="165" fontId="4" fillId="4" borderId="84" xfId="21" applyFont="true" applyBorder="true" applyAlignment="true" applyProtection="false">
      <alignment horizontal="center" vertical="bottom" textRotation="0" wrapText="false" indent="0" shrinkToFit="false"/>
      <protection locked="true" hidden="false"/>
    </xf>
    <xf numFmtId="164" fontId="4" fillId="4" borderId="83" xfId="21" applyFont="true" applyBorder="true" applyAlignment="true" applyProtection="false">
      <alignment horizontal="center" vertical="bottom" textRotation="0" wrapText="false" indent="0" shrinkToFit="false"/>
      <protection locked="true" hidden="false"/>
    </xf>
    <xf numFmtId="165" fontId="4" fillId="4" borderId="84" xfId="22" applyFont="false" applyBorder="true" applyAlignment="true" applyProtection="false">
      <alignment horizontal="center" vertical="bottom" textRotation="0" wrapText="false" indent="0" shrinkToFit="false"/>
      <protection locked="true" hidden="false"/>
    </xf>
    <xf numFmtId="164" fontId="4" fillId="4" borderId="83" xfId="22" applyFont="false" applyBorder="true" applyAlignment="true" applyProtection="false">
      <alignment horizontal="center" vertical="bottom" textRotation="0" wrapText="false" indent="0" shrinkToFit="false"/>
      <protection locked="true" hidden="false"/>
    </xf>
    <xf numFmtId="170" fontId="4" fillId="4" borderId="82" xfId="21" applyFont="false" applyBorder="true" applyAlignment="true" applyProtection="false">
      <alignment horizontal="center" vertical="bottom" textRotation="0" wrapText="false" indent="0" shrinkToFit="false"/>
      <protection locked="true" hidden="false"/>
    </xf>
    <xf numFmtId="165" fontId="4" fillId="4" borderId="80" xfId="21" applyFont="false" applyBorder="true" applyAlignment="true" applyProtection="false">
      <alignment horizontal="center" vertical="bottom" textRotation="0" wrapText="false" indent="0" shrinkToFit="false"/>
      <protection locked="true" hidden="false"/>
    </xf>
    <xf numFmtId="165" fontId="4" fillId="4" borderId="84" xfId="21" applyFont="false" applyBorder="true" applyAlignment="true" applyProtection="false">
      <alignment horizontal="center" vertical="bottom" textRotation="0" wrapText="false" indent="0" shrinkToFit="false"/>
      <protection locked="true" hidden="false"/>
    </xf>
    <xf numFmtId="165" fontId="4" fillId="4" borderId="83" xfId="21" applyFont="false" applyBorder="true" applyAlignment="true" applyProtection="false">
      <alignment horizontal="center" vertical="bottom" textRotation="0" wrapText="false" indent="0" shrinkToFit="false"/>
      <protection locked="true" hidden="false"/>
    </xf>
    <xf numFmtId="166" fontId="4" fillId="4" borderId="84" xfId="15" applyFont="true" applyBorder="true" applyAlignment="true" applyProtection="true">
      <alignment horizontal="center" vertical="bottom" textRotation="0" wrapText="false" indent="0" shrinkToFit="false"/>
      <protection locked="true" hidden="false"/>
    </xf>
    <xf numFmtId="166" fontId="4" fillId="4" borderId="83" xfId="15" applyFont="true" applyBorder="true" applyAlignment="true" applyProtection="true">
      <alignment horizontal="center" vertical="bottom" textRotation="0" wrapText="false" indent="0" shrinkToFit="false"/>
      <protection locked="true" hidden="false"/>
    </xf>
    <xf numFmtId="170" fontId="4" fillId="4" borderId="80" xfId="21" applyFont="false" applyBorder="true" applyAlignment="true" applyProtection="false">
      <alignment horizontal="center" vertical="bottom" textRotation="0" wrapText="false" indent="0" shrinkToFit="false"/>
      <protection locked="true" hidden="false"/>
    </xf>
    <xf numFmtId="170" fontId="4" fillId="4" borderId="80" xfId="21" applyFont="true" applyBorder="true" applyAlignment="true" applyProtection="false">
      <alignment horizontal="center" vertical="bottom" textRotation="0" wrapText="false" indent="0" shrinkToFit="false"/>
      <protection locked="true" hidden="false"/>
    </xf>
    <xf numFmtId="170" fontId="4" fillId="4" borderId="82" xfId="21" applyFont="true" applyBorder="true" applyAlignment="true" applyProtection="false">
      <alignment horizontal="center" vertical="bottom" textRotation="0" wrapText="false" indent="0" shrinkToFit="false"/>
      <protection locked="true" hidden="false"/>
    </xf>
    <xf numFmtId="176" fontId="4" fillId="4" borderId="80" xfId="21" applyFont="true" applyBorder="true" applyAlignment="true" applyProtection="false">
      <alignment horizontal="center" vertical="bottom" textRotation="0" wrapText="false" indent="0" shrinkToFit="false"/>
      <protection locked="true" hidden="false"/>
    </xf>
    <xf numFmtId="176" fontId="4" fillId="4" borderId="82" xfId="21" applyFont="true" applyBorder="true" applyAlignment="true" applyProtection="false">
      <alignment horizontal="center" vertical="bottom" textRotation="0" wrapText="false" indent="0" shrinkToFit="false"/>
      <protection locked="true" hidden="false"/>
    </xf>
    <xf numFmtId="164" fontId="4" fillId="4" borderId="22" xfId="95" applyFont="true" applyBorder="true" applyAlignment="true" applyProtection="false">
      <alignment horizontal="center" vertical="center" textRotation="0" wrapText="false" indent="0" shrinkToFit="false"/>
      <protection locked="true" hidden="false"/>
    </xf>
    <xf numFmtId="164" fontId="4" fillId="4" borderId="35" xfId="95" applyFont="true" applyBorder="true" applyAlignment="true" applyProtection="false">
      <alignment horizontal="center" vertical="center" textRotation="0" wrapText="false" indent="0" shrinkToFit="false"/>
      <protection locked="true" hidden="false"/>
    </xf>
    <xf numFmtId="164" fontId="18" fillId="5" borderId="53" xfId="95" applyFont="true" applyBorder="true" applyAlignment="true" applyProtection="false">
      <alignment horizontal="center" vertical="center" textRotation="0" wrapText="true" indent="0" shrinkToFit="false"/>
      <protection locked="true" hidden="false"/>
    </xf>
    <xf numFmtId="164" fontId="18" fillId="14" borderId="53" xfId="94" applyFont="true" applyBorder="true" applyAlignment="true" applyProtection="false">
      <alignment horizontal="center" vertical="center" textRotation="0" wrapText="true" indent="0" shrinkToFit="false"/>
      <protection locked="true" hidden="false"/>
    </xf>
    <xf numFmtId="164" fontId="52" fillId="4" borderId="0" xfId="94" applyFont="true" applyBorder="false" applyAlignment="true" applyProtection="false">
      <alignment horizontal="general" vertical="center" textRotation="0" wrapText="false" indent="0" shrinkToFit="false"/>
      <protection locked="true" hidden="false"/>
    </xf>
    <xf numFmtId="164" fontId="20" fillId="5" borderId="0" xfId="94" applyFont="true" applyBorder="false" applyAlignment="false" applyProtection="false">
      <alignment horizontal="general" vertical="bottom" textRotation="0" wrapText="false" indent="0" shrinkToFit="false"/>
      <protection locked="true" hidden="false"/>
    </xf>
    <xf numFmtId="164" fontId="53" fillId="5" borderId="0" xfId="94" applyFont="true" applyBorder="false" applyAlignment="true" applyProtection="false">
      <alignment horizontal="general" vertical="center" textRotation="0" wrapText="false" indent="0" shrinkToFit="false"/>
      <protection locked="true" hidden="false"/>
    </xf>
    <xf numFmtId="164" fontId="53" fillId="5" borderId="0" xfId="94" applyFont="true" applyBorder="false" applyAlignment="false" applyProtection="false">
      <alignment horizontal="general" vertical="bottom" textRotation="0" wrapText="false" indent="0" shrinkToFit="false"/>
      <protection locked="true" hidden="false"/>
    </xf>
    <xf numFmtId="164" fontId="48" fillId="5" borderId="0" xfId="94" applyFont="true" applyBorder="false" applyAlignment="false" applyProtection="false">
      <alignment horizontal="general" vertical="bottom" textRotation="0" wrapText="false" indent="0" shrinkToFit="false"/>
      <protection locked="true" hidden="false"/>
    </xf>
    <xf numFmtId="164" fontId="35" fillId="0" borderId="0" xfId="94" applyFont="true" applyBorder="false" applyAlignment="false" applyProtection="false">
      <alignment horizontal="general" vertical="bottom" textRotation="0" wrapText="false" indent="0" shrinkToFit="false"/>
      <protection locked="true" hidden="false"/>
    </xf>
    <xf numFmtId="164" fontId="22" fillId="15" borderId="54" xfId="94" applyFont="true" applyBorder="true" applyAlignment="true" applyProtection="false">
      <alignment horizontal="center" vertical="center" textRotation="0" wrapText="true" indent="0" shrinkToFit="false"/>
      <protection locked="true" hidden="false"/>
    </xf>
    <xf numFmtId="164" fontId="22" fillId="15" borderId="55" xfId="94" applyFont="true" applyBorder="true" applyAlignment="true" applyProtection="false">
      <alignment horizontal="center" vertical="center" textRotation="0" wrapText="true" indent="0" shrinkToFit="false"/>
      <protection locked="true" hidden="false"/>
    </xf>
    <xf numFmtId="165" fontId="22" fillId="15" borderId="55" xfId="94" applyFont="true" applyBorder="true" applyAlignment="true" applyProtection="false">
      <alignment horizontal="center" vertical="center" textRotation="0" wrapText="true" indent="0" shrinkToFit="false"/>
      <protection locked="true" hidden="false"/>
    </xf>
    <xf numFmtId="164" fontId="22" fillId="15" borderId="58" xfId="94" applyFont="true" applyBorder="true" applyAlignment="true" applyProtection="false">
      <alignment horizontal="center" vertical="center" textRotation="0" wrapText="true" indent="0" shrinkToFit="false"/>
      <protection locked="true" hidden="false"/>
    </xf>
    <xf numFmtId="164" fontId="22" fillId="15" borderId="60" xfId="94" applyFont="true" applyBorder="true" applyAlignment="true" applyProtection="false">
      <alignment horizontal="center" vertical="center" textRotation="0" wrapText="true" indent="0" shrinkToFit="false"/>
      <protection locked="true" hidden="false"/>
    </xf>
    <xf numFmtId="164" fontId="22" fillId="15" borderId="56" xfId="94" applyFont="true" applyBorder="true" applyAlignment="true" applyProtection="false">
      <alignment horizontal="center" vertical="center" textRotation="0" wrapText="true" indent="0" shrinkToFit="false"/>
      <protection locked="true" hidden="false"/>
    </xf>
    <xf numFmtId="170" fontId="4" fillId="4" borderId="54" xfId="94" applyFont="true" applyBorder="true" applyAlignment="true" applyProtection="false">
      <alignment horizontal="center" vertical="bottom" textRotation="0" wrapText="false" indent="0" shrinkToFit="false"/>
      <protection locked="true" hidden="false"/>
    </xf>
    <xf numFmtId="164" fontId="4" fillId="4" borderId="56" xfId="21" applyFont="true" applyBorder="true" applyAlignment="true" applyProtection="false">
      <alignment horizontal="center" vertical="bottom" textRotation="0" wrapText="false" indent="0" shrinkToFit="false"/>
      <protection locked="true" hidden="false"/>
    </xf>
    <xf numFmtId="165" fontId="4" fillId="4" borderId="0" xfId="22" applyFont="false" applyBorder="false" applyAlignment="true" applyProtection="false">
      <alignment horizontal="center" vertical="bottom" textRotation="0" wrapText="false" indent="0" shrinkToFit="false"/>
      <protection locked="true" hidden="false"/>
    </xf>
    <xf numFmtId="170" fontId="4" fillId="4" borderId="84" xfId="94" applyFont="true" applyBorder="true" applyAlignment="true" applyProtection="false">
      <alignment horizontal="center" vertical="bottom" textRotation="0" wrapText="false" indent="0" shrinkToFit="false"/>
      <protection locked="true" hidden="false"/>
    </xf>
    <xf numFmtId="164" fontId="4" fillId="4" borderId="80" xfId="21" applyFont="true" applyBorder="true" applyAlignment="true" applyProtection="false">
      <alignment horizontal="center" vertical="bottom" textRotation="0" wrapText="false" indent="0" shrinkToFit="false"/>
      <protection locked="true" hidden="false"/>
    </xf>
    <xf numFmtId="165" fontId="4" fillId="4" borderId="82" xfId="22" applyFont="false" applyBorder="true" applyAlignment="true" applyProtection="false">
      <alignment horizontal="center" vertical="bottom" textRotation="0" wrapText="false" indent="0" shrinkToFit="false"/>
      <protection locked="true" hidden="false"/>
    </xf>
    <xf numFmtId="164" fontId="4" fillId="4" borderId="83" xfId="21" applyFont="false" applyBorder="true" applyAlignment="true" applyProtection="false">
      <alignment horizontal="center" vertical="bottom" textRotation="0" wrapText="false" indent="0" shrinkToFit="false"/>
      <protection locked="true" hidden="false"/>
    </xf>
    <xf numFmtId="164" fontId="17" fillId="5" borderId="85" xfId="94" applyFont="true" applyBorder="true" applyAlignment="true" applyProtection="false">
      <alignment horizontal="center" vertical="center" textRotation="0" wrapText="true" indent="0" shrinkToFit="false"/>
      <protection locked="true" hidden="false"/>
    </xf>
    <xf numFmtId="164" fontId="17" fillId="5" borderId="85" xfId="94" applyFont="true" applyBorder="true" applyAlignment="true" applyProtection="false">
      <alignment horizontal="center" vertical="center" textRotation="0" wrapText="false" indent="0" shrinkToFit="false"/>
      <protection locked="true" hidden="false"/>
    </xf>
    <xf numFmtId="164" fontId="19" fillId="0" borderId="86" xfId="94" applyFont="true" applyBorder="true" applyAlignment="true" applyProtection="false">
      <alignment horizontal="center" vertical="center" textRotation="0" wrapText="true" indent="0" shrinkToFit="false"/>
      <protection locked="true" hidden="false"/>
    </xf>
    <xf numFmtId="164" fontId="22" fillId="6" borderId="87" xfId="94" applyFont="true" applyBorder="true" applyAlignment="true" applyProtection="false">
      <alignment horizontal="center" vertical="center" textRotation="0" wrapText="true" indent="0" shrinkToFit="false"/>
      <protection locked="true" hidden="false"/>
    </xf>
    <xf numFmtId="164" fontId="4" fillId="4" borderId="88" xfId="94" applyFont="true" applyBorder="true" applyAlignment="true" applyProtection="false">
      <alignment horizontal="center" vertical="center" textRotation="0" wrapText="true" indent="0" shrinkToFit="false"/>
      <protection locked="true" hidden="false"/>
    </xf>
    <xf numFmtId="164" fontId="4" fillId="4" borderId="21" xfId="94" applyFont="true" applyBorder="true" applyAlignment="true" applyProtection="false">
      <alignment horizontal="center" vertical="center" textRotation="0" wrapText="true" indent="0" shrinkToFit="false"/>
      <protection locked="true" hidden="false"/>
    </xf>
    <xf numFmtId="164" fontId="4" fillId="4" borderId="22" xfId="95" applyFont="true" applyBorder="true" applyAlignment="true" applyProtection="false">
      <alignment horizontal="center" vertical="center" textRotation="0" wrapText="true" indent="0" shrinkToFit="false"/>
      <protection locked="true" hidden="false"/>
    </xf>
    <xf numFmtId="164" fontId="4" fillId="4" borderId="29" xfId="94" applyFont="true" applyBorder="true" applyAlignment="true" applyProtection="false">
      <alignment horizontal="left" vertical="center" textRotation="0" wrapText="true" indent="0" shrinkToFit="false"/>
      <protection locked="true" hidden="false"/>
    </xf>
    <xf numFmtId="164" fontId="4" fillId="4" borderId="89" xfId="94" applyFont="true" applyBorder="true" applyAlignment="true" applyProtection="false">
      <alignment horizontal="center" vertical="center" textRotation="0" wrapText="false" indent="0" shrinkToFit="false"/>
      <protection locked="true" hidden="false"/>
    </xf>
    <xf numFmtId="164" fontId="28" fillId="4" borderId="89" xfId="95" applyFont="true" applyBorder="true" applyAlignment="true" applyProtection="false">
      <alignment horizontal="center" vertical="center" textRotation="0" wrapText="false" indent="0" shrinkToFit="false"/>
      <protection locked="true" hidden="false"/>
    </xf>
    <xf numFmtId="164" fontId="4" fillId="4" borderId="90" xfId="95" applyFont="true" applyBorder="true" applyAlignment="true" applyProtection="false">
      <alignment horizontal="center" vertical="center" textRotation="0" wrapText="true" indent="0" shrinkToFit="false"/>
      <protection locked="true" hidden="false"/>
    </xf>
    <xf numFmtId="164" fontId="28" fillId="0" borderId="89" xfId="94" applyFont="true" applyBorder="true" applyAlignment="true" applyProtection="false">
      <alignment horizontal="center" vertical="center" textRotation="0" wrapText="true" indent="0" shrinkToFit="false"/>
      <protection locked="true" hidden="false"/>
    </xf>
    <xf numFmtId="164" fontId="28" fillId="4" borderId="90" xfId="94" applyFont="true" applyBorder="true" applyAlignment="true" applyProtection="false">
      <alignment horizontal="center" vertical="center" textRotation="0" wrapText="true" indent="0" shrinkToFit="false"/>
      <protection locked="true" hidden="false"/>
    </xf>
    <xf numFmtId="164" fontId="4" fillId="4" borderId="88" xfId="94" applyFont="true" applyBorder="true" applyAlignment="true" applyProtection="false">
      <alignment horizontal="center" vertical="center" textRotation="0" wrapText="false" indent="0" shrinkToFit="false"/>
      <protection locked="true" hidden="false"/>
    </xf>
    <xf numFmtId="164" fontId="28" fillId="4" borderId="88" xfId="94" applyFont="true" applyBorder="true" applyAlignment="true" applyProtection="false">
      <alignment horizontal="center" vertical="center" textRotation="0" wrapText="false" indent="0" shrinkToFit="false"/>
      <protection locked="true" hidden="false"/>
    </xf>
    <xf numFmtId="164" fontId="28" fillId="0" borderId="22" xfId="94" applyFont="true" applyBorder="true" applyAlignment="true" applyProtection="false">
      <alignment horizontal="center" vertical="center" textRotation="0" wrapText="true" indent="0" shrinkToFit="false"/>
      <protection locked="true" hidden="false"/>
    </xf>
    <xf numFmtId="164" fontId="28" fillId="4" borderId="40" xfId="94" applyFont="true" applyBorder="true" applyAlignment="true" applyProtection="false">
      <alignment horizontal="center" vertical="center" textRotation="0" wrapText="true" indent="0" shrinkToFit="false"/>
      <protection locked="true" hidden="false"/>
    </xf>
    <xf numFmtId="164" fontId="18" fillId="5" borderId="91" xfId="94" applyFont="true" applyBorder="true" applyAlignment="true" applyProtection="false">
      <alignment horizontal="center" vertical="center" textRotation="0" wrapText="true" indent="0" shrinkToFit="false"/>
      <protection locked="true" hidden="false"/>
    </xf>
    <xf numFmtId="166" fontId="22" fillId="15" borderId="55" xfId="15" applyFont="true" applyBorder="true" applyAlignment="true" applyProtection="true">
      <alignment horizontal="center" vertical="center" textRotation="0" wrapText="true" indent="0" shrinkToFit="false"/>
      <protection locked="true" hidden="false"/>
    </xf>
    <xf numFmtId="170" fontId="50" fillId="4" borderId="92" xfId="94" applyFont="true" applyBorder="true" applyAlignment="true" applyProtection="false">
      <alignment horizontal="center" vertical="bottom" textRotation="0" wrapText="false" indent="0" shrinkToFit="false"/>
      <protection locked="true" hidden="false"/>
    </xf>
    <xf numFmtId="164" fontId="4" fillId="4" borderId="93" xfId="22" applyFont="true" applyBorder="true" applyAlignment="true" applyProtection="false">
      <alignment horizontal="center" vertical="bottom" textRotation="0" wrapText="false" indent="0" shrinkToFit="false"/>
      <protection locked="true" hidden="false"/>
    </xf>
    <xf numFmtId="164" fontId="4" fillId="4" borderId="93" xfId="15" applyFont="true" applyBorder="true" applyAlignment="true" applyProtection="true">
      <alignment horizontal="center" vertical="center" textRotation="0" wrapText="false" indent="0" shrinkToFit="false"/>
      <protection locked="true" hidden="false"/>
    </xf>
    <xf numFmtId="166" fontId="4" fillId="4" borderId="93" xfId="15" applyFont="true" applyBorder="true" applyAlignment="true" applyProtection="true">
      <alignment horizontal="center" vertical="center" textRotation="0" wrapText="false" indent="0" shrinkToFit="false"/>
      <protection locked="true" hidden="false"/>
    </xf>
    <xf numFmtId="170" fontId="4" fillId="4" borderId="69" xfId="21" applyFont="false" applyBorder="true" applyAlignment="true" applyProtection="false">
      <alignment horizontal="center" vertical="bottom" textRotation="0" wrapText="false" indent="0" shrinkToFit="false"/>
      <protection locked="true" hidden="false"/>
    </xf>
    <xf numFmtId="165" fontId="4" fillId="4" borderId="93" xfId="21" applyFont="false" applyBorder="true" applyAlignment="true" applyProtection="false">
      <alignment horizontal="center" vertical="bottom" textRotation="0" wrapText="false" indent="0" shrinkToFit="false"/>
      <protection locked="true" hidden="false"/>
    </xf>
    <xf numFmtId="165" fontId="4" fillId="4" borderId="69" xfId="21" applyFont="false" applyBorder="true" applyAlignment="true" applyProtection="false">
      <alignment horizontal="center" vertical="bottom" textRotation="0" wrapText="false" indent="0" shrinkToFit="false"/>
      <protection locked="true" hidden="false"/>
    </xf>
    <xf numFmtId="165" fontId="4" fillId="4" borderId="92" xfId="21" applyFont="true" applyBorder="true" applyAlignment="true" applyProtection="false">
      <alignment horizontal="center" vertical="bottom" textRotation="0" wrapText="false" indent="0" shrinkToFit="false"/>
      <protection locked="true" hidden="false"/>
    </xf>
    <xf numFmtId="164" fontId="4" fillId="4" borderId="69" xfId="94" applyFont="false" applyBorder="true" applyAlignment="false" applyProtection="false">
      <alignment horizontal="general" vertical="bottom" textRotation="0" wrapText="false" indent="0" shrinkToFit="false"/>
      <protection locked="true" hidden="false"/>
    </xf>
    <xf numFmtId="164" fontId="4" fillId="4" borderId="0" xfId="95" applyFont="false" applyBorder="false" applyAlignment="false" applyProtection="false">
      <alignment horizontal="general" vertical="bottom" textRotation="0" wrapText="false" indent="0" shrinkToFit="false"/>
      <protection locked="true" hidden="false"/>
    </xf>
    <xf numFmtId="164" fontId="4" fillId="0" borderId="0" xfId="95" applyFont="false" applyBorder="false" applyAlignment="false" applyProtection="false">
      <alignment horizontal="general" vertical="bottom" textRotation="0" wrapText="false" indent="0" shrinkToFit="false"/>
      <protection locked="true" hidden="false"/>
    </xf>
    <xf numFmtId="164" fontId="16" fillId="0" borderId="77" xfId="95" applyFont="true" applyBorder="true" applyAlignment="true" applyProtection="false">
      <alignment horizontal="general" vertical="center" textRotation="0" wrapText="false" indent="0" shrinkToFit="false"/>
      <protection locked="true" hidden="false"/>
    </xf>
    <xf numFmtId="164" fontId="24" fillId="0" borderId="17" xfId="95" applyFont="true" applyBorder="true" applyAlignment="true" applyProtection="false">
      <alignment horizontal="center" vertical="center" textRotation="0" wrapText="true" indent="0" shrinkToFit="false"/>
      <protection locked="true" hidden="false"/>
    </xf>
    <xf numFmtId="164" fontId="21" fillId="0" borderId="18" xfId="95" applyFont="true" applyBorder="true" applyAlignment="true" applyProtection="false">
      <alignment horizontal="center" vertical="center" textRotation="0" wrapText="true" indent="0" shrinkToFit="false"/>
      <protection locked="true" hidden="false"/>
    </xf>
    <xf numFmtId="164" fontId="4" fillId="4" borderId="94" xfId="95" applyFont="true" applyBorder="true" applyAlignment="true" applyProtection="false">
      <alignment horizontal="center" vertical="center" textRotation="0" wrapText="true" indent="0" shrinkToFit="false"/>
      <protection locked="true" hidden="false"/>
    </xf>
    <xf numFmtId="164" fontId="4" fillId="0" borderId="0" xfId="95" applyFont="false" applyBorder="false" applyAlignment="true" applyProtection="false">
      <alignment horizontal="center" vertical="center" textRotation="0" wrapText="true" indent="0" shrinkToFit="false"/>
      <protection locked="true" hidden="false"/>
    </xf>
    <xf numFmtId="164" fontId="29" fillId="4" borderId="20" xfId="95" applyFont="true" applyBorder="true" applyAlignment="true" applyProtection="false">
      <alignment horizontal="center" vertical="center" textRotation="0" wrapText="true" indent="0" shrinkToFit="false"/>
      <protection locked="true" hidden="false"/>
    </xf>
    <xf numFmtId="164" fontId="4" fillId="4" borderId="45" xfId="95" applyFont="true" applyBorder="true" applyAlignment="true" applyProtection="false">
      <alignment horizontal="center" vertical="center" textRotation="0" wrapText="true" indent="0" shrinkToFit="false"/>
      <protection locked="true" hidden="false"/>
    </xf>
    <xf numFmtId="164" fontId="4" fillId="4" borderId="95" xfId="95" applyFont="true" applyBorder="true" applyAlignment="true" applyProtection="false">
      <alignment horizontal="center" vertical="center" textRotation="0" wrapText="true" indent="0" shrinkToFit="false"/>
      <protection locked="true" hidden="false"/>
    </xf>
    <xf numFmtId="164" fontId="50" fillId="4" borderId="96" xfId="95" applyFont="true" applyBorder="true" applyAlignment="true" applyProtection="false">
      <alignment horizontal="center" vertical="center" textRotation="0" wrapText="true" indent="0" shrinkToFit="false"/>
      <protection locked="true" hidden="false"/>
    </xf>
    <xf numFmtId="164" fontId="4" fillId="0" borderId="0" xfId="95" applyFont="false" applyBorder="false" applyAlignment="true" applyProtection="false">
      <alignment horizontal="center" vertical="center" textRotation="0" wrapText="false" indent="0" shrinkToFit="false"/>
      <protection locked="true" hidden="false"/>
    </xf>
    <xf numFmtId="164" fontId="30" fillId="7" borderId="43" xfId="95" applyFont="true" applyBorder="true" applyAlignment="true" applyProtection="false">
      <alignment horizontal="center" vertical="center" textRotation="0" wrapText="true" indent="0" shrinkToFit="false"/>
      <protection locked="true" hidden="false"/>
    </xf>
    <xf numFmtId="164" fontId="4" fillId="4" borderId="44" xfId="95" applyFont="true" applyBorder="true" applyAlignment="true" applyProtection="false">
      <alignment horizontal="center" vertical="center" textRotation="0" wrapText="true" indent="0" shrinkToFit="false"/>
      <protection locked="true" hidden="false"/>
    </xf>
    <xf numFmtId="164" fontId="4" fillId="0" borderId="26" xfId="95" applyFont="false" applyBorder="true" applyAlignment="true" applyProtection="false">
      <alignment horizontal="center" vertical="center" textRotation="0" wrapText="true" indent="0" shrinkToFit="false"/>
      <protection locked="true" hidden="false"/>
    </xf>
    <xf numFmtId="164" fontId="29" fillId="4" borderId="44" xfId="95" applyFont="true" applyBorder="true" applyAlignment="true" applyProtection="false">
      <alignment horizontal="center" vertical="center" textRotation="0" wrapText="false" indent="0" shrinkToFit="false"/>
      <protection locked="true" hidden="false"/>
    </xf>
    <xf numFmtId="164" fontId="50" fillId="4" borderId="45" xfId="95" applyFont="true" applyBorder="true" applyAlignment="true" applyProtection="false">
      <alignment horizontal="center" vertical="center" textRotation="0" wrapText="true" indent="0" shrinkToFit="false"/>
      <protection locked="true" hidden="false"/>
    </xf>
    <xf numFmtId="164" fontId="50" fillId="4" borderId="51" xfId="95" applyFont="true" applyBorder="true" applyAlignment="true" applyProtection="false">
      <alignment horizontal="center" vertical="center" textRotation="0" wrapText="true" indent="0" shrinkToFit="false"/>
      <protection locked="true" hidden="false"/>
    </xf>
    <xf numFmtId="164" fontId="50" fillId="4" borderId="30" xfId="95" applyFont="true" applyBorder="true" applyAlignment="true" applyProtection="false">
      <alignment horizontal="center" vertical="center" textRotation="0" wrapText="true" indent="0" shrinkToFit="false"/>
      <protection locked="true" hidden="false"/>
    </xf>
    <xf numFmtId="164" fontId="50" fillId="4" borderId="25" xfId="95" applyFont="true" applyBorder="true" applyAlignment="true" applyProtection="false">
      <alignment horizontal="center" vertical="center" textRotation="0" wrapText="true" indent="0" shrinkToFit="false"/>
      <protection locked="true" hidden="false"/>
    </xf>
    <xf numFmtId="164" fontId="29" fillId="4" borderId="44" xfId="95" applyFont="true" applyBorder="true" applyAlignment="true" applyProtection="false">
      <alignment horizontal="center" vertical="center" textRotation="0" wrapText="true" indent="0" shrinkToFit="false"/>
      <protection locked="true" hidden="false"/>
    </xf>
    <xf numFmtId="164" fontId="4" fillId="4" borderId="85" xfId="95" applyFont="true" applyBorder="true" applyAlignment="true" applyProtection="false">
      <alignment horizontal="center" vertical="center" textRotation="0" wrapText="true" indent="0" shrinkToFit="false"/>
      <protection locked="true" hidden="false"/>
    </xf>
    <xf numFmtId="164" fontId="4" fillId="4" borderId="51" xfId="95" applyFont="true" applyBorder="true" applyAlignment="true" applyProtection="false">
      <alignment horizontal="center" vertical="center" textRotation="0" wrapText="true" indent="0" shrinkToFit="false"/>
      <protection locked="true" hidden="false"/>
    </xf>
    <xf numFmtId="164" fontId="4" fillId="4" borderId="97" xfId="95" applyFont="true" applyBorder="true" applyAlignment="true" applyProtection="false">
      <alignment horizontal="center" vertical="center" textRotation="0" wrapText="true" indent="0" shrinkToFit="false"/>
      <protection locked="true" hidden="false"/>
    </xf>
    <xf numFmtId="164" fontId="4" fillId="4" borderId="47" xfId="95" applyFont="true" applyBorder="true" applyAlignment="true" applyProtection="false">
      <alignment horizontal="center" vertical="center" textRotation="0" wrapText="true" indent="0" shrinkToFit="false"/>
      <protection locked="true" hidden="false"/>
    </xf>
    <xf numFmtId="164" fontId="30" fillId="7" borderId="50" xfId="95" applyFont="true" applyBorder="true" applyAlignment="true" applyProtection="false">
      <alignment horizontal="center" vertical="center" textRotation="0" wrapText="true" indent="0" shrinkToFit="false"/>
      <protection locked="true" hidden="false"/>
    </xf>
    <xf numFmtId="164" fontId="4" fillId="4" borderId="49" xfId="95" applyFont="true" applyBorder="true" applyAlignment="true" applyProtection="false">
      <alignment horizontal="center" vertical="center" textRotation="0" wrapText="false" indent="0" shrinkToFit="false"/>
      <protection locked="true" hidden="false"/>
    </xf>
    <xf numFmtId="164" fontId="4" fillId="0" borderId="26" xfId="95" applyFont="false" applyBorder="true" applyAlignment="true" applyProtection="false">
      <alignment horizontal="center" vertical="center" textRotation="0" wrapText="false" indent="0" shrinkToFit="false"/>
      <protection locked="true" hidden="false"/>
    </xf>
    <xf numFmtId="164" fontId="29" fillId="4" borderId="45" xfId="95" applyFont="true" applyBorder="true" applyAlignment="true" applyProtection="false">
      <alignment horizontal="center" vertical="center" textRotation="0" wrapText="false" indent="0" shrinkToFit="false"/>
      <protection locked="true" hidden="false"/>
    </xf>
    <xf numFmtId="164" fontId="4" fillId="4" borderId="95" xfId="95" applyFont="true" applyBorder="true" applyAlignment="true" applyProtection="false">
      <alignment horizontal="center" vertical="center" textRotation="0" wrapText="false" indent="0" shrinkToFit="false"/>
      <protection locked="true" hidden="false"/>
    </xf>
    <xf numFmtId="164" fontId="4" fillId="4" borderId="96" xfId="95" applyFont="true" applyBorder="true" applyAlignment="true" applyProtection="false">
      <alignment horizontal="center" vertical="center" textRotation="0" wrapText="false" indent="0" shrinkToFit="false"/>
      <protection locked="true" hidden="false"/>
    </xf>
    <xf numFmtId="164" fontId="4" fillId="4" borderId="47" xfId="95" applyFont="true" applyBorder="true" applyAlignment="true" applyProtection="false">
      <alignment horizontal="center" vertical="center" textRotation="0" wrapText="false" indent="0" shrinkToFit="false"/>
      <protection locked="true" hidden="false"/>
    </xf>
    <xf numFmtId="164" fontId="26" fillId="0" borderId="0" xfId="95" applyFont="true" applyBorder="false" applyAlignment="true" applyProtection="false">
      <alignment horizontal="center" vertical="center" textRotation="0" wrapText="true" indent="0" shrinkToFit="false"/>
      <protection locked="true" hidden="false"/>
    </xf>
    <xf numFmtId="164" fontId="34" fillId="4" borderId="0" xfId="95" applyFont="true" applyBorder="false" applyAlignment="true" applyProtection="false">
      <alignment horizontal="general" vertical="center" textRotation="0" wrapText="false" indent="0" shrinkToFit="false"/>
      <protection locked="true" hidden="false"/>
    </xf>
    <xf numFmtId="177" fontId="4" fillId="4" borderId="0" xfId="15" applyFont="true" applyBorder="true" applyAlignment="true" applyProtection="true">
      <alignment horizontal="general" vertical="bottom" textRotation="0" wrapText="false" indent="0" shrinkToFit="false"/>
      <protection locked="true" hidden="false"/>
    </xf>
    <xf numFmtId="164" fontId="34" fillId="4" borderId="0" xfId="95" applyFont="true" applyBorder="false" applyAlignment="true" applyProtection="false">
      <alignment horizontal="left" vertical="center" textRotation="0" wrapText="false" indent="0" shrinkToFit="false"/>
      <protection locked="true" hidden="false"/>
    </xf>
    <xf numFmtId="164" fontId="24" fillId="4" borderId="7" xfId="95" applyFont="true" applyBorder="true" applyAlignment="true" applyProtection="false">
      <alignment horizontal="center" vertical="center" textRotation="0" wrapText="false" indent="0" shrinkToFit="false"/>
      <protection locked="true" hidden="false"/>
    </xf>
    <xf numFmtId="164" fontId="18" fillId="5" borderId="7" xfId="95" applyFont="true" applyBorder="true" applyAlignment="true" applyProtection="false">
      <alignment horizontal="center" vertical="center" textRotation="0" wrapText="true" indent="0" shrinkToFit="false"/>
      <protection locked="true" hidden="false"/>
    </xf>
    <xf numFmtId="164" fontId="18" fillId="0" borderId="0" xfId="95" applyFont="true" applyBorder="false" applyAlignment="true" applyProtection="false">
      <alignment horizontal="center" vertical="center" textRotation="0" wrapText="true" indent="0" shrinkToFit="false"/>
      <protection locked="true" hidden="false"/>
    </xf>
    <xf numFmtId="164" fontId="18" fillId="0" borderId="0" xfId="95" applyFont="true" applyBorder="false" applyAlignment="true" applyProtection="false">
      <alignment horizontal="center" vertical="center" textRotation="0" wrapText="false" indent="0" shrinkToFit="false"/>
      <protection locked="true" hidden="false"/>
    </xf>
    <xf numFmtId="164" fontId="38" fillId="9" borderId="55" xfId="95" applyFont="true" applyBorder="true" applyAlignment="true" applyProtection="false">
      <alignment horizontal="center" vertical="center" textRotation="0" wrapText="true" indent="0" shrinkToFit="false"/>
      <protection locked="true" hidden="false"/>
    </xf>
    <xf numFmtId="164" fontId="4" fillId="4" borderId="98" xfId="95" applyFont="false" applyBorder="true" applyAlignment="false" applyProtection="false">
      <alignment horizontal="general" vertical="bottom" textRotation="0" wrapText="false" indent="0" shrinkToFit="false"/>
      <protection locked="true" hidden="false"/>
    </xf>
    <xf numFmtId="164" fontId="4" fillId="4" borderId="99" xfId="95" applyFont="false" applyBorder="true" applyAlignment="false" applyProtection="false">
      <alignment horizontal="general" vertical="bottom" textRotation="0" wrapText="false" indent="0" shrinkToFit="false"/>
      <protection locked="true" hidden="false"/>
    </xf>
    <xf numFmtId="164" fontId="19" fillId="0" borderId="54" xfId="95" applyFont="true" applyBorder="true" applyAlignment="true" applyProtection="false">
      <alignment horizontal="center" vertical="center" textRotation="0" wrapText="true" indent="0" shrinkToFit="false"/>
      <protection locked="true" hidden="false"/>
    </xf>
    <xf numFmtId="164" fontId="19" fillId="0" borderId="0" xfId="95" applyFont="true" applyBorder="false" applyAlignment="true" applyProtection="false">
      <alignment horizontal="center" vertical="center" textRotation="0" wrapText="true" indent="0" shrinkToFit="false"/>
      <protection locked="true" hidden="false"/>
    </xf>
    <xf numFmtId="164" fontId="19" fillId="0" borderId="56" xfId="95" applyFont="true" applyBorder="true" applyAlignment="true" applyProtection="false">
      <alignment horizontal="center" vertical="center" textRotation="0" wrapText="true" indent="0" shrinkToFit="false"/>
      <protection locked="true" hidden="false"/>
    </xf>
    <xf numFmtId="164" fontId="4" fillId="0" borderId="54" xfId="95" applyFont="false" applyBorder="true" applyAlignment="false" applyProtection="false">
      <alignment horizontal="general" vertical="bottom" textRotation="0" wrapText="false" indent="0" shrinkToFit="false"/>
      <protection locked="true" hidden="false"/>
    </xf>
    <xf numFmtId="164" fontId="4" fillId="4" borderId="100" xfId="95" applyFont="false" applyBorder="true" applyAlignment="false" applyProtection="false">
      <alignment horizontal="general" vertical="bottom" textRotation="0" wrapText="false" indent="0" shrinkToFit="false"/>
      <protection locked="true" hidden="false"/>
    </xf>
    <xf numFmtId="164" fontId="4" fillId="0" borderId="98" xfId="95" applyFont="false" applyBorder="true" applyAlignment="false" applyProtection="false">
      <alignment horizontal="general" vertical="bottom" textRotation="0" wrapText="false" indent="0" shrinkToFit="false"/>
      <protection locked="true" hidden="false"/>
    </xf>
    <xf numFmtId="177" fontId="0" fillId="0" borderId="0" xfId="15" applyFont="true" applyBorder="true" applyAlignment="true" applyProtection="true">
      <alignment horizontal="general" vertical="bottom" textRotation="0" wrapText="false" indent="0" shrinkToFit="false"/>
      <protection locked="true" hidden="false"/>
    </xf>
    <xf numFmtId="164" fontId="4" fillId="0" borderId="99" xfId="95" applyFont="false" applyBorder="true" applyAlignment="false" applyProtection="false">
      <alignment horizontal="general" vertical="bottom" textRotation="0" wrapText="false" indent="0" shrinkToFit="false"/>
      <protection locked="true" hidden="false"/>
    </xf>
    <xf numFmtId="164" fontId="4" fillId="0" borderId="55" xfId="95" applyFont="false" applyBorder="true" applyAlignment="false" applyProtection="false">
      <alignment horizontal="general" vertical="bottom" textRotation="0" wrapText="false" indent="0" shrinkToFit="false"/>
      <protection locked="true" hidden="false"/>
    </xf>
    <xf numFmtId="164" fontId="4" fillId="0" borderId="56" xfId="95" applyFont="false" applyBorder="true" applyAlignment="false" applyProtection="false">
      <alignment horizontal="general" vertical="bottom" textRotation="0" wrapText="false" indent="0" shrinkToFit="false"/>
      <protection locked="true" hidden="false"/>
    </xf>
    <xf numFmtId="164" fontId="22" fillId="10" borderId="54" xfId="95" applyFont="true" applyBorder="true" applyAlignment="true" applyProtection="false">
      <alignment horizontal="center" vertical="center" textRotation="0" wrapText="true" indent="0" shrinkToFit="false"/>
      <protection locked="true" hidden="false"/>
    </xf>
    <xf numFmtId="164" fontId="22" fillId="10" borderId="55" xfId="95" applyFont="true" applyBorder="true" applyAlignment="true" applyProtection="false">
      <alignment horizontal="center" vertical="center" textRotation="0" wrapText="true" indent="0" shrinkToFit="false"/>
      <protection locked="true" hidden="false"/>
    </xf>
    <xf numFmtId="165" fontId="22" fillId="10" borderId="55" xfId="95" applyFont="true" applyBorder="true" applyAlignment="true" applyProtection="false">
      <alignment horizontal="center" vertical="center" textRotation="0" wrapText="true" indent="0" shrinkToFit="false"/>
      <protection locked="true" hidden="false"/>
    </xf>
    <xf numFmtId="164" fontId="22" fillId="0" borderId="0" xfId="95" applyFont="true" applyBorder="false" applyAlignment="true" applyProtection="false">
      <alignment horizontal="center" vertical="center" textRotation="0" wrapText="true" indent="0" shrinkToFit="false"/>
      <protection locked="true" hidden="false"/>
    </xf>
    <xf numFmtId="164" fontId="22" fillId="10" borderId="58" xfId="95" applyFont="true" applyBorder="true" applyAlignment="true" applyProtection="false">
      <alignment horizontal="center" vertical="center" textRotation="0" wrapText="true" indent="0" shrinkToFit="false"/>
      <protection locked="true" hidden="false"/>
    </xf>
    <xf numFmtId="164" fontId="22" fillId="10" borderId="56" xfId="95" applyFont="true" applyBorder="true" applyAlignment="true" applyProtection="false">
      <alignment horizontal="center" vertical="center" textRotation="0" wrapText="true" indent="0" shrinkToFit="false"/>
      <protection locked="true" hidden="false"/>
    </xf>
    <xf numFmtId="177" fontId="22" fillId="10" borderId="56" xfId="15" applyFont="true" applyBorder="true" applyAlignment="true" applyProtection="true">
      <alignment horizontal="center" vertical="center" textRotation="0" wrapText="true" indent="0" shrinkToFit="false"/>
      <protection locked="true" hidden="false"/>
    </xf>
    <xf numFmtId="164" fontId="54" fillId="16" borderId="55" xfId="22" applyFont="true" applyBorder="true" applyAlignment="true" applyProtection="false">
      <alignment horizontal="center" vertical="bottom" textRotation="0" wrapText="false" indent="0" shrinkToFit="false"/>
      <protection locked="true" hidden="false"/>
    </xf>
    <xf numFmtId="164" fontId="4" fillId="16" borderId="55" xfId="73" applyFont="true" applyBorder="true" applyAlignment="true" applyProtection="true">
      <alignment horizontal="center" vertical="center" textRotation="0" wrapText="false" indent="0" shrinkToFit="false"/>
      <protection locked="true" hidden="false"/>
    </xf>
    <xf numFmtId="170" fontId="4" fillId="16" borderId="55" xfId="22" applyFont="true" applyBorder="true" applyAlignment="true" applyProtection="false">
      <alignment horizontal="center" vertical="bottom" textRotation="0" wrapText="false" indent="0" shrinkToFit="false"/>
      <protection locked="true" hidden="false"/>
    </xf>
    <xf numFmtId="170" fontId="4" fillId="4" borderId="0" xfId="22" applyFont="false" applyBorder="false" applyAlignment="true" applyProtection="false">
      <alignment horizontal="center" vertical="bottom" textRotation="0" wrapText="false" indent="0" shrinkToFit="false"/>
      <protection locked="true" hidden="false"/>
    </xf>
    <xf numFmtId="165" fontId="4" fillId="4" borderId="56" xfId="22" applyFont="true" applyBorder="true" applyAlignment="true" applyProtection="false">
      <alignment horizontal="center" vertical="bottom" textRotation="0" wrapText="false" indent="0" shrinkToFit="false"/>
      <protection locked="true" hidden="false"/>
    </xf>
    <xf numFmtId="165" fontId="4" fillId="16" borderId="0" xfId="22" applyFont="false" applyBorder="false" applyAlignment="true" applyProtection="false">
      <alignment horizontal="center" vertical="bottom" textRotation="0" wrapText="false" indent="0" shrinkToFit="false"/>
      <protection locked="true" hidden="false"/>
    </xf>
    <xf numFmtId="165" fontId="4" fillId="16" borderId="56" xfId="22" applyFont="false" applyBorder="true" applyAlignment="true" applyProtection="false">
      <alignment horizontal="center" vertical="bottom" textRotation="0" wrapText="false" indent="0" shrinkToFit="false"/>
      <protection locked="true" hidden="false"/>
    </xf>
    <xf numFmtId="178" fontId="4" fillId="4" borderId="55" xfId="22" applyFont="true" applyBorder="true" applyAlignment="true" applyProtection="false">
      <alignment horizontal="center" vertical="bottom" textRotation="0" wrapText="false" indent="0" shrinkToFit="false"/>
      <protection locked="true" hidden="false"/>
    </xf>
    <xf numFmtId="164" fontId="4" fillId="4" borderId="55" xfId="73" applyFont="true" applyBorder="true" applyAlignment="true" applyProtection="true">
      <alignment horizontal="center" vertical="center" textRotation="0" wrapText="false" indent="0" shrinkToFit="false"/>
      <protection locked="true" hidden="false"/>
    </xf>
    <xf numFmtId="174" fontId="4" fillId="4" borderId="55" xfId="73" applyFont="true" applyBorder="true" applyAlignment="true" applyProtection="true">
      <alignment horizontal="center" vertical="center" textRotation="0" wrapText="false" indent="0" shrinkToFit="false"/>
      <protection locked="true" hidden="false"/>
    </xf>
    <xf numFmtId="170" fontId="4" fillId="4" borderId="55" xfId="22" applyFont="false" applyBorder="true" applyAlignment="true" applyProtection="false">
      <alignment horizontal="center" vertical="bottom" textRotation="0" wrapText="false" indent="0" shrinkToFit="false"/>
      <protection locked="true" hidden="false"/>
    </xf>
    <xf numFmtId="164" fontId="4" fillId="4" borderId="80" xfId="73" applyFont="true" applyBorder="true" applyAlignment="true" applyProtection="true">
      <alignment horizontal="center" vertical="center" textRotation="0" wrapText="false" indent="0" shrinkToFit="false"/>
      <protection locked="true" hidden="false"/>
    </xf>
    <xf numFmtId="174" fontId="4" fillId="4" borderId="80" xfId="73" applyFont="true" applyBorder="true" applyAlignment="true" applyProtection="true">
      <alignment horizontal="center" vertical="center" textRotation="0" wrapText="false" indent="0" shrinkToFit="false"/>
      <protection locked="true" hidden="false"/>
    </xf>
    <xf numFmtId="165" fontId="4" fillId="4" borderId="83" xfId="22" applyFont="false" applyBorder="true" applyAlignment="true" applyProtection="false">
      <alignment horizontal="center" vertical="bottom" textRotation="0" wrapText="false" indent="0" shrinkToFit="false"/>
      <protection locked="true" hidden="false"/>
    </xf>
    <xf numFmtId="178" fontId="4" fillId="4" borderId="80" xfId="22" applyFont="false" applyBorder="true" applyAlignment="true" applyProtection="false">
      <alignment horizontal="center" vertical="bottom" textRotation="0" wrapText="false" indent="0" shrinkToFit="false"/>
      <protection locked="true" hidden="false"/>
    </xf>
    <xf numFmtId="174" fontId="4" fillId="0" borderId="0" xfId="95" applyFont="false" applyBorder="false" applyAlignment="false" applyProtection="false">
      <alignment horizontal="general" vertical="bottom" textRotation="0" wrapText="false" indent="0" shrinkToFit="false"/>
      <protection locked="true" hidden="false"/>
    </xf>
    <xf numFmtId="178" fontId="4" fillId="0" borderId="0" xfId="95" applyFont="false" applyBorder="false" applyAlignment="false" applyProtection="false">
      <alignment horizontal="general" vertical="bottom" textRotation="0" wrapText="false" indent="0" shrinkToFit="false"/>
      <protection locked="true" hidden="false"/>
    </xf>
    <xf numFmtId="176" fontId="4" fillId="4" borderId="0" xfId="95" applyFont="false" applyBorder="false" applyAlignment="false" applyProtection="false">
      <alignment horizontal="general" vertical="bottom" textRotation="0" wrapText="false" indent="0" shrinkToFit="false"/>
      <protection locked="true" hidden="false"/>
    </xf>
    <xf numFmtId="174" fontId="4" fillId="4" borderId="0" xfId="95" applyFont="false" applyBorder="false" applyAlignment="false" applyProtection="false">
      <alignment horizontal="general" vertical="bottom" textRotation="0" wrapText="false" indent="0" shrinkToFit="false"/>
      <protection locked="true" hidden="false"/>
    </xf>
    <xf numFmtId="164" fontId="20" fillId="4" borderId="0" xfId="22" applyFont="true" applyBorder="false" applyAlignment="true" applyProtection="false">
      <alignment horizontal="left" vertical="bottom" textRotation="0" wrapText="false" indent="0" shrinkToFit="false"/>
      <protection locked="true" hidden="false"/>
    </xf>
    <xf numFmtId="164" fontId="4" fillId="4" borderId="0" xfId="22" applyFont="false" applyBorder="false" applyAlignment="true" applyProtection="false">
      <alignment horizontal="center" vertical="bottom" textRotation="0" wrapText="false" indent="0" shrinkToFit="false"/>
      <protection locked="true" hidden="false"/>
    </xf>
    <xf numFmtId="164" fontId="4" fillId="4" borderId="0" xfId="73" applyFont="true" applyBorder="true" applyAlignment="true" applyProtection="true">
      <alignment horizontal="center" vertical="center" textRotation="0" wrapText="false" indent="0" shrinkToFit="false"/>
      <protection locked="true" hidden="false"/>
    </xf>
    <xf numFmtId="174" fontId="4" fillId="4" borderId="0" xfId="73" applyFont="true" applyBorder="true" applyAlignment="true" applyProtection="true">
      <alignment horizontal="center" vertical="center" textRotation="0" wrapText="false" indent="0" shrinkToFit="false"/>
      <protection locked="true" hidden="false"/>
    </xf>
    <xf numFmtId="178" fontId="4" fillId="4" borderId="0" xfId="22" applyFont="false" applyBorder="false" applyAlignment="true" applyProtection="false">
      <alignment horizontal="center" vertical="bottom" textRotation="0" wrapText="false" indent="0" shrinkToFit="false"/>
      <protection locked="true" hidden="false"/>
    </xf>
    <xf numFmtId="165" fontId="4" fillId="0" borderId="0" xfId="22" applyFont="false" applyBorder="false" applyAlignment="true" applyProtection="false">
      <alignment horizontal="center" vertical="bottom" textRotation="0" wrapText="false" indent="0" shrinkToFit="false"/>
      <protection locked="true" hidden="false"/>
    </xf>
    <xf numFmtId="164" fontId="4" fillId="4" borderId="7" xfId="22" applyFont="true" applyBorder="true" applyAlignment="true" applyProtection="false">
      <alignment horizontal="center" vertical="bottom" textRotation="0" wrapText="false" indent="0" shrinkToFit="false"/>
      <protection locked="true" hidden="false"/>
    </xf>
    <xf numFmtId="164" fontId="54" fillId="4" borderId="7" xfId="22" applyFont="true" applyBorder="true" applyAlignment="true" applyProtection="false">
      <alignment horizontal="center" vertical="bottom" textRotation="0" wrapText="false" indent="0" shrinkToFit="false"/>
      <protection locked="true" hidden="false"/>
    </xf>
    <xf numFmtId="164" fontId="4" fillId="4" borderId="7" xfId="73" applyFont="true" applyBorder="true" applyAlignment="true" applyProtection="true">
      <alignment horizontal="center" vertical="center" textRotation="0" wrapText="false" indent="0" shrinkToFit="false"/>
      <protection locked="true" hidden="false"/>
    </xf>
    <xf numFmtId="174" fontId="4" fillId="4" borderId="7" xfId="73" applyFont="true" applyBorder="true" applyAlignment="true" applyProtection="true">
      <alignment horizontal="center" vertical="center" textRotation="0" wrapText="false" indent="0" shrinkToFit="false"/>
      <protection locked="true" hidden="false"/>
    </xf>
    <xf numFmtId="170" fontId="4" fillId="0" borderId="55" xfId="22" applyFont="false" applyBorder="true" applyAlignment="true" applyProtection="false">
      <alignment horizontal="center" vertical="bottom" textRotation="0" wrapText="false" indent="0" shrinkToFit="false"/>
      <protection locked="true" hidden="false"/>
    </xf>
    <xf numFmtId="165" fontId="4" fillId="4" borderId="91" xfId="22" applyFont="true" applyBorder="true" applyAlignment="true" applyProtection="false">
      <alignment horizontal="center" vertical="bottom" textRotation="0" wrapText="false" indent="0" shrinkToFit="false"/>
      <protection locked="true" hidden="false"/>
    </xf>
    <xf numFmtId="165" fontId="4" fillId="4" borderId="101" xfId="22" applyFont="true" applyBorder="true" applyAlignment="true" applyProtection="false">
      <alignment horizontal="center" vertical="bottom" textRotation="0" wrapText="false" indent="0" shrinkToFit="false"/>
      <protection locked="true" hidden="false"/>
    </xf>
    <xf numFmtId="165" fontId="4" fillId="4" borderId="81" xfId="22" applyFont="true" applyBorder="true" applyAlignment="true" applyProtection="false">
      <alignment horizontal="center" vertical="bottom" textRotation="0" wrapText="false" indent="0" shrinkToFit="false"/>
      <protection locked="true" hidden="false"/>
    </xf>
    <xf numFmtId="164" fontId="4" fillId="4" borderId="55" xfId="95" applyFont="false" applyBorder="true" applyAlignment="false" applyProtection="false">
      <alignment horizontal="general" vertical="bottom" textRotation="0" wrapText="false" indent="0" shrinkToFit="false"/>
      <protection locked="true" hidden="false"/>
    </xf>
    <xf numFmtId="165" fontId="4" fillId="4" borderId="7" xfId="22" applyFont="true" applyBorder="true" applyAlignment="true" applyProtection="false">
      <alignment horizontal="center" vertical="bottom" textRotation="0" wrapText="false" indent="0" shrinkToFit="false"/>
      <protection locked="true" hidden="false"/>
    </xf>
    <xf numFmtId="164" fontId="54" fillId="4" borderId="80" xfId="22" applyFont="true" applyBorder="true" applyAlignment="true" applyProtection="false">
      <alignment horizontal="center" vertical="bottom" textRotation="0" wrapText="false" indent="0" shrinkToFit="false"/>
      <protection locked="true" hidden="false"/>
    </xf>
    <xf numFmtId="165" fontId="4" fillId="4" borderId="55" xfId="22" applyFont="false" applyBorder="true" applyAlignment="true" applyProtection="false">
      <alignment horizontal="center" vertical="bottom" textRotation="0" wrapText="false" indent="0" shrinkToFit="false"/>
      <protection locked="true" hidden="false"/>
    </xf>
    <xf numFmtId="164" fontId="55" fillId="0" borderId="0" xfId="26" applyFont="true" applyBorder="false" applyAlignment="true" applyProtection="false">
      <alignment horizontal="center" vertical="bottom" textRotation="0" wrapText="false" indent="0" shrinkToFit="false"/>
      <protection locked="true" hidden="false"/>
    </xf>
    <xf numFmtId="177" fontId="4" fillId="4" borderId="0" xfId="73" applyFont="true" applyBorder="true" applyAlignment="true" applyProtection="true">
      <alignment horizontal="general" vertical="bottom" textRotation="0" wrapText="false" indent="0" shrinkToFit="false"/>
      <protection locked="true" hidden="false"/>
    </xf>
    <xf numFmtId="165" fontId="4" fillId="4" borderId="0" xfId="94" applyFont="false" applyBorder="false" applyAlignment="false" applyProtection="false">
      <alignment horizontal="general" vertical="bottom" textRotation="0" wrapText="false" indent="0" shrinkToFit="false"/>
      <protection locked="true" hidden="false"/>
    </xf>
    <xf numFmtId="170" fontId="4" fillId="4" borderId="0" xfId="94" applyFont="false" applyBorder="false" applyAlignment="false" applyProtection="false">
      <alignment horizontal="general" vertical="bottom" textRotation="0" wrapText="false" indent="0" shrinkToFit="false"/>
      <protection locked="true" hidden="false"/>
    </xf>
    <xf numFmtId="164" fontId="16" fillId="0" borderId="0" xfId="94" applyFont="true" applyBorder="false" applyAlignment="true" applyProtection="false">
      <alignment horizontal="left" vertical="center" textRotation="0" wrapText="false" indent="0" shrinkToFit="false"/>
      <protection locked="true" hidden="false"/>
    </xf>
    <xf numFmtId="165" fontId="17" fillId="4" borderId="0" xfId="94" applyFont="true" applyBorder="false" applyAlignment="true" applyProtection="false">
      <alignment horizontal="general" vertical="center" textRotation="0" wrapText="false" indent="0" shrinkToFit="false"/>
      <protection locked="true" hidden="false"/>
    </xf>
    <xf numFmtId="170" fontId="17" fillId="4" borderId="0" xfId="94" applyFont="true" applyBorder="false" applyAlignment="true" applyProtection="false">
      <alignment horizontal="general" vertical="center" textRotation="0" wrapText="false" indent="0" shrinkToFit="false"/>
      <protection locked="true" hidden="false"/>
    </xf>
    <xf numFmtId="164" fontId="0" fillId="0" borderId="86" xfId="0" applyFont="false" applyBorder="tru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5" fontId="0" fillId="4" borderId="0" xfId="0" applyFont="false" applyBorder="false" applyAlignment="false" applyProtection="false">
      <alignment horizontal="general" vertical="bottom" textRotation="0" wrapText="false" indent="0" shrinkToFit="false"/>
      <protection locked="true" hidden="false"/>
    </xf>
    <xf numFmtId="170" fontId="0" fillId="4" borderId="0" xfId="0" applyFont="false" applyBorder="false" applyAlignment="false" applyProtection="false">
      <alignment horizontal="general" vertical="bottom" textRotation="0" wrapText="false" indent="0" shrinkToFit="false"/>
      <protection locked="true" hidden="false"/>
    </xf>
    <xf numFmtId="164" fontId="21" fillId="4" borderId="0" xfId="94" applyFont="true" applyBorder="false" applyAlignment="true" applyProtection="false">
      <alignment horizontal="general" vertical="center" textRotation="0" wrapText="false" indent="0" shrinkToFit="false"/>
      <protection locked="true" hidden="false"/>
    </xf>
    <xf numFmtId="164" fontId="21" fillId="4" borderId="0" xfId="94" applyFont="true" applyBorder="false" applyAlignment="true" applyProtection="false">
      <alignment horizontal="center" vertical="center" textRotation="0" wrapText="false" indent="0" shrinkToFit="false"/>
      <protection locked="true" hidden="false"/>
    </xf>
    <xf numFmtId="164" fontId="22" fillId="0" borderId="86" xfId="94" applyFont="true" applyBorder="true" applyAlignment="true" applyProtection="false">
      <alignment horizontal="center" vertical="center" textRotation="0" wrapText="true" indent="0" shrinkToFit="false"/>
      <protection locked="true" hidden="false"/>
    </xf>
    <xf numFmtId="164" fontId="22" fillId="6" borderId="102" xfId="94" applyFont="true" applyBorder="true" applyAlignment="true" applyProtection="false">
      <alignment horizontal="center" vertical="center" textRotation="0" wrapText="true" indent="0" shrinkToFit="false"/>
      <protection locked="true" hidden="false"/>
    </xf>
    <xf numFmtId="164" fontId="22" fillId="6" borderId="103" xfId="94" applyFont="true" applyBorder="true" applyAlignment="true" applyProtection="false">
      <alignment horizontal="center" vertical="center" textRotation="0" wrapText="true" indent="0" shrinkToFit="false"/>
      <protection locked="true" hidden="false"/>
    </xf>
    <xf numFmtId="165" fontId="4" fillId="4" borderId="0" xfId="94" applyFont="false" applyBorder="false" applyAlignment="true" applyProtection="false">
      <alignment horizontal="general" vertical="center" textRotation="0" wrapText="false" indent="0" shrinkToFit="false"/>
      <protection locked="true" hidden="false"/>
    </xf>
    <xf numFmtId="170" fontId="4" fillId="4" borderId="0" xfId="94" applyFont="false" applyBorder="false" applyAlignment="true" applyProtection="false">
      <alignment horizontal="general" vertical="center" textRotation="0" wrapText="false" indent="0" shrinkToFit="false"/>
      <protection locked="true" hidden="false"/>
    </xf>
    <xf numFmtId="165" fontId="22" fillId="4" borderId="0" xfId="94" applyFont="true" applyBorder="false" applyAlignment="true" applyProtection="false">
      <alignment horizontal="center" vertical="center" textRotation="0" wrapText="true" indent="0" shrinkToFit="false"/>
      <protection locked="true" hidden="false"/>
    </xf>
    <xf numFmtId="170" fontId="22" fillId="4" borderId="0" xfId="94" applyFont="true" applyBorder="false" applyAlignment="true" applyProtection="false">
      <alignment horizontal="center" vertical="center" textRotation="0" wrapText="true" indent="0" shrinkToFit="false"/>
      <protection locked="true" hidden="false"/>
    </xf>
    <xf numFmtId="164" fontId="21" fillId="0" borderId="17" xfId="94" applyFont="true" applyBorder="true" applyAlignment="true" applyProtection="false">
      <alignment horizontal="center" vertical="center" textRotation="0" wrapText="true" indent="0" shrinkToFit="false"/>
      <protection locked="true" hidden="false"/>
    </xf>
    <xf numFmtId="164" fontId="4" fillId="4" borderId="38" xfId="94" applyFont="true" applyBorder="true" applyAlignment="true" applyProtection="false">
      <alignment horizontal="center" vertical="center" textRotation="0" wrapText="false" indent="0" shrinkToFit="false"/>
      <protection locked="true" hidden="false"/>
    </xf>
    <xf numFmtId="170" fontId="29" fillId="4" borderId="0" xfId="94" applyFont="true" applyBorder="false" applyAlignment="true" applyProtection="false">
      <alignment horizontal="general" vertical="center" textRotation="0" wrapText="true" indent="0" shrinkToFit="false"/>
      <protection locked="true" hidden="false"/>
    </xf>
    <xf numFmtId="165" fontId="29" fillId="4" borderId="0" xfId="94" applyFont="true" applyBorder="false" applyAlignment="true" applyProtection="false">
      <alignment horizontal="general" vertical="center" textRotation="0" wrapText="true" indent="0" shrinkToFit="false"/>
      <protection locked="true" hidden="false"/>
    </xf>
    <xf numFmtId="170" fontId="4" fillId="4" borderId="0" xfId="94" applyFont="false" applyBorder="false" applyAlignment="true" applyProtection="false">
      <alignment horizontal="general" vertical="center" textRotation="0" wrapText="true" indent="0" shrinkToFit="false"/>
      <protection locked="true" hidden="false"/>
    </xf>
    <xf numFmtId="170" fontId="29" fillId="4" borderId="0" xfId="94" applyFont="true" applyBorder="false" applyAlignment="true" applyProtection="false">
      <alignment horizontal="general" vertical="center" textRotation="0" wrapText="false" indent="0" shrinkToFit="false"/>
      <protection locked="true" hidden="false"/>
    </xf>
    <xf numFmtId="165" fontId="29" fillId="4" borderId="0" xfId="94" applyFont="true" applyBorder="false" applyAlignment="true" applyProtection="false">
      <alignment horizontal="general" vertical="center" textRotation="0" wrapText="false" indent="0" shrinkToFit="false"/>
      <protection locked="true" hidden="false"/>
    </xf>
    <xf numFmtId="164" fontId="30" fillId="7" borderId="104" xfId="94" applyFont="true" applyBorder="true" applyAlignment="true" applyProtection="false">
      <alignment horizontal="center" vertical="center" textRotation="0" wrapText="true" indent="0" shrinkToFit="false"/>
      <protection locked="true" hidden="false"/>
    </xf>
    <xf numFmtId="164" fontId="4" fillId="4" borderId="52" xfId="94" applyFont="true" applyBorder="true" applyAlignment="true" applyProtection="false">
      <alignment horizontal="center" vertical="center" textRotation="0" wrapText="false" indent="0" shrinkToFit="false"/>
      <protection locked="true" hidden="false"/>
    </xf>
    <xf numFmtId="165" fontId="4" fillId="4" borderId="0" xfId="94" applyFont="false" applyBorder="false" applyAlignment="true" applyProtection="false">
      <alignment horizontal="center" vertical="center" textRotation="0" wrapText="false" indent="0" shrinkToFit="false"/>
      <protection locked="true" hidden="false"/>
    </xf>
    <xf numFmtId="170" fontId="29" fillId="4" borderId="0" xfId="94" applyFont="true" applyBorder="false" applyAlignment="true" applyProtection="false">
      <alignment horizontal="center" vertical="center" textRotation="0" wrapText="true" indent="0" shrinkToFit="false"/>
      <protection locked="true" hidden="false"/>
    </xf>
    <xf numFmtId="165" fontId="29" fillId="4" borderId="0" xfId="94" applyFont="true" applyBorder="false" applyAlignment="true" applyProtection="false">
      <alignment horizontal="center" vertical="center" textRotation="0" wrapText="true" indent="0" shrinkToFit="false"/>
      <protection locked="true" hidden="false"/>
    </xf>
    <xf numFmtId="170" fontId="4" fillId="4" borderId="0" xfId="94" applyFont="false" applyBorder="false" applyAlignment="true" applyProtection="false">
      <alignment horizontal="center" vertical="center" textRotation="0" wrapText="false" indent="0" shrinkToFit="false"/>
      <protection locked="true" hidden="false"/>
    </xf>
    <xf numFmtId="165" fontId="29" fillId="4" borderId="0" xfId="94" applyFont="true" applyBorder="false" applyAlignment="true" applyProtection="false">
      <alignment horizontal="general" vertical="bottom" textRotation="0" wrapText="true" indent="0" shrinkToFit="false"/>
      <protection locked="true" hidden="false"/>
    </xf>
    <xf numFmtId="165" fontId="4" fillId="4" borderId="0" xfId="94" applyFont="false" applyBorder="false" applyAlignment="true" applyProtection="false">
      <alignment horizontal="center" vertical="center" textRotation="0" wrapText="true" indent="0" shrinkToFit="false"/>
      <protection locked="true" hidden="false"/>
    </xf>
    <xf numFmtId="170" fontId="4" fillId="4" borderId="0" xfId="94" applyFont="false" applyBorder="false" applyAlignment="true" applyProtection="false">
      <alignment horizontal="center" vertical="center" textRotation="0" wrapText="true" indent="0" shrinkToFit="false"/>
      <protection locked="true" hidden="false"/>
    </xf>
    <xf numFmtId="170" fontId="29" fillId="4" borderId="0" xfId="94" applyFont="true" applyBorder="false" applyAlignment="true" applyProtection="false">
      <alignment horizontal="center" vertical="center" textRotation="0" wrapText="false" indent="0" shrinkToFit="false"/>
      <protection locked="true" hidden="false"/>
    </xf>
    <xf numFmtId="165" fontId="29" fillId="4" borderId="0" xfId="94" applyFont="true" applyBorder="false" applyAlignment="true" applyProtection="false">
      <alignment horizontal="center" vertical="center" textRotation="0" wrapText="false" indent="0" shrinkToFit="false"/>
      <protection locked="true" hidden="false"/>
    </xf>
    <xf numFmtId="170" fontId="18" fillId="5" borderId="7" xfId="94" applyFont="true" applyBorder="true" applyAlignment="true" applyProtection="false">
      <alignment horizontal="center" vertical="center" textRotation="0" wrapText="true" indent="0" shrinkToFit="false"/>
      <protection locked="true" hidden="false"/>
    </xf>
    <xf numFmtId="165" fontId="18" fillId="0" borderId="0" xfId="94" applyFont="true" applyBorder="false" applyAlignment="true" applyProtection="false">
      <alignment horizontal="center" vertical="center" textRotation="0" wrapText="true" indent="0" shrinkToFit="false"/>
      <protection locked="true" hidden="false"/>
    </xf>
    <xf numFmtId="170" fontId="18" fillId="0" borderId="0" xfId="94" applyFont="true" applyBorder="false" applyAlignment="true" applyProtection="false">
      <alignment horizontal="center" vertical="center" textRotation="0" wrapText="false" indent="0" shrinkToFit="false"/>
      <protection locked="true" hidden="false"/>
    </xf>
    <xf numFmtId="165" fontId="18" fillId="0" borderId="0" xfId="94" applyFont="true" applyBorder="false" applyAlignment="true" applyProtection="false">
      <alignment horizontal="center" vertical="center" textRotation="0" wrapText="false" indent="0" shrinkToFit="false"/>
      <protection locked="true" hidden="false"/>
    </xf>
    <xf numFmtId="170" fontId="38" fillId="9" borderId="55" xfId="94" applyFont="true" applyBorder="true" applyAlignment="true" applyProtection="false">
      <alignment horizontal="center" vertical="center" textRotation="0" wrapText="true" indent="0" shrinkToFit="false"/>
      <protection locked="true" hidden="false"/>
    </xf>
    <xf numFmtId="170" fontId="4" fillId="0" borderId="0" xfId="94" applyFont="false" applyBorder="false" applyAlignment="false" applyProtection="false">
      <alignment horizontal="general" vertical="bottom" textRotation="0" wrapText="false" indent="0" shrinkToFit="false"/>
      <protection locked="true" hidden="false"/>
    </xf>
    <xf numFmtId="165" fontId="19" fillId="0" borderId="54" xfId="94" applyFont="true" applyBorder="true" applyAlignment="true" applyProtection="false">
      <alignment horizontal="center" vertical="center" textRotation="0" wrapText="true" indent="0" shrinkToFit="false"/>
      <protection locked="true" hidden="false"/>
    </xf>
    <xf numFmtId="170" fontId="19" fillId="0" borderId="0" xfId="94" applyFont="true" applyBorder="false" applyAlignment="true" applyProtection="false">
      <alignment horizontal="center" vertical="center" textRotation="0" wrapText="true" indent="0" shrinkToFit="false"/>
      <protection locked="true" hidden="false"/>
    </xf>
    <xf numFmtId="165" fontId="19" fillId="0" borderId="0" xfId="94" applyFont="true" applyBorder="false" applyAlignment="true" applyProtection="false">
      <alignment horizontal="center" vertical="center" textRotation="0" wrapText="true" indent="0" shrinkToFit="false"/>
      <protection locked="true" hidden="false"/>
    </xf>
    <xf numFmtId="170" fontId="19" fillId="0" borderId="56" xfId="94" applyFont="true" applyBorder="true" applyAlignment="true" applyProtection="false">
      <alignment horizontal="center" vertical="center" textRotation="0" wrapText="true" indent="0" shrinkToFit="false"/>
      <protection locked="true" hidden="false"/>
    </xf>
    <xf numFmtId="170" fontId="22" fillId="6" borderId="55" xfId="94" applyFont="true" applyBorder="true" applyAlignment="true" applyProtection="false">
      <alignment horizontal="center" vertical="center" textRotation="0" wrapText="true" indent="0" shrinkToFit="false"/>
      <protection locked="true" hidden="false"/>
    </xf>
    <xf numFmtId="165" fontId="0" fillId="0" borderId="54" xfId="0" applyFont="false" applyBorder="true" applyAlignment="false" applyProtection="false">
      <alignment horizontal="general" vertical="bottom" textRotation="0" wrapText="false" indent="0" shrinkToFit="false"/>
      <protection locked="true" hidden="false"/>
    </xf>
    <xf numFmtId="170" fontId="0" fillId="0" borderId="56" xfId="0" applyFont="false" applyBorder="true" applyAlignment="false" applyProtection="false">
      <alignment horizontal="general" vertical="bottom" textRotation="0" wrapText="false" indent="0" shrinkToFit="false"/>
      <protection locked="true" hidden="false"/>
    </xf>
    <xf numFmtId="170" fontId="4" fillId="0" borderId="0" xfId="0" applyFont="tru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70" fontId="0" fillId="0" borderId="55" xfId="0" applyFont="false" applyBorder="true" applyAlignment="false" applyProtection="false">
      <alignment horizontal="general" vertical="bottom" textRotation="0" wrapText="false" indent="0" shrinkToFit="false"/>
      <protection locked="true" hidden="false"/>
    </xf>
    <xf numFmtId="165" fontId="22" fillId="15" borderId="54" xfId="94" applyFont="true" applyBorder="true" applyAlignment="true" applyProtection="false">
      <alignment horizontal="center" vertical="center" textRotation="0" wrapText="true" indent="0" shrinkToFit="false"/>
      <protection locked="true" hidden="false"/>
    </xf>
    <xf numFmtId="164" fontId="61" fillId="0" borderId="0" xfId="94" applyFont="true" applyBorder="false" applyAlignment="true" applyProtection="false">
      <alignment horizontal="center" vertical="center" textRotation="0" wrapText="true" indent="0" shrinkToFit="false"/>
      <protection locked="true" hidden="false"/>
    </xf>
    <xf numFmtId="165" fontId="22" fillId="15" borderId="58" xfId="94" applyFont="true" applyBorder="true" applyAlignment="true" applyProtection="false">
      <alignment horizontal="center" vertical="center" textRotation="0" wrapText="true" indent="0" shrinkToFit="false"/>
      <protection locked="true" hidden="false"/>
    </xf>
    <xf numFmtId="170" fontId="22" fillId="15" borderId="56" xfId="94" applyFont="true" applyBorder="true" applyAlignment="true" applyProtection="false">
      <alignment horizontal="center" vertical="center" textRotation="0" wrapText="true" indent="0" shrinkToFit="false"/>
      <protection locked="true" hidden="false"/>
    </xf>
    <xf numFmtId="176" fontId="4" fillId="4" borderId="55" xfId="15" applyFont="true" applyBorder="true" applyAlignment="true" applyProtection="true">
      <alignment horizontal="center" vertical="center" textRotation="0" wrapText="false" indent="0" shrinkToFit="false"/>
      <protection locked="true" hidden="false"/>
    </xf>
    <xf numFmtId="171" fontId="4" fillId="4" borderId="54" xfId="15" applyFont="true" applyBorder="true" applyAlignment="true" applyProtection="true">
      <alignment horizontal="center" vertical="center" textRotation="0" wrapText="false" indent="0" shrinkToFit="false"/>
      <protection locked="true" hidden="false"/>
    </xf>
    <xf numFmtId="171" fontId="4" fillId="4" borderId="55" xfId="21" applyFont="false" applyBorder="true" applyAlignment="true" applyProtection="false">
      <alignment horizontal="center" vertical="center" textRotation="0" wrapText="false" indent="0" shrinkToFit="false"/>
      <protection locked="true" hidden="false"/>
    </xf>
    <xf numFmtId="170" fontId="4" fillId="4" borderId="56" xfId="21" applyFont="false" applyBorder="true" applyAlignment="true" applyProtection="false">
      <alignment horizontal="center" vertical="bottom" textRotation="0" wrapText="false" indent="0" shrinkToFit="false"/>
      <protection locked="true" hidden="false"/>
    </xf>
    <xf numFmtId="164" fontId="61" fillId="4" borderId="0" xfId="94" applyFont="true" applyBorder="false" applyAlignment="true" applyProtection="false">
      <alignment horizontal="center" vertical="center" textRotation="0" wrapText="true" indent="0" shrinkToFit="false"/>
      <protection locked="true" hidden="false"/>
    </xf>
    <xf numFmtId="172" fontId="4" fillId="4" borderId="56" xfId="21" applyFont="false" applyBorder="true" applyAlignment="true" applyProtection="false">
      <alignment horizontal="center" vertical="bottom" textRotation="0" wrapText="false" indent="0" shrinkToFit="false"/>
      <protection locked="true" hidden="false"/>
    </xf>
    <xf numFmtId="176" fontId="4" fillId="4" borderId="55" xfId="21" applyFont="false" applyBorder="true" applyAlignment="true" applyProtection="false">
      <alignment horizontal="center" vertical="bottom" textRotation="0" wrapText="false" indent="0" shrinkToFit="false"/>
      <protection locked="true" hidden="false"/>
    </xf>
    <xf numFmtId="170" fontId="4" fillId="4" borderId="93" xfId="22" applyFont="false" applyBorder="true" applyAlignment="true" applyProtection="false">
      <alignment horizontal="center" vertical="bottom" textRotation="0" wrapText="false" indent="0" shrinkToFit="false"/>
      <protection locked="true" hidden="false"/>
    </xf>
    <xf numFmtId="176" fontId="4" fillId="4" borderId="93" xfId="15" applyFont="true" applyBorder="true" applyAlignment="true" applyProtection="true">
      <alignment horizontal="center" vertical="center" textRotation="0" wrapText="false" indent="0" shrinkToFit="false"/>
      <protection locked="true" hidden="false"/>
    </xf>
    <xf numFmtId="171" fontId="4" fillId="4" borderId="92" xfId="15" applyFont="true" applyBorder="true" applyAlignment="true" applyProtection="true">
      <alignment horizontal="center" vertical="center" textRotation="0" wrapText="false" indent="0" shrinkToFit="false"/>
      <protection locked="true" hidden="false"/>
    </xf>
    <xf numFmtId="171" fontId="4" fillId="4" borderId="93" xfId="21" applyFont="false" applyBorder="true" applyAlignment="true" applyProtection="false">
      <alignment horizontal="center" vertical="center" textRotation="0" wrapText="false" indent="0" shrinkToFit="false"/>
      <protection locked="true" hidden="false"/>
    </xf>
    <xf numFmtId="171" fontId="4" fillId="4" borderId="105" xfId="21" applyFont="false" applyBorder="true" applyAlignment="true" applyProtection="false">
      <alignment horizontal="center" vertical="bottom" textRotation="0" wrapText="false" indent="0" shrinkToFit="false"/>
      <protection locked="true" hidden="false"/>
    </xf>
    <xf numFmtId="170" fontId="4" fillId="4" borderId="105" xfId="21" applyFont="false" applyBorder="true" applyAlignment="true" applyProtection="false">
      <alignment horizontal="center" vertical="bottom" textRotation="0" wrapText="false" indent="0" shrinkToFit="false"/>
      <protection locked="true" hidden="false"/>
    </xf>
    <xf numFmtId="164" fontId="61" fillId="4" borderId="69" xfId="94" applyFont="true" applyBorder="true" applyAlignment="true" applyProtection="false">
      <alignment horizontal="center" vertical="center" textRotation="0" wrapText="true" indent="0" shrinkToFit="false"/>
      <protection locked="true" hidden="false"/>
    </xf>
    <xf numFmtId="172" fontId="4" fillId="4" borderId="105" xfId="21" applyFont="false" applyBorder="true" applyAlignment="true" applyProtection="false">
      <alignment horizontal="center" vertical="bottom" textRotation="0" wrapText="false" indent="0" shrinkToFit="false"/>
      <protection locked="true" hidden="false"/>
    </xf>
    <xf numFmtId="164" fontId="22" fillId="4" borderId="69" xfId="94" applyFont="true" applyBorder="true" applyAlignment="true" applyProtection="false">
      <alignment horizontal="center" vertical="center" textRotation="0" wrapText="true" indent="0" shrinkToFit="false"/>
      <protection locked="true" hidden="false"/>
    </xf>
    <xf numFmtId="176" fontId="4" fillId="4" borderId="93" xfId="21" applyFont="false" applyBorder="true" applyAlignment="true" applyProtection="false">
      <alignment horizontal="center" vertical="bottom" textRotation="0" wrapText="false" indent="0" shrinkToFit="false"/>
      <protection locked="true" hidden="false"/>
    </xf>
    <xf numFmtId="170" fontId="4" fillId="4" borderId="69" xfId="94" applyFont="false" applyBorder="true" applyAlignment="false" applyProtection="false">
      <alignment horizontal="general" vertical="bottom" textRotation="0" wrapText="false" indent="0" shrinkToFit="false"/>
      <protection locked="true" hidden="false"/>
    </xf>
    <xf numFmtId="164" fontId="21" fillId="4" borderId="77" xfId="94" applyFont="true" applyBorder="true" applyAlignment="true" applyProtection="false">
      <alignment horizontal="center" vertical="center" textRotation="0" wrapText="false" indent="0" shrinkToFit="false"/>
      <protection locked="true" hidden="false"/>
    </xf>
    <xf numFmtId="164" fontId="4" fillId="4" borderId="38" xfId="94" applyFont="true" applyBorder="true" applyAlignment="true" applyProtection="false">
      <alignment horizontal="center" vertical="center" textRotation="0" wrapText="true" indent="0" shrinkToFit="false"/>
      <protection locked="true" hidden="false"/>
    </xf>
    <xf numFmtId="164" fontId="4" fillId="4" borderId="96" xfId="94" applyFont="true" applyBorder="true" applyAlignment="true" applyProtection="false">
      <alignment horizontal="center" vertical="center" textRotation="0" wrapText="false" indent="0" shrinkToFit="false"/>
      <protection locked="true" hidden="false"/>
    </xf>
    <xf numFmtId="164" fontId="4" fillId="4" borderId="96" xfId="94" applyFont="true" applyBorder="true" applyAlignment="true" applyProtection="false">
      <alignment horizontal="center" vertical="center" textRotation="0" wrapText="true" indent="0" shrinkToFit="false"/>
      <protection locked="true" hidden="false"/>
    </xf>
    <xf numFmtId="164" fontId="4" fillId="0" borderId="106" xfId="94" applyFont="false" applyBorder="true" applyAlignment="true" applyProtection="false">
      <alignment horizontal="center" vertical="center" textRotation="0" wrapText="false" indent="0" shrinkToFit="false"/>
      <protection locked="true" hidden="false"/>
    </xf>
    <xf numFmtId="164" fontId="4" fillId="4" borderId="107" xfId="94" applyFont="true" applyBorder="true" applyAlignment="true" applyProtection="false">
      <alignment horizontal="center" vertical="center" textRotation="0" wrapText="false" indent="0" shrinkToFit="false"/>
      <protection locked="true" hidden="false"/>
    </xf>
    <xf numFmtId="164" fontId="4" fillId="4" borderId="108" xfId="94" applyFont="true" applyBorder="true" applyAlignment="true" applyProtection="false">
      <alignment horizontal="center" vertical="center" textRotation="0" wrapText="false" indent="0" shrinkToFit="false"/>
      <protection locked="true" hidden="false"/>
    </xf>
    <xf numFmtId="164" fontId="4" fillId="4" borderId="109" xfId="94" applyFont="true" applyBorder="true" applyAlignment="true" applyProtection="false">
      <alignment horizontal="center" vertical="center" textRotation="0" wrapText="false" indent="0" shrinkToFit="false"/>
      <protection locked="true" hidden="false"/>
    </xf>
    <xf numFmtId="165" fontId="22" fillId="10" borderId="54" xfId="94" applyFont="true" applyBorder="true" applyAlignment="true" applyProtection="false">
      <alignment horizontal="center" vertical="center" textRotation="0" wrapText="true" indent="0" shrinkToFit="false"/>
      <protection locked="true" hidden="false"/>
    </xf>
    <xf numFmtId="176" fontId="4" fillId="4" borderId="55" xfId="73" applyFont="true" applyBorder="true" applyAlignment="true" applyProtection="true">
      <alignment horizontal="center" vertical="center" textRotation="0" wrapText="false" indent="0" shrinkToFit="false"/>
      <protection locked="true" hidden="false"/>
    </xf>
    <xf numFmtId="177" fontId="29" fillId="0" borderId="55" xfId="15" applyFont="true" applyBorder="true" applyAlignment="true" applyProtection="true">
      <alignment horizontal="center" vertical="bottom" textRotation="0" wrapText="false" indent="0" shrinkToFit="false"/>
      <protection locked="true" hidden="false"/>
    </xf>
    <xf numFmtId="164" fontId="4" fillId="4" borderId="55" xfId="95" applyFont="true" applyBorder="true" applyAlignment="true" applyProtection="false">
      <alignment horizontal="center" vertical="bottom" textRotation="0" wrapText="false" indent="0" shrinkToFit="false"/>
      <protection locked="true" hidden="false"/>
    </xf>
    <xf numFmtId="164" fontId="4" fillId="4" borderId="80" xfId="95" applyFont="false" applyBorder="true" applyAlignment="true" applyProtection="false">
      <alignment horizontal="center" vertical="bottom" textRotation="0" wrapText="false" indent="0" shrinkToFit="false"/>
      <protection locked="true" hidden="false"/>
    </xf>
    <xf numFmtId="176" fontId="4" fillId="4" borderId="80" xfId="15" applyFont="true" applyBorder="true" applyAlignment="true" applyProtection="true">
      <alignment horizontal="center" vertical="center" textRotation="0" wrapText="false" indent="0" shrinkToFit="false"/>
      <protection locked="true" hidden="false"/>
    </xf>
    <xf numFmtId="164" fontId="4" fillId="4" borderId="80" xfId="22" applyFont="false" applyBorder="true" applyAlignment="true" applyProtection="false">
      <alignment horizontal="center" vertical="bottom" textRotation="0" wrapText="false" indent="0" shrinkToFit="false"/>
      <protection locked="true" hidden="false"/>
    </xf>
    <xf numFmtId="164" fontId="16" fillId="4" borderId="0" xfId="95" applyFont="true" applyBorder="true" applyAlignment="true" applyProtection="false">
      <alignment horizontal="left" vertical="center" textRotation="0" wrapText="false" indent="0" shrinkToFit="false"/>
      <protection locked="true" hidden="false"/>
    </xf>
    <xf numFmtId="164" fontId="17" fillId="5" borderId="7" xfId="95" applyFont="true" applyBorder="true" applyAlignment="true" applyProtection="false">
      <alignment horizontal="center" vertical="center" textRotation="0" wrapText="true" indent="0" shrinkToFit="false"/>
      <protection locked="true" hidden="false"/>
    </xf>
    <xf numFmtId="164" fontId="17" fillId="5" borderId="8" xfId="95" applyFont="true" applyBorder="true" applyAlignment="true" applyProtection="false">
      <alignment horizontal="center" vertical="center" textRotation="0" wrapText="false" indent="0" shrinkToFit="false"/>
      <protection locked="true" hidden="false"/>
    </xf>
    <xf numFmtId="164" fontId="17" fillId="4" borderId="0" xfId="95" applyFont="true" applyBorder="false" applyAlignment="true" applyProtection="false">
      <alignment horizontal="general" vertical="center" textRotation="0" wrapText="true" indent="0" shrinkToFit="false"/>
      <protection locked="true" hidden="false"/>
    </xf>
    <xf numFmtId="164" fontId="17" fillId="4" borderId="0" xfId="95" applyFont="true" applyBorder="false" applyAlignment="true" applyProtection="false">
      <alignment horizontal="general" vertical="center" textRotation="0" wrapText="false" indent="0" shrinkToFit="false"/>
      <protection locked="true" hidden="false"/>
    </xf>
    <xf numFmtId="164" fontId="21" fillId="4" borderId="77" xfId="95" applyFont="true" applyBorder="true" applyAlignment="true" applyProtection="false">
      <alignment horizontal="general" vertical="center" textRotation="0" wrapText="false" indent="0" shrinkToFit="false"/>
      <protection locked="true" hidden="false"/>
    </xf>
    <xf numFmtId="164" fontId="21" fillId="4" borderId="11" xfId="95" applyFont="true" applyBorder="true" applyAlignment="true" applyProtection="false">
      <alignment horizontal="general" vertical="center" textRotation="0" wrapText="false" indent="0" shrinkToFit="false"/>
      <protection locked="true" hidden="false"/>
    </xf>
    <xf numFmtId="164" fontId="22" fillId="6" borderId="110" xfId="95" applyFont="true" applyBorder="true" applyAlignment="true" applyProtection="false">
      <alignment horizontal="center" vertical="center" textRotation="0" wrapText="true" indent="0" shrinkToFit="false"/>
      <protection locked="true" hidden="false"/>
    </xf>
    <xf numFmtId="164" fontId="4" fillId="0" borderId="0" xfId="95" applyFont="false" applyBorder="false" applyAlignment="true" applyProtection="false">
      <alignment horizontal="general" vertical="center" textRotation="0" wrapText="false" indent="0" shrinkToFit="false"/>
      <protection locked="true" hidden="false"/>
    </xf>
    <xf numFmtId="164" fontId="22" fillId="4" borderId="0" xfId="95" applyFont="true" applyBorder="false" applyAlignment="true" applyProtection="false">
      <alignment horizontal="general" vertical="center" textRotation="0" wrapText="true" indent="0" shrinkToFit="false"/>
      <protection locked="true" hidden="false"/>
    </xf>
    <xf numFmtId="164" fontId="4" fillId="4" borderId="19" xfId="95" applyFont="true" applyBorder="true" applyAlignment="true" applyProtection="false">
      <alignment horizontal="center" vertical="center" textRotation="0" wrapText="true" indent="0" shrinkToFit="false"/>
      <protection locked="true" hidden="false"/>
    </xf>
    <xf numFmtId="164" fontId="4" fillId="4" borderId="20" xfId="95" applyFont="true" applyBorder="true" applyAlignment="true" applyProtection="false">
      <alignment horizontal="center" vertical="center" textRotation="0" wrapText="true" indent="0" shrinkToFit="false"/>
      <protection locked="true" hidden="false"/>
    </xf>
    <xf numFmtId="164" fontId="4" fillId="4" borderId="0" xfId="95" applyFont="false" applyBorder="false" applyAlignment="true" applyProtection="false">
      <alignment horizontal="general" vertical="center" textRotation="0" wrapText="true" indent="0" shrinkToFit="false"/>
      <protection locked="true" hidden="false"/>
    </xf>
    <xf numFmtId="164" fontId="4" fillId="4" borderId="44" xfId="95" applyFont="true" applyBorder="true" applyAlignment="true" applyProtection="false">
      <alignment horizontal="center" vertical="center" textRotation="0" wrapText="false" indent="0" shrinkToFit="false"/>
      <protection locked="true" hidden="false"/>
    </xf>
    <xf numFmtId="164" fontId="4" fillId="4" borderId="0" xfId="95" applyFont="false" applyBorder="false" applyAlignment="true" applyProtection="false">
      <alignment horizontal="center" vertical="center" textRotation="0" wrapText="true" indent="0" shrinkToFit="false"/>
      <protection locked="true" hidden="false"/>
    </xf>
    <xf numFmtId="164" fontId="30" fillId="7" borderId="111" xfId="95" applyFont="true" applyBorder="true" applyAlignment="true" applyProtection="false">
      <alignment horizontal="center" vertical="center" textRotation="0" wrapText="true" indent="0" shrinkToFit="false"/>
      <protection locked="true" hidden="false"/>
    </xf>
    <xf numFmtId="164" fontId="4" fillId="4" borderId="0" xfId="95" applyFont="false" applyBorder="false" applyAlignment="true" applyProtection="false">
      <alignment horizontal="center" vertical="center" textRotation="0" wrapText="false" indent="0" shrinkToFit="false"/>
      <protection locked="true" hidden="false"/>
    </xf>
    <xf numFmtId="164" fontId="19" fillId="4" borderId="0" xfId="95" applyFont="true" applyBorder="false" applyAlignment="true" applyProtection="false">
      <alignment horizontal="left" vertical="center" textRotation="0" wrapText="false" indent="0" shrinkToFit="false"/>
      <protection locked="true" hidden="false"/>
    </xf>
    <xf numFmtId="164" fontId="48" fillId="0" borderId="0" xfId="95" applyFont="true" applyBorder="false" applyAlignment="true" applyProtection="false">
      <alignment horizontal="center" vertical="bottom" textRotation="0" wrapText="true" indent="0" shrinkToFit="false"/>
      <protection locked="true" hidden="false"/>
    </xf>
    <xf numFmtId="164" fontId="22" fillId="6" borderId="112" xfId="95" applyFont="true" applyBorder="true" applyAlignment="true" applyProtection="false">
      <alignment horizontal="center" vertical="center" textRotation="0" wrapText="true" indent="0" shrinkToFit="false"/>
      <protection locked="true" hidden="false"/>
    </xf>
    <xf numFmtId="164" fontId="22" fillId="15" borderId="54" xfId="95" applyFont="true" applyBorder="true" applyAlignment="true" applyProtection="false">
      <alignment horizontal="center" vertical="center" textRotation="0" wrapText="true" indent="0" shrinkToFit="false"/>
      <protection locked="true" hidden="false"/>
    </xf>
    <xf numFmtId="164" fontId="22" fillId="15" borderId="55" xfId="95" applyFont="true" applyBorder="true" applyAlignment="true" applyProtection="false">
      <alignment horizontal="center" vertical="center" textRotation="0" wrapText="true" indent="0" shrinkToFit="false"/>
      <protection locked="true" hidden="false"/>
    </xf>
    <xf numFmtId="165" fontId="22" fillId="15" borderId="55" xfId="95" applyFont="true" applyBorder="true" applyAlignment="true" applyProtection="false">
      <alignment horizontal="center" vertical="center" textRotation="0" wrapText="true" indent="0" shrinkToFit="false"/>
      <protection locked="true" hidden="false"/>
    </xf>
    <xf numFmtId="164" fontId="62" fillId="0" borderId="113" xfId="24" applyFont="true" applyBorder="true" applyAlignment="true" applyProtection="false">
      <alignment horizontal="center" vertical="center" textRotation="0" wrapText="true" indent="0" shrinkToFit="false"/>
      <protection locked="true" hidden="false"/>
    </xf>
    <xf numFmtId="164" fontId="22" fillId="15" borderId="58" xfId="95" applyFont="true" applyBorder="true" applyAlignment="true" applyProtection="false">
      <alignment horizontal="center" vertical="center" textRotation="0" wrapText="true" indent="0" shrinkToFit="false"/>
      <protection locked="true" hidden="false"/>
    </xf>
    <xf numFmtId="164" fontId="22" fillId="15" borderId="56" xfId="95" applyFont="true" applyBorder="true" applyAlignment="true" applyProtection="false">
      <alignment horizontal="center" vertical="center" textRotation="0" wrapText="true" indent="0" shrinkToFit="false"/>
      <protection locked="true" hidden="false"/>
    </xf>
    <xf numFmtId="164" fontId="62" fillId="0" borderId="0" xfId="24" applyFont="true" applyBorder="true" applyAlignment="true" applyProtection="false">
      <alignment horizontal="center" vertical="center" textRotation="0" wrapText="true" indent="0" shrinkToFit="false"/>
      <protection locked="true" hidden="false"/>
    </xf>
    <xf numFmtId="164" fontId="29" fillId="4" borderId="0" xfId="95" applyFont="true" applyBorder="false" applyAlignment="false" applyProtection="false">
      <alignment horizontal="general" vertical="bottom" textRotation="0" wrapText="false" indent="0" shrinkToFit="false"/>
      <protection locked="true" hidden="false"/>
    </xf>
    <xf numFmtId="170" fontId="4" fillId="4" borderId="56" xfId="22" applyFont="false" applyBorder="true" applyAlignment="true" applyProtection="false">
      <alignment horizontal="center" vertical="bottom" textRotation="0" wrapText="false" indent="0" shrinkToFit="false"/>
      <protection locked="true" hidden="false"/>
    </xf>
    <xf numFmtId="170" fontId="4" fillId="17" borderId="56" xfId="22" applyFont="false" applyBorder="true" applyAlignment="true" applyProtection="false">
      <alignment horizontal="center" vertical="bottom" textRotation="0" wrapText="false" indent="0" shrinkToFit="false"/>
      <protection locked="true" hidden="false"/>
    </xf>
    <xf numFmtId="165" fontId="4" fillId="4" borderId="0" xfId="0" applyFont="true" applyBorder="false" applyAlignment="false" applyProtection="false">
      <alignment horizontal="general" vertical="bottom" textRotation="0" wrapText="false" indent="0" shrinkToFit="false"/>
      <protection locked="true" hidden="false"/>
    </xf>
    <xf numFmtId="170" fontId="4" fillId="4" borderId="0" xfId="95" applyFont="false" applyBorder="false" applyAlignment="true" applyProtection="false">
      <alignment horizontal="center" vertical="bottom" textRotation="0" wrapText="false" indent="0" shrinkToFit="false"/>
      <protection locked="true" hidden="false"/>
    </xf>
    <xf numFmtId="170" fontId="4" fillId="4" borderId="114" xfId="95" applyFont="true" applyBorder="true" applyAlignment="true" applyProtection="false">
      <alignment horizontal="center" vertical="bottom" textRotation="0" wrapText="false" indent="0" shrinkToFit="false"/>
      <protection locked="true" hidden="false"/>
    </xf>
    <xf numFmtId="170" fontId="4" fillId="4" borderId="54" xfId="95" applyFont="true" applyBorder="true" applyAlignment="true" applyProtection="false">
      <alignment horizontal="center" vertical="bottom" textRotation="0" wrapText="false" indent="0" shrinkToFit="false"/>
      <protection locked="true" hidden="false"/>
    </xf>
    <xf numFmtId="170" fontId="4" fillId="16" borderId="54" xfId="95" applyFont="true" applyBorder="true" applyAlignment="true" applyProtection="false">
      <alignment horizontal="center" vertical="bottom" textRotation="0" wrapText="false" indent="0" shrinkToFit="false"/>
      <protection locked="true" hidden="false"/>
    </xf>
    <xf numFmtId="170" fontId="4" fillId="16" borderId="84" xfId="95" applyFont="true" applyBorder="true" applyAlignment="true" applyProtection="false">
      <alignment horizontal="center" vertical="bottom" textRotation="0" wrapText="false" indent="0" shrinkToFit="false"/>
      <protection locked="true" hidden="false"/>
    </xf>
    <xf numFmtId="166" fontId="4" fillId="4" borderId="80" xfId="15" applyFont="true" applyBorder="true" applyAlignment="true" applyProtection="true">
      <alignment horizontal="center" vertical="bottom" textRotation="0" wrapText="false" indent="0" shrinkToFit="false"/>
      <protection locked="true" hidden="false"/>
    </xf>
    <xf numFmtId="170" fontId="4" fillId="4" borderId="82" xfId="22" applyFont="false" applyBorder="true" applyAlignment="true" applyProtection="false">
      <alignment horizontal="center" vertical="bottom" textRotation="0" wrapText="false" indent="0" shrinkToFit="false"/>
      <protection locked="true" hidden="false"/>
    </xf>
    <xf numFmtId="170" fontId="4" fillId="4" borderId="83" xfId="22" applyFont="false" applyBorder="true" applyAlignment="true" applyProtection="false">
      <alignment horizontal="center" vertical="bottom" textRotation="0" wrapText="false" indent="0" shrinkToFit="false"/>
      <protection locked="true" hidden="false"/>
    </xf>
    <xf numFmtId="164" fontId="4" fillId="4" borderId="82" xfId="95" applyFont="false" applyBorder="true" applyAlignment="false" applyProtection="false">
      <alignment horizontal="general" vertical="bottom" textRotation="0" wrapText="false" indent="0" shrinkToFit="false"/>
      <protection locked="true" hidden="false"/>
    </xf>
    <xf numFmtId="165" fontId="4" fillId="4" borderId="0" xfId="95" applyFont="false" applyBorder="false" applyAlignment="true" applyProtection="false">
      <alignment horizontal="center" vertical="bottom" textRotation="0" wrapText="false" indent="0" shrinkToFit="false"/>
      <protection locked="true" hidden="false"/>
    </xf>
    <xf numFmtId="166" fontId="4" fillId="4" borderId="0" xfId="15" applyFont="true" applyBorder="true" applyAlignment="true" applyProtection="true">
      <alignment horizontal="center" vertical="bottom" textRotation="0" wrapText="false" indent="0" shrinkToFit="false"/>
      <protection locked="true" hidden="false"/>
    </xf>
    <xf numFmtId="164" fontId="63" fillId="4" borderId="0" xfId="94" applyFont="true" applyBorder="false" applyAlignment="false" applyProtection="false">
      <alignment horizontal="general" vertical="bottom" textRotation="0" wrapText="false" indent="0" shrinkToFit="false"/>
      <protection locked="true" hidden="false"/>
    </xf>
    <xf numFmtId="164" fontId="36" fillId="18" borderId="0" xfId="94" applyFont="true" applyBorder="false" applyAlignment="true" applyProtection="false">
      <alignment horizontal="general" vertical="center" textRotation="0" wrapText="false" indent="0" shrinkToFit="false"/>
      <protection locked="true" hidden="false"/>
    </xf>
    <xf numFmtId="164" fontId="35" fillId="18" borderId="0" xfId="94" applyFont="true" applyBorder="false" applyAlignment="false" applyProtection="false">
      <alignment horizontal="general" vertical="bottom" textRotation="0" wrapText="false" indent="0" shrinkToFit="false"/>
      <protection locked="true" hidden="false"/>
    </xf>
    <xf numFmtId="164" fontId="4" fillId="18" borderId="0" xfId="94" applyFont="false" applyBorder="false" applyAlignment="false" applyProtection="false">
      <alignment horizontal="general" vertical="bottom" textRotation="0" wrapText="false" indent="0" shrinkToFit="false"/>
      <protection locked="true" hidden="false"/>
    </xf>
    <xf numFmtId="164" fontId="63" fillId="18" borderId="0" xfId="94" applyFont="true" applyBorder="false" applyAlignment="false" applyProtection="false">
      <alignment horizontal="general" vertical="bottom" textRotation="0" wrapText="false" indent="0" shrinkToFit="false"/>
      <protection locked="true" hidden="false"/>
    </xf>
    <xf numFmtId="164" fontId="64" fillId="0" borderId="0" xfId="94" applyFont="true" applyBorder="false" applyAlignment="true" applyProtection="false">
      <alignment horizontal="center" vertical="center" textRotation="0" wrapText="false" indent="0" shrinkToFit="false"/>
      <protection locked="true" hidden="false"/>
    </xf>
    <xf numFmtId="164" fontId="65" fillId="0" borderId="0" xfId="94" applyFont="true" applyBorder="false" applyAlignment="true" applyProtection="false">
      <alignment horizontal="center" vertical="center" textRotation="0" wrapText="true" indent="0" shrinkToFit="false"/>
      <protection locked="true" hidden="false"/>
    </xf>
    <xf numFmtId="164" fontId="38" fillId="9" borderId="54" xfId="94" applyFont="true" applyBorder="true" applyAlignment="true" applyProtection="false">
      <alignment horizontal="center" vertical="center" textRotation="0" wrapText="true" indent="0" shrinkToFit="false"/>
      <protection locked="true" hidden="false"/>
    </xf>
    <xf numFmtId="164" fontId="63" fillId="0" borderId="0" xfId="0" applyFont="true" applyBorder="false" applyAlignment="false" applyProtection="false">
      <alignment horizontal="general" vertical="bottom" textRotation="0" wrapText="false" indent="0" shrinkToFit="false"/>
      <protection locked="true" hidden="false"/>
    </xf>
    <xf numFmtId="165" fontId="63" fillId="4" borderId="0" xfId="21" applyFont="true" applyBorder="false" applyAlignment="true" applyProtection="false">
      <alignment horizontal="center" vertical="bottom" textRotation="0" wrapText="false" indent="0" shrinkToFit="false"/>
      <protection locked="true" hidden="false"/>
    </xf>
    <xf numFmtId="164" fontId="4" fillId="4" borderId="54" xfId="21" applyFont="false" applyBorder="true" applyAlignment="true" applyProtection="false">
      <alignment horizontal="center" vertical="bottom" textRotation="0" wrapText="false" indent="0" shrinkToFit="false"/>
      <protection locked="true" hidden="false"/>
    </xf>
    <xf numFmtId="164" fontId="4" fillId="4" borderId="0" xfId="21" applyFont="false" applyBorder="false" applyAlignment="true" applyProtection="false">
      <alignment horizontal="center" vertical="bottom" textRotation="0" wrapText="false" indent="0" shrinkToFit="false"/>
      <protection locked="true" hidden="false"/>
    </xf>
    <xf numFmtId="174" fontId="4" fillId="4" borderId="0" xfId="21" applyFont="true" applyBorder="false" applyAlignment="true" applyProtection="false">
      <alignment horizontal="center" vertical="bottom" textRotation="0" wrapText="false" indent="0" shrinkToFit="false"/>
      <protection locked="true" hidden="false"/>
    </xf>
    <xf numFmtId="164" fontId="50" fillId="4" borderId="55" xfId="22" applyFont="true" applyBorder="true" applyAlignment="true" applyProtection="false">
      <alignment horizontal="center" vertical="bottom" textRotation="0" wrapText="false" indent="0" shrinkToFit="false"/>
      <protection locked="true" hidden="false"/>
    </xf>
    <xf numFmtId="164" fontId="50" fillId="4" borderId="55" xfId="21" applyFont="true" applyBorder="true" applyAlignment="true" applyProtection="false">
      <alignment horizontal="center" vertical="bottom" textRotation="0" wrapText="false" indent="0" shrinkToFit="false"/>
      <protection locked="true" hidden="false"/>
    </xf>
    <xf numFmtId="165" fontId="50" fillId="4" borderId="55" xfId="21" applyFont="true" applyBorder="true" applyAlignment="true" applyProtection="false">
      <alignment horizontal="center" vertical="bottom" textRotation="0" wrapText="false" indent="0" shrinkToFit="false"/>
      <protection locked="true" hidden="false"/>
    </xf>
    <xf numFmtId="170" fontId="50" fillId="4" borderId="55" xfId="21" applyFont="true" applyBorder="true" applyAlignment="true" applyProtection="false">
      <alignment horizontal="center" vertical="bottom" textRotation="0" wrapText="false" indent="0" shrinkToFit="false"/>
      <protection locked="true" hidden="false"/>
    </xf>
    <xf numFmtId="165" fontId="50" fillId="4" borderId="54" xfId="21" applyFont="true" applyBorder="true" applyAlignment="true" applyProtection="false">
      <alignment horizontal="center" vertical="bottom" textRotation="0" wrapText="false" indent="0" shrinkToFit="false"/>
      <protection locked="true" hidden="false"/>
    </xf>
    <xf numFmtId="165" fontId="50" fillId="4" borderId="56" xfId="21" applyFont="true" applyBorder="true" applyAlignment="true" applyProtection="false">
      <alignment horizontal="center" vertical="bottom" textRotation="0" wrapText="false" indent="0" shrinkToFit="false"/>
      <protection locked="true" hidden="false"/>
    </xf>
    <xf numFmtId="165" fontId="50" fillId="4" borderId="0" xfId="21" applyFont="true" applyBorder="false" applyAlignment="true" applyProtection="false">
      <alignment horizontal="center" vertical="bottom" textRotation="0" wrapText="false" indent="0" shrinkToFit="false"/>
      <protection locked="true" hidden="false"/>
    </xf>
    <xf numFmtId="164" fontId="50" fillId="4" borderId="54" xfId="21" applyFont="true" applyBorder="true" applyAlignment="true" applyProtection="false">
      <alignment horizontal="center" vertical="bottom" textRotation="0" wrapText="false" indent="0" shrinkToFit="false"/>
      <protection locked="true" hidden="false"/>
    </xf>
    <xf numFmtId="164" fontId="50" fillId="4" borderId="0" xfId="21" applyFont="true" applyBorder="false" applyAlignment="true" applyProtection="false">
      <alignment horizontal="center" vertical="bottom" textRotation="0" wrapText="false" indent="0" shrinkToFit="false"/>
      <protection locked="true" hidden="false"/>
    </xf>
    <xf numFmtId="164" fontId="50" fillId="4" borderId="56" xfId="21" applyFont="true" applyBorder="true" applyAlignment="true" applyProtection="false">
      <alignment horizontal="center" vertical="bottom" textRotation="0" wrapText="false" indent="0" shrinkToFit="false"/>
      <protection locked="true" hidden="false"/>
    </xf>
    <xf numFmtId="165" fontId="50" fillId="4" borderId="54" xfId="22" applyFont="true" applyBorder="true" applyAlignment="true" applyProtection="false">
      <alignment horizontal="center" vertical="bottom" textRotation="0" wrapText="false" indent="0" shrinkToFit="false"/>
      <protection locked="true" hidden="false"/>
    </xf>
    <xf numFmtId="164" fontId="50" fillId="4" borderId="56" xfId="22" applyFont="true" applyBorder="true" applyAlignment="true" applyProtection="false">
      <alignment horizontal="center" vertical="bottom" textRotation="0" wrapText="false" indent="0" shrinkToFit="false"/>
      <protection locked="true" hidden="false"/>
    </xf>
    <xf numFmtId="164" fontId="50" fillId="4" borderId="0" xfId="94" applyFont="true" applyBorder="false" applyAlignment="false" applyProtection="false">
      <alignment horizontal="general" vertical="bottom" textRotation="0" wrapText="false" indent="0" shrinkToFit="false"/>
      <protection locked="true" hidden="false"/>
    </xf>
    <xf numFmtId="170" fontId="50" fillId="4" borderId="0" xfId="21" applyFont="true" applyBorder="false" applyAlignment="true" applyProtection="false">
      <alignment horizontal="center" vertical="bottom" textRotation="0" wrapText="false" indent="0" shrinkToFit="false"/>
      <protection locked="true" hidden="false"/>
    </xf>
    <xf numFmtId="164" fontId="50" fillId="4" borderId="0" xfId="0" applyFont="true" applyBorder="false" applyAlignment="false" applyProtection="false">
      <alignment horizontal="general" vertical="bottom" textRotation="0" wrapText="false" indent="0" shrinkToFit="false"/>
      <protection locked="true" hidden="false"/>
    </xf>
    <xf numFmtId="165" fontId="50" fillId="4" borderId="55" xfId="15" applyFont="true" applyBorder="true" applyAlignment="true" applyProtection="true">
      <alignment horizontal="center" vertical="center" textRotation="0" wrapText="false" indent="0" shrinkToFit="false"/>
      <protection locked="true" hidden="false"/>
    </xf>
    <xf numFmtId="164" fontId="50" fillId="4" borderId="80" xfId="15" applyFont="true" applyBorder="true" applyAlignment="true" applyProtection="true">
      <alignment horizontal="center" vertical="center" textRotation="0" wrapText="false" indent="0" shrinkToFit="false"/>
      <protection locked="true" hidden="false"/>
    </xf>
    <xf numFmtId="164" fontId="50" fillId="4" borderId="80" xfId="22" applyFont="true" applyBorder="true" applyAlignment="true" applyProtection="false">
      <alignment horizontal="center" vertical="bottom" textRotation="0" wrapText="false" indent="0" shrinkToFit="false"/>
      <protection locked="true" hidden="false"/>
    </xf>
    <xf numFmtId="164" fontId="50" fillId="4" borderId="80" xfId="21" applyFont="true" applyBorder="true" applyAlignment="true" applyProtection="false">
      <alignment horizontal="center" vertical="bottom" textRotation="0" wrapText="false" indent="0" shrinkToFit="false"/>
      <protection locked="true" hidden="false"/>
    </xf>
    <xf numFmtId="165" fontId="50" fillId="4" borderId="80" xfId="15" applyFont="true" applyBorder="true" applyAlignment="true" applyProtection="true">
      <alignment horizontal="center" vertical="center" textRotation="0" wrapText="false" indent="0" shrinkToFit="false"/>
      <protection locked="true" hidden="false"/>
    </xf>
    <xf numFmtId="170" fontId="50" fillId="4" borderId="80" xfId="21" applyFont="true" applyBorder="true" applyAlignment="true" applyProtection="false">
      <alignment horizontal="center" vertical="bottom" textRotation="0" wrapText="false" indent="0" shrinkToFit="false"/>
      <protection locked="true" hidden="false"/>
    </xf>
    <xf numFmtId="165" fontId="50" fillId="4" borderId="84" xfId="21" applyFont="true" applyBorder="true" applyAlignment="true" applyProtection="false">
      <alignment horizontal="center" vertical="bottom" textRotation="0" wrapText="false" indent="0" shrinkToFit="false"/>
      <protection locked="true" hidden="false"/>
    </xf>
    <xf numFmtId="165" fontId="50" fillId="4" borderId="83" xfId="21" applyFont="true" applyBorder="true" applyAlignment="true" applyProtection="false">
      <alignment horizontal="center" vertical="bottom" textRotation="0" wrapText="false" indent="0" shrinkToFit="false"/>
      <protection locked="true" hidden="false"/>
    </xf>
    <xf numFmtId="165" fontId="50" fillId="4" borderId="82" xfId="21" applyFont="true" applyBorder="true" applyAlignment="true" applyProtection="false">
      <alignment horizontal="center" vertical="bottom" textRotation="0" wrapText="false" indent="0" shrinkToFit="false"/>
      <protection locked="true" hidden="false"/>
    </xf>
    <xf numFmtId="164" fontId="50" fillId="4" borderId="84" xfId="21" applyFont="true" applyBorder="true" applyAlignment="true" applyProtection="false">
      <alignment horizontal="center" vertical="bottom" textRotation="0" wrapText="false" indent="0" shrinkToFit="false"/>
      <protection locked="true" hidden="false"/>
    </xf>
    <xf numFmtId="164" fontId="50" fillId="4" borderId="82" xfId="21" applyFont="true" applyBorder="true" applyAlignment="true" applyProtection="false">
      <alignment horizontal="center" vertical="bottom" textRotation="0" wrapText="false" indent="0" shrinkToFit="false"/>
      <protection locked="true" hidden="false"/>
    </xf>
    <xf numFmtId="164" fontId="50" fillId="4" borderId="83" xfId="21" applyFont="true" applyBorder="true" applyAlignment="true" applyProtection="false">
      <alignment horizontal="center" vertical="bottom" textRotation="0" wrapText="false" indent="0" shrinkToFit="false"/>
      <protection locked="true" hidden="false"/>
    </xf>
    <xf numFmtId="165" fontId="50" fillId="4" borderId="84" xfId="22" applyFont="true" applyBorder="true" applyAlignment="true" applyProtection="false">
      <alignment horizontal="center" vertical="bottom" textRotation="0" wrapText="false" indent="0" shrinkToFit="false"/>
      <protection locked="true" hidden="false"/>
    </xf>
    <xf numFmtId="164" fontId="50" fillId="4" borderId="83" xfId="22" applyFont="true" applyBorder="true" applyAlignment="true" applyProtection="false">
      <alignment horizontal="center" vertical="bottom" textRotation="0" wrapText="false" indent="0" shrinkToFit="false"/>
      <protection locked="true" hidden="false"/>
    </xf>
    <xf numFmtId="164" fontId="50" fillId="4" borderId="82" xfId="94" applyFont="true" applyBorder="true" applyAlignment="false" applyProtection="false">
      <alignment horizontal="general" vertical="bottom" textRotation="0" wrapText="false" indent="0" shrinkToFit="false"/>
      <protection locked="true" hidden="false"/>
    </xf>
    <xf numFmtId="170" fontId="50" fillId="4" borderId="82" xfId="21" applyFont="true" applyBorder="true" applyAlignment="true" applyProtection="false">
      <alignment horizontal="center" vertical="bottom" textRotation="0" wrapText="false" indent="0" shrinkToFit="false"/>
      <protection locked="true" hidden="false"/>
    </xf>
    <xf numFmtId="164" fontId="48" fillId="4" borderId="0" xfId="95" applyFont="true" applyBorder="false" applyAlignment="false" applyProtection="false">
      <alignment horizontal="general" vertical="bottom" textRotation="0" wrapText="false" indent="0" shrinkToFit="false"/>
      <protection locked="true" hidden="false"/>
    </xf>
    <xf numFmtId="164" fontId="4" fillId="4" borderId="0" xfId="15" applyFont="true" applyBorder="true" applyAlignment="true" applyProtection="true">
      <alignment horizontal="center" vertical="center" textRotation="0" wrapText="false" indent="0" shrinkToFit="false"/>
      <protection locked="true" hidden="false"/>
    </xf>
    <xf numFmtId="165" fontId="63" fillId="4" borderId="0" xfId="22" applyFont="true" applyBorder="false" applyAlignment="true" applyProtection="false">
      <alignment horizontal="center" vertical="bottom" textRotation="0" wrapText="false" indent="0" shrinkToFit="false"/>
      <protection locked="true" hidden="false"/>
    </xf>
    <xf numFmtId="174" fontId="4" fillId="4" borderId="0" xfId="22" applyFont="false" applyBorder="false" applyAlignment="true" applyProtection="false">
      <alignment horizontal="center" vertical="bottom" textRotation="0" wrapText="false" indent="0" shrinkToFit="false"/>
      <protection locked="true" hidden="false"/>
    </xf>
    <xf numFmtId="164" fontId="63" fillId="4" borderId="0" xfId="95"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70" fontId="4" fillId="4" borderId="54" xfId="94" applyFont="false" applyBorder="true" applyAlignment="true" applyProtection="false">
      <alignment horizontal="center" vertical="bottom" textRotation="0" wrapText="false" indent="0" shrinkToFit="false"/>
      <protection locked="true" hidden="false"/>
    </xf>
  </cellXfs>
  <cellStyles count="105">
    <cellStyle name="Normal" xfId="0" builtinId="0"/>
    <cellStyle name="Comma" xfId="15" builtinId="3"/>
    <cellStyle name="Comma [0]" xfId="16" builtinId="6"/>
    <cellStyle name="Currency" xfId="17" builtinId="4"/>
    <cellStyle name="Currency [0]" xfId="18" builtinId="7"/>
    <cellStyle name="Percent" xfId="19" builtinId="5"/>
    <cellStyle name="%" xfId="20"/>
    <cellStyle name="% 2" xfId="21"/>
    <cellStyle name="% 2 2" xfId="22"/>
    <cellStyle name="% 3" xfId="23"/>
    <cellStyle name="% 3 2" xfId="24"/>
    <cellStyle name="% 3 2 2" xfId="25"/>
    <cellStyle name="% 3 3" xfId="26"/>
    <cellStyle name="AF Column - IBM Cognos" xfId="27"/>
    <cellStyle name="AF Data - IBM Cognos" xfId="28"/>
    <cellStyle name="AF Data 0 - IBM Cognos" xfId="29"/>
    <cellStyle name="AF Data 1 - IBM Cognos" xfId="30"/>
    <cellStyle name="AF Data 2 - IBM Cognos" xfId="31"/>
    <cellStyle name="AF Data 3 - IBM Cognos" xfId="32"/>
    <cellStyle name="AF Data 4 - IBM Cognos" xfId="33"/>
    <cellStyle name="AF Data 5 - IBM Cognos" xfId="34"/>
    <cellStyle name="AF Data Leaf - IBM Cognos" xfId="35"/>
    <cellStyle name="AF Header - IBM Cognos" xfId="36"/>
    <cellStyle name="AF Header 0 - IBM Cognos" xfId="37"/>
    <cellStyle name="AF Header 1 - IBM Cognos" xfId="38"/>
    <cellStyle name="AF Header 2 - IBM Cognos" xfId="39"/>
    <cellStyle name="AF Header 3 - IBM Cognos" xfId="40"/>
    <cellStyle name="AF Header 4 - IBM Cognos" xfId="41"/>
    <cellStyle name="AF Header 5 - IBM Cognos" xfId="42"/>
    <cellStyle name="AF Header Leaf - IBM Cognos" xfId="43"/>
    <cellStyle name="AF Row - IBM Cognos" xfId="44"/>
    <cellStyle name="AF Row 0 - IBM Cognos" xfId="45"/>
    <cellStyle name="AF Row 1 - IBM Cognos" xfId="46"/>
    <cellStyle name="AF Row 2 - IBM Cognos" xfId="47"/>
    <cellStyle name="AF Row 3 - IBM Cognos" xfId="48"/>
    <cellStyle name="AF Row 4 - IBM Cognos" xfId="49"/>
    <cellStyle name="AF Row 5 - IBM Cognos" xfId="50"/>
    <cellStyle name="AF Row Leaf - IBM Cognos" xfId="51"/>
    <cellStyle name="AF Subnm - IBM Cognos" xfId="52"/>
    <cellStyle name="AF Title - IBM Cognos" xfId="53"/>
    <cellStyle name="Calculated Column - IBM Cognos" xfId="54"/>
    <cellStyle name="Calculated Column Name - IBM Cognos" xfId="55"/>
    <cellStyle name="Calculated Row - IBM Cognos" xfId="56"/>
    <cellStyle name="Calculated Row Name - IBM Cognos" xfId="57"/>
    <cellStyle name="Column Name - IBM Cognos" xfId="58"/>
    <cellStyle name="Column Template - IBM Cognos" xfId="59"/>
    <cellStyle name="Differs From Base - IBM Cognos" xfId="60"/>
    <cellStyle name="Edit - IBM Cognos" xfId="61"/>
    <cellStyle name="Formula - IBM Cognos" xfId="62"/>
    <cellStyle name="Group Name - IBM Cognos" xfId="63"/>
    <cellStyle name="Hold Values - IBM Cognos" xfId="64"/>
    <cellStyle name="List Name - IBM Cognos" xfId="65"/>
    <cellStyle name="Locked - IBM Cognos" xfId="66"/>
    <cellStyle name="Measure - IBM Cognos" xfId="67"/>
    <cellStyle name="Measure Header - IBM Cognos" xfId="68"/>
    <cellStyle name="Measure Name - IBM Cognos" xfId="69"/>
    <cellStyle name="Measure Summary - IBM Cognos" xfId="70"/>
    <cellStyle name="Measure Summary TM1 - IBM Cognos" xfId="71"/>
    <cellStyle name="Measure Template - IBM Cognos" xfId="72"/>
    <cellStyle name="Millares 2" xfId="73"/>
    <cellStyle name="Millares 2 2" xfId="74"/>
    <cellStyle name="Millares 2 2 2" xfId="75"/>
    <cellStyle name="Millares 2 3" xfId="76"/>
    <cellStyle name="Millares 2 3 2" xfId="77"/>
    <cellStyle name="Millares 2 4" xfId="78"/>
    <cellStyle name="Millares 2 4 2" xfId="79"/>
    <cellStyle name="Millares 2 5" xfId="80"/>
    <cellStyle name="Millares 2 5 2" xfId="81"/>
    <cellStyle name="Millares 2 6" xfId="82"/>
    <cellStyle name="Millares 2 6 2" xfId="83"/>
    <cellStyle name="Millares 2 7" xfId="84"/>
    <cellStyle name="Millares 2 7 2" xfId="85"/>
    <cellStyle name="Moneda 2" xfId="86"/>
    <cellStyle name="More - IBM Cognos" xfId="87"/>
    <cellStyle name="Normal 10" xfId="88"/>
    <cellStyle name="Normal 10 2" xfId="89"/>
    <cellStyle name="Normal 10 2 3" xfId="90"/>
    <cellStyle name="Normal 10 2 3 3" xfId="91"/>
    <cellStyle name="Normal 11" xfId="92"/>
    <cellStyle name="Normal 12 7" xfId="93"/>
    <cellStyle name="Normal 2" xfId="94"/>
    <cellStyle name="Normal 2 2" xfId="95"/>
    <cellStyle name="Normal 257 2" xfId="96"/>
    <cellStyle name="Normal 3" xfId="97"/>
    <cellStyle name="Normal 4" xfId="98"/>
    <cellStyle name="Normal 4 5 2" xfId="99"/>
    <cellStyle name="Normal 4 6" xfId="100"/>
    <cellStyle name="Normal 5" xfId="101"/>
    <cellStyle name="Normal 5 2" xfId="102"/>
    <cellStyle name="Normal 6" xfId="103"/>
    <cellStyle name="Normal 6 2" xfId="104"/>
    <cellStyle name="Normal 7" xfId="105"/>
    <cellStyle name="Normal 7 2" xfId="106"/>
    <cellStyle name="Normal 8" xfId="107"/>
    <cellStyle name="Normal 8 2" xfId="108"/>
    <cellStyle name="Normal 9" xfId="109"/>
    <cellStyle name="Normal 9 2" xfId="110"/>
    <cellStyle name="Pending Change - IBM Cognos" xfId="111"/>
    <cellStyle name="Row Name - IBM Cognos" xfId="112"/>
    <cellStyle name="Row Template - IBM Cognos" xfId="113"/>
    <cellStyle name="Summary Column Name - IBM Cognos" xfId="114"/>
    <cellStyle name="Summary Column Name TM1 - IBM Cognos" xfId="115"/>
    <cellStyle name="Summary Row Name - IBM Cognos" xfId="116"/>
    <cellStyle name="Summary Row Name TM1 - IBM Cognos" xfId="117"/>
    <cellStyle name="Unsaved Change - IBM Cognos" xfId="118"/>
  </cellStyles>
  <dxfs count="124">
    <dxf>
      <fill>
        <patternFill patternType="solid">
          <fgColor rgb="FFC0C0C0"/>
        </patternFill>
      </fill>
    </dxf>
    <dxf>
      <fill>
        <patternFill patternType="solid">
          <fgColor rgb="00FFFFFF"/>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patternType="solid">
          <fgColor rgb="FFD9D9D9"/>
        </patternFill>
      </fill>
    </dxf>
    <dxf>
      <fill>
        <patternFill patternType="solid">
          <fgColor rgb="FFFFFFFF"/>
        </patternFill>
      </fill>
    </dxf>
    <dxf>
      <fill>
        <patternFill patternType="solid">
          <fgColor rgb="FFFFFFFF"/>
          <bgColor rgb="FF404040"/>
        </patternFill>
      </fill>
    </dxf>
    <dxf>
      <fill>
        <patternFill patternType="solid">
          <fgColor rgb="FFFFFFCC"/>
        </patternFill>
      </fill>
    </dxf>
    <dxf>
      <fill>
        <patternFill patternType="solid">
          <fgColor rgb="FFFF0000"/>
        </patternFill>
      </fill>
    </dxf>
    <dxf>
      <fill>
        <patternFill patternType="solid">
          <fgColor rgb="FFC6EFCE"/>
        </patternFill>
      </fill>
    </dxf>
    <dxf>
      <fill>
        <patternFill patternType="solid">
          <fgColor rgb="FFFFC7CE"/>
        </patternFill>
      </fill>
    </dxf>
    <dxf>
      <fill>
        <patternFill patternType="solid">
          <fgColor rgb="FF006100"/>
        </patternFill>
      </fill>
    </dxf>
    <dxf>
      <fill>
        <patternFill patternType="solid">
          <fgColor rgb="FF9C0006"/>
        </patternFill>
      </fill>
    </dxf>
    <dxf>
      <font>
        <color rgb="FF006100"/>
      </font>
      <fill>
        <patternFill>
          <bgColor rgb="FFC6EFCE"/>
        </patternFill>
      </fill>
    </dxf>
    <dxf>
      <font>
        <color rgb="FF9C0006"/>
      </font>
      <fill>
        <patternFill>
          <bgColor rgb="FFFFC7CE"/>
        </patternFill>
      </fill>
    </dxf>
    <dxf>
      <font>
        <color rgb="FFFF0000"/>
      </font>
      <fill>
        <patternFill>
          <bgColor rgb="FFFFFF00"/>
        </patternFill>
      </fill>
    </dxf>
    <dxf>
      <font>
        <b val="1"/>
        <i val="0"/>
        <color rgb="FFFF0000"/>
      </font>
      <fill>
        <patternFill>
          <bgColor rgb="FFFFFF00"/>
        </patternFill>
      </fill>
    </dxf>
    <dxf>
      <font>
        <color rgb="FFFF0000"/>
      </font>
      <fill>
        <patternFill>
          <bgColor rgb="FFFFFF00"/>
        </patternFill>
      </fill>
    </dxf>
    <dxf>
      <font>
        <b val="1"/>
        <i val="0"/>
        <color rgb="FFFF0000"/>
      </font>
      <fill>
        <patternFill>
          <bgColor rgb="FFFFFF00"/>
        </patternFill>
      </fill>
    </dxf>
    <dxf>
      <font>
        <color rgb="FF006100"/>
      </font>
      <fill>
        <patternFill>
          <bgColor rgb="FFC6EFCE"/>
        </patternFill>
      </fill>
    </dxf>
    <dxf>
      <font>
        <color rgb="FF9C0006"/>
      </font>
      <fill>
        <patternFill>
          <bgColor rgb="FFFFC7CE"/>
        </patternFill>
      </fill>
    </dxf>
    <dxf>
      <fill>
        <patternFill>
          <bgColor rgb="FFFFFFCC"/>
        </patternFill>
      </fill>
    </dxf>
    <dxf>
      <fill>
        <patternFill patternType="solid">
          <fgColor rgb="FF00B05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FF0000"/>
      </font>
      <fill>
        <patternFill>
          <bgColor rgb="FFFFFF00"/>
        </patternFill>
      </fill>
    </dxf>
    <dxf>
      <font>
        <b val="1"/>
        <i val="0"/>
        <color rgb="FFFF0000"/>
      </font>
      <fill>
        <patternFill>
          <bgColor rgb="FFFFFF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FF0000"/>
      </font>
      <fill>
        <patternFill>
          <bgColor rgb="FFDDD9C3"/>
        </patternFill>
      </fill>
    </dxf>
    <dxf>
      <font>
        <b val="0"/>
        <i val="0"/>
        <color rgb="FFFF3300"/>
      </font>
      <fill>
        <patternFill>
          <bgColor rgb="FFDDD9C3"/>
        </patternFill>
      </fill>
    </dxf>
    <dxf>
      <font>
        <color rgb="FFFF0000"/>
      </font>
      <fill>
        <patternFill>
          <bgColor rgb="FFFFFF00"/>
        </patternFill>
      </fill>
    </dxf>
    <dxf>
      <font>
        <b val="1"/>
        <i val="0"/>
        <color rgb="FFFF0000"/>
      </font>
      <fill>
        <patternFill>
          <bgColor rgb="FFFFFF00"/>
        </patternFill>
      </fill>
    </dxf>
    <dxf>
      <fill>
        <patternFill patternType="solid">
          <fgColor rgb="FFFFAFB1"/>
        </patternFill>
      </fill>
    </dxf>
    <dxf>
      <font>
        <color rgb="FFFF0000"/>
      </font>
      <fill>
        <patternFill>
          <bgColor rgb="FFFFFF00"/>
        </patternFill>
      </fill>
    </dxf>
    <dxf>
      <font>
        <b val="1"/>
        <i val="0"/>
        <color rgb="FFFF0000"/>
      </font>
      <fill>
        <patternFill>
          <bgColor rgb="FFFFFF00"/>
        </patternFill>
      </fill>
    </dxf>
    <dxf>
      <fill>
        <patternFill patternType="solid">
          <fgColor rgb="FFBFBFBF"/>
        </patternFill>
      </fill>
    </dxf>
    <dxf>
      <font>
        <color rgb="FFFF0000"/>
      </font>
      <fill>
        <patternFill>
          <bgColor rgb="FFFFFF00"/>
        </patternFill>
      </fill>
    </dxf>
    <dxf>
      <font>
        <b val="1"/>
        <i val="0"/>
        <color rgb="FFFF0000"/>
      </font>
      <fill>
        <patternFill>
          <bgColor rgb="FFFFFF00"/>
        </patternFill>
      </fill>
    </dxf>
    <dxf>
      <fill>
        <patternFill patternType="solid">
          <fgColor rgb="FFEBF1DE"/>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77933C"/>
      <rgbColor rgb="FF800080"/>
      <rgbColor rgb="FF336577"/>
      <rgbColor rgb="FFC0C0C0"/>
      <rgbColor rgb="FF808080"/>
      <rgbColor rgb="FFA6A6A6"/>
      <rgbColor rgb="FF963634"/>
      <rgbColor rgb="FFFFFFCC"/>
      <rgbColor rgb="FFDBEEF4"/>
      <rgbColor rgb="FF660066"/>
      <rgbColor rgb="FFD99694"/>
      <rgbColor rgb="FF165D81"/>
      <rgbColor rgb="FFD9D9D9"/>
      <rgbColor rgb="FF000080"/>
      <rgbColor rgb="FFFF00FF"/>
      <rgbColor rgb="FFDDD9C3"/>
      <rgbColor rgb="FF00FFFF"/>
      <rgbColor rgb="FF800080"/>
      <rgbColor rgb="FF800000"/>
      <rgbColor rgb="FF008080"/>
      <rgbColor rgb="FF0000FF"/>
      <rgbColor rgb="FF00CCFF"/>
      <rgbColor rgb="FFEBF1DE"/>
      <rgbColor rgb="FFC6EFCE"/>
      <rgbColor rgb="FFD7E4BD"/>
      <rgbColor rgb="FFBFBFBF"/>
      <rgbColor rgb="FFFFAFB1"/>
      <rgbColor rgb="FFFFC7CE"/>
      <rgbColor rgb="FFFAC090"/>
      <rgbColor rgb="FF4F81BD"/>
      <rgbColor rgb="FF558ED5"/>
      <rgbColor rgb="FFBED7A5"/>
      <rgbColor rgb="FFFCD5B5"/>
      <rgbColor rgb="FFE46C0A"/>
      <rgbColor rgb="FFFF6600"/>
      <rgbColor rgb="FF8064A2"/>
      <rgbColor rgb="FF969696"/>
      <rgbColor rgb="FF003366"/>
      <rgbColor rgb="FF00B050"/>
      <rgbColor rgb="FF003300"/>
      <rgbColor rgb="FF404040"/>
      <rgbColor rgb="FFFF3300"/>
      <rgbColor rgb="FF7F7F7F"/>
      <rgbColor rgb="FF59595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externalLink" Target="externalLinks/externalLink1.xml"/><Relationship Id="rId1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twoCell">
    <xdr:from>
      <xdr:col>1</xdr:col>
      <xdr:colOff>0</xdr:colOff>
      <xdr:row>39</xdr:row>
      <xdr:rowOff>0</xdr:rowOff>
    </xdr:from>
    <xdr:to>
      <xdr:col>12</xdr:col>
      <xdr:colOff>739800</xdr:colOff>
      <xdr:row>45</xdr:row>
      <xdr:rowOff>161640</xdr:rowOff>
    </xdr:to>
    <xdr:sp>
      <xdr:nvSpPr>
        <xdr:cNvPr id="0" name="Rectángulo: esquinas redondeadas 1"/>
        <xdr:cNvSpPr/>
      </xdr:nvSpPr>
      <xdr:spPr>
        <a:xfrm>
          <a:off x="100440" y="9363240"/>
          <a:ext cx="10293840" cy="1132920"/>
        </a:xfrm>
        <a:prstGeom prst="roundRect">
          <a:avLst>
            <a:gd name="adj" fmla="val 16667"/>
          </a:avLst>
        </a:prstGeom>
        <a:solidFill>
          <a:srgbClr val="ffffff"/>
        </a:solidFill>
        <a:ln>
          <a:solidFill>
            <a:srgbClr val="f79646"/>
          </a:solidFill>
          <a:round/>
        </a:ln>
      </xdr:spPr>
      <xdr:style>
        <a:lnRef idx="2">
          <a:schemeClr val="accent6"/>
        </a:lnRef>
        <a:fillRef idx="1">
          <a:schemeClr val="lt1"/>
        </a:fillRef>
        <a:effectRef idx="0">
          <a:schemeClr val="accent6"/>
        </a:effectRef>
        <a:fontRef idx="minor"/>
      </xdr:style>
      <xdr:txBody>
        <a:bodyPr horzOverflow="clip" vertOverflow="clip" lIns="90000" rIns="90000" tIns="45000" bIns="45000" anchor="t">
          <a:noAutofit/>
        </a:bodyPr>
        <a:p>
          <a:pPr>
            <a:lnSpc>
              <a:spcPct val="100000"/>
            </a:lnSpc>
          </a:pPr>
          <a:r>
            <a:rPr b="1" lang="es-ES" sz="1100" spc="-1" strike="noStrike">
              <a:solidFill>
                <a:srgbClr val="ff6600"/>
              </a:solidFill>
              <a:latin typeface="Calibri"/>
            </a:rPr>
            <a:t>En la oferta de Internet Empresa Ilimitada e Internet 5G en tu negocio, no existe opción de VaP, el cliente puede acceder a las modalidades de Pago unico o Cesión.</a:t>
          </a:r>
          <a:r>
            <a:rPr b="0" lang="es-ES" sz="1100" spc="-1" strike="noStrike">
              <a:solidFill>
                <a:srgbClr val="ff6600"/>
              </a:solidFill>
              <a:latin typeface="Calibri"/>
            </a:rPr>
            <a:t>(1) </a:t>
          </a:r>
          <a:r>
            <a:rPr b="0" lang="es-ES" sz="1100" spc="-1" strike="noStrike">
              <a:solidFill>
                <a:srgbClr val="000000"/>
              </a:solidFill>
              <a:latin typeface="Calibri"/>
            </a:rPr>
            <a:t>Oferta de VaP en CESION, referencias marcadas con (1)</a:t>
          </a:r>
          <a:endParaRPr b="0" lang="es-ES" sz="1100" spc="-1" strike="noStrike">
            <a:latin typeface="Times New Roman"/>
          </a:endParaRPr>
        </a:p>
        <a:p>
          <a:pPr>
            <a:lnSpc>
              <a:spcPct val="100000"/>
            </a:lnSpc>
          </a:pPr>
          <a:r>
            <a:rPr b="0" lang="es-ES" sz="1100" spc="-1" strike="noStrike">
              <a:solidFill>
                <a:srgbClr val="000000"/>
              </a:solidFill>
              <a:latin typeface="Calibri"/>
            </a:rPr>
            <a:t>Resto de referencias con oferta solo P.unico</a:t>
          </a:r>
          <a:r>
            <a:rPr b="0" lang="es-ES" sz="1200" spc="-1" strike="noStrike">
              <a:solidFill>
                <a:srgbClr val="000000"/>
              </a:solidFill>
              <a:latin typeface="Calibri"/>
            </a:rPr>
            <a:t> </a:t>
          </a:r>
          <a:endParaRPr b="0" lang="es-ES" sz="1200" spc="-1" strike="noStrike">
            <a:latin typeface="Times New Roman"/>
          </a:endParaRPr>
        </a:p>
        <a:p>
          <a:pPr>
            <a:lnSpc>
              <a:spcPct val="100000"/>
            </a:lnSpc>
          </a:pPr>
          <a:endParaRPr b="0" lang="es-ES" sz="1100" spc="-1" strike="noStrike">
            <a:latin typeface="Times New Roman"/>
          </a:endParaRPr>
        </a:p>
        <a:p>
          <a:pPr>
            <a:lnSpc>
              <a:spcPct val="100000"/>
            </a:lnSpc>
          </a:pPr>
          <a:r>
            <a:rPr b="1" lang="es-ES" sz="1100" spc="-1" strike="noStrike">
              <a:solidFill>
                <a:srgbClr val="ff6600"/>
              </a:solidFill>
              <a:latin typeface="Calibri"/>
            </a:rPr>
            <a:t>Para el resto de tarifas Internet Movil Empresas mantenemos oferta en VaP y P.Único.</a:t>
          </a:r>
          <a:r>
            <a:rPr b="0" lang="es-ES" sz="1200" spc="-1" strike="noStrike">
              <a:solidFill>
                <a:srgbClr val="ff6600"/>
              </a:solidFill>
              <a:latin typeface="Calibri"/>
            </a:rPr>
            <a:t>  </a:t>
          </a:r>
          <a:endParaRPr b="0" lang="es-ES" sz="1200" spc="-1" strike="noStrike">
            <a:latin typeface="Times New Roman"/>
          </a:endParaRPr>
        </a:p>
        <a:p>
          <a:pPr>
            <a:lnSpc>
              <a:spcPct val="100000"/>
            </a:lnSpc>
          </a:pPr>
          <a:endParaRPr b="0" lang="es-ES" sz="1100" spc="-1" strike="noStrike">
            <a:latin typeface="Times New Roman"/>
          </a:endParaRPr>
        </a:p>
      </xdr:txBody>
    </xdr:sp>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externalLinks/_rels/externalLink1.xml.rels><?xml version="1.0" encoding="UTF-8"?>
<Relationships xmlns="http://schemas.openxmlformats.org/package/2006/relationships"><Relationship Id="rId1" Type="http://schemas.openxmlformats.org/officeDocument/2006/relationships/externalLinkPath" Target="../../../../../J:/TRIBUS/Tribu%20Empresas/_Privada/Squads/CAPTACION/03%20-%20OT/Terminales/2025/04-%20abril%2025/SoHo/Parrilla%20SOHO%20Abril%20-%20prueba.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Estudio gama"/>
      <sheetName val="Cognos_Office_Connection_Cache"/>
      <sheetName val="VaP bajo riesgo"/>
      <sheetName val="Mi Fijo"/>
      <sheetName val="PAE Gama"/>
      <sheetName val="PAE Libres"/>
      <sheetName val="PAE Pago Único"/>
      <sheetName val="PAE Cuotas"/>
      <sheetName val="Ref que entran y salen"/>
      <sheetName val="Rotaciones"/>
      <sheetName val="Hoja1"/>
    </sheetNames>
    <sheetDataSet>
      <sheetData sheetId="0"/>
      <sheetData sheetId="1"/>
      <sheetData sheetId="2"/>
      <sheetData sheetId="3">
        <row r="8">
          <cell r="B8" t="str">
            <v>AD HOC</v>
          </cell>
          <cell r="C8" t="str">
            <v>ADOC SC01</v>
          </cell>
          <cell r="D8">
            <v>63.6363636363636</v>
          </cell>
          <cell r="E8">
            <v>1.1</v>
          </cell>
          <cell r="F8" t="str">
            <v>VOZ</v>
          </cell>
          <cell r="G8">
            <v>24</v>
          </cell>
          <cell r="H8">
            <v>63.6363636363636</v>
          </cell>
        </row>
        <row r="8">
          <cell r="J8">
            <v>0</v>
          </cell>
          <cell r="K8">
            <v>0</v>
          </cell>
        </row>
        <row r="8">
          <cell r="M8">
            <v>0</v>
          </cell>
          <cell r="N8">
            <v>0</v>
          </cell>
          <cell r="O8">
            <v>0</v>
          </cell>
          <cell r="P8">
            <v>0</v>
          </cell>
        </row>
        <row r="8">
          <cell r="R8">
            <v>0</v>
          </cell>
        </row>
        <row r="8">
          <cell r="T8">
            <v>64</v>
          </cell>
          <cell r="U8">
            <v>0</v>
          </cell>
        </row>
        <row r="8">
          <cell r="W8">
            <v>64</v>
          </cell>
          <cell r="X8">
            <v>0</v>
          </cell>
          <cell r="Y8">
            <v>64</v>
          </cell>
          <cell r="Z8">
            <v>0</v>
          </cell>
        </row>
        <row r="9">
          <cell r="B9" t="str">
            <v>AD HOC</v>
          </cell>
          <cell r="C9" t="str">
            <v>ADOC SC04</v>
          </cell>
          <cell r="D9">
            <v>76.8595041322314</v>
          </cell>
          <cell r="E9">
            <v>1.1</v>
          </cell>
          <cell r="F9" t="str">
            <v>VOZ</v>
          </cell>
          <cell r="G9">
            <v>24</v>
          </cell>
          <cell r="H9">
            <v>76.8595041322314</v>
          </cell>
        </row>
        <row r="9">
          <cell r="J9">
            <v>0</v>
          </cell>
          <cell r="K9">
            <v>0.826446280991735</v>
          </cell>
        </row>
        <row r="9">
          <cell r="M9">
            <v>0</v>
          </cell>
          <cell r="N9">
            <v>0.826446280991735</v>
          </cell>
          <cell r="O9">
            <v>0</v>
          </cell>
          <cell r="P9">
            <v>0.826446280991735</v>
          </cell>
        </row>
        <row r="9">
          <cell r="R9">
            <v>0</v>
          </cell>
        </row>
        <row r="9">
          <cell r="T9">
            <v>57</v>
          </cell>
          <cell r="U9">
            <v>19.8347107438017</v>
          </cell>
        </row>
        <row r="9">
          <cell r="W9">
            <v>57</v>
          </cell>
          <cell r="X9">
            <v>19.8347107438017</v>
          </cell>
          <cell r="Y9">
            <v>57</v>
          </cell>
          <cell r="Z9">
            <v>19.8347107438017</v>
          </cell>
        </row>
        <row r="10">
          <cell r="B10" t="str">
            <v>XIAOMI</v>
          </cell>
          <cell r="C10" t="str">
            <v>AURICULARES XIAOMI REDMI BUDS 6 LITE</v>
          </cell>
          <cell r="D10">
            <v>31.404958677686</v>
          </cell>
          <cell r="E10">
            <v>0</v>
          </cell>
          <cell r="F10" t="str">
            <v>OC_AURICULARES</v>
          </cell>
          <cell r="G10">
            <v>24</v>
          </cell>
          <cell r="H10">
            <v>31.404958677686</v>
          </cell>
        </row>
        <row r="10">
          <cell r="J10">
            <v>0</v>
          </cell>
          <cell r="K10">
            <v>0</v>
          </cell>
        </row>
        <row r="10">
          <cell r="M10">
            <v>0</v>
          </cell>
          <cell r="N10">
            <v>0</v>
          </cell>
          <cell r="O10">
            <v>0</v>
          </cell>
          <cell r="P10">
            <v>0</v>
          </cell>
        </row>
        <row r="10">
          <cell r="R10">
            <v>0</v>
          </cell>
        </row>
        <row r="10">
          <cell r="T10">
            <v>31</v>
          </cell>
          <cell r="U10">
            <v>0</v>
          </cell>
        </row>
        <row r="10">
          <cell r="W10">
            <v>31</v>
          </cell>
          <cell r="X10">
            <v>0</v>
          </cell>
          <cell r="Y10">
            <v>31</v>
          </cell>
          <cell r="Z10">
            <v>0</v>
          </cell>
        </row>
        <row r="11">
          <cell r="B11" t="str">
            <v>DELONGHI</v>
          </cell>
          <cell r="C11" t="str">
            <v>CAFETERA DELONGHI CAPSULAS VERTUO POP+AEROCHINO</v>
          </cell>
          <cell r="D11">
            <v>91.7355371900826</v>
          </cell>
          <cell r="E11">
            <v>0</v>
          </cell>
          <cell r="F11" t="str">
            <v>OC_PAE</v>
          </cell>
          <cell r="G11">
            <v>24</v>
          </cell>
          <cell r="H11">
            <v>147.933884297521</v>
          </cell>
        </row>
        <row r="11">
          <cell r="J11">
            <v>0</v>
          </cell>
          <cell r="K11">
            <v>0.826446280991735</v>
          </cell>
        </row>
        <row r="11">
          <cell r="M11">
            <v>0</v>
          </cell>
          <cell r="N11">
            <v>0.826446280991735</v>
          </cell>
          <cell r="O11">
            <v>0</v>
          </cell>
          <cell r="P11">
            <v>0.826446280991735</v>
          </cell>
        </row>
        <row r="11">
          <cell r="R11">
            <v>-56</v>
          </cell>
        </row>
        <row r="11">
          <cell r="T11">
            <v>72</v>
          </cell>
          <cell r="U11">
            <v>19.8347107438017</v>
          </cell>
        </row>
        <row r="11">
          <cell r="W11">
            <v>72</v>
          </cell>
          <cell r="X11">
            <v>19.8347107438017</v>
          </cell>
          <cell r="Y11">
            <v>72</v>
          </cell>
          <cell r="Z11">
            <v>19.8347107438017</v>
          </cell>
        </row>
        <row r="12">
          <cell r="B12" t="str">
            <v>MOTOROLA</v>
          </cell>
          <cell r="C12" t="str">
            <v>MOTOROLA MOTO G35 128GB 5G</v>
          </cell>
          <cell r="D12">
            <v>132.231404958678</v>
          </cell>
          <cell r="E12">
            <v>3.25</v>
          </cell>
          <cell r="F12" t="str">
            <v>SMARTPHONE</v>
          </cell>
          <cell r="G12">
            <v>24</v>
          </cell>
          <cell r="H12">
            <v>132.231404958678</v>
          </cell>
        </row>
        <row r="12">
          <cell r="J12">
            <v>0</v>
          </cell>
          <cell r="K12">
            <v>2.47933884297521</v>
          </cell>
        </row>
        <row r="12">
          <cell r="M12">
            <v>0</v>
          </cell>
          <cell r="N12">
            <v>2.47933884297521</v>
          </cell>
          <cell r="O12">
            <v>0</v>
          </cell>
          <cell r="P12">
            <v>2.47933884297521</v>
          </cell>
        </row>
        <row r="12">
          <cell r="R12">
            <v>0</v>
          </cell>
        </row>
        <row r="12">
          <cell r="T12">
            <v>73</v>
          </cell>
          <cell r="U12">
            <v>59.504132231405</v>
          </cell>
        </row>
        <row r="12">
          <cell r="W12">
            <v>73</v>
          </cell>
          <cell r="X12">
            <v>59.504132231405</v>
          </cell>
          <cell r="Y12">
            <v>73</v>
          </cell>
          <cell r="Z12">
            <v>59.504132231405</v>
          </cell>
        </row>
        <row r="13">
          <cell r="B13" t="str">
            <v>OPPO</v>
          </cell>
          <cell r="C13" t="str">
            <v>OPPO A40 128GB</v>
          </cell>
          <cell r="D13">
            <v>88.4297520661157</v>
          </cell>
          <cell r="E13">
            <v>3.25</v>
          </cell>
          <cell r="F13" t="str">
            <v>SMARTPHONE</v>
          </cell>
          <cell r="G13">
            <v>24</v>
          </cell>
          <cell r="H13">
            <v>88.4297520661157</v>
          </cell>
        </row>
        <row r="13">
          <cell r="J13">
            <v>0</v>
          </cell>
          <cell r="K13">
            <v>1.2396694214876</v>
          </cell>
        </row>
        <row r="13">
          <cell r="M13">
            <v>0</v>
          </cell>
          <cell r="N13">
            <v>1.2396694214876</v>
          </cell>
          <cell r="O13">
            <v>0</v>
          </cell>
          <cell r="P13">
            <v>1.2396694214876</v>
          </cell>
        </row>
        <row r="13">
          <cell r="R13">
            <v>0</v>
          </cell>
        </row>
        <row r="13">
          <cell r="T13">
            <v>59</v>
          </cell>
          <cell r="U13">
            <v>29.7520661157025</v>
          </cell>
        </row>
        <row r="13">
          <cell r="W13">
            <v>59</v>
          </cell>
          <cell r="X13">
            <v>29.7520661157025</v>
          </cell>
          <cell r="Y13">
            <v>59</v>
          </cell>
          <cell r="Z13">
            <v>29.7520661157025</v>
          </cell>
        </row>
        <row r="14">
          <cell r="B14" t="str">
            <v>OPPO</v>
          </cell>
          <cell r="C14" t="str">
            <v>OPPO A60 128GB 5G</v>
          </cell>
          <cell r="D14">
            <v>157.851239669422</v>
          </cell>
          <cell r="E14">
            <v>3.25</v>
          </cell>
          <cell r="F14" t="str">
            <v>SMARTPHONE</v>
          </cell>
          <cell r="G14">
            <v>24</v>
          </cell>
          <cell r="H14">
            <v>157.851239669422</v>
          </cell>
        </row>
        <row r="14">
          <cell r="J14">
            <v>0</v>
          </cell>
          <cell r="K14">
            <v>2.47933884297521</v>
          </cell>
        </row>
        <row r="14">
          <cell r="M14">
            <v>0</v>
          </cell>
          <cell r="N14">
            <v>2.47933884297521</v>
          </cell>
          <cell r="O14">
            <v>0</v>
          </cell>
          <cell r="P14">
            <v>2.47933884297521</v>
          </cell>
        </row>
        <row r="14">
          <cell r="R14">
            <v>0</v>
          </cell>
        </row>
        <row r="14">
          <cell r="T14">
            <v>98</v>
          </cell>
          <cell r="U14">
            <v>59.504132231405</v>
          </cell>
        </row>
        <row r="14">
          <cell r="W14">
            <v>98</v>
          </cell>
          <cell r="X14">
            <v>59.504132231405</v>
          </cell>
          <cell r="Y14">
            <v>98</v>
          </cell>
          <cell r="Z14">
            <v>59.504132231405</v>
          </cell>
        </row>
        <row r="15">
          <cell r="B15" t="str">
            <v>ORANGE</v>
          </cell>
          <cell r="C15" t="str">
            <v>ORANGE GAMA 120 4G</v>
          </cell>
          <cell r="D15">
            <v>68.5950413223141</v>
          </cell>
          <cell r="E15">
            <v>1.1</v>
          </cell>
          <cell r="F15" t="str">
            <v>FIXED STYLE</v>
          </cell>
          <cell r="G15">
            <v>24</v>
          </cell>
          <cell r="H15">
            <v>73.5537190082645</v>
          </cell>
        </row>
        <row r="15">
          <cell r="J15">
            <v>0</v>
          </cell>
          <cell r="K15">
            <v>0.826446280991735</v>
          </cell>
        </row>
        <row r="15">
          <cell r="M15">
            <v>0</v>
          </cell>
          <cell r="N15">
            <v>0.826446280991735</v>
          </cell>
          <cell r="O15">
            <v>0</v>
          </cell>
          <cell r="P15">
            <v>0.826446280991735</v>
          </cell>
        </row>
        <row r="15">
          <cell r="R15">
            <v>-5</v>
          </cell>
        </row>
        <row r="15">
          <cell r="T15">
            <v>49</v>
          </cell>
          <cell r="U15">
            <v>19.8347107438017</v>
          </cell>
        </row>
        <row r="15">
          <cell r="W15">
            <v>49</v>
          </cell>
          <cell r="X15">
            <v>19.8347107438017</v>
          </cell>
          <cell r="Y15">
            <v>49</v>
          </cell>
          <cell r="Z15">
            <v>19.8347107438017</v>
          </cell>
        </row>
        <row r="16">
          <cell r="B16" t="str">
            <v>ORANGE</v>
          </cell>
          <cell r="C16" t="str">
            <v>ORANGE GAMA 120 4G + SIM</v>
          </cell>
          <cell r="D16">
            <v>74.3801652892562</v>
          </cell>
          <cell r="E16">
            <v>1.1</v>
          </cell>
          <cell r="F16" t="str">
            <v>FIXED STYLE</v>
          </cell>
          <cell r="G16">
            <v>24</v>
          </cell>
          <cell r="H16">
            <v>74.3801652892562</v>
          </cell>
        </row>
        <row r="16">
          <cell r="J16">
            <v>0</v>
          </cell>
          <cell r="K16">
            <v>0.826446280991735</v>
          </cell>
        </row>
        <row r="16">
          <cell r="M16">
            <v>0</v>
          </cell>
          <cell r="N16">
            <v>0.826446280991735</v>
          </cell>
          <cell r="O16">
            <v>0</v>
          </cell>
          <cell r="P16">
            <v>0.826446280991735</v>
          </cell>
        </row>
        <row r="16">
          <cell r="R16">
            <v>0</v>
          </cell>
        </row>
        <row r="16">
          <cell r="T16">
            <v>55</v>
          </cell>
          <cell r="U16">
            <v>19.8347107438017</v>
          </cell>
        </row>
        <row r="16">
          <cell r="W16">
            <v>55</v>
          </cell>
          <cell r="X16">
            <v>19.8347107438017</v>
          </cell>
          <cell r="Y16">
            <v>55</v>
          </cell>
          <cell r="Z16">
            <v>19.8347107438017</v>
          </cell>
        </row>
        <row r="17">
          <cell r="B17" t="str">
            <v>ORANGE</v>
          </cell>
          <cell r="C17" t="str">
            <v>ORANGE GAMA 402</v>
          </cell>
          <cell r="D17">
            <v>69.4214876033058</v>
          </cell>
          <cell r="E17">
            <v>1.1</v>
          </cell>
          <cell r="F17" t="str">
            <v>FIXED STYLE</v>
          </cell>
          <cell r="G17">
            <v>24</v>
          </cell>
          <cell r="H17">
            <v>69.4214876033058</v>
          </cell>
        </row>
        <row r="17">
          <cell r="J17">
            <v>0</v>
          </cell>
          <cell r="K17">
            <v>0.826446280991735</v>
          </cell>
        </row>
        <row r="17">
          <cell r="M17">
            <v>0</v>
          </cell>
          <cell r="N17">
            <v>0.826446280991735</v>
          </cell>
          <cell r="O17">
            <v>0</v>
          </cell>
          <cell r="P17">
            <v>0.826446280991735</v>
          </cell>
        </row>
        <row r="17">
          <cell r="R17">
            <v>0</v>
          </cell>
        </row>
        <row r="17">
          <cell r="T17">
            <v>50</v>
          </cell>
          <cell r="U17">
            <v>19.8347107438017</v>
          </cell>
        </row>
        <row r="17">
          <cell r="W17">
            <v>50</v>
          </cell>
          <cell r="X17">
            <v>19.8347107438017</v>
          </cell>
          <cell r="Y17">
            <v>50</v>
          </cell>
          <cell r="Z17">
            <v>19.8347107438017</v>
          </cell>
        </row>
        <row r="18">
          <cell r="B18" t="str">
            <v>SAMSUNG</v>
          </cell>
          <cell r="C18" t="str">
            <v>SAMSUNG GALAXY A16 128GB</v>
          </cell>
          <cell r="D18">
            <v>166.115702479339</v>
          </cell>
          <cell r="E18">
            <v>3.25</v>
          </cell>
          <cell r="F18" t="str">
            <v>SMARTPHONE</v>
          </cell>
          <cell r="G18">
            <v>24</v>
          </cell>
          <cell r="H18">
            <v>166.115702479339</v>
          </cell>
        </row>
        <row r="18">
          <cell r="J18">
            <v>0</v>
          </cell>
          <cell r="K18">
            <v>2.89256198347107</v>
          </cell>
        </row>
        <row r="18">
          <cell r="M18">
            <v>0</v>
          </cell>
          <cell r="N18">
            <v>2.89256198347107</v>
          </cell>
          <cell r="O18" t="str">
            <v>-</v>
          </cell>
          <cell r="P18" t="str">
            <v>-</v>
          </cell>
        </row>
        <row r="18">
          <cell r="R18">
            <v>0</v>
          </cell>
        </row>
        <row r="18">
          <cell r="T18">
            <v>97</v>
          </cell>
          <cell r="U18">
            <v>69.4214876033058</v>
          </cell>
        </row>
        <row r="18">
          <cell r="W18">
            <v>97</v>
          </cell>
          <cell r="X18">
            <v>69.4214876033058</v>
          </cell>
          <cell r="Y18">
            <v>97</v>
          </cell>
          <cell r="Z18">
            <v>69.4214876033058</v>
          </cell>
        </row>
        <row r="19">
          <cell r="B19" t="str">
            <v>SAMSUNG</v>
          </cell>
          <cell r="C19" t="str">
            <v>SAMSUNG GALAXY A16 128GB 5G</v>
          </cell>
          <cell r="D19">
            <v>190.909090909091</v>
          </cell>
          <cell r="E19">
            <v>3.25</v>
          </cell>
          <cell r="F19" t="str">
            <v>SMARTPHONE</v>
          </cell>
          <cell r="G19">
            <v>24</v>
          </cell>
          <cell r="H19">
            <v>190.909090909091</v>
          </cell>
        </row>
        <row r="19">
          <cell r="J19">
            <v>0</v>
          </cell>
          <cell r="K19">
            <v>4.13223140495868</v>
          </cell>
        </row>
        <row r="19">
          <cell r="M19">
            <v>0</v>
          </cell>
          <cell r="N19">
            <v>4.13223140495868</v>
          </cell>
          <cell r="O19" t="str">
            <v>-</v>
          </cell>
          <cell r="P19" t="str">
            <v>-</v>
          </cell>
        </row>
        <row r="19">
          <cell r="R19">
            <v>0</v>
          </cell>
        </row>
        <row r="19">
          <cell r="T19">
            <v>92</v>
          </cell>
          <cell r="U19">
            <v>99.1735537190083</v>
          </cell>
        </row>
        <row r="19">
          <cell r="W19">
            <v>92</v>
          </cell>
          <cell r="X19">
            <v>99.1735537190083</v>
          </cell>
          <cell r="Y19">
            <v>92</v>
          </cell>
          <cell r="Z19">
            <v>99.1735537190083</v>
          </cell>
        </row>
        <row r="20">
          <cell r="B20" t="str">
            <v>TCL</v>
          </cell>
          <cell r="C20" t="str">
            <v>TCL 40 SE</v>
          </cell>
          <cell r="D20">
            <v>114.04958677686</v>
          </cell>
          <cell r="E20">
            <v>3.25</v>
          </cell>
          <cell r="F20" t="str">
            <v>SMARTPHONE</v>
          </cell>
          <cell r="G20">
            <v>24</v>
          </cell>
          <cell r="H20">
            <v>93.3884297520661</v>
          </cell>
        </row>
        <row r="20">
          <cell r="J20">
            <v>0</v>
          </cell>
          <cell r="K20">
            <v>1.65289256198347</v>
          </cell>
        </row>
        <row r="20">
          <cell r="M20">
            <v>0</v>
          </cell>
          <cell r="N20">
            <v>1.65289256198347</v>
          </cell>
          <cell r="O20">
            <v>0</v>
          </cell>
          <cell r="P20">
            <v>1.65289256198347</v>
          </cell>
        </row>
        <row r="20">
          <cell r="R20">
            <v>21</v>
          </cell>
        </row>
        <row r="20">
          <cell r="T20">
            <v>74</v>
          </cell>
          <cell r="U20">
            <v>39.6694214876033</v>
          </cell>
        </row>
        <row r="20">
          <cell r="W20">
            <v>74</v>
          </cell>
          <cell r="X20">
            <v>39.6694214876033</v>
          </cell>
          <cell r="Y20">
            <v>74</v>
          </cell>
          <cell r="Z20">
            <v>39.6694214876033</v>
          </cell>
        </row>
        <row r="21">
          <cell r="B21" t="str">
            <v>TCL</v>
          </cell>
          <cell r="C21" t="str">
            <v>TCL 50 5G</v>
          </cell>
          <cell r="D21">
            <v>134.710743801653</v>
          </cell>
          <cell r="E21">
            <v>3.25</v>
          </cell>
          <cell r="F21" t="str">
            <v>SMARTPHONE</v>
          </cell>
          <cell r="G21">
            <v>24</v>
          </cell>
          <cell r="H21">
            <v>134.710743801653</v>
          </cell>
        </row>
        <row r="21">
          <cell r="J21">
            <v>0</v>
          </cell>
          <cell r="K21">
            <v>2.47933884297521</v>
          </cell>
        </row>
        <row r="21">
          <cell r="M21">
            <v>0</v>
          </cell>
          <cell r="N21">
            <v>2.47933884297521</v>
          </cell>
          <cell r="O21">
            <v>0</v>
          </cell>
          <cell r="P21">
            <v>2.47933884297521</v>
          </cell>
        </row>
        <row r="21">
          <cell r="R21">
            <v>0</v>
          </cell>
        </row>
        <row r="21">
          <cell r="T21">
            <v>75</v>
          </cell>
          <cell r="U21">
            <v>59.504132231405</v>
          </cell>
        </row>
        <row r="21">
          <cell r="W21">
            <v>75</v>
          </cell>
          <cell r="X21">
            <v>59.504132231405</v>
          </cell>
          <cell r="Y21">
            <v>75</v>
          </cell>
          <cell r="Z21">
            <v>59.504132231405</v>
          </cell>
        </row>
        <row r="22">
          <cell r="B22" t="str">
            <v>TCL</v>
          </cell>
          <cell r="C22" t="str">
            <v>TCL ONETOUCH 4042s</v>
          </cell>
          <cell r="D22">
            <v>47.1074380165289</v>
          </cell>
          <cell r="E22">
            <v>1.1</v>
          </cell>
          <cell r="F22" t="str">
            <v>VOZ</v>
          </cell>
          <cell r="G22">
            <v>24</v>
          </cell>
          <cell r="H22">
            <v>47.1074380165289</v>
          </cell>
        </row>
        <row r="22">
          <cell r="J22">
            <v>0</v>
          </cell>
          <cell r="K22">
            <v>0</v>
          </cell>
        </row>
        <row r="22">
          <cell r="M22">
            <v>0</v>
          </cell>
          <cell r="N22">
            <v>0</v>
          </cell>
          <cell r="O22">
            <v>0</v>
          </cell>
          <cell r="P22">
            <v>0</v>
          </cell>
        </row>
        <row r="22">
          <cell r="R22">
            <v>0</v>
          </cell>
        </row>
        <row r="22">
          <cell r="T22">
            <v>47</v>
          </cell>
          <cell r="U22">
            <v>0</v>
          </cell>
        </row>
        <row r="22">
          <cell r="W22">
            <v>47</v>
          </cell>
          <cell r="X22">
            <v>0</v>
          </cell>
          <cell r="Y22">
            <v>47</v>
          </cell>
          <cell r="Z22">
            <v>0</v>
          </cell>
        </row>
        <row r="23">
          <cell r="B23" t="str">
            <v>TCL</v>
          </cell>
          <cell r="C23" t="str">
            <v>TCL ONETOUCH 4043</v>
          </cell>
          <cell r="D23">
            <v>59.504132231405</v>
          </cell>
          <cell r="E23">
            <v>1.1</v>
          </cell>
          <cell r="F23" t="str">
            <v>VOZ</v>
          </cell>
          <cell r="G23">
            <v>24</v>
          </cell>
          <cell r="H23">
            <v>59.504132231405</v>
          </cell>
        </row>
        <row r="23">
          <cell r="J23">
            <v>0</v>
          </cell>
          <cell r="K23">
            <v>0.413223140495868</v>
          </cell>
        </row>
        <row r="23">
          <cell r="M23">
            <v>0</v>
          </cell>
          <cell r="N23">
            <v>0.413223140495868</v>
          </cell>
          <cell r="O23">
            <v>0</v>
          </cell>
          <cell r="P23">
            <v>0.413223140495868</v>
          </cell>
        </row>
        <row r="23">
          <cell r="R23">
            <v>0</v>
          </cell>
        </row>
        <row r="23">
          <cell r="T23">
            <v>50</v>
          </cell>
          <cell r="U23">
            <v>9.91735537190083</v>
          </cell>
        </row>
        <row r="23">
          <cell r="W23">
            <v>50</v>
          </cell>
          <cell r="X23">
            <v>9.91735537190083</v>
          </cell>
          <cell r="Y23">
            <v>50</v>
          </cell>
          <cell r="Z23">
            <v>9.91735537190083</v>
          </cell>
        </row>
        <row r="24">
          <cell r="B24" t="str">
            <v>XIAOMI</v>
          </cell>
          <cell r="C24" t="str">
            <v>XIAOMI 14C 128GB</v>
          </cell>
          <cell r="D24">
            <v>88.4297520661157</v>
          </cell>
          <cell r="E24">
            <v>3.25</v>
          </cell>
          <cell r="F24" t="str">
            <v>SMARTPHONE</v>
          </cell>
          <cell r="G24">
            <v>24</v>
          </cell>
          <cell r="H24">
            <v>88.4297520661157</v>
          </cell>
        </row>
        <row r="24">
          <cell r="J24">
            <v>0</v>
          </cell>
          <cell r="K24">
            <v>1.2396694214876</v>
          </cell>
        </row>
        <row r="24">
          <cell r="M24">
            <v>0</v>
          </cell>
          <cell r="N24">
            <v>1.2396694214876</v>
          </cell>
          <cell r="O24">
            <v>0</v>
          </cell>
          <cell r="P24">
            <v>1.2396694214876</v>
          </cell>
        </row>
        <row r="24">
          <cell r="R24">
            <v>0</v>
          </cell>
        </row>
        <row r="24">
          <cell r="T24">
            <v>59</v>
          </cell>
          <cell r="U24">
            <v>29.7520661157025</v>
          </cell>
        </row>
        <row r="24">
          <cell r="W24">
            <v>59</v>
          </cell>
          <cell r="X24">
            <v>29.7520661157025</v>
          </cell>
          <cell r="Y24">
            <v>59</v>
          </cell>
          <cell r="Z24">
            <v>29.7520661157025</v>
          </cell>
        </row>
        <row r="25">
          <cell r="B25" t="str">
            <v>XIAOMI</v>
          </cell>
          <cell r="C25" t="str">
            <v>XIAOMI REDMI 13C 256GB 5G</v>
          </cell>
          <cell r="D25">
            <v>154.545454545455</v>
          </cell>
          <cell r="E25">
            <v>3.25</v>
          </cell>
          <cell r="F25" t="str">
            <v>SMARTPHONE</v>
          </cell>
          <cell r="G25">
            <v>24</v>
          </cell>
          <cell r="H25">
            <v>154.545454545455</v>
          </cell>
        </row>
        <row r="25">
          <cell r="J25">
            <v>0</v>
          </cell>
          <cell r="K25">
            <v>2.47933884297521</v>
          </cell>
        </row>
        <row r="25">
          <cell r="M25">
            <v>0</v>
          </cell>
          <cell r="N25">
            <v>2.47933884297521</v>
          </cell>
          <cell r="O25">
            <v>0</v>
          </cell>
          <cell r="P25">
            <v>2.47933884297521</v>
          </cell>
        </row>
        <row r="25">
          <cell r="R25">
            <v>0</v>
          </cell>
        </row>
        <row r="25">
          <cell r="T25">
            <v>95</v>
          </cell>
          <cell r="U25">
            <v>59.504132231405</v>
          </cell>
        </row>
        <row r="25">
          <cell r="W25">
            <v>95</v>
          </cell>
          <cell r="X25">
            <v>59.504132231405</v>
          </cell>
          <cell r="Y25">
            <v>95</v>
          </cell>
          <cell r="Z25">
            <v>59.504132231405</v>
          </cell>
        </row>
        <row r="26">
          <cell r="B26" t="str">
            <v>XIAOMI</v>
          </cell>
          <cell r="C26" t="str">
            <v>XIAOMI REDMI 13C 5G</v>
          </cell>
          <cell r="D26">
            <v>128.925619834711</v>
          </cell>
          <cell r="E26">
            <v>3.25</v>
          </cell>
          <cell r="F26" t="str">
            <v>SMARTPHONE</v>
          </cell>
          <cell r="G26">
            <v>24</v>
          </cell>
          <cell r="H26">
            <v>98.3471074380165</v>
          </cell>
        </row>
        <row r="26">
          <cell r="J26">
            <v>0</v>
          </cell>
          <cell r="K26">
            <v>1.65289256198347</v>
          </cell>
        </row>
        <row r="26">
          <cell r="M26">
            <v>0</v>
          </cell>
          <cell r="N26">
            <v>1.65289256198347</v>
          </cell>
          <cell r="O26">
            <v>0</v>
          </cell>
          <cell r="P26">
            <v>1.65289256198347</v>
          </cell>
        </row>
        <row r="26">
          <cell r="R26">
            <v>31</v>
          </cell>
        </row>
        <row r="26">
          <cell r="T26">
            <v>89</v>
          </cell>
          <cell r="U26">
            <v>39.6694214876033</v>
          </cell>
        </row>
        <row r="26">
          <cell r="W26">
            <v>89</v>
          </cell>
          <cell r="X26">
            <v>39.6694214876033</v>
          </cell>
          <cell r="Y26">
            <v>89</v>
          </cell>
          <cell r="Z26">
            <v>39.6694214876033</v>
          </cell>
        </row>
        <row r="27">
          <cell r="B27" t="str">
            <v>XIAOMI</v>
          </cell>
          <cell r="C27" t="str">
            <v>XIAOMI REDMI WATCH 5 LITE</v>
          </cell>
          <cell r="D27">
            <v>58.6776859504132</v>
          </cell>
          <cell r="E27">
            <v>2.5</v>
          </cell>
          <cell r="F27" t="str">
            <v>OC_SMART WATCH</v>
          </cell>
          <cell r="G27">
            <v>24</v>
          </cell>
          <cell r="H27">
            <v>58.6776859504132</v>
          </cell>
        </row>
        <row r="27">
          <cell r="J27">
            <v>0</v>
          </cell>
          <cell r="K27">
            <v>0</v>
          </cell>
        </row>
        <row r="27">
          <cell r="M27">
            <v>0</v>
          </cell>
          <cell r="N27">
            <v>0</v>
          </cell>
          <cell r="O27">
            <v>0</v>
          </cell>
          <cell r="P27">
            <v>0</v>
          </cell>
        </row>
        <row r="27">
          <cell r="R27">
            <v>0</v>
          </cell>
        </row>
        <row r="27">
          <cell r="T27">
            <v>59</v>
          </cell>
          <cell r="U27">
            <v>0</v>
          </cell>
        </row>
        <row r="27">
          <cell r="W27">
            <v>59</v>
          </cell>
          <cell r="X27">
            <v>0</v>
          </cell>
          <cell r="Y27">
            <v>59</v>
          </cell>
          <cell r="Z27">
            <v>0</v>
          </cell>
        </row>
        <row r="28">
          <cell r="B28" t="str">
            <v>ZTE</v>
          </cell>
          <cell r="C28" t="str">
            <v>ZTE A75 128GB 5G</v>
          </cell>
          <cell r="D28">
            <v>96.6942148760331</v>
          </cell>
          <cell r="E28">
            <v>3.25</v>
          </cell>
          <cell r="F28" t="str">
            <v>SMARTPHONE</v>
          </cell>
          <cell r="G28">
            <v>24</v>
          </cell>
          <cell r="H28">
            <v>96.6942148760331</v>
          </cell>
        </row>
        <row r="28">
          <cell r="J28">
            <v>0</v>
          </cell>
          <cell r="K28">
            <v>1.65289256198347</v>
          </cell>
        </row>
        <row r="28">
          <cell r="M28">
            <v>0</v>
          </cell>
          <cell r="N28">
            <v>1.65289256198347</v>
          </cell>
          <cell r="O28">
            <v>0</v>
          </cell>
          <cell r="P28">
            <v>1.65289256198347</v>
          </cell>
        </row>
        <row r="28">
          <cell r="R28">
            <v>0</v>
          </cell>
        </row>
        <row r="28">
          <cell r="T28">
            <v>57</v>
          </cell>
          <cell r="U28">
            <v>39.6694214876033</v>
          </cell>
        </row>
        <row r="28">
          <cell r="W28">
            <v>57</v>
          </cell>
          <cell r="X28">
            <v>39.6694214876033</v>
          </cell>
          <cell r="Y28">
            <v>57</v>
          </cell>
          <cell r="Z28">
            <v>39.6694214876033</v>
          </cell>
        </row>
      </sheetData>
      <sheetData sheetId="4"/>
      <sheetData sheetId="5"/>
      <sheetData sheetId="6"/>
      <sheetData sheetId="7"/>
      <sheetData sheetId="8"/>
      <sheetData sheetId="9"/>
      <sheetData sheetId="10"/>
    </sheetDataSet>
  </externalBook>
</externalLink>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2.xml"/><Relationship Id="rId3"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3.xml"/><Relationship Id="rId3" Type="http://schemas.openxmlformats.org/officeDocument/2006/relationships/vmlDrawing" Target="../drawings/vmlDrawing2.v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9.xml.rels><?xml version="1.0" encoding="UTF-8"?>
<Relationships xmlns="http://schemas.openxmlformats.org/package/2006/relationships"><Relationship Id="rId1" Type="http://schemas.openxmlformats.org/officeDocument/2006/relationships/drawing" Target="../drawings/drawing6.xml"/>
</Relationships>
</file>

<file path=xl/worksheets/_rels/sheet10.xml.rels><?xml version="1.0" encoding="UTF-8"?>
<Relationships xmlns="http://schemas.openxmlformats.org/package/2006/relationships"><Relationship Id="rId1" Type="http://schemas.openxmlformats.org/officeDocument/2006/relationships/drawing" Target="../drawings/drawing7.xml"/>
</Relationships>
</file>

<file path=xl/worksheets/_rels/sheet11.xml.rels><?xml version="1.0" encoding="UTF-8"?>
<Relationships xmlns="http://schemas.openxmlformats.org/package/2006/relationships"><Relationship Id="rId1" Type="http://schemas.openxmlformats.org/officeDocument/2006/relationships/drawing" Target="../drawings/drawing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F6600"/>
    <pageSetUpPr fitToPage="true"/>
  </sheetPr>
  <dimension ref="A1:EH255"/>
  <sheetViews>
    <sheetView showFormulas="false" showGridLines="false" showRowColHeaders="true" showZeros="true" rightToLeft="false" tabSelected="false" showOutlineSymbols="true" defaultGridColor="true" view="normal" topLeftCell="A22" colorId="64" zoomScale="66" zoomScaleNormal="66" zoomScalePageLayoutView="100" workbookViewId="0">
      <selection pane="topLeft" activeCell="AZ40" activeCellId="0" sqref="AZ40"/>
    </sheetView>
  </sheetViews>
  <sheetFormatPr defaultColWidth="11.43359375" defaultRowHeight="12.75" zeroHeight="false" outlineLevelRow="0" outlineLevelCol="0"/>
  <cols>
    <col collapsed="false" customWidth="true" hidden="false" outlineLevel="0" max="1" min="1" style="1" width="1.58"/>
    <col collapsed="false" customWidth="true" hidden="false" outlineLevel="0" max="2" min="2" style="2" width="13.14"/>
    <col collapsed="false" customWidth="true" hidden="false" outlineLevel="0" max="3" min="3" style="2" width="52.14"/>
    <col collapsed="false" customWidth="true" hidden="false" outlineLevel="0" max="4" min="4" style="2" width="9.14"/>
    <col collapsed="false" customWidth="true" hidden="false" outlineLevel="0" max="5" min="5" style="2" width="9"/>
    <col collapsed="false" customWidth="true" hidden="false" outlineLevel="0" max="6" min="6" style="2" width="9.14"/>
    <col collapsed="false" customWidth="true" hidden="false" outlineLevel="0" max="7" min="7" style="2" width="8.57"/>
    <col collapsed="false" customWidth="true" hidden="false" outlineLevel="0" max="8" min="8" style="2" width="11.14"/>
    <col collapsed="false" customWidth="true" hidden="false" outlineLevel="0" max="9" min="9" style="1" width="1"/>
    <col collapsed="false" customWidth="true" hidden="false" outlineLevel="0" max="10" min="10" style="2" width="13.86"/>
    <col collapsed="false" customWidth="true" hidden="false" outlineLevel="0" max="11" min="11" style="2" width="8.42"/>
    <col collapsed="false" customWidth="true" hidden="false" outlineLevel="0" max="12" min="12" style="1" width="1"/>
    <col collapsed="false" customWidth="true" hidden="false" outlineLevel="0" max="20" min="13" style="2" width="10.14"/>
    <col collapsed="false" customWidth="true" hidden="false" outlineLevel="0" max="21" min="21" style="1" width="1.42"/>
    <col collapsed="false" customWidth="true" hidden="false" outlineLevel="0" max="25" min="22" style="2" width="11.86"/>
    <col collapsed="false" customWidth="true" hidden="false" outlineLevel="0" max="29" min="26" style="2" width="10.14"/>
    <col collapsed="false" customWidth="true" hidden="false" outlineLevel="0" max="30" min="30" style="1" width="2.14"/>
    <col collapsed="false" customWidth="true" hidden="false" outlineLevel="0" max="34" min="31" style="2" width="10.99"/>
    <col collapsed="false" customWidth="true" hidden="false" outlineLevel="0" max="35" min="35" style="1" width="1.85"/>
    <col collapsed="false" customWidth="true" hidden="false" outlineLevel="0" max="41" min="36" style="2" width="10.99"/>
    <col collapsed="false" customWidth="true" hidden="false" outlineLevel="0" max="42" min="42" style="1" width="4.86"/>
    <col collapsed="false" customWidth="true" hidden="false" outlineLevel="0" max="43" min="43" style="2" width="8.86"/>
    <col collapsed="false" customWidth="true" hidden="false" outlineLevel="0" max="44" min="44" style="1" width="2.42"/>
    <col collapsed="false" customWidth="true" hidden="false" outlineLevel="0" max="45" min="45" style="2" width="9.58"/>
    <col collapsed="false" customWidth="true" hidden="false" outlineLevel="0" max="46" min="46" style="2" width="9.42"/>
    <col collapsed="false" customWidth="true" hidden="false" outlineLevel="0" max="47" min="47" style="1" width="1.58"/>
    <col collapsed="false" customWidth="true" hidden="false" outlineLevel="0" max="48" min="48" style="2" width="10.58"/>
    <col collapsed="false" customWidth="true" hidden="false" outlineLevel="0" max="49" min="49" style="2" width="9"/>
    <col collapsed="false" customWidth="true" hidden="false" outlineLevel="0" max="50" min="50" style="2" width="9.58"/>
    <col collapsed="false" customWidth="true" hidden="false" outlineLevel="0" max="51" min="51" style="2" width="9"/>
    <col collapsed="false" customWidth="true" hidden="false" outlineLevel="0" max="52" min="52" style="2" width="8.86"/>
    <col collapsed="false" customWidth="true" hidden="false" outlineLevel="0" max="53" min="53" style="2" width="8.42"/>
    <col collapsed="false" customWidth="true" hidden="false" outlineLevel="0" max="54" min="54" style="2" width="8.86"/>
    <col collapsed="false" customWidth="true" hidden="false" outlineLevel="0" max="55" min="55" style="2" width="8.42"/>
    <col collapsed="false" customWidth="true" hidden="false" outlineLevel="0" max="56" min="56" style="1" width="1.85"/>
    <col collapsed="false" customWidth="true" hidden="false" outlineLevel="0" max="64" min="57" style="2" width="9"/>
    <col collapsed="false" customWidth="false" hidden="false" outlineLevel="0" max="65" min="65" style="1" width="11.42"/>
    <col collapsed="false" customWidth="false" hidden="false" outlineLevel="0" max="66" min="66" style="2" width="11.42"/>
    <col collapsed="false" customWidth="true" hidden="false" outlineLevel="0" max="67" min="67" style="2" width="1"/>
    <col collapsed="false" customWidth="false" hidden="false" outlineLevel="0" max="69" min="68" style="2" width="11.42"/>
    <col collapsed="false" customWidth="true" hidden="false" outlineLevel="0" max="70" min="70" style="2" width="1"/>
    <col collapsed="false" customWidth="false" hidden="false" outlineLevel="0" max="78" min="71" style="2" width="11.42"/>
    <col collapsed="false" customWidth="true" hidden="false" outlineLevel="0" max="79" min="79" style="2" width="1.42"/>
    <col collapsed="false" customWidth="false" hidden="false" outlineLevel="0" max="87" min="80" style="2" width="11.42"/>
    <col collapsed="false" customWidth="false" hidden="false" outlineLevel="0" max="89" min="88" style="1" width="11.42"/>
    <col collapsed="false" customWidth="true" hidden="false" outlineLevel="0" max="90" min="90" style="1" width="1.14"/>
    <col collapsed="false" customWidth="true" hidden="false" outlineLevel="0" max="91" min="91" style="1" width="13.86"/>
    <col collapsed="false" customWidth="true" hidden="false" outlineLevel="0" max="92" min="92" style="1" width="1.42"/>
    <col collapsed="false" customWidth="true" hidden="false" outlineLevel="0" max="93" min="93" style="1" width="15.86"/>
    <col collapsed="false" customWidth="true" hidden="false" outlineLevel="0" max="94" min="94" style="1" width="16.57"/>
    <col collapsed="false" customWidth="true" hidden="false" outlineLevel="0" max="95" min="95" style="1" width="14.01"/>
    <col collapsed="false" customWidth="true" hidden="false" outlineLevel="0" max="96" min="96" style="1" width="14.15"/>
    <col collapsed="false" customWidth="true" hidden="false" outlineLevel="0" max="97" min="97" style="1" width="1.14"/>
    <col collapsed="false" customWidth="true" hidden="false" outlineLevel="0" max="101" min="98" style="1" width="20.86"/>
    <col collapsed="false" customWidth="false" hidden="false" outlineLevel="0" max="138" min="102" style="1" width="11.42"/>
    <col collapsed="false" customWidth="false" hidden="false" outlineLevel="0" max="1024" min="139" style="2" width="11.42"/>
  </cols>
  <sheetData>
    <row r="1" customFormat="false" ht="13.5" hidden="false" customHeight="true" outlineLevel="0" collapsed="false"/>
    <row r="2" customFormat="false" ht="23.25" hidden="false" customHeight="true" outlineLevel="0" collapsed="false">
      <c r="B2" s="3" t="s">
        <v>0</v>
      </c>
      <c r="C2" s="3"/>
      <c r="D2" s="3"/>
      <c r="E2" s="3"/>
      <c r="F2" s="3"/>
      <c r="G2" s="3"/>
      <c r="H2" s="4" t="s">
        <v>1</v>
      </c>
      <c r="J2" s="5" t="s">
        <v>2</v>
      </c>
      <c r="K2" s="5"/>
      <c r="L2" s="6"/>
      <c r="M2" s="7" t="s">
        <v>3</v>
      </c>
      <c r="N2" s="7"/>
      <c r="O2" s="7"/>
      <c r="P2" s="7"/>
      <c r="Q2" s="7"/>
      <c r="R2" s="7"/>
      <c r="S2" s="7"/>
      <c r="T2" s="7"/>
      <c r="U2" s="7"/>
      <c r="V2" s="7"/>
      <c r="W2" s="7"/>
      <c r="X2" s="7"/>
      <c r="Y2" s="7"/>
      <c r="Z2" s="7"/>
      <c r="AA2" s="7"/>
      <c r="AB2" s="7"/>
      <c r="AC2" s="7"/>
      <c r="AQ2" s="8"/>
      <c r="AS2" s="8"/>
      <c r="AT2" s="9"/>
      <c r="AU2" s="6"/>
      <c r="AV2" s="9"/>
      <c r="AW2" s="9"/>
      <c r="AX2" s="9"/>
      <c r="AY2" s="9"/>
      <c r="AZ2" s="9"/>
      <c r="BA2" s="9"/>
      <c r="BB2" s="9"/>
      <c r="BC2" s="9"/>
      <c r="BD2" s="10"/>
      <c r="BE2" s="9"/>
      <c r="BF2" s="9"/>
      <c r="BG2" s="9"/>
      <c r="BH2" s="9"/>
      <c r="BI2" s="9"/>
      <c r="BJ2" s="9"/>
    </row>
    <row r="3" customFormat="false" ht="3.75" hidden="false" customHeight="true" outlineLevel="0" collapsed="false">
      <c r="B3" s="11"/>
      <c r="H3" s="4"/>
      <c r="M3" s="12"/>
      <c r="U3" s="13"/>
      <c r="AA3" s="14"/>
      <c r="AB3" s="14"/>
      <c r="AC3" s="14"/>
      <c r="AQ3" s="8"/>
      <c r="AS3" s="15"/>
      <c r="AT3" s="15"/>
      <c r="AV3" s="15"/>
      <c r="AW3" s="15"/>
      <c r="AX3" s="15"/>
      <c r="AY3" s="15"/>
      <c r="AZ3" s="15"/>
      <c r="BA3" s="15"/>
      <c r="BB3" s="15"/>
      <c r="BC3" s="15"/>
      <c r="BE3" s="15"/>
      <c r="BF3" s="15"/>
      <c r="BG3" s="15"/>
      <c r="BH3" s="15"/>
      <c r="BI3" s="15"/>
      <c r="BJ3" s="16"/>
    </row>
    <row r="4" s="28" customFormat="true" ht="30" hidden="false" customHeight="true" outlineLevel="0" collapsed="false">
      <c r="A4" s="17"/>
      <c r="B4" s="18" t="n">
        <f aca="false">'PVP VaP Auton-McrPyme'!B4</f>
        <v>45748</v>
      </c>
      <c r="C4" s="19" t="str">
        <f aca="false">'PVP VaP Auton-McrPyme'!C4</f>
        <v>1/04 al 4/05</v>
      </c>
      <c r="D4" s="20"/>
      <c r="E4" s="20"/>
      <c r="F4" s="20"/>
      <c r="G4" s="20"/>
      <c r="H4" s="4"/>
      <c r="I4" s="21"/>
      <c r="J4" s="22" t="s">
        <v>4</v>
      </c>
      <c r="K4" s="22"/>
      <c r="L4" s="21"/>
      <c r="M4" s="23" t="s">
        <v>4</v>
      </c>
      <c r="N4" s="23"/>
      <c r="O4" s="24" t="s">
        <v>5</v>
      </c>
      <c r="P4" s="24"/>
      <c r="Q4" s="24" t="s">
        <v>6</v>
      </c>
      <c r="R4" s="24"/>
      <c r="S4" s="25" t="s">
        <v>7</v>
      </c>
      <c r="T4" s="25"/>
      <c r="U4" s="26"/>
      <c r="V4" s="23" t="s">
        <v>4</v>
      </c>
      <c r="W4" s="23"/>
      <c r="X4" s="24" t="s">
        <v>8</v>
      </c>
      <c r="Y4" s="24"/>
      <c r="Z4" s="24" t="s">
        <v>6</v>
      </c>
      <c r="AA4" s="24"/>
      <c r="AB4" s="27" t="s">
        <v>7</v>
      </c>
      <c r="AC4" s="27"/>
      <c r="AD4" s="17"/>
      <c r="AI4" s="17"/>
      <c r="AP4" s="17"/>
      <c r="AQ4" s="8"/>
      <c r="AR4" s="21"/>
      <c r="AS4" s="29"/>
      <c r="AT4" s="29"/>
      <c r="AU4" s="21"/>
      <c r="AV4" s="29"/>
      <c r="AW4" s="29"/>
      <c r="AX4" s="29"/>
      <c r="AY4" s="29"/>
      <c r="AZ4" s="29"/>
      <c r="BA4" s="29"/>
      <c r="BB4" s="29"/>
      <c r="BC4" s="29"/>
      <c r="BD4" s="30"/>
      <c r="BE4" s="31"/>
      <c r="BF4" s="31"/>
      <c r="BG4" s="29"/>
      <c r="BH4" s="29"/>
      <c r="BI4" s="29"/>
      <c r="BJ4" s="29"/>
      <c r="BM4" s="17"/>
      <c r="CJ4" s="17"/>
      <c r="CK4" s="17"/>
      <c r="CL4" s="17"/>
      <c r="CM4" s="17"/>
      <c r="CN4" s="17"/>
      <c r="CO4" s="17"/>
      <c r="CP4" s="17"/>
      <c r="CQ4" s="17"/>
      <c r="CR4" s="17"/>
      <c r="CS4" s="17"/>
      <c r="CT4" s="17"/>
      <c r="CU4" s="17"/>
      <c r="CV4" s="17"/>
      <c r="CW4" s="17"/>
      <c r="CX4" s="17"/>
      <c r="CY4" s="17"/>
      <c r="CZ4" s="17"/>
      <c r="DA4" s="17"/>
      <c r="DB4" s="17"/>
      <c r="DC4" s="17"/>
      <c r="DD4" s="17"/>
      <c r="DE4" s="17"/>
      <c r="DF4" s="17"/>
      <c r="DG4" s="17"/>
      <c r="DH4" s="17"/>
      <c r="DI4" s="17"/>
      <c r="DJ4" s="17"/>
      <c r="DK4" s="17"/>
      <c r="DL4" s="17"/>
      <c r="DM4" s="17"/>
      <c r="DN4" s="17"/>
      <c r="DO4" s="17"/>
      <c r="DP4" s="17"/>
      <c r="DQ4" s="17"/>
      <c r="DR4" s="17"/>
      <c r="DS4" s="17"/>
      <c r="DT4" s="17"/>
      <c r="DU4" s="17"/>
      <c r="DV4" s="17"/>
      <c r="DW4" s="17"/>
      <c r="DX4" s="17"/>
      <c r="DY4" s="17"/>
      <c r="DZ4" s="17"/>
      <c r="EA4" s="17"/>
      <c r="EB4" s="17"/>
      <c r="EC4" s="17"/>
      <c r="ED4" s="17"/>
      <c r="EE4" s="17"/>
      <c r="EF4" s="17"/>
      <c r="EG4" s="17"/>
      <c r="EH4" s="17"/>
    </row>
    <row r="5" customFormat="false" ht="15.75" hidden="false" customHeight="true" outlineLevel="0" collapsed="false">
      <c r="B5" s="32" t="s">
        <v>9</v>
      </c>
      <c r="C5" s="32"/>
      <c r="D5" s="33" t="s">
        <v>10</v>
      </c>
      <c r="E5" s="33"/>
      <c r="F5" s="33"/>
      <c r="G5" s="33"/>
      <c r="H5" s="34" t="s">
        <v>11</v>
      </c>
      <c r="I5" s="35"/>
      <c r="J5" s="36" t="s">
        <v>12</v>
      </c>
      <c r="K5" s="36"/>
      <c r="L5" s="37"/>
      <c r="M5" s="38" t="s">
        <v>13</v>
      </c>
      <c r="N5" s="38"/>
      <c r="O5" s="39" t="s">
        <v>14</v>
      </c>
      <c r="P5" s="39"/>
      <c r="Q5" s="40" t="s">
        <v>15</v>
      </c>
      <c r="R5" s="40"/>
      <c r="S5" s="41" t="s">
        <v>16</v>
      </c>
      <c r="T5" s="41"/>
      <c r="U5" s="42"/>
      <c r="V5" s="43" t="s">
        <v>17</v>
      </c>
      <c r="W5" s="43"/>
      <c r="X5" s="40" t="s">
        <v>18</v>
      </c>
      <c r="Y5" s="40"/>
      <c r="Z5" s="40" t="s">
        <v>19</v>
      </c>
      <c r="AA5" s="40"/>
      <c r="AB5" s="44" t="s">
        <v>20</v>
      </c>
      <c r="AC5" s="44"/>
      <c r="AQ5" s="45"/>
      <c r="AR5" s="35"/>
      <c r="AS5" s="28"/>
      <c r="AT5" s="28"/>
      <c r="AU5" s="37"/>
      <c r="AV5" s="28"/>
      <c r="AW5" s="28"/>
      <c r="AX5" s="28"/>
      <c r="AY5" s="28"/>
      <c r="AZ5" s="45"/>
      <c r="BA5" s="45"/>
      <c r="BB5" s="45"/>
      <c r="BC5" s="45"/>
      <c r="BD5" s="37"/>
      <c r="BE5" s="28"/>
      <c r="BF5" s="28"/>
      <c r="BG5" s="28"/>
      <c r="BH5" s="28"/>
      <c r="BI5" s="28"/>
      <c r="BJ5" s="28"/>
    </row>
    <row r="6" customFormat="false" ht="15.75" hidden="false" customHeight="true" outlineLevel="0" collapsed="false">
      <c r="B6" s="32"/>
      <c r="C6" s="32"/>
      <c r="D6" s="33"/>
      <c r="E6" s="33"/>
      <c r="F6" s="33"/>
      <c r="G6" s="33"/>
      <c r="H6" s="34"/>
      <c r="I6" s="37"/>
      <c r="J6" s="36"/>
      <c r="K6" s="36"/>
      <c r="L6" s="37"/>
      <c r="M6" s="46"/>
      <c r="N6" s="28"/>
      <c r="O6" s="39"/>
      <c r="P6" s="39"/>
      <c r="Q6" s="40"/>
      <c r="R6" s="40"/>
      <c r="S6" s="41"/>
      <c r="T6" s="41"/>
      <c r="U6" s="42"/>
      <c r="V6" s="46"/>
      <c r="W6" s="47"/>
      <c r="X6" s="40"/>
      <c r="Y6" s="40"/>
      <c r="Z6" s="40"/>
      <c r="AA6" s="40"/>
      <c r="AB6" s="44"/>
      <c r="AC6" s="44"/>
      <c r="AQ6" s="28"/>
      <c r="AR6" s="37"/>
      <c r="AS6" s="28"/>
      <c r="AT6" s="28"/>
      <c r="AU6" s="37"/>
      <c r="AV6" s="28"/>
      <c r="AW6" s="28"/>
      <c r="AX6" s="28"/>
      <c r="AY6" s="28"/>
      <c r="AZ6" s="45"/>
      <c r="BA6" s="45"/>
      <c r="BB6" s="45"/>
      <c r="BC6" s="45"/>
      <c r="BD6" s="37"/>
      <c r="BE6" s="28"/>
      <c r="BF6" s="28"/>
      <c r="BG6" s="28"/>
      <c r="BH6" s="28"/>
      <c r="BI6" s="28"/>
      <c r="BJ6" s="28"/>
    </row>
    <row r="7" customFormat="false" ht="15.75" hidden="false" customHeight="true" outlineLevel="0" collapsed="false">
      <c r="B7" s="32"/>
      <c r="C7" s="32"/>
      <c r="D7" s="33"/>
      <c r="E7" s="33"/>
      <c r="F7" s="33"/>
      <c r="G7" s="33"/>
      <c r="H7" s="34"/>
      <c r="I7" s="37"/>
      <c r="J7" s="36"/>
      <c r="K7" s="36"/>
      <c r="L7" s="37"/>
      <c r="M7" s="48" t="s">
        <v>21</v>
      </c>
      <c r="N7" s="28"/>
      <c r="O7" s="39"/>
      <c r="P7" s="39"/>
      <c r="Q7" s="40"/>
      <c r="R7" s="40"/>
      <c r="S7" s="41"/>
      <c r="T7" s="41"/>
      <c r="U7" s="42"/>
      <c r="V7" s="49" t="s">
        <v>22</v>
      </c>
      <c r="W7" s="49"/>
      <c r="X7" s="40"/>
      <c r="Y7" s="40"/>
      <c r="Z7" s="40"/>
      <c r="AA7" s="40"/>
      <c r="AB7" s="44"/>
      <c r="AC7" s="44"/>
      <c r="AQ7" s="50"/>
      <c r="AR7" s="37"/>
      <c r="AS7" s="28"/>
      <c r="AT7" s="28"/>
      <c r="AU7" s="37"/>
      <c r="AV7" s="28"/>
      <c r="AW7" s="28"/>
      <c r="AX7" s="28"/>
      <c r="AY7" s="28"/>
      <c r="AZ7" s="45"/>
      <c r="BA7" s="45"/>
      <c r="BB7" s="45"/>
      <c r="BC7" s="45"/>
      <c r="BD7" s="37"/>
      <c r="BE7" s="28"/>
      <c r="BF7" s="28"/>
      <c r="BG7" s="28"/>
      <c r="BH7" s="28"/>
      <c r="BI7" s="28"/>
      <c r="BJ7" s="28"/>
    </row>
    <row r="8" customFormat="false" ht="15.75" hidden="false" customHeight="true" outlineLevel="0" collapsed="false">
      <c r="B8" s="32"/>
      <c r="C8" s="32"/>
      <c r="D8" s="33"/>
      <c r="E8" s="33"/>
      <c r="F8" s="33"/>
      <c r="G8" s="33"/>
      <c r="H8" s="34"/>
      <c r="I8" s="37"/>
      <c r="J8" s="36"/>
      <c r="K8" s="36"/>
      <c r="L8" s="37"/>
      <c r="M8" s="48" t="s">
        <v>23</v>
      </c>
      <c r="N8" s="28"/>
      <c r="O8" s="39"/>
      <c r="P8" s="39"/>
      <c r="Q8" s="40"/>
      <c r="R8" s="40"/>
      <c r="S8" s="41"/>
      <c r="T8" s="41"/>
      <c r="U8" s="42"/>
      <c r="V8" s="49"/>
      <c r="W8" s="49"/>
      <c r="X8" s="40"/>
      <c r="Y8" s="40"/>
      <c r="Z8" s="40"/>
      <c r="AA8" s="40"/>
      <c r="AB8" s="44"/>
      <c r="AC8" s="44"/>
      <c r="AQ8" s="50"/>
      <c r="AR8" s="37"/>
      <c r="AS8" s="28"/>
      <c r="AT8" s="28"/>
      <c r="AU8" s="37"/>
      <c r="AV8" s="28"/>
      <c r="AW8" s="28"/>
      <c r="AX8" s="28"/>
      <c r="AY8" s="28"/>
      <c r="AZ8" s="45"/>
      <c r="BA8" s="45"/>
      <c r="BB8" s="45"/>
      <c r="BC8" s="45"/>
      <c r="BD8" s="37"/>
      <c r="BE8" s="28"/>
      <c r="BF8" s="28"/>
      <c r="BG8" s="28"/>
      <c r="BH8" s="28"/>
      <c r="BI8" s="28"/>
      <c r="BJ8" s="28"/>
    </row>
    <row r="9" customFormat="false" ht="15.75" hidden="false" customHeight="true" outlineLevel="0" collapsed="false">
      <c r="B9" s="32"/>
      <c r="C9" s="32"/>
      <c r="D9" s="33"/>
      <c r="E9" s="33"/>
      <c r="F9" s="33"/>
      <c r="G9" s="33"/>
      <c r="H9" s="34"/>
      <c r="I9" s="37"/>
      <c r="J9" s="36"/>
      <c r="K9" s="36"/>
      <c r="L9" s="37"/>
      <c r="M9" s="48" t="s">
        <v>24</v>
      </c>
      <c r="N9" s="28"/>
      <c r="O9" s="39"/>
      <c r="P9" s="39"/>
      <c r="Q9" s="40"/>
      <c r="R9" s="40"/>
      <c r="S9" s="41"/>
      <c r="T9" s="41"/>
      <c r="U9" s="42"/>
      <c r="V9" s="49"/>
      <c r="W9" s="49"/>
      <c r="X9" s="40"/>
      <c r="Y9" s="40"/>
      <c r="Z9" s="40"/>
      <c r="AA9" s="40"/>
      <c r="AB9" s="44"/>
      <c r="AC9" s="44"/>
      <c r="AQ9" s="50"/>
      <c r="AR9" s="37"/>
      <c r="AS9" s="28"/>
      <c r="AT9" s="28"/>
      <c r="AU9" s="37"/>
      <c r="AV9" s="28"/>
      <c r="AW9" s="28"/>
      <c r="AX9" s="28"/>
      <c r="AY9" s="28"/>
      <c r="AZ9" s="45"/>
      <c r="BA9" s="45"/>
      <c r="BB9" s="45"/>
      <c r="BC9" s="45"/>
      <c r="BD9" s="37"/>
      <c r="BE9" s="28"/>
      <c r="BF9" s="28"/>
      <c r="BG9" s="28"/>
      <c r="BH9" s="28"/>
      <c r="BI9" s="28"/>
      <c r="BJ9" s="28"/>
    </row>
    <row r="10" customFormat="false" ht="15.75" hidden="false" customHeight="true" outlineLevel="0" collapsed="false">
      <c r="B10" s="32"/>
      <c r="C10" s="32"/>
      <c r="D10" s="33"/>
      <c r="E10" s="33"/>
      <c r="F10" s="33"/>
      <c r="G10" s="33"/>
      <c r="H10" s="34"/>
      <c r="I10" s="37"/>
      <c r="J10" s="36"/>
      <c r="K10" s="36"/>
      <c r="L10" s="37"/>
      <c r="M10" s="48"/>
      <c r="N10" s="28"/>
      <c r="O10" s="39"/>
      <c r="P10" s="39"/>
      <c r="Q10" s="40"/>
      <c r="R10" s="40"/>
      <c r="S10" s="41"/>
      <c r="T10" s="41"/>
      <c r="U10" s="42"/>
      <c r="V10" s="49"/>
      <c r="W10" s="49"/>
      <c r="X10" s="40"/>
      <c r="Y10" s="40"/>
      <c r="Z10" s="40"/>
      <c r="AA10" s="40"/>
      <c r="AB10" s="44"/>
      <c r="AC10" s="44"/>
      <c r="AQ10" s="28"/>
      <c r="AR10" s="37"/>
      <c r="AS10" s="28"/>
      <c r="AT10" s="28"/>
      <c r="AU10" s="37"/>
      <c r="AV10" s="28"/>
      <c r="AW10" s="28"/>
      <c r="AX10" s="28"/>
      <c r="AY10" s="28"/>
      <c r="AZ10" s="45"/>
      <c r="BA10" s="45"/>
      <c r="BB10" s="45"/>
      <c r="BC10" s="45"/>
      <c r="BD10" s="37"/>
      <c r="BE10" s="28"/>
      <c r="BF10" s="28"/>
      <c r="BG10" s="28"/>
      <c r="BH10" s="28"/>
      <c r="BI10" s="28"/>
      <c r="BJ10" s="28"/>
    </row>
    <row r="11" customFormat="false" ht="15.75" hidden="false" customHeight="true" outlineLevel="0" collapsed="false">
      <c r="B11" s="32"/>
      <c r="C11" s="32"/>
      <c r="D11" s="33"/>
      <c r="E11" s="33"/>
      <c r="F11" s="33"/>
      <c r="G11" s="33"/>
      <c r="H11" s="34"/>
      <c r="I11" s="37"/>
      <c r="J11" s="36"/>
      <c r="K11" s="36"/>
      <c r="L11" s="37"/>
      <c r="M11" s="48"/>
      <c r="N11" s="28"/>
      <c r="O11" s="39"/>
      <c r="P11" s="39"/>
      <c r="Q11" s="40"/>
      <c r="R11" s="40"/>
      <c r="S11" s="41"/>
      <c r="T11" s="41"/>
      <c r="U11" s="42"/>
      <c r="V11" s="49"/>
      <c r="W11" s="49"/>
      <c r="X11" s="40"/>
      <c r="Y11" s="40"/>
      <c r="Z11" s="40"/>
      <c r="AA11" s="40"/>
      <c r="AB11" s="44"/>
      <c r="AC11" s="44"/>
      <c r="AQ11" s="28"/>
      <c r="AR11" s="37"/>
      <c r="AS11" s="28"/>
      <c r="AT11" s="28"/>
      <c r="AU11" s="37"/>
      <c r="AV11" s="28"/>
      <c r="AW11" s="28"/>
      <c r="AX11" s="28"/>
      <c r="AY11" s="28"/>
      <c r="AZ11" s="45"/>
      <c r="BA11" s="45"/>
      <c r="BB11" s="45"/>
      <c r="BC11" s="45"/>
      <c r="BD11" s="37"/>
      <c r="BE11" s="28"/>
      <c r="BF11" s="28"/>
      <c r="BG11" s="28"/>
      <c r="BH11" s="28"/>
      <c r="BI11" s="28"/>
      <c r="BJ11" s="28"/>
    </row>
    <row r="12" customFormat="false" ht="13.5" hidden="false" customHeight="true" outlineLevel="0" collapsed="false">
      <c r="B12" s="32"/>
      <c r="C12" s="32"/>
      <c r="D12" s="33"/>
      <c r="E12" s="33"/>
      <c r="F12" s="33"/>
      <c r="G12" s="33"/>
      <c r="H12" s="34"/>
      <c r="I12" s="37"/>
      <c r="J12" s="36"/>
      <c r="K12" s="36"/>
      <c r="L12" s="37"/>
      <c r="M12" s="51"/>
      <c r="N12" s="52"/>
      <c r="O12" s="39"/>
      <c r="P12" s="39"/>
      <c r="Q12" s="40"/>
      <c r="R12" s="40"/>
      <c r="S12" s="41"/>
      <c r="T12" s="41"/>
      <c r="U12" s="42"/>
      <c r="V12" s="49"/>
      <c r="W12" s="49"/>
      <c r="X12" s="40"/>
      <c r="Y12" s="40"/>
      <c r="Z12" s="40"/>
      <c r="AA12" s="40"/>
      <c r="AB12" s="44"/>
      <c r="AC12" s="44"/>
      <c r="AQ12" s="28"/>
      <c r="AR12" s="37"/>
      <c r="AS12" s="28"/>
      <c r="AT12" s="28"/>
      <c r="AU12" s="37"/>
      <c r="AV12" s="28"/>
      <c r="AW12" s="28"/>
      <c r="AX12" s="53"/>
      <c r="AY12" s="53"/>
      <c r="AZ12" s="45"/>
      <c r="BA12" s="45"/>
      <c r="BB12" s="45"/>
      <c r="BC12" s="45"/>
      <c r="BD12" s="37"/>
      <c r="BE12" s="28"/>
      <c r="BF12" s="28"/>
      <c r="BG12" s="28"/>
      <c r="BH12" s="28"/>
      <c r="BI12" s="28"/>
      <c r="BJ12" s="28"/>
    </row>
    <row r="13" customFormat="false" ht="37.5" hidden="false" customHeight="true" outlineLevel="0" collapsed="false">
      <c r="B13" s="32"/>
      <c r="C13" s="32"/>
      <c r="D13" s="54" t="s">
        <v>25</v>
      </c>
      <c r="E13" s="54"/>
      <c r="F13" s="54"/>
      <c r="G13" s="54"/>
      <c r="H13" s="55" t="s">
        <v>26</v>
      </c>
      <c r="I13" s="37"/>
      <c r="J13" s="56" t="s">
        <v>12</v>
      </c>
      <c r="K13" s="56"/>
      <c r="L13" s="37"/>
      <c r="M13" s="57" t="s">
        <v>12</v>
      </c>
      <c r="N13" s="57"/>
      <c r="O13" s="58" t="s">
        <v>12</v>
      </c>
      <c r="P13" s="58"/>
      <c r="Q13" s="59" t="s">
        <v>12</v>
      </c>
      <c r="R13" s="59"/>
      <c r="S13" s="60" t="s">
        <v>12</v>
      </c>
      <c r="T13" s="60"/>
      <c r="U13" s="42"/>
      <c r="V13" s="61" t="s">
        <v>27</v>
      </c>
      <c r="W13" s="61"/>
      <c r="X13" s="59" t="s">
        <v>28</v>
      </c>
      <c r="Y13" s="59"/>
      <c r="Z13" s="59" t="s">
        <v>29</v>
      </c>
      <c r="AA13" s="59"/>
      <c r="AB13" s="60" t="s">
        <v>30</v>
      </c>
      <c r="AC13" s="60"/>
      <c r="AQ13" s="28"/>
      <c r="AR13" s="37"/>
      <c r="AS13" s="28"/>
      <c r="AT13" s="28"/>
      <c r="AU13" s="37"/>
      <c r="AV13" s="28"/>
      <c r="AW13" s="28"/>
      <c r="AX13" s="53"/>
      <c r="AY13" s="53"/>
      <c r="AZ13" s="45"/>
      <c r="BA13" s="45"/>
      <c r="BB13" s="45"/>
      <c r="BC13" s="45"/>
      <c r="BD13" s="37"/>
      <c r="BE13" s="28"/>
      <c r="BF13" s="28"/>
      <c r="BG13" s="28"/>
      <c r="BH13" s="28"/>
      <c r="BI13" s="28"/>
      <c r="BJ13" s="28"/>
    </row>
    <row r="14" customFormat="false" ht="37.5" hidden="false" customHeight="true" outlineLevel="0" collapsed="false">
      <c r="B14" s="32"/>
      <c r="C14" s="32"/>
      <c r="D14" s="54"/>
      <c r="E14" s="54"/>
      <c r="F14" s="54"/>
      <c r="G14" s="54"/>
      <c r="H14" s="62" t="s">
        <v>31</v>
      </c>
      <c r="I14" s="37"/>
      <c r="J14" s="63" t="s">
        <v>12</v>
      </c>
      <c r="K14" s="63"/>
      <c r="L14" s="37"/>
      <c r="M14" s="64" t="s">
        <v>12</v>
      </c>
      <c r="N14" s="64"/>
      <c r="O14" s="65" t="s">
        <v>12</v>
      </c>
      <c r="P14" s="65"/>
      <c r="Q14" s="66" t="s">
        <v>12</v>
      </c>
      <c r="R14" s="66"/>
      <c r="S14" s="67" t="s">
        <v>12</v>
      </c>
      <c r="T14" s="67"/>
      <c r="U14" s="42"/>
      <c r="V14" s="68" t="s">
        <v>32</v>
      </c>
      <c r="W14" s="68"/>
      <c r="X14" s="66" t="s">
        <v>33</v>
      </c>
      <c r="Y14" s="66"/>
      <c r="Z14" s="69"/>
      <c r="AA14" s="70"/>
      <c r="AB14" s="69"/>
      <c r="AC14" s="71"/>
      <c r="AQ14" s="28"/>
      <c r="AR14" s="37"/>
      <c r="AS14" s="28"/>
      <c r="AT14" s="28"/>
      <c r="AU14" s="37"/>
      <c r="AV14" s="28"/>
      <c r="AW14" s="28"/>
      <c r="AX14" s="53"/>
      <c r="AY14" s="53"/>
      <c r="AZ14" s="45"/>
      <c r="BA14" s="45"/>
      <c r="BB14" s="45"/>
      <c r="BC14" s="45"/>
      <c r="BD14" s="37"/>
      <c r="BE14" s="28"/>
      <c r="BF14" s="28"/>
      <c r="BG14" s="28"/>
      <c r="BH14" s="28"/>
      <c r="BI14" s="28"/>
      <c r="BJ14" s="28"/>
    </row>
    <row r="15" customFormat="false" ht="30.75" hidden="false" customHeight="true" outlineLevel="0" collapsed="false">
      <c r="B15" s="32"/>
      <c r="C15" s="32"/>
      <c r="D15" s="72" t="s">
        <v>34</v>
      </c>
      <c r="E15" s="72"/>
      <c r="F15" s="72"/>
      <c r="G15" s="72"/>
      <c r="H15" s="73" t="s">
        <v>12</v>
      </c>
      <c r="I15" s="74"/>
      <c r="J15" s="75" t="s">
        <v>12</v>
      </c>
      <c r="K15" s="75"/>
      <c r="L15" s="37"/>
      <c r="M15" s="76" t="s">
        <v>35</v>
      </c>
      <c r="N15" s="76"/>
      <c r="O15" s="77" t="s">
        <v>36</v>
      </c>
      <c r="P15" s="77"/>
      <c r="Q15" s="78" t="s">
        <v>36</v>
      </c>
      <c r="R15" s="78"/>
      <c r="S15" s="78" t="s">
        <v>36</v>
      </c>
      <c r="T15" s="78"/>
      <c r="U15" s="42"/>
      <c r="V15" s="76" t="s">
        <v>35</v>
      </c>
      <c r="W15" s="76"/>
      <c r="X15" s="77" t="s">
        <v>36</v>
      </c>
      <c r="Y15" s="77"/>
      <c r="Z15" s="78" t="s">
        <v>36</v>
      </c>
      <c r="AA15" s="78"/>
      <c r="AB15" s="79" t="s">
        <v>36</v>
      </c>
      <c r="AC15" s="79"/>
      <c r="AQ15" s="80"/>
      <c r="AR15" s="35"/>
      <c r="AS15" s="28"/>
      <c r="AT15" s="28"/>
      <c r="AU15" s="37"/>
      <c r="AV15" s="28"/>
      <c r="AW15" s="28"/>
      <c r="AX15" s="45"/>
      <c r="AY15" s="45"/>
      <c r="AZ15" s="28"/>
      <c r="BA15" s="28"/>
      <c r="BB15" s="28"/>
      <c r="BC15" s="28"/>
      <c r="BD15" s="37"/>
      <c r="BE15" s="28"/>
      <c r="BF15" s="28"/>
      <c r="BG15" s="28"/>
      <c r="BH15" s="28"/>
      <c r="BI15" s="28"/>
      <c r="BJ15" s="28"/>
    </row>
    <row r="16" customFormat="false" ht="65.25" hidden="false" customHeight="true" outlineLevel="0" collapsed="false">
      <c r="B16" s="32"/>
      <c r="C16" s="32"/>
      <c r="D16" s="72" t="s">
        <v>37</v>
      </c>
      <c r="E16" s="72"/>
      <c r="F16" s="72"/>
      <c r="G16" s="72"/>
      <c r="H16" s="73" t="s">
        <v>38</v>
      </c>
      <c r="I16" s="74"/>
      <c r="J16" s="81" t="s">
        <v>39</v>
      </c>
      <c r="K16" s="81"/>
      <c r="L16" s="37"/>
      <c r="M16" s="82" t="s">
        <v>40</v>
      </c>
      <c r="N16" s="82"/>
      <c r="O16" s="77" t="s">
        <v>41</v>
      </c>
      <c r="P16" s="77"/>
      <c r="Q16" s="77" t="s">
        <v>41</v>
      </c>
      <c r="R16" s="77"/>
      <c r="S16" s="77" t="s">
        <v>41</v>
      </c>
      <c r="T16" s="77"/>
      <c r="U16" s="42"/>
      <c r="V16" s="82" t="s">
        <v>40</v>
      </c>
      <c r="W16" s="82"/>
      <c r="X16" s="77" t="s">
        <v>41</v>
      </c>
      <c r="Y16" s="77"/>
      <c r="Z16" s="77" t="s">
        <v>41</v>
      </c>
      <c r="AA16" s="77"/>
      <c r="AB16" s="83" t="s">
        <v>41</v>
      </c>
      <c r="AC16" s="83"/>
      <c r="AQ16" s="80"/>
      <c r="AR16" s="35"/>
      <c r="AS16" s="45"/>
      <c r="AT16" s="28"/>
      <c r="AU16" s="37"/>
      <c r="AV16" s="45"/>
      <c r="AW16" s="45"/>
      <c r="AX16" s="45"/>
      <c r="AY16" s="28"/>
      <c r="AZ16" s="45"/>
      <c r="BA16" s="28"/>
      <c r="BB16" s="45"/>
      <c r="BC16" s="28"/>
      <c r="BD16" s="37"/>
      <c r="BE16" s="45"/>
      <c r="BF16" s="28"/>
      <c r="BG16" s="45"/>
      <c r="BH16" s="28"/>
      <c r="BI16" s="45"/>
      <c r="BJ16" s="28"/>
    </row>
    <row r="17" customFormat="false" ht="21" hidden="false" customHeight="true" outlineLevel="0" collapsed="false">
      <c r="B17" s="32"/>
      <c r="C17" s="32"/>
      <c r="D17" s="84" t="s">
        <v>42</v>
      </c>
      <c r="E17" s="84"/>
      <c r="F17" s="84"/>
      <c r="G17" s="84"/>
      <c r="H17" s="85" t="s">
        <v>12</v>
      </c>
      <c r="I17" s="86"/>
      <c r="J17" s="75" t="s">
        <v>12</v>
      </c>
      <c r="K17" s="75"/>
      <c r="L17" s="37"/>
      <c r="M17" s="87" t="s">
        <v>43</v>
      </c>
      <c r="N17" s="87"/>
      <c r="O17" s="78" t="s">
        <v>43</v>
      </c>
      <c r="P17" s="78"/>
      <c r="Q17" s="78" t="s">
        <v>43</v>
      </c>
      <c r="R17" s="78"/>
      <c r="S17" s="78" t="s">
        <v>43</v>
      </c>
      <c r="T17" s="78"/>
      <c r="U17" s="42"/>
      <c r="V17" s="87" t="s">
        <v>43</v>
      </c>
      <c r="W17" s="87"/>
      <c r="X17" s="78" t="s">
        <v>43</v>
      </c>
      <c r="Y17" s="78"/>
      <c r="Z17" s="78" t="s">
        <v>43</v>
      </c>
      <c r="AA17" s="78"/>
      <c r="AB17" s="79" t="s">
        <v>43</v>
      </c>
      <c r="AC17" s="79"/>
      <c r="AQ17" s="88"/>
      <c r="AR17" s="37"/>
      <c r="AS17" s="28"/>
      <c r="AT17" s="28"/>
      <c r="AU17" s="37"/>
      <c r="AV17" s="28"/>
      <c r="AW17" s="28"/>
      <c r="AX17" s="28"/>
      <c r="AY17" s="28"/>
      <c r="AZ17" s="28"/>
      <c r="BA17" s="28"/>
      <c r="BB17" s="28"/>
      <c r="BC17" s="28"/>
      <c r="BD17" s="37"/>
      <c r="BE17" s="28"/>
      <c r="BF17" s="28"/>
      <c r="BG17" s="28"/>
      <c r="BH17" s="28"/>
      <c r="BI17" s="45"/>
      <c r="BJ17" s="28"/>
    </row>
    <row r="18" customFormat="false" ht="69" hidden="false" customHeight="true" outlineLevel="0" collapsed="false">
      <c r="B18" s="89"/>
      <c r="C18" s="89"/>
      <c r="D18" s="90" t="s">
        <v>44</v>
      </c>
      <c r="E18" s="90"/>
      <c r="F18" s="90"/>
      <c r="G18" s="90"/>
      <c r="H18" s="91" t="s">
        <v>45</v>
      </c>
      <c r="I18" s="86"/>
      <c r="J18" s="75" t="s">
        <v>46</v>
      </c>
      <c r="K18" s="75"/>
      <c r="L18" s="37"/>
      <c r="M18" s="76" t="s">
        <v>46</v>
      </c>
      <c r="N18" s="76"/>
      <c r="O18" s="77" t="s">
        <v>46</v>
      </c>
      <c r="P18" s="77"/>
      <c r="Q18" s="77" t="s">
        <v>46</v>
      </c>
      <c r="R18" s="77"/>
      <c r="S18" s="77" t="s">
        <v>46</v>
      </c>
      <c r="T18" s="77"/>
      <c r="U18" s="42"/>
      <c r="V18" s="76" t="s">
        <v>46</v>
      </c>
      <c r="W18" s="76"/>
      <c r="X18" s="77" t="s">
        <v>46</v>
      </c>
      <c r="Y18" s="77"/>
      <c r="Z18" s="92" t="s">
        <v>46</v>
      </c>
      <c r="AA18" s="92"/>
      <c r="AB18" s="83" t="s">
        <v>46</v>
      </c>
      <c r="AC18" s="83"/>
      <c r="AE18" s="93" t="s">
        <v>47</v>
      </c>
      <c r="AF18" s="92" t="s">
        <v>14</v>
      </c>
      <c r="AG18" s="94" t="s">
        <v>48</v>
      </c>
      <c r="AH18" s="83" t="s">
        <v>49</v>
      </c>
      <c r="AI18" s="17"/>
      <c r="AJ18" s="93" t="s">
        <v>50</v>
      </c>
      <c r="AK18" s="92" t="s">
        <v>51</v>
      </c>
      <c r="AL18" s="92" t="s">
        <v>52</v>
      </c>
      <c r="AM18" s="92" t="s">
        <v>53</v>
      </c>
      <c r="AN18" s="92" t="s">
        <v>54</v>
      </c>
      <c r="AO18" s="83" t="s">
        <v>55</v>
      </c>
      <c r="AQ18" s="88"/>
      <c r="AR18" s="37"/>
      <c r="AS18" s="28"/>
      <c r="AT18" s="28"/>
      <c r="AU18" s="37"/>
      <c r="AV18" s="28"/>
      <c r="AW18" s="28"/>
      <c r="AX18" s="28"/>
      <c r="AY18" s="28"/>
      <c r="AZ18" s="28"/>
      <c r="BA18" s="28"/>
      <c r="BB18" s="28"/>
      <c r="BC18" s="28"/>
      <c r="BD18" s="37"/>
      <c r="BE18" s="28"/>
      <c r="BF18" s="28"/>
      <c r="BG18" s="28"/>
      <c r="BH18" s="28"/>
      <c r="BI18" s="45"/>
      <c r="BJ18" s="28"/>
    </row>
    <row r="19" customFormat="false" ht="21" hidden="false" customHeight="true" outlineLevel="0" collapsed="false">
      <c r="B19" s="95"/>
      <c r="C19" s="96" t="s">
        <v>56</v>
      </c>
      <c r="BN19" s="97" t="s">
        <v>57</v>
      </c>
      <c r="BO19" s="97"/>
      <c r="BP19" s="97"/>
      <c r="BQ19" s="97"/>
      <c r="BR19" s="97"/>
      <c r="BS19" s="97"/>
      <c r="BT19" s="97"/>
      <c r="BU19" s="97"/>
      <c r="BV19" s="97"/>
      <c r="BW19" s="97"/>
      <c r="BX19" s="97"/>
      <c r="BY19" s="97"/>
      <c r="BZ19" s="97"/>
      <c r="CA19" s="97"/>
      <c r="CB19" s="97"/>
      <c r="CC19" s="97"/>
      <c r="CD19" s="97"/>
      <c r="CE19" s="97"/>
      <c r="CF19" s="97"/>
      <c r="CG19" s="97"/>
      <c r="CH19" s="97"/>
      <c r="CI19" s="97"/>
      <c r="CK19" s="98" t="s">
        <v>58</v>
      </c>
      <c r="CL19" s="98"/>
      <c r="CM19" s="98"/>
      <c r="CN19" s="98"/>
      <c r="CO19" s="98"/>
      <c r="CP19" s="98"/>
      <c r="CQ19" s="98"/>
      <c r="CR19" s="98"/>
      <c r="CS19" s="98"/>
      <c r="CT19" s="98"/>
      <c r="CU19" s="98"/>
      <c r="CV19" s="98"/>
      <c r="CW19" s="98"/>
    </row>
    <row r="20" customFormat="false" ht="23.25" hidden="false" customHeight="true" outlineLevel="0" collapsed="false">
      <c r="C20" s="96" t="s">
        <v>59</v>
      </c>
      <c r="D20" s="99"/>
      <c r="E20" s="99"/>
      <c r="CK20" s="2"/>
      <c r="CL20" s="2"/>
      <c r="CM20" s="2"/>
      <c r="CN20" s="2"/>
      <c r="CO20" s="2"/>
      <c r="CP20" s="2"/>
      <c r="CQ20" s="2"/>
      <c r="CR20" s="2"/>
      <c r="CS20" s="2"/>
      <c r="CT20" s="2"/>
      <c r="CU20" s="2"/>
      <c r="CV20" s="2"/>
      <c r="CW20" s="2"/>
    </row>
    <row r="21" customFormat="false" ht="23.25" hidden="false" customHeight="true" outlineLevel="0" collapsed="false">
      <c r="C21" s="100" t="s">
        <v>60</v>
      </c>
      <c r="D21" s="99"/>
      <c r="E21" s="99"/>
      <c r="CK21" s="2"/>
      <c r="CL21" s="2"/>
      <c r="CM21" s="2"/>
      <c r="CN21" s="2"/>
      <c r="CO21" s="2"/>
      <c r="CP21" s="2"/>
      <c r="CQ21" s="2"/>
      <c r="CR21" s="2"/>
      <c r="CS21" s="2"/>
      <c r="CT21" s="2"/>
      <c r="CU21" s="2"/>
      <c r="CV21" s="2"/>
      <c r="CW21" s="2"/>
    </row>
    <row r="22" customFormat="false" ht="23.25" hidden="false" customHeight="true" outlineLevel="0" collapsed="false">
      <c r="B22" s="101" t="s">
        <v>61</v>
      </c>
      <c r="C22" s="101"/>
      <c r="D22" s="101"/>
      <c r="E22" s="101"/>
      <c r="F22" s="101"/>
      <c r="G22" s="101"/>
      <c r="H22" s="102" t="s">
        <v>1</v>
      </c>
      <c r="J22" s="102" t="s">
        <v>62</v>
      </c>
      <c r="K22" s="102"/>
      <c r="L22" s="6"/>
      <c r="M22" s="102" t="s">
        <v>63</v>
      </c>
      <c r="N22" s="102"/>
      <c r="O22" s="102"/>
      <c r="P22" s="102"/>
      <c r="Q22" s="102"/>
      <c r="R22" s="102"/>
      <c r="S22" s="102"/>
      <c r="T22" s="102"/>
      <c r="U22" s="102"/>
      <c r="V22" s="102"/>
      <c r="W22" s="102"/>
      <c r="X22" s="102"/>
      <c r="Y22" s="102"/>
      <c r="Z22" s="102"/>
      <c r="AA22" s="102"/>
      <c r="AB22" s="102"/>
      <c r="AC22" s="102"/>
      <c r="AE22" s="103" t="s">
        <v>64</v>
      </c>
      <c r="AF22" s="103"/>
      <c r="AG22" s="103"/>
      <c r="AH22" s="103"/>
      <c r="AI22" s="103"/>
      <c r="AJ22" s="103"/>
      <c r="AK22" s="103"/>
      <c r="AL22" s="103"/>
      <c r="AM22" s="103"/>
      <c r="AN22" s="103"/>
      <c r="AO22" s="103"/>
      <c r="AQ22" s="102" t="s">
        <v>65</v>
      </c>
      <c r="AS22" s="102" t="s">
        <v>66</v>
      </c>
      <c r="AT22" s="102"/>
      <c r="AU22" s="6"/>
      <c r="AV22" s="104" t="s">
        <v>67</v>
      </c>
      <c r="AW22" s="104"/>
      <c r="AX22" s="104"/>
      <c r="AY22" s="104"/>
      <c r="AZ22" s="104"/>
      <c r="BA22" s="104"/>
      <c r="BB22" s="104"/>
      <c r="BC22" s="104"/>
      <c r="BD22" s="104"/>
      <c r="BE22" s="104"/>
      <c r="BF22" s="104"/>
      <c r="BG22" s="104"/>
      <c r="BH22" s="104"/>
      <c r="BI22" s="104"/>
      <c r="BJ22" s="104"/>
      <c r="BK22" s="104"/>
      <c r="BL22" s="104"/>
      <c r="BN22" s="102" t="s">
        <v>65</v>
      </c>
      <c r="BP22" s="102" t="s">
        <v>62</v>
      </c>
      <c r="BQ22" s="102"/>
      <c r="BR22" s="6"/>
      <c r="BS22" s="102" t="s">
        <v>63</v>
      </c>
      <c r="BT22" s="102"/>
      <c r="BU22" s="102"/>
      <c r="BV22" s="102"/>
      <c r="BW22" s="102"/>
      <c r="BX22" s="102"/>
      <c r="BY22" s="102"/>
      <c r="BZ22" s="102"/>
      <c r="CA22" s="102"/>
      <c r="CB22" s="102"/>
      <c r="CC22" s="102"/>
      <c r="CD22" s="102"/>
      <c r="CE22" s="102"/>
      <c r="CF22" s="102"/>
      <c r="CG22" s="102"/>
      <c r="CH22" s="102"/>
      <c r="CI22" s="102"/>
      <c r="CK22" s="102" t="s">
        <v>1</v>
      </c>
      <c r="CM22" s="102" t="s">
        <v>62</v>
      </c>
      <c r="CO22" s="104" t="s">
        <v>63</v>
      </c>
      <c r="CP22" s="104"/>
      <c r="CQ22" s="104"/>
      <c r="CR22" s="104"/>
      <c r="CS22" s="104"/>
      <c r="CT22" s="104"/>
      <c r="CU22" s="104"/>
      <c r="CV22" s="104"/>
      <c r="CW22" s="104"/>
    </row>
    <row r="23" customFormat="false" ht="3.75" hidden="false" customHeight="true" outlineLevel="0" collapsed="false">
      <c r="B23" s="101"/>
      <c r="C23" s="101"/>
      <c r="D23" s="101"/>
      <c r="E23" s="101"/>
      <c r="F23" s="101"/>
      <c r="G23" s="101"/>
      <c r="H23" s="102"/>
      <c r="J23" s="102"/>
      <c r="K23" s="102"/>
      <c r="L23" s="6"/>
      <c r="M23" s="105"/>
      <c r="N23" s="6"/>
      <c r="O23" s="6"/>
      <c r="P23" s="6"/>
      <c r="Q23" s="6"/>
      <c r="R23" s="6"/>
      <c r="S23" s="6"/>
      <c r="T23" s="6"/>
      <c r="U23" s="6"/>
      <c r="V23" s="6"/>
      <c r="W23" s="6"/>
      <c r="X23" s="6"/>
      <c r="Y23" s="6"/>
      <c r="Z23" s="6"/>
      <c r="AA23" s="6"/>
      <c r="AB23" s="6"/>
      <c r="AC23" s="6"/>
      <c r="AQ23" s="102"/>
      <c r="AS23" s="102"/>
      <c r="AT23" s="102"/>
      <c r="AU23" s="6"/>
      <c r="AV23" s="105"/>
      <c r="AW23" s="6"/>
      <c r="AX23" s="6"/>
      <c r="AY23" s="6"/>
      <c r="AZ23" s="6"/>
      <c r="BA23" s="6"/>
      <c r="BB23" s="6"/>
      <c r="BC23" s="6"/>
      <c r="BD23" s="6"/>
      <c r="BE23" s="6"/>
      <c r="BF23" s="6"/>
      <c r="BG23" s="6"/>
      <c r="BH23" s="6"/>
      <c r="BI23" s="6"/>
      <c r="BJ23" s="6"/>
      <c r="BK23" s="6"/>
      <c r="BL23" s="6"/>
      <c r="BN23" s="102"/>
      <c r="BP23" s="102"/>
      <c r="BQ23" s="102"/>
      <c r="BR23" s="6"/>
      <c r="BS23" s="105"/>
      <c r="BT23" s="6"/>
      <c r="BU23" s="6"/>
      <c r="BV23" s="6"/>
      <c r="BW23" s="6"/>
      <c r="BX23" s="6"/>
      <c r="BY23" s="6"/>
      <c r="BZ23" s="6"/>
      <c r="CA23" s="6"/>
      <c r="CB23" s="6"/>
      <c r="CC23" s="6"/>
      <c r="CD23" s="6"/>
      <c r="CE23" s="6"/>
      <c r="CF23" s="6"/>
      <c r="CG23" s="6"/>
      <c r="CH23" s="6"/>
      <c r="CI23" s="6"/>
      <c r="CK23" s="102"/>
      <c r="CM23" s="102"/>
      <c r="CO23" s="105"/>
      <c r="CP23" s="6"/>
      <c r="CQ23" s="6"/>
      <c r="CR23" s="6"/>
      <c r="CT23" s="6"/>
      <c r="CU23" s="6"/>
      <c r="CV23" s="6"/>
      <c r="CW23" s="6"/>
    </row>
    <row r="24" customFormat="false" ht="33.75" hidden="false" customHeight="true" outlineLevel="0" collapsed="false">
      <c r="B24" s="101"/>
      <c r="C24" s="101"/>
      <c r="D24" s="101"/>
      <c r="E24" s="101"/>
      <c r="F24" s="101"/>
      <c r="G24" s="101"/>
      <c r="H24" s="102"/>
      <c r="J24" s="102"/>
      <c r="K24" s="102"/>
      <c r="L24" s="21"/>
      <c r="M24" s="106" t="s">
        <v>68</v>
      </c>
      <c r="N24" s="106"/>
      <c r="O24" s="106"/>
      <c r="P24" s="106"/>
      <c r="Q24" s="106"/>
      <c r="R24" s="106"/>
      <c r="S24" s="106"/>
      <c r="T24" s="106"/>
      <c r="U24" s="14"/>
      <c r="V24" s="106" t="s">
        <v>69</v>
      </c>
      <c r="W24" s="106"/>
      <c r="X24" s="106"/>
      <c r="Y24" s="106"/>
      <c r="Z24" s="106"/>
      <c r="AA24" s="106"/>
      <c r="AB24" s="106"/>
      <c r="AC24" s="106"/>
      <c r="AE24" s="106" t="s">
        <v>68</v>
      </c>
      <c r="AF24" s="106"/>
      <c r="AG24" s="106"/>
      <c r="AH24" s="106"/>
      <c r="AJ24" s="106" t="s">
        <v>69</v>
      </c>
      <c r="AK24" s="106"/>
      <c r="AL24" s="106"/>
      <c r="AM24" s="106"/>
      <c r="AN24" s="106"/>
      <c r="AO24" s="106"/>
      <c r="AQ24" s="102"/>
      <c r="AS24" s="102"/>
      <c r="AT24" s="102"/>
      <c r="AU24" s="21"/>
      <c r="AV24" s="106" t="s">
        <v>68</v>
      </c>
      <c r="AW24" s="106"/>
      <c r="AX24" s="106"/>
      <c r="AY24" s="106"/>
      <c r="AZ24" s="106"/>
      <c r="BA24" s="106"/>
      <c r="BB24" s="106"/>
      <c r="BC24" s="106"/>
      <c r="BD24" s="14"/>
      <c r="BE24" s="106" t="s">
        <v>69</v>
      </c>
      <c r="BF24" s="106"/>
      <c r="BG24" s="106"/>
      <c r="BH24" s="106"/>
      <c r="BI24" s="106"/>
      <c r="BJ24" s="106"/>
      <c r="BK24" s="106"/>
      <c r="BL24" s="106"/>
      <c r="BN24" s="102"/>
      <c r="BP24" s="102"/>
      <c r="BQ24" s="102"/>
      <c r="BR24" s="21"/>
      <c r="BS24" s="106" t="s">
        <v>68</v>
      </c>
      <c r="BT24" s="106"/>
      <c r="BU24" s="106"/>
      <c r="BV24" s="106"/>
      <c r="BW24" s="106"/>
      <c r="BX24" s="106"/>
      <c r="BY24" s="106"/>
      <c r="BZ24" s="106"/>
      <c r="CA24" s="14"/>
      <c r="CB24" s="106" t="s">
        <v>69</v>
      </c>
      <c r="CC24" s="106"/>
      <c r="CD24" s="106"/>
      <c r="CE24" s="106"/>
      <c r="CF24" s="106"/>
      <c r="CG24" s="106"/>
      <c r="CH24" s="106"/>
      <c r="CI24" s="106"/>
      <c r="CK24" s="102"/>
      <c r="CM24" s="102"/>
      <c r="CO24" s="106" t="s">
        <v>68</v>
      </c>
      <c r="CP24" s="106"/>
      <c r="CQ24" s="106"/>
      <c r="CR24" s="106"/>
      <c r="CT24" s="106" t="s">
        <v>69</v>
      </c>
      <c r="CU24" s="106"/>
      <c r="CV24" s="106"/>
      <c r="CW24" s="106"/>
    </row>
    <row r="25" s="1" customFormat="true" ht="3.75" hidden="false" customHeight="true" outlineLevel="0" collapsed="false">
      <c r="B25" s="101"/>
      <c r="C25" s="101"/>
      <c r="D25" s="101"/>
      <c r="E25" s="101"/>
      <c r="F25" s="101"/>
      <c r="G25" s="101"/>
      <c r="H25" s="102"/>
      <c r="J25" s="6"/>
      <c r="K25" s="6"/>
      <c r="L25" s="21"/>
      <c r="M25" s="107"/>
      <c r="N25" s="14"/>
      <c r="O25" s="14"/>
      <c r="P25" s="14"/>
      <c r="Q25" s="14"/>
      <c r="R25" s="14"/>
      <c r="S25" s="14"/>
      <c r="T25" s="108"/>
      <c r="U25" s="14"/>
      <c r="V25" s="107"/>
      <c r="W25" s="14"/>
      <c r="X25" s="14"/>
      <c r="Y25" s="14"/>
      <c r="Z25" s="14"/>
      <c r="AA25" s="14"/>
      <c r="AB25" s="14"/>
      <c r="AC25" s="108"/>
      <c r="AQ25" s="102"/>
      <c r="AS25" s="6"/>
      <c r="AT25" s="6"/>
      <c r="AU25" s="21"/>
      <c r="AV25" s="107"/>
      <c r="AW25" s="14"/>
      <c r="AX25" s="14"/>
      <c r="AY25" s="14"/>
      <c r="AZ25" s="14"/>
      <c r="BA25" s="14"/>
      <c r="BB25" s="14"/>
      <c r="BC25" s="108"/>
      <c r="BD25" s="14"/>
      <c r="BE25" s="107"/>
      <c r="BF25" s="14"/>
      <c r="BG25" s="14"/>
      <c r="BH25" s="14"/>
      <c r="BI25" s="14"/>
      <c r="BJ25" s="108"/>
      <c r="BL25" s="109"/>
      <c r="BN25" s="102"/>
      <c r="BP25" s="6"/>
      <c r="BQ25" s="6"/>
      <c r="BR25" s="21"/>
      <c r="BS25" s="107"/>
      <c r="BT25" s="14"/>
      <c r="BU25" s="14"/>
      <c r="BV25" s="14"/>
      <c r="BW25" s="14"/>
      <c r="BX25" s="14"/>
      <c r="BY25" s="14"/>
      <c r="BZ25" s="108"/>
      <c r="CA25" s="14"/>
      <c r="CB25" s="107"/>
      <c r="CC25" s="14"/>
      <c r="CD25" s="14"/>
      <c r="CE25" s="14"/>
      <c r="CF25" s="14"/>
      <c r="CG25" s="108"/>
      <c r="CH25" s="14"/>
      <c r="CI25" s="108"/>
      <c r="CK25" s="102"/>
      <c r="CM25" s="6"/>
      <c r="CO25" s="6"/>
      <c r="CP25" s="14"/>
      <c r="CQ25" s="14"/>
      <c r="CR25" s="14"/>
      <c r="CT25" s="107"/>
      <c r="CU25" s="14"/>
      <c r="CV25" s="14"/>
      <c r="CW25" s="14"/>
    </row>
    <row r="26" customFormat="false" ht="30" hidden="false" customHeight="true" outlineLevel="0" collapsed="false">
      <c r="B26" s="101"/>
      <c r="C26" s="101"/>
      <c r="D26" s="101"/>
      <c r="E26" s="101"/>
      <c r="F26" s="101"/>
      <c r="G26" s="101"/>
      <c r="H26" s="102"/>
      <c r="I26" s="110"/>
      <c r="J26" s="111" t="s">
        <v>4</v>
      </c>
      <c r="K26" s="111"/>
      <c r="L26" s="21"/>
      <c r="M26" s="112" t="s">
        <v>4</v>
      </c>
      <c r="N26" s="112"/>
      <c r="O26" s="112" t="s">
        <v>5</v>
      </c>
      <c r="P26" s="112"/>
      <c r="Q26" s="112" t="s">
        <v>6</v>
      </c>
      <c r="R26" s="112"/>
      <c r="S26" s="113" t="s">
        <v>7</v>
      </c>
      <c r="T26" s="113"/>
      <c r="U26" s="21"/>
      <c r="V26" s="112" t="s">
        <v>70</v>
      </c>
      <c r="W26" s="112"/>
      <c r="X26" s="112" t="s">
        <v>71</v>
      </c>
      <c r="Y26" s="112"/>
      <c r="Z26" s="112" t="s">
        <v>72</v>
      </c>
      <c r="AA26" s="112"/>
      <c r="AB26" s="113" t="s">
        <v>73</v>
      </c>
      <c r="AC26" s="113"/>
      <c r="AQ26" s="102"/>
      <c r="AR26" s="110"/>
      <c r="AS26" s="111" t="s">
        <v>4</v>
      </c>
      <c r="AT26" s="111"/>
      <c r="AU26" s="21"/>
      <c r="AV26" s="111" t="s">
        <v>4</v>
      </c>
      <c r="AW26" s="111"/>
      <c r="AX26" s="111" t="s">
        <v>8</v>
      </c>
      <c r="AY26" s="111"/>
      <c r="AZ26" s="111" t="s">
        <v>6</v>
      </c>
      <c r="BA26" s="111"/>
      <c r="BB26" s="111" t="s">
        <v>7</v>
      </c>
      <c r="BC26" s="111"/>
      <c r="BD26" s="21"/>
      <c r="BE26" s="113" t="s">
        <v>70</v>
      </c>
      <c r="BF26" s="113"/>
      <c r="BG26" s="113" t="s">
        <v>71</v>
      </c>
      <c r="BH26" s="113"/>
      <c r="BI26" s="114" t="s">
        <v>72</v>
      </c>
      <c r="BJ26" s="114"/>
      <c r="BK26" s="115" t="s">
        <v>73</v>
      </c>
      <c r="BL26" s="115"/>
      <c r="BN26" s="102"/>
      <c r="BP26" s="111" t="s">
        <v>4</v>
      </c>
      <c r="BQ26" s="111"/>
      <c r="BR26" s="21"/>
      <c r="BS26" s="111" t="s">
        <v>4</v>
      </c>
      <c r="BT26" s="111"/>
      <c r="BU26" s="111" t="s">
        <v>8</v>
      </c>
      <c r="BV26" s="111"/>
      <c r="BW26" s="111" t="s">
        <v>6</v>
      </c>
      <c r="BX26" s="111"/>
      <c r="BY26" s="111" t="s">
        <v>7</v>
      </c>
      <c r="BZ26" s="111"/>
      <c r="CA26" s="21"/>
      <c r="CB26" s="113" t="s">
        <v>70</v>
      </c>
      <c r="CC26" s="113"/>
      <c r="CD26" s="113" t="s">
        <v>71</v>
      </c>
      <c r="CE26" s="113"/>
      <c r="CF26" s="116" t="s">
        <v>72</v>
      </c>
      <c r="CG26" s="116"/>
      <c r="CH26" s="115" t="s">
        <v>73</v>
      </c>
      <c r="CI26" s="115"/>
      <c r="CK26" s="102"/>
      <c r="CL26" s="110"/>
      <c r="CM26" s="112" t="s">
        <v>4</v>
      </c>
      <c r="CN26" s="110"/>
      <c r="CO26" s="111" t="s">
        <v>4</v>
      </c>
      <c r="CP26" s="111" t="s">
        <v>5</v>
      </c>
      <c r="CQ26" s="111" t="s">
        <v>6</v>
      </c>
      <c r="CR26" s="113" t="s">
        <v>7</v>
      </c>
      <c r="CS26" s="110"/>
      <c r="CT26" s="111" t="s">
        <v>70</v>
      </c>
      <c r="CU26" s="111" t="s">
        <v>71</v>
      </c>
      <c r="CV26" s="111" t="s">
        <v>72</v>
      </c>
      <c r="CW26" s="113" t="s">
        <v>73</v>
      </c>
    </row>
    <row r="27" customFormat="false" ht="3.75" hidden="false" customHeight="true" outlineLevel="0" collapsed="false">
      <c r="B27" s="117"/>
      <c r="H27" s="118"/>
      <c r="J27" s="119"/>
      <c r="K27" s="120"/>
      <c r="M27" s="119"/>
      <c r="V27" s="119"/>
      <c r="AQ27" s="118"/>
      <c r="AS27" s="119"/>
      <c r="AT27" s="120"/>
      <c r="AV27" s="119"/>
      <c r="BC27" s="120"/>
      <c r="BE27" s="119"/>
      <c r="BF27" s="120"/>
      <c r="BG27" s="119"/>
      <c r="BH27" s="120"/>
      <c r="BJ27" s="120"/>
      <c r="BL27" s="120"/>
      <c r="BN27" s="118"/>
      <c r="BP27" s="119"/>
      <c r="BQ27" s="120"/>
      <c r="BS27" s="119"/>
      <c r="BZ27" s="120"/>
      <c r="CB27" s="119"/>
      <c r="CC27" s="120"/>
      <c r="CD27" s="119"/>
      <c r="CE27" s="120"/>
      <c r="CG27" s="120"/>
      <c r="CI27" s="120"/>
      <c r="CK27" s="118"/>
      <c r="CM27" s="119"/>
      <c r="CO27" s="119"/>
      <c r="CT27" s="119"/>
    </row>
    <row r="28" customFormat="false" ht="48.75" hidden="false" customHeight="true" outlineLevel="0" collapsed="false">
      <c r="B28" s="121" t="s">
        <v>74</v>
      </c>
      <c r="C28" s="122" t="s">
        <v>75</v>
      </c>
      <c r="D28" s="123" t="s">
        <v>76</v>
      </c>
      <c r="E28" s="123" t="s">
        <v>77</v>
      </c>
      <c r="F28" s="122" t="s">
        <v>78</v>
      </c>
      <c r="G28" s="122" t="s">
        <v>79</v>
      </c>
      <c r="H28" s="122" t="s">
        <v>80</v>
      </c>
      <c r="I28" s="21"/>
      <c r="J28" s="124" t="s">
        <v>81</v>
      </c>
      <c r="K28" s="125" t="s">
        <v>82</v>
      </c>
      <c r="L28" s="21"/>
      <c r="M28" s="124" t="s">
        <v>81</v>
      </c>
      <c r="N28" s="126" t="s">
        <v>83</v>
      </c>
      <c r="O28" s="124" t="s">
        <v>81</v>
      </c>
      <c r="P28" s="127" t="s">
        <v>83</v>
      </c>
      <c r="Q28" s="124" t="s">
        <v>81</v>
      </c>
      <c r="R28" s="127" t="s">
        <v>83</v>
      </c>
      <c r="S28" s="124" t="s">
        <v>81</v>
      </c>
      <c r="T28" s="128" t="s">
        <v>83</v>
      </c>
      <c r="U28" s="21"/>
      <c r="V28" s="124" t="s">
        <v>81</v>
      </c>
      <c r="W28" s="127" t="s">
        <v>83</v>
      </c>
      <c r="X28" s="124" t="s">
        <v>81</v>
      </c>
      <c r="Y28" s="127" t="s">
        <v>83</v>
      </c>
      <c r="Z28" s="124" t="s">
        <v>81</v>
      </c>
      <c r="AA28" s="127" t="s">
        <v>83</v>
      </c>
      <c r="AB28" s="124" t="s">
        <v>81</v>
      </c>
      <c r="AC28" s="128" t="s">
        <v>83</v>
      </c>
      <c r="AE28" s="129" t="s">
        <v>84</v>
      </c>
      <c r="AF28" s="130" t="s">
        <v>84</v>
      </c>
      <c r="AG28" s="131" t="s">
        <v>84</v>
      </c>
      <c r="AH28" s="132" t="s">
        <v>84</v>
      </c>
      <c r="AJ28" s="133" t="s">
        <v>84</v>
      </c>
      <c r="AK28" s="130" t="s">
        <v>84</v>
      </c>
      <c r="AL28" s="130" t="s">
        <v>84</v>
      </c>
      <c r="AM28" s="130" t="s">
        <v>84</v>
      </c>
      <c r="AN28" s="130" t="s">
        <v>84</v>
      </c>
      <c r="AO28" s="132" t="s">
        <v>84</v>
      </c>
      <c r="AQ28" s="122" t="s">
        <v>85</v>
      </c>
      <c r="AR28" s="21"/>
      <c r="AS28" s="124" t="s">
        <v>86</v>
      </c>
      <c r="AT28" s="125" t="s">
        <v>87</v>
      </c>
      <c r="AU28" s="21"/>
      <c r="AV28" s="124" t="s">
        <v>86</v>
      </c>
      <c r="AW28" s="125" t="s">
        <v>87</v>
      </c>
      <c r="AX28" s="124" t="s">
        <v>86</v>
      </c>
      <c r="AY28" s="125" t="s">
        <v>87</v>
      </c>
      <c r="AZ28" s="124" t="s">
        <v>86</v>
      </c>
      <c r="BA28" s="125" t="s">
        <v>87</v>
      </c>
      <c r="BB28" s="124" t="s">
        <v>86</v>
      </c>
      <c r="BC28" s="125" t="s">
        <v>87</v>
      </c>
      <c r="BD28" s="21"/>
      <c r="BE28" s="124" t="s">
        <v>86</v>
      </c>
      <c r="BF28" s="125" t="s">
        <v>87</v>
      </c>
      <c r="BG28" s="124" t="s">
        <v>86</v>
      </c>
      <c r="BH28" s="125" t="s">
        <v>87</v>
      </c>
      <c r="BI28" s="124" t="s">
        <v>86</v>
      </c>
      <c r="BJ28" s="125" t="s">
        <v>87</v>
      </c>
      <c r="BK28" s="124" t="s">
        <v>86</v>
      </c>
      <c r="BL28" s="125" t="s">
        <v>87</v>
      </c>
      <c r="BN28" s="122" t="s">
        <v>80</v>
      </c>
      <c r="BP28" s="124" t="s">
        <v>81</v>
      </c>
      <c r="BQ28" s="125" t="s">
        <v>82</v>
      </c>
      <c r="BR28" s="21"/>
      <c r="BS28" s="124" t="s">
        <v>81</v>
      </c>
      <c r="BT28" s="125" t="s">
        <v>83</v>
      </c>
      <c r="BU28" s="124" t="s">
        <v>81</v>
      </c>
      <c r="BV28" s="125" t="s">
        <v>83</v>
      </c>
      <c r="BW28" s="124" t="s">
        <v>81</v>
      </c>
      <c r="BX28" s="125" t="s">
        <v>83</v>
      </c>
      <c r="BY28" s="124" t="s">
        <v>81</v>
      </c>
      <c r="BZ28" s="125" t="s">
        <v>83</v>
      </c>
      <c r="CA28" s="21"/>
      <c r="CB28" s="124" t="s">
        <v>81</v>
      </c>
      <c r="CC28" s="125" t="s">
        <v>83</v>
      </c>
      <c r="CD28" s="124" t="s">
        <v>81</v>
      </c>
      <c r="CE28" s="125" t="s">
        <v>83</v>
      </c>
      <c r="CF28" s="124" t="s">
        <v>81</v>
      </c>
      <c r="CG28" s="125" t="s">
        <v>83</v>
      </c>
      <c r="CH28" s="124" t="s">
        <v>81</v>
      </c>
      <c r="CI28" s="125" t="s">
        <v>83</v>
      </c>
      <c r="CK28" s="122" t="s">
        <v>80</v>
      </c>
      <c r="CL28" s="21"/>
      <c r="CM28" s="124" t="s">
        <v>88</v>
      </c>
      <c r="CN28" s="21"/>
      <c r="CO28" s="124" t="s">
        <v>89</v>
      </c>
      <c r="CP28" s="124" t="s">
        <v>81</v>
      </c>
      <c r="CQ28" s="124" t="s">
        <v>81</v>
      </c>
      <c r="CR28" s="124" t="s">
        <v>81</v>
      </c>
      <c r="CS28" s="21"/>
      <c r="CT28" s="124" t="s">
        <v>81</v>
      </c>
      <c r="CU28" s="124" t="s">
        <v>81</v>
      </c>
      <c r="CV28" s="124" t="s">
        <v>81</v>
      </c>
      <c r="CW28" s="124" t="s">
        <v>81</v>
      </c>
    </row>
    <row r="29" s="1" customFormat="true" ht="12.75" hidden="false" customHeight="true" outlineLevel="0" collapsed="false">
      <c r="B29" s="134" t="s">
        <v>90</v>
      </c>
      <c r="C29" s="135" t="s">
        <v>91</v>
      </c>
      <c r="D29" s="136" t="e">
        <f aca="false">VLOOKUP($C29,#REF!,5,0)</f>
        <v>#VALUE!</v>
      </c>
      <c r="E29" s="136" t="e">
        <f aca="false">VLOOKUP($C29,#REF!,6,0)</f>
        <v>#VALUE!</v>
      </c>
      <c r="F29" s="136" t="e">
        <f aca="false">VLOOKUP($C29,#REF!,7,0)</f>
        <v>#VALUE!</v>
      </c>
      <c r="G29" s="136" t="e">
        <f aca="false">VLOOKUP($C29,#REF!,8,0)</f>
        <v>#VALUE!</v>
      </c>
      <c r="H29" s="136" t="e">
        <f aca="false">VLOOKUP($C29,#REF!,9,0)</f>
        <v>#VALUE!</v>
      </c>
      <c r="I29" s="137"/>
      <c r="J29" s="138" t="e">
        <f aca="false">VLOOKUP($C29,#REF!,10,0)</f>
        <v>#VALUE!</v>
      </c>
      <c r="K29" s="139" t="e">
        <f aca="false">VLOOKUP($C29,#REF!,11,0)</f>
        <v>#VALUE!</v>
      </c>
      <c r="L29" s="140"/>
      <c r="M29" s="138" t="e">
        <f aca="false">VLOOKUP($C29,#REF!,12,0)</f>
        <v>#VALUE!</v>
      </c>
      <c r="N29" s="140" t="e">
        <f aca="false">VLOOKUP($C29,#REF!,13,0)</f>
        <v>#VALUE!</v>
      </c>
      <c r="O29" s="138" t="e">
        <f aca="false">VLOOKUP($C29,#REF!,14,0)</f>
        <v>#VALUE!</v>
      </c>
      <c r="P29" s="140" t="e">
        <f aca="false">VLOOKUP($C29,#REF!,15,0)</f>
        <v>#VALUE!</v>
      </c>
      <c r="Q29" s="138" t="e">
        <f aca="false">VLOOKUP($C29,#REF!,16,0)</f>
        <v>#VALUE!</v>
      </c>
      <c r="R29" s="139" t="e">
        <f aca="false">VLOOKUP($C29,#REF!,17,0)</f>
        <v>#VALUE!</v>
      </c>
      <c r="S29" s="140" t="e">
        <f aca="false">VLOOKUP($C29,#REF!,18,0)</f>
        <v>#VALUE!</v>
      </c>
      <c r="T29" s="139" t="e">
        <f aca="false">VLOOKUP($C29,#REF!,19,0)</f>
        <v>#VALUE!</v>
      </c>
      <c r="U29" s="140"/>
      <c r="V29" s="138" t="e">
        <f aca="false">VLOOKUP($C29,#REF!,20,0)</f>
        <v>#VALUE!</v>
      </c>
      <c r="W29" s="140" t="e">
        <f aca="false">VLOOKUP($C29,#REF!,21,0)</f>
        <v>#VALUE!</v>
      </c>
      <c r="X29" s="138" t="e">
        <f aca="false">VLOOKUP($C29,#REF!,22,0)</f>
        <v>#VALUE!</v>
      </c>
      <c r="Y29" s="140" t="e">
        <f aca="false">VLOOKUP($C29,#REF!,23,0)</f>
        <v>#VALUE!</v>
      </c>
      <c r="Z29" s="138" t="e">
        <f aca="false">VLOOKUP($C29,#REF!,24,0)</f>
        <v>#VALUE!</v>
      </c>
      <c r="AA29" s="139" t="e">
        <f aca="false">VLOOKUP($C29,#REF!,25,0)</f>
        <v>#VALUE!</v>
      </c>
      <c r="AB29" s="140" t="e">
        <f aca="false">VLOOKUP($C29,#REF!,26,0)</f>
        <v>#VALUE!</v>
      </c>
      <c r="AC29" s="139" t="e">
        <f aca="false">VLOOKUP($C29,#REF!,27,0)</f>
        <v>#VALUE!</v>
      </c>
      <c r="AE29" s="138" t="e">
        <f aca="false">IF(M29="-","-","0,5 GB")</f>
        <v>#VALUE!</v>
      </c>
      <c r="AF29" s="141" t="s">
        <v>92</v>
      </c>
      <c r="AG29" s="141" t="s">
        <v>93</v>
      </c>
      <c r="AH29" s="139" t="s">
        <v>94</v>
      </c>
      <c r="AJ29" s="138" t="s">
        <v>95</v>
      </c>
      <c r="AK29" s="141" t="s">
        <v>96</v>
      </c>
      <c r="AL29" s="141" t="s">
        <v>97</v>
      </c>
      <c r="AM29" s="141" t="s">
        <v>98</v>
      </c>
      <c r="AN29" s="141" t="s">
        <v>98</v>
      </c>
      <c r="AO29" s="139" t="s">
        <v>92</v>
      </c>
      <c r="AQ29" s="142" t="e">
        <f aca="false">+ROUND($D29-H29,0)</f>
        <v>#VALUE!</v>
      </c>
      <c r="AR29" s="137"/>
      <c r="AS29" s="138" t="n">
        <v>0</v>
      </c>
      <c r="AT29" s="139" t="n">
        <v>0</v>
      </c>
      <c r="AU29" s="140"/>
      <c r="AV29" s="138" t="n">
        <f aca="false">IFERROR(ROUND($D29-M29-AW29,0),0)</f>
        <v>0</v>
      </c>
      <c r="AW29" s="139" t="n">
        <f aca="false">IFERROR(N29*$G29,0)</f>
        <v>0</v>
      </c>
      <c r="AX29" s="138" t="n">
        <f aca="false">IFERROR(ROUND($D29-O29-AY29,0),0)</f>
        <v>0</v>
      </c>
      <c r="AY29" s="139" t="n">
        <f aca="false">IFERROR(P29*$G29,0)</f>
        <v>0</v>
      </c>
      <c r="AZ29" s="138" t="n">
        <f aca="false">IFERROR(ROUND($D29-Q29-BA29,0),0)</f>
        <v>0</v>
      </c>
      <c r="BA29" s="139" t="n">
        <f aca="false">IFERROR(R29*$G29,0)</f>
        <v>0</v>
      </c>
      <c r="BB29" s="140" t="n">
        <f aca="false">IFERROR(ROUND($D29-S29-BC29,0),0)</f>
        <v>0</v>
      </c>
      <c r="BC29" s="139" t="n">
        <f aca="false">IFERROR(T29*$G29,0)</f>
        <v>0</v>
      </c>
      <c r="BD29" s="140"/>
      <c r="BE29" s="138" t="n">
        <f aca="false">IFERROR(ROUND($D29-V29-BF29,0),0)</f>
        <v>0</v>
      </c>
      <c r="BF29" s="139" t="n">
        <f aca="false">IFERROR(W29*$G29,0)</f>
        <v>0</v>
      </c>
      <c r="BG29" s="138" t="n">
        <f aca="false">IFERROR(ROUND($D29-X29-BH29,0),0)</f>
        <v>0</v>
      </c>
      <c r="BH29" s="139" t="n">
        <f aca="false">IFERROR(Y29*$G29,0)</f>
        <v>0</v>
      </c>
      <c r="BI29" s="140" t="n">
        <f aca="false">IFERROR(ROUND($D29-Z29-BJ29,0),0)</f>
        <v>0</v>
      </c>
      <c r="BJ29" s="139" t="n">
        <f aca="false">IFERROR(AA29*$G29,0)</f>
        <v>0</v>
      </c>
      <c r="BK29" s="140" t="n">
        <f aca="false">IFERROR(ROUND($D29-AB29-BL29,0),0)</f>
        <v>0</v>
      </c>
      <c r="BL29" s="139" t="n">
        <f aca="false">IFERROR(AC29*$G29,0)</f>
        <v>0</v>
      </c>
      <c r="BN29" s="142" t="n">
        <v>-3.31</v>
      </c>
      <c r="BO29" s="137"/>
      <c r="BP29" s="138" t="n">
        <v>-3.31</v>
      </c>
      <c r="BQ29" s="139" t="n">
        <v>0</v>
      </c>
      <c r="BR29" s="140"/>
      <c r="BS29" s="138" t="n">
        <v>0</v>
      </c>
      <c r="BT29" s="139" t="n">
        <v>0</v>
      </c>
      <c r="BU29" s="138" t="n">
        <v>0</v>
      </c>
      <c r="BV29" s="139" t="n">
        <v>0</v>
      </c>
      <c r="BW29" s="138" t="n">
        <v>0</v>
      </c>
      <c r="BX29" s="139" t="n">
        <v>0</v>
      </c>
      <c r="BY29" s="138" t="n">
        <v>0</v>
      </c>
      <c r="BZ29" s="139" t="n">
        <v>0</v>
      </c>
      <c r="CA29" s="140"/>
      <c r="CB29" s="138" t="n">
        <v>0</v>
      </c>
      <c r="CC29" s="139" t="n">
        <v>0</v>
      </c>
      <c r="CD29" s="138" t="n">
        <v>0</v>
      </c>
      <c r="CE29" s="139" t="n">
        <v>0</v>
      </c>
      <c r="CF29" s="138" t="n">
        <v>0</v>
      </c>
      <c r="CG29" s="139" t="n">
        <v>0</v>
      </c>
      <c r="CH29" s="138" t="n">
        <v>0</v>
      </c>
      <c r="CI29" s="139" t="n">
        <v>0</v>
      </c>
      <c r="CK29" s="143"/>
      <c r="CL29" s="137"/>
      <c r="CM29" s="144" t="str">
        <f aca="false">IFERROR(+$H29-($J29+$K29*$G29),"-")</f>
        <v>-</v>
      </c>
      <c r="CN29" s="137"/>
      <c r="CO29" s="144" t="str">
        <f aca="false">IFERROR(+$H29-($M29+$N29*$G29),"-")</f>
        <v>-</v>
      </c>
      <c r="CP29" s="144" t="str">
        <f aca="false">IFERROR(+$H29-($O29+$P29*$G29),"-")</f>
        <v>-</v>
      </c>
      <c r="CQ29" s="144" t="str">
        <f aca="false">IFERROR(+$H29-($Q29+$R29*$G29),"-")</f>
        <v>-</v>
      </c>
      <c r="CR29" s="144" t="str">
        <f aca="false">IFERROR(+$H29-($S29+$T29*$G29),"-")</f>
        <v>-</v>
      </c>
      <c r="CS29" s="137"/>
      <c r="CT29" s="144" t="str">
        <f aca="false">IFERROR(+$H29-($V29+$W29*$G29),"-")</f>
        <v>-</v>
      </c>
      <c r="CU29" s="144" t="str">
        <f aca="false">IFERROR(+$H29-($X29+$Y29*$G29),"-")</f>
        <v>-</v>
      </c>
      <c r="CV29" s="144" t="str">
        <f aca="false">IFERROR(+$H29-($Z29+$AA29*$G29),"-")</f>
        <v>-</v>
      </c>
      <c r="CW29" s="144" t="str">
        <f aca="false">IFERROR(+$H29-($AB29+$AC29*$G29),"-")</f>
        <v>-</v>
      </c>
    </row>
    <row r="30" s="156" customFormat="true" ht="12.75" hidden="false" customHeight="true" outlineLevel="0" collapsed="false">
      <c r="A30" s="1"/>
      <c r="B30" s="145" t="s">
        <v>90</v>
      </c>
      <c r="C30" s="146" t="s">
        <v>99</v>
      </c>
      <c r="D30" s="147" t="e">
        <f aca="false">VLOOKUP($C30,#REF!,5,0)</f>
        <v>#VALUE!</v>
      </c>
      <c r="E30" s="148" t="e">
        <f aca="false">VLOOKUP($C30,#REF!,6,0)</f>
        <v>#VALUE!</v>
      </c>
      <c r="F30" s="146" t="e">
        <f aca="false">VLOOKUP($C30,#REF!,7,0)</f>
        <v>#VALUE!</v>
      </c>
      <c r="G30" s="146" t="e">
        <f aca="false">VLOOKUP($C30,#REF!,8,0)</f>
        <v>#VALUE!</v>
      </c>
      <c r="H30" s="149" t="e">
        <f aca="false">VLOOKUP($C30,#REF!,9,0)</f>
        <v>#VALUE!</v>
      </c>
      <c r="I30" s="137"/>
      <c r="J30" s="150" t="e">
        <f aca="false">VLOOKUP($C30,#REF!,10,0)</f>
        <v>#VALUE!</v>
      </c>
      <c r="K30" s="151" t="e">
        <f aca="false">VLOOKUP($C30,#REF!,11,0)</f>
        <v>#VALUE!</v>
      </c>
      <c r="L30" s="140"/>
      <c r="M30" s="150" t="e">
        <f aca="false">VLOOKUP($C30,#REF!,12,0)</f>
        <v>#VALUE!</v>
      </c>
      <c r="N30" s="152" t="e">
        <f aca="false">VLOOKUP($C30,#REF!,13,0)</f>
        <v>#VALUE!</v>
      </c>
      <c r="O30" s="150" t="e">
        <f aca="false">VLOOKUP($C30,#REF!,14,0)</f>
        <v>#VALUE!</v>
      </c>
      <c r="P30" s="152" t="e">
        <f aca="false">VLOOKUP($C30,#REF!,15,0)</f>
        <v>#VALUE!</v>
      </c>
      <c r="Q30" s="150" t="e">
        <f aca="false">VLOOKUP($C30,#REF!,16,0)</f>
        <v>#VALUE!</v>
      </c>
      <c r="R30" s="151" t="e">
        <f aca="false">VLOOKUP($C30,#REF!,17,0)</f>
        <v>#VALUE!</v>
      </c>
      <c r="S30" s="152" t="e">
        <f aca="false">VLOOKUP($C30,#REF!,18,0)</f>
        <v>#VALUE!</v>
      </c>
      <c r="T30" s="151" t="e">
        <f aca="false">VLOOKUP($C30,#REF!,19,0)</f>
        <v>#VALUE!</v>
      </c>
      <c r="U30" s="140"/>
      <c r="V30" s="150" t="e">
        <f aca="false">VLOOKUP($C30,#REF!,20,0)</f>
        <v>#VALUE!</v>
      </c>
      <c r="W30" s="152" t="e">
        <f aca="false">VLOOKUP($C30,#REF!,21,0)</f>
        <v>#VALUE!</v>
      </c>
      <c r="X30" s="150" t="e">
        <f aca="false">VLOOKUP($C30,#REF!,22,0)</f>
        <v>#VALUE!</v>
      </c>
      <c r="Y30" s="152" t="e">
        <f aca="false">VLOOKUP($C30,#REF!,23,0)</f>
        <v>#VALUE!</v>
      </c>
      <c r="Z30" s="150" t="e">
        <f aca="false">VLOOKUP($C30,#REF!,24,0)</f>
        <v>#VALUE!</v>
      </c>
      <c r="AA30" s="151" t="e">
        <f aca="false">VLOOKUP($C30,#REF!,25,0)</f>
        <v>#VALUE!</v>
      </c>
      <c r="AB30" s="152" t="e">
        <f aca="false">VLOOKUP($C30,#REF!,26,0)</f>
        <v>#VALUE!</v>
      </c>
      <c r="AC30" s="151" t="e">
        <f aca="false">VLOOKUP($C30,#REF!,27,0)</f>
        <v>#VALUE!</v>
      </c>
      <c r="AD30" s="1"/>
      <c r="AE30" s="150" t="e">
        <f aca="false">IF(M30="-","-","0,5 GB")</f>
        <v>#VALUE!</v>
      </c>
      <c r="AF30" s="153" t="s">
        <v>92</v>
      </c>
      <c r="AG30" s="153" t="s">
        <v>93</v>
      </c>
      <c r="AH30" s="151" t="s">
        <v>94</v>
      </c>
      <c r="AI30" s="1"/>
      <c r="AJ30" s="150" t="s">
        <v>95</v>
      </c>
      <c r="AK30" s="153" t="s">
        <v>96</v>
      </c>
      <c r="AL30" s="153" t="s">
        <v>97</v>
      </c>
      <c r="AM30" s="153" t="s">
        <v>98</v>
      </c>
      <c r="AN30" s="153" t="s">
        <v>98</v>
      </c>
      <c r="AO30" s="151" t="s">
        <v>92</v>
      </c>
      <c r="AP30" s="1"/>
      <c r="AQ30" s="154" t="n">
        <v>5</v>
      </c>
      <c r="AR30" s="137"/>
      <c r="AS30" s="150" t="n">
        <v>0</v>
      </c>
      <c r="AT30" s="151" t="n">
        <v>0</v>
      </c>
      <c r="AU30" s="140"/>
      <c r="AV30" s="150" t="n">
        <f aca="false">IFERROR(ROUND($D30-M30-AW30,0),0)</f>
        <v>0</v>
      </c>
      <c r="AW30" s="151" t="n">
        <f aca="false">IFERROR(N30*$G30,0)</f>
        <v>0</v>
      </c>
      <c r="AX30" s="150" t="n">
        <f aca="false">IFERROR(ROUND($D30-O30-AY30,0),0)</f>
        <v>0</v>
      </c>
      <c r="AY30" s="151" t="n">
        <f aca="false">IFERROR(P30*$G30,0)</f>
        <v>0</v>
      </c>
      <c r="AZ30" s="150" t="n">
        <f aca="false">IFERROR(ROUND($D30-Q30-BA30,0),0)</f>
        <v>0</v>
      </c>
      <c r="BA30" s="151" t="n">
        <f aca="false">IFERROR(R30*$G30,0)</f>
        <v>0</v>
      </c>
      <c r="BB30" s="152" t="n">
        <f aca="false">IFERROR(ROUND($D30-S30-BC30,0),0)</f>
        <v>0</v>
      </c>
      <c r="BC30" s="151" t="n">
        <f aca="false">IFERROR(T30*$G30,0)</f>
        <v>0</v>
      </c>
      <c r="BD30" s="140"/>
      <c r="BE30" s="150" t="n">
        <f aca="false">IFERROR(ROUND($D30-V30-BF30,0),0)</f>
        <v>0</v>
      </c>
      <c r="BF30" s="151" t="n">
        <f aca="false">IFERROR(W30*$G30,0)</f>
        <v>0</v>
      </c>
      <c r="BG30" s="150" t="n">
        <f aca="false">IFERROR(ROUND($D30-X30-BH30,0),0)</f>
        <v>0</v>
      </c>
      <c r="BH30" s="151" t="n">
        <f aca="false">IFERROR(Y30*$G30,0)</f>
        <v>0</v>
      </c>
      <c r="BI30" s="152" t="n">
        <f aca="false">IFERROR(ROUND($D30-Z30-BJ30,0),0)</f>
        <v>0</v>
      </c>
      <c r="BJ30" s="151" t="n">
        <f aca="false">IFERROR(AA30*$G30,0)</f>
        <v>0</v>
      </c>
      <c r="BK30" s="152" t="n">
        <f aca="false">IFERROR(ROUND($D30-AB30-BL30,0),0)</f>
        <v>0</v>
      </c>
      <c r="BL30" s="151" t="n">
        <f aca="false">IFERROR(AC30*$G30,0)</f>
        <v>0</v>
      </c>
      <c r="BM30" s="1"/>
      <c r="BN30" s="154" t="n">
        <v>-8.27</v>
      </c>
      <c r="BO30" s="155"/>
      <c r="BP30" s="150" t="n">
        <v>-8.27</v>
      </c>
      <c r="BQ30" s="151" t="n">
        <v>0</v>
      </c>
      <c r="BR30" s="152"/>
      <c r="BS30" s="150" t="n">
        <v>0</v>
      </c>
      <c r="BT30" s="151" t="n">
        <v>0</v>
      </c>
      <c r="BU30" s="150" t="n">
        <v>0</v>
      </c>
      <c r="BV30" s="151" t="n">
        <v>0</v>
      </c>
      <c r="BW30" s="150" t="n">
        <v>0</v>
      </c>
      <c r="BX30" s="151" t="n">
        <v>0</v>
      </c>
      <c r="BY30" s="150" t="n">
        <v>0</v>
      </c>
      <c r="BZ30" s="151" t="n">
        <v>0</v>
      </c>
      <c r="CA30" s="152"/>
      <c r="CB30" s="150" t="n">
        <v>0</v>
      </c>
      <c r="CC30" s="151" t="n">
        <v>0</v>
      </c>
      <c r="CD30" s="150" t="n">
        <v>0</v>
      </c>
      <c r="CE30" s="151" t="n">
        <v>0</v>
      </c>
      <c r="CF30" s="150" t="n">
        <v>0</v>
      </c>
      <c r="CG30" s="151" t="n">
        <v>0</v>
      </c>
      <c r="CH30" s="150" t="n">
        <v>0</v>
      </c>
      <c r="CI30" s="151" t="n">
        <v>0</v>
      </c>
      <c r="CJ30" s="1"/>
      <c r="CK30" s="149"/>
      <c r="CL30" s="137"/>
      <c r="CM30" s="154" t="str">
        <f aca="false">IFERROR(+$H30-($J30+$K30*$G30),"-")</f>
        <v>-</v>
      </c>
      <c r="CN30" s="137"/>
      <c r="CO30" s="154" t="str">
        <f aca="false">IFERROR(+$H30-($M30+$N30*$G30),"-")</f>
        <v>-</v>
      </c>
      <c r="CP30" s="154" t="str">
        <f aca="false">IFERROR(+$H30-($O30+$P30*$G30),"-")</f>
        <v>-</v>
      </c>
      <c r="CQ30" s="154" t="str">
        <f aca="false">IFERROR(+$H30-($Q30+$R30*$G30),"-")</f>
        <v>-</v>
      </c>
      <c r="CR30" s="154" t="str">
        <f aca="false">IFERROR(+$H30-($Q30+$R30*$G30),"-")</f>
        <v>-</v>
      </c>
      <c r="CS30" s="137"/>
      <c r="CT30" s="154" t="str">
        <f aca="false">IFERROR(+$H30-($V30+$W30*$G30),"-")</f>
        <v>-</v>
      </c>
      <c r="CU30" s="154" t="str">
        <f aca="false">IFERROR(+$H30-($X30+$Y30*$G30),"-")</f>
        <v>-</v>
      </c>
      <c r="CV30" s="154" t="str">
        <f aca="false">IFERROR(+$H30-($Z30+$AA30*$G30),"-")</f>
        <v>-</v>
      </c>
      <c r="CW30" s="154" t="str">
        <f aca="false">IFERROR(+$H30-($AB30+$AC30*$G30),"-")</f>
        <v>-</v>
      </c>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row>
    <row r="31" s="1" customFormat="true" ht="12.75" hidden="false" customHeight="true" outlineLevel="0" collapsed="false">
      <c r="B31" s="134" t="s">
        <v>90</v>
      </c>
      <c r="C31" s="135" t="s">
        <v>100</v>
      </c>
      <c r="D31" s="136" t="e">
        <f aca="false">VLOOKUP($C31,#REF!,5,0)</f>
        <v>#VALUE!</v>
      </c>
      <c r="E31" s="157" t="e">
        <f aca="false">VLOOKUP($C31,#REF!,6,0)</f>
        <v>#VALUE!</v>
      </c>
      <c r="F31" s="135" t="e">
        <f aca="false">VLOOKUP($C31,#REF!,7,0)</f>
        <v>#VALUE!</v>
      </c>
      <c r="G31" s="135" t="e">
        <f aca="false">VLOOKUP($C31,#REF!,8,0)</f>
        <v>#VALUE!</v>
      </c>
      <c r="H31" s="158" t="e">
        <f aca="false">VLOOKUP($C31,#REF!,9,0)</f>
        <v>#VALUE!</v>
      </c>
      <c r="I31" s="137"/>
      <c r="J31" s="138" t="e">
        <f aca="false">VLOOKUP($C31,#REF!,10,0)</f>
        <v>#VALUE!</v>
      </c>
      <c r="K31" s="139" t="e">
        <f aca="false">VLOOKUP($C31,#REF!,11,0)</f>
        <v>#VALUE!</v>
      </c>
      <c r="L31" s="140"/>
      <c r="M31" s="138" t="e">
        <f aca="false">VLOOKUP($C31,#REF!,12,0)</f>
        <v>#VALUE!</v>
      </c>
      <c r="N31" s="140" t="e">
        <f aca="false">VLOOKUP($C31,#REF!,13,0)</f>
        <v>#VALUE!</v>
      </c>
      <c r="O31" s="138" t="e">
        <f aca="false">VLOOKUP($C31,#REF!,14,0)</f>
        <v>#VALUE!</v>
      </c>
      <c r="P31" s="140" t="e">
        <f aca="false">VLOOKUP($C31,#REF!,15,0)</f>
        <v>#VALUE!</v>
      </c>
      <c r="Q31" s="138" t="e">
        <f aca="false">VLOOKUP($C31,#REF!,16,0)</f>
        <v>#VALUE!</v>
      </c>
      <c r="R31" s="139" t="e">
        <f aca="false">VLOOKUP($C31,#REF!,17,0)</f>
        <v>#VALUE!</v>
      </c>
      <c r="S31" s="140" t="e">
        <f aca="false">VLOOKUP($C31,#REF!,18,0)</f>
        <v>#VALUE!</v>
      </c>
      <c r="T31" s="139" t="e">
        <f aca="false">VLOOKUP($C31,#REF!,19,0)</f>
        <v>#VALUE!</v>
      </c>
      <c r="U31" s="140"/>
      <c r="V31" s="138" t="e">
        <f aca="false">VLOOKUP($C31,#REF!,20,0)</f>
        <v>#VALUE!</v>
      </c>
      <c r="W31" s="140" t="e">
        <f aca="false">VLOOKUP($C31,#REF!,21,0)</f>
        <v>#VALUE!</v>
      </c>
      <c r="X31" s="138" t="e">
        <f aca="false">VLOOKUP($C31,#REF!,22,0)</f>
        <v>#VALUE!</v>
      </c>
      <c r="Y31" s="140" t="e">
        <f aca="false">VLOOKUP($C31,#REF!,23,0)</f>
        <v>#VALUE!</v>
      </c>
      <c r="Z31" s="138" t="e">
        <f aca="false">VLOOKUP($C31,#REF!,24,0)</f>
        <v>#VALUE!</v>
      </c>
      <c r="AA31" s="139" t="e">
        <f aca="false">VLOOKUP($C31,#REF!,25,0)</f>
        <v>#VALUE!</v>
      </c>
      <c r="AB31" s="140" t="e">
        <f aca="false">VLOOKUP($C31,#REF!,26,0)</f>
        <v>#VALUE!</v>
      </c>
      <c r="AC31" s="139" t="e">
        <f aca="false">VLOOKUP($C31,#REF!,27,0)</f>
        <v>#VALUE!</v>
      </c>
      <c r="AE31" s="138" t="e">
        <f aca="false">IF(M31="-","-","0,5 GB")</f>
        <v>#VALUE!</v>
      </c>
      <c r="AF31" s="141" t="s">
        <v>92</v>
      </c>
      <c r="AG31" s="141" t="s">
        <v>93</v>
      </c>
      <c r="AH31" s="139" t="s">
        <v>94</v>
      </c>
      <c r="AJ31" s="138" t="s">
        <v>95</v>
      </c>
      <c r="AK31" s="141" t="s">
        <v>96</v>
      </c>
      <c r="AL31" s="141" t="s">
        <v>97</v>
      </c>
      <c r="AM31" s="141" t="s">
        <v>98</v>
      </c>
      <c r="AN31" s="141" t="s">
        <v>98</v>
      </c>
      <c r="AO31" s="139" t="s">
        <v>92</v>
      </c>
      <c r="AQ31" s="142" t="n">
        <v>-7</v>
      </c>
      <c r="AR31" s="137"/>
      <c r="AS31" s="138" t="n">
        <v>0</v>
      </c>
      <c r="AT31" s="139" t="n">
        <v>0</v>
      </c>
      <c r="AU31" s="140"/>
      <c r="AV31" s="138" t="n">
        <f aca="false">IFERROR(ROUND($D31-M31-AW31,0),0)</f>
        <v>0</v>
      </c>
      <c r="AW31" s="139" t="n">
        <f aca="false">IFERROR(N31*$G31,0)</f>
        <v>0</v>
      </c>
      <c r="AX31" s="138" t="n">
        <f aca="false">IFERROR(ROUND($D31-O31-AY31,0),0)</f>
        <v>0</v>
      </c>
      <c r="AY31" s="139" t="n">
        <f aca="false">IFERROR(P31*$G31,0)</f>
        <v>0</v>
      </c>
      <c r="AZ31" s="138" t="n">
        <f aca="false">IFERROR(ROUND($D31-Q31-BA31,0),0)</f>
        <v>0</v>
      </c>
      <c r="BA31" s="139" t="n">
        <f aca="false">IFERROR(R31*$G31,0)</f>
        <v>0</v>
      </c>
      <c r="BB31" s="140" t="n">
        <f aca="false">IFERROR(ROUND($D31-S31-BC31,0),0)</f>
        <v>0</v>
      </c>
      <c r="BC31" s="139" t="n">
        <f aca="false">IFERROR(T31*$G31,0)</f>
        <v>0</v>
      </c>
      <c r="BD31" s="140"/>
      <c r="BE31" s="138" t="n">
        <f aca="false">IFERROR(ROUND($D31-V31-BF31,0),0)</f>
        <v>0</v>
      </c>
      <c r="BF31" s="139" t="n">
        <f aca="false">IFERROR(W31*$G31,0)</f>
        <v>0</v>
      </c>
      <c r="BG31" s="138" t="n">
        <f aca="false">IFERROR(ROUND($D31-X31-BH31,0),0)</f>
        <v>0</v>
      </c>
      <c r="BH31" s="139" t="n">
        <f aca="false">IFERROR(Y31*$G31,0)</f>
        <v>0</v>
      </c>
      <c r="BI31" s="140" t="n">
        <f aca="false">IFERROR(ROUND($D31-Z31-BJ31,0),0)</f>
        <v>0</v>
      </c>
      <c r="BJ31" s="139" t="n">
        <f aca="false">IFERROR(AA31*$G31,0)</f>
        <v>0</v>
      </c>
      <c r="BK31" s="140" t="n">
        <f aca="false">IFERROR(ROUND($D31-AB31-BL31,0),0)</f>
        <v>0</v>
      </c>
      <c r="BL31" s="139" t="n">
        <f aca="false">IFERROR(AC31*$G31,0)</f>
        <v>0</v>
      </c>
      <c r="BN31" s="142" t="n">
        <v>-4.95</v>
      </c>
      <c r="BO31" s="137"/>
      <c r="BP31" s="138" t="n">
        <v>-4.95</v>
      </c>
      <c r="BQ31" s="139" t="n">
        <v>0</v>
      </c>
      <c r="BR31" s="140"/>
      <c r="BS31" s="138" t="n">
        <v>0</v>
      </c>
      <c r="BT31" s="139" t="n">
        <v>0</v>
      </c>
      <c r="BU31" s="138" t="n">
        <v>0</v>
      </c>
      <c r="BV31" s="139" t="n">
        <v>0</v>
      </c>
      <c r="BW31" s="138" t="n">
        <v>0</v>
      </c>
      <c r="BX31" s="139" t="n">
        <v>0</v>
      </c>
      <c r="BY31" s="138" t="n">
        <v>0</v>
      </c>
      <c r="BZ31" s="139" t="n">
        <v>0</v>
      </c>
      <c r="CA31" s="140"/>
      <c r="CB31" s="138" t="n">
        <v>0</v>
      </c>
      <c r="CC31" s="139" t="n">
        <v>0</v>
      </c>
      <c r="CD31" s="138" t="n">
        <v>0</v>
      </c>
      <c r="CE31" s="139" t="n">
        <v>0</v>
      </c>
      <c r="CF31" s="138" t="n">
        <v>0</v>
      </c>
      <c r="CG31" s="139" t="n">
        <v>0</v>
      </c>
      <c r="CH31" s="138" t="n">
        <v>0</v>
      </c>
      <c r="CI31" s="139" t="n">
        <v>0</v>
      </c>
      <c r="CK31" s="143"/>
      <c r="CL31" s="137"/>
      <c r="CM31" s="144" t="str">
        <f aca="false">IFERROR(+$H31-($J31+$K31*$G31),"-")</f>
        <v>-</v>
      </c>
      <c r="CN31" s="137"/>
      <c r="CO31" s="144" t="str">
        <f aca="false">IFERROR(+$H31-($M31+$N31*$G31),"-")</f>
        <v>-</v>
      </c>
      <c r="CP31" s="144" t="str">
        <f aca="false">IFERROR(+$H31-($O31+$P31*$G31),"-")</f>
        <v>-</v>
      </c>
      <c r="CQ31" s="144" t="str">
        <f aca="false">IFERROR(+$H31-($Q31+$R31*$G31),"-")</f>
        <v>-</v>
      </c>
      <c r="CR31" s="144" t="str">
        <f aca="false">IFERROR(+$H31-($Q31+$R31*$G31),"-")</f>
        <v>-</v>
      </c>
      <c r="CS31" s="137"/>
      <c r="CT31" s="144" t="str">
        <f aca="false">IFERROR(+$H31-($V31+$W31*$G31),"-")</f>
        <v>-</v>
      </c>
      <c r="CU31" s="144" t="str">
        <f aca="false">IFERROR(+$H31-($X31+$Y31*$G31),"-")</f>
        <v>-</v>
      </c>
      <c r="CV31" s="144" t="str">
        <f aca="false">IFERROR(+$H31-($Z31+$AA31*$G31),"-")</f>
        <v>-</v>
      </c>
      <c r="CW31" s="144" t="str">
        <f aca="false">IFERROR(+$H31-($AB31+$AC31*$G31),"-")</f>
        <v>-</v>
      </c>
    </row>
    <row r="32" s="156" customFormat="true" ht="12.75" hidden="false" customHeight="true" outlineLevel="0" collapsed="false">
      <c r="A32" s="1"/>
      <c r="B32" s="145" t="s">
        <v>90</v>
      </c>
      <c r="C32" s="146" t="s">
        <v>101</v>
      </c>
      <c r="D32" s="147" t="e">
        <f aca="false">VLOOKUP($C32,#REF!,5,0)</f>
        <v>#VALUE!</v>
      </c>
      <c r="E32" s="148" t="e">
        <f aca="false">VLOOKUP($C32,#REF!,6,0)</f>
        <v>#VALUE!</v>
      </c>
      <c r="F32" s="146" t="e">
        <f aca="false">VLOOKUP($C32,#REF!,7,0)</f>
        <v>#VALUE!</v>
      </c>
      <c r="G32" s="146" t="e">
        <f aca="false">VLOOKUP($C32,#REF!,8,0)</f>
        <v>#VALUE!</v>
      </c>
      <c r="H32" s="149" t="e">
        <f aca="false">VLOOKUP($C32,#REF!,9,0)</f>
        <v>#VALUE!</v>
      </c>
      <c r="I32" s="137"/>
      <c r="J32" s="150" t="e">
        <f aca="false">VLOOKUP($C32,#REF!,10,0)</f>
        <v>#VALUE!</v>
      </c>
      <c r="K32" s="151" t="e">
        <f aca="false">VLOOKUP($C32,#REF!,11,0)</f>
        <v>#VALUE!</v>
      </c>
      <c r="L32" s="140"/>
      <c r="M32" s="150" t="e">
        <f aca="false">VLOOKUP($C32,#REF!,12,0)</f>
        <v>#VALUE!</v>
      </c>
      <c r="N32" s="152" t="e">
        <f aca="false">VLOOKUP($C32,#REF!,13,0)</f>
        <v>#VALUE!</v>
      </c>
      <c r="O32" s="150" t="e">
        <f aca="false">VLOOKUP($C32,#REF!,14,0)</f>
        <v>#VALUE!</v>
      </c>
      <c r="P32" s="152" t="e">
        <f aca="false">VLOOKUP($C32,#REF!,15,0)</f>
        <v>#VALUE!</v>
      </c>
      <c r="Q32" s="150" t="e">
        <f aca="false">VLOOKUP($C32,#REF!,16,0)</f>
        <v>#VALUE!</v>
      </c>
      <c r="R32" s="151" t="e">
        <f aca="false">VLOOKUP($C32,#REF!,17,0)</f>
        <v>#VALUE!</v>
      </c>
      <c r="S32" s="152" t="e">
        <f aca="false">VLOOKUP($C32,#REF!,18,0)</f>
        <v>#VALUE!</v>
      </c>
      <c r="T32" s="151" t="e">
        <f aca="false">VLOOKUP($C32,#REF!,19,0)</f>
        <v>#VALUE!</v>
      </c>
      <c r="U32" s="140"/>
      <c r="V32" s="150" t="e">
        <f aca="false">VLOOKUP($C32,#REF!,20,0)</f>
        <v>#VALUE!</v>
      </c>
      <c r="W32" s="152" t="e">
        <f aca="false">VLOOKUP($C32,#REF!,21,0)</f>
        <v>#VALUE!</v>
      </c>
      <c r="X32" s="150" t="e">
        <f aca="false">VLOOKUP($C32,#REF!,22,0)</f>
        <v>#VALUE!</v>
      </c>
      <c r="Y32" s="152" t="e">
        <f aca="false">VLOOKUP($C32,#REF!,23,0)</f>
        <v>#VALUE!</v>
      </c>
      <c r="Z32" s="150" t="e">
        <f aca="false">VLOOKUP($C32,#REF!,24,0)</f>
        <v>#VALUE!</v>
      </c>
      <c r="AA32" s="151" t="e">
        <f aca="false">VLOOKUP($C32,#REF!,25,0)</f>
        <v>#VALUE!</v>
      </c>
      <c r="AB32" s="152" t="e">
        <f aca="false">VLOOKUP($C32,#REF!,26,0)</f>
        <v>#VALUE!</v>
      </c>
      <c r="AC32" s="151" t="e">
        <f aca="false">VLOOKUP($C32,#REF!,27,0)</f>
        <v>#VALUE!</v>
      </c>
      <c r="AD32" s="1"/>
      <c r="AE32" s="150" t="e">
        <f aca="false">IF(M32="-","-","0,5 GB")</f>
        <v>#VALUE!</v>
      </c>
      <c r="AF32" s="153" t="s">
        <v>92</v>
      </c>
      <c r="AG32" s="153" t="s">
        <v>93</v>
      </c>
      <c r="AH32" s="151" t="s">
        <v>94</v>
      </c>
      <c r="AI32" s="1"/>
      <c r="AJ32" s="150" t="s">
        <v>95</v>
      </c>
      <c r="AK32" s="153" t="s">
        <v>96</v>
      </c>
      <c r="AL32" s="153" t="s">
        <v>97</v>
      </c>
      <c r="AM32" s="153" t="s">
        <v>98</v>
      </c>
      <c r="AN32" s="153" t="s">
        <v>98</v>
      </c>
      <c r="AO32" s="151" t="s">
        <v>92</v>
      </c>
      <c r="AP32" s="1"/>
      <c r="AQ32" s="154" t="n">
        <v>0</v>
      </c>
      <c r="AR32" s="137"/>
      <c r="AS32" s="150" t="n">
        <v>0</v>
      </c>
      <c r="AT32" s="151" t="n">
        <v>0</v>
      </c>
      <c r="AU32" s="140"/>
      <c r="AV32" s="150" t="n">
        <f aca="false">IFERROR(ROUND($D32-M32-AW32,0),0)</f>
        <v>0</v>
      </c>
      <c r="AW32" s="151" t="n">
        <f aca="false">IFERROR(N32*$G32,0)</f>
        <v>0</v>
      </c>
      <c r="AX32" s="150" t="n">
        <f aca="false">IFERROR(ROUND($D32-O32-AY32,0),0)</f>
        <v>0</v>
      </c>
      <c r="AY32" s="151" t="n">
        <f aca="false">IFERROR(P32*$G32,0)</f>
        <v>0</v>
      </c>
      <c r="AZ32" s="150" t="n">
        <f aca="false">IFERROR(ROUND($D32-Q32-BA32,0),0)</f>
        <v>0</v>
      </c>
      <c r="BA32" s="151" t="n">
        <f aca="false">IFERROR(R32*$G32,0)</f>
        <v>0</v>
      </c>
      <c r="BB32" s="152" t="n">
        <f aca="false">IFERROR(ROUND($D32-S32-BC32,0),0)</f>
        <v>0</v>
      </c>
      <c r="BC32" s="151" t="n">
        <f aca="false">IFERROR(T32*$G32,0)</f>
        <v>0</v>
      </c>
      <c r="BD32" s="140"/>
      <c r="BE32" s="150" t="n">
        <f aca="false">IFERROR(ROUND($D32-V32-BF32,0),0)</f>
        <v>0</v>
      </c>
      <c r="BF32" s="151" t="n">
        <f aca="false">IFERROR(W32*$G32,0)</f>
        <v>0</v>
      </c>
      <c r="BG32" s="150" t="n">
        <f aca="false">IFERROR(ROUND($D32-X32-BH32,0),0)</f>
        <v>0</v>
      </c>
      <c r="BH32" s="151" t="n">
        <f aca="false">IFERROR(Y32*$G32,0)</f>
        <v>0</v>
      </c>
      <c r="BI32" s="152" t="n">
        <f aca="false">IFERROR(ROUND($D32-Z32-BJ32,0),0)</f>
        <v>0</v>
      </c>
      <c r="BJ32" s="151" t="n">
        <f aca="false">IFERROR(AA32*$G32,0)</f>
        <v>0</v>
      </c>
      <c r="BK32" s="152" t="n">
        <f aca="false">IFERROR(ROUND($D32-AB32-BL32,0),0)</f>
        <v>0</v>
      </c>
      <c r="BL32" s="151" t="n">
        <f aca="false">IFERROR(AC32*$G32,0)</f>
        <v>0</v>
      </c>
      <c r="BM32" s="1"/>
      <c r="BN32" s="154" t="n">
        <v>0</v>
      </c>
      <c r="BO32" s="155"/>
      <c r="BP32" s="150" t="n">
        <v>0</v>
      </c>
      <c r="BQ32" s="151" t="n">
        <v>0</v>
      </c>
      <c r="BR32" s="152"/>
      <c r="BS32" s="150" t="n">
        <v>0</v>
      </c>
      <c r="BT32" s="151" t="n">
        <v>0</v>
      </c>
      <c r="BU32" s="150" t="n">
        <v>0</v>
      </c>
      <c r="BV32" s="151" t="n">
        <v>0</v>
      </c>
      <c r="BW32" s="150" t="n">
        <v>0</v>
      </c>
      <c r="BX32" s="151" t="n">
        <v>0</v>
      </c>
      <c r="BY32" s="150" t="n">
        <v>0</v>
      </c>
      <c r="BZ32" s="151" t="n">
        <v>0</v>
      </c>
      <c r="CA32" s="152"/>
      <c r="CB32" s="150" t="n">
        <v>0</v>
      </c>
      <c r="CC32" s="151" t="n">
        <v>0</v>
      </c>
      <c r="CD32" s="150" t="n">
        <v>0</v>
      </c>
      <c r="CE32" s="151" t="n">
        <v>0</v>
      </c>
      <c r="CF32" s="150" t="n">
        <v>0</v>
      </c>
      <c r="CG32" s="151" t="n">
        <v>0</v>
      </c>
      <c r="CH32" s="150" t="n">
        <v>0</v>
      </c>
      <c r="CI32" s="151" t="n">
        <v>0</v>
      </c>
      <c r="CJ32" s="1"/>
      <c r="CK32" s="149"/>
      <c r="CL32" s="137"/>
      <c r="CM32" s="154" t="str">
        <f aca="false">IFERROR(+$H32-($J32+$K32*$G32),"-")</f>
        <v>-</v>
      </c>
      <c r="CN32" s="137"/>
      <c r="CO32" s="154" t="str">
        <f aca="false">IFERROR(+$H32-($M32+$N32*$G32),"-")</f>
        <v>-</v>
      </c>
      <c r="CP32" s="154" t="str">
        <f aca="false">IFERROR(+$H32-($O32+$P32*$G32),"-")</f>
        <v>-</v>
      </c>
      <c r="CQ32" s="154" t="str">
        <f aca="false">IFERROR(+$H32-($Q32+$R32*$G32),"-")</f>
        <v>-</v>
      </c>
      <c r="CR32" s="154" t="str">
        <f aca="false">IFERROR(+$H32-($Q32+$R32*$G32),"-")</f>
        <v>-</v>
      </c>
      <c r="CS32" s="137"/>
      <c r="CT32" s="154" t="str">
        <f aca="false">IFERROR(+$H32-($V32+$W32*$G32),"-")</f>
        <v>-</v>
      </c>
      <c r="CU32" s="154" t="str">
        <f aca="false">IFERROR(+$H32-($X32+$Y32*$G32),"-")</f>
        <v>-</v>
      </c>
      <c r="CV32" s="154" t="str">
        <f aca="false">IFERROR(+$H32-($Z32+$AA32*$G32),"-")</f>
        <v>-</v>
      </c>
      <c r="CW32" s="154" t="str">
        <f aca="false">IFERROR(+$H32-($AB32+$AC32*$G32),"-")</f>
        <v>-</v>
      </c>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row>
    <row r="33" s="1" customFormat="true" ht="12.75" hidden="false" customHeight="true" outlineLevel="0" collapsed="false">
      <c r="B33" s="134" t="s">
        <v>90</v>
      </c>
      <c r="C33" s="135" t="s">
        <v>102</v>
      </c>
      <c r="D33" s="136" t="e">
        <f aca="false">VLOOKUP($C33,#REF!,5,0)</f>
        <v>#VALUE!</v>
      </c>
      <c r="E33" s="157" t="e">
        <f aca="false">VLOOKUP($C33,#REF!,6,0)</f>
        <v>#VALUE!</v>
      </c>
      <c r="F33" s="135" t="e">
        <f aca="false">VLOOKUP($C33,#REF!,7,0)</f>
        <v>#VALUE!</v>
      </c>
      <c r="G33" s="135" t="e">
        <f aca="false">VLOOKUP($C33,#REF!,8,0)</f>
        <v>#VALUE!</v>
      </c>
      <c r="H33" s="158" t="e">
        <f aca="false">VLOOKUP($C33,#REF!,9,0)</f>
        <v>#VALUE!</v>
      </c>
      <c r="I33" s="137"/>
      <c r="J33" s="138" t="e">
        <f aca="false">VLOOKUP($C33,#REF!,10,0)</f>
        <v>#VALUE!</v>
      </c>
      <c r="K33" s="139" t="e">
        <f aca="false">VLOOKUP($C33,#REF!,11,0)</f>
        <v>#VALUE!</v>
      </c>
      <c r="L33" s="140"/>
      <c r="M33" s="138" t="e">
        <f aca="false">VLOOKUP($C33,#REF!,12,0)</f>
        <v>#VALUE!</v>
      </c>
      <c r="N33" s="140" t="e">
        <f aca="false">VLOOKUP($C33,#REF!,13,0)</f>
        <v>#VALUE!</v>
      </c>
      <c r="O33" s="138" t="e">
        <f aca="false">VLOOKUP($C33,#REF!,14,0)</f>
        <v>#VALUE!</v>
      </c>
      <c r="P33" s="140" t="e">
        <f aca="false">VLOOKUP($C33,#REF!,15,0)</f>
        <v>#VALUE!</v>
      </c>
      <c r="Q33" s="138" t="e">
        <f aca="false">VLOOKUP($C33,#REF!,16,0)</f>
        <v>#VALUE!</v>
      </c>
      <c r="R33" s="139" t="e">
        <f aca="false">VLOOKUP($C33,#REF!,17,0)</f>
        <v>#VALUE!</v>
      </c>
      <c r="S33" s="140" t="e">
        <f aca="false">VLOOKUP($C33,#REF!,18,0)</f>
        <v>#VALUE!</v>
      </c>
      <c r="T33" s="139" t="e">
        <f aca="false">VLOOKUP($C33,#REF!,19,0)</f>
        <v>#VALUE!</v>
      </c>
      <c r="U33" s="140"/>
      <c r="V33" s="138" t="e">
        <f aca="false">VLOOKUP($C33,#REF!,20,0)</f>
        <v>#VALUE!</v>
      </c>
      <c r="W33" s="140" t="e">
        <f aca="false">VLOOKUP($C33,#REF!,21,0)</f>
        <v>#VALUE!</v>
      </c>
      <c r="X33" s="138" t="e">
        <f aca="false">VLOOKUP($C33,#REF!,22,0)</f>
        <v>#VALUE!</v>
      </c>
      <c r="Y33" s="140" t="e">
        <f aca="false">VLOOKUP($C33,#REF!,23,0)</f>
        <v>#VALUE!</v>
      </c>
      <c r="Z33" s="138" t="e">
        <f aca="false">VLOOKUP($C33,#REF!,24,0)</f>
        <v>#VALUE!</v>
      </c>
      <c r="AA33" s="139" t="e">
        <f aca="false">VLOOKUP($C33,#REF!,25,0)</f>
        <v>#VALUE!</v>
      </c>
      <c r="AB33" s="140" t="e">
        <f aca="false">VLOOKUP($C33,#REF!,26,0)</f>
        <v>#VALUE!</v>
      </c>
      <c r="AC33" s="139" t="e">
        <f aca="false">VLOOKUP($C33,#REF!,27,0)</f>
        <v>#VALUE!</v>
      </c>
      <c r="AE33" s="138" t="e">
        <f aca="false">IF(M33="-","-","0,5 GB")</f>
        <v>#VALUE!</v>
      </c>
      <c r="AF33" s="141" t="s">
        <v>92</v>
      </c>
      <c r="AG33" s="141" t="s">
        <v>93</v>
      </c>
      <c r="AH33" s="139" t="s">
        <v>94</v>
      </c>
      <c r="AJ33" s="138" t="s">
        <v>95</v>
      </c>
      <c r="AK33" s="141" t="s">
        <v>96</v>
      </c>
      <c r="AL33" s="141" t="s">
        <v>97</v>
      </c>
      <c r="AM33" s="141" t="s">
        <v>98</v>
      </c>
      <c r="AN33" s="141" t="s">
        <v>98</v>
      </c>
      <c r="AO33" s="139" t="s">
        <v>92</v>
      </c>
      <c r="AQ33" s="142" t="n">
        <v>33</v>
      </c>
      <c r="AR33" s="137"/>
      <c r="AS33" s="138" t="n">
        <v>0</v>
      </c>
      <c r="AT33" s="139" t="n">
        <v>0</v>
      </c>
      <c r="AU33" s="140"/>
      <c r="AV33" s="138" t="n">
        <f aca="false">IFERROR(ROUND($D33-M33-AW33,0),0)</f>
        <v>0</v>
      </c>
      <c r="AW33" s="139" t="n">
        <f aca="false">IFERROR(N33*$G33,0)</f>
        <v>0</v>
      </c>
      <c r="AX33" s="138" t="n">
        <f aca="false">IFERROR(ROUND($D33-O33-AY33,0),0)</f>
        <v>0</v>
      </c>
      <c r="AY33" s="139" t="n">
        <f aca="false">IFERROR(P33*$G33,0)</f>
        <v>0</v>
      </c>
      <c r="AZ33" s="138" t="n">
        <f aca="false">IFERROR(ROUND($D33-Q33-BA33,0),0)</f>
        <v>0</v>
      </c>
      <c r="BA33" s="139" t="n">
        <f aca="false">IFERROR(R33*$G33,0)</f>
        <v>0</v>
      </c>
      <c r="BB33" s="140" t="n">
        <f aca="false">IFERROR(ROUND($D33-S33-BC33,0),0)</f>
        <v>0</v>
      </c>
      <c r="BC33" s="139" t="n">
        <f aca="false">IFERROR(T33*$G33,0)</f>
        <v>0</v>
      </c>
      <c r="BD33" s="140"/>
      <c r="BE33" s="138" t="n">
        <f aca="false">IFERROR(ROUND($D33-V33-BF33,0),0)</f>
        <v>0</v>
      </c>
      <c r="BF33" s="139" t="n">
        <f aca="false">IFERROR(W33*$G33,0)</f>
        <v>0</v>
      </c>
      <c r="BG33" s="138" t="n">
        <f aca="false">IFERROR(ROUND($D33-X33-BH33,0),0)</f>
        <v>0</v>
      </c>
      <c r="BH33" s="139" t="n">
        <f aca="false">IFERROR(Y33*$G33,0)</f>
        <v>0</v>
      </c>
      <c r="BI33" s="140" t="n">
        <f aca="false">IFERROR(ROUND($D33-Z33-BJ33,0),0)</f>
        <v>0</v>
      </c>
      <c r="BJ33" s="139" t="n">
        <f aca="false">IFERROR(AA33*$G33,0)</f>
        <v>0</v>
      </c>
      <c r="BK33" s="140" t="n">
        <f aca="false">IFERROR(ROUND($D33-AB33-BL33,0),0)</f>
        <v>0</v>
      </c>
      <c r="BL33" s="139" t="n">
        <f aca="false">IFERROR(AC33*$G33,0)</f>
        <v>0</v>
      </c>
      <c r="BN33" s="142" t="n">
        <v>0</v>
      </c>
      <c r="BO33" s="137"/>
      <c r="BP33" s="138" t="n">
        <v>0</v>
      </c>
      <c r="BQ33" s="139" t="n">
        <v>0</v>
      </c>
      <c r="BR33" s="140"/>
      <c r="BS33" s="138" t="n">
        <v>0</v>
      </c>
      <c r="BT33" s="139" t="n">
        <v>0</v>
      </c>
      <c r="BU33" s="138" t="n">
        <v>0</v>
      </c>
      <c r="BV33" s="139" t="n">
        <v>0</v>
      </c>
      <c r="BW33" s="138" t="n">
        <v>0</v>
      </c>
      <c r="BX33" s="139" t="n">
        <v>0</v>
      </c>
      <c r="BY33" s="138" t="n">
        <v>0</v>
      </c>
      <c r="BZ33" s="139" t="n">
        <v>0</v>
      </c>
      <c r="CA33" s="140"/>
      <c r="CB33" s="138" t="n">
        <v>0</v>
      </c>
      <c r="CC33" s="139" t="n">
        <v>0</v>
      </c>
      <c r="CD33" s="138" t="n">
        <v>0</v>
      </c>
      <c r="CE33" s="139" t="n">
        <v>0</v>
      </c>
      <c r="CF33" s="138" t="n">
        <v>0</v>
      </c>
      <c r="CG33" s="139" t="n">
        <v>0</v>
      </c>
      <c r="CH33" s="138" t="n">
        <v>0</v>
      </c>
      <c r="CI33" s="139" t="n">
        <v>0</v>
      </c>
      <c r="CK33" s="143"/>
      <c r="CL33" s="137"/>
      <c r="CM33" s="144" t="str">
        <f aca="false">IFERROR(+$H33-($J33+$K33*$G33),"-")</f>
        <v>-</v>
      </c>
      <c r="CN33" s="137"/>
      <c r="CO33" s="144" t="str">
        <f aca="false">IFERROR(+$H33-($M33+$N33*$G33),"-")</f>
        <v>-</v>
      </c>
      <c r="CP33" s="144" t="str">
        <f aca="false">IFERROR(+$H33-($O33+$P33*$G33),"-")</f>
        <v>-</v>
      </c>
      <c r="CQ33" s="144" t="str">
        <f aca="false">IFERROR(+$H33-($Q33+$R33*$G33),"-")</f>
        <v>-</v>
      </c>
      <c r="CR33" s="144" t="str">
        <f aca="false">IFERROR(+$H33-($Q33+$R33*$G33),"-")</f>
        <v>-</v>
      </c>
      <c r="CS33" s="137"/>
      <c r="CT33" s="144" t="str">
        <f aca="false">IFERROR(+$H33-($V33+$W33*$G33),"-")</f>
        <v>-</v>
      </c>
      <c r="CU33" s="144" t="str">
        <f aca="false">IFERROR(+$H33-($X33+$Y33*$G33),"-")</f>
        <v>-</v>
      </c>
      <c r="CV33" s="144" t="str">
        <f aca="false">IFERROR(+$H33-($Z33+$AA33*$G33),"-")</f>
        <v>-</v>
      </c>
      <c r="CW33" s="144" t="str">
        <f aca="false">IFERROR(+$H33-($AB33+$AC33*$G33),"-")</f>
        <v>-</v>
      </c>
    </row>
    <row r="34" s="156" customFormat="true" ht="12.75" hidden="false" customHeight="true" outlineLevel="0" collapsed="false">
      <c r="A34" s="1"/>
      <c r="B34" s="145" t="s">
        <v>90</v>
      </c>
      <c r="C34" s="146" t="s">
        <v>103</v>
      </c>
      <c r="D34" s="147" t="e">
        <f aca="false">VLOOKUP($C34,#REF!,5,0)</f>
        <v>#VALUE!</v>
      </c>
      <c r="E34" s="148" t="e">
        <f aca="false">VLOOKUP($C34,#REF!,6,0)</f>
        <v>#VALUE!</v>
      </c>
      <c r="F34" s="146" t="e">
        <f aca="false">VLOOKUP($C34,#REF!,7,0)</f>
        <v>#VALUE!</v>
      </c>
      <c r="G34" s="146" t="e">
        <f aca="false">VLOOKUP($C34,#REF!,8,0)</f>
        <v>#VALUE!</v>
      </c>
      <c r="H34" s="149" t="e">
        <f aca="false">VLOOKUP($C34,#REF!,9,0)</f>
        <v>#VALUE!</v>
      </c>
      <c r="I34" s="137"/>
      <c r="J34" s="150" t="e">
        <f aca="false">VLOOKUP($C34,#REF!,10,0)</f>
        <v>#VALUE!</v>
      </c>
      <c r="K34" s="151" t="e">
        <f aca="false">VLOOKUP($C34,#REF!,11,0)</f>
        <v>#VALUE!</v>
      </c>
      <c r="L34" s="140"/>
      <c r="M34" s="150" t="e">
        <f aca="false">VLOOKUP($C34,#REF!,12,0)</f>
        <v>#VALUE!</v>
      </c>
      <c r="N34" s="152" t="e">
        <f aca="false">VLOOKUP($C34,#REF!,13,0)</f>
        <v>#VALUE!</v>
      </c>
      <c r="O34" s="150" t="e">
        <f aca="false">VLOOKUP($C34,#REF!,14,0)</f>
        <v>#VALUE!</v>
      </c>
      <c r="P34" s="152" t="e">
        <f aca="false">VLOOKUP($C34,#REF!,15,0)</f>
        <v>#VALUE!</v>
      </c>
      <c r="Q34" s="150" t="e">
        <f aca="false">VLOOKUP($C34,#REF!,16,0)</f>
        <v>#VALUE!</v>
      </c>
      <c r="R34" s="151" t="e">
        <f aca="false">VLOOKUP($C34,#REF!,17,0)</f>
        <v>#VALUE!</v>
      </c>
      <c r="S34" s="152" t="e">
        <f aca="false">VLOOKUP($C34,#REF!,18,0)</f>
        <v>#VALUE!</v>
      </c>
      <c r="T34" s="151" t="e">
        <f aca="false">VLOOKUP($C34,#REF!,19,0)</f>
        <v>#VALUE!</v>
      </c>
      <c r="U34" s="140"/>
      <c r="V34" s="150" t="e">
        <f aca="false">VLOOKUP($C34,#REF!,20,0)</f>
        <v>#VALUE!</v>
      </c>
      <c r="W34" s="152" t="e">
        <f aca="false">VLOOKUP($C34,#REF!,21,0)</f>
        <v>#VALUE!</v>
      </c>
      <c r="X34" s="150" t="e">
        <f aca="false">VLOOKUP($C34,#REF!,22,0)</f>
        <v>#VALUE!</v>
      </c>
      <c r="Y34" s="152" t="e">
        <f aca="false">VLOOKUP($C34,#REF!,23,0)</f>
        <v>#VALUE!</v>
      </c>
      <c r="Z34" s="150" t="e">
        <f aca="false">VLOOKUP($C34,#REF!,24,0)</f>
        <v>#VALUE!</v>
      </c>
      <c r="AA34" s="151" t="e">
        <f aca="false">VLOOKUP($C34,#REF!,25,0)</f>
        <v>#VALUE!</v>
      </c>
      <c r="AB34" s="152" t="e">
        <f aca="false">VLOOKUP($C34,#REF!,26,0)</f>
        <v>#VALUE!</v>
      </c>
      <c r="AC34" s="151" t="e">
        <f aca="false">VLOOKUP($C34,#REF!,27,0)</f>
        <v>#VALUE!</v>
      </c>
      <c r="AD34" s="1"/>
      <c r="AE34" s="150" t="e">
        <f aca="false">IF(M34="-","-","0,5 GB")</f>
        <v>#VALUE!</v>
      </c>
      <c r="AF34" s="153" t="s">
        <v>92</v>
      </c>
      <c r="AG34" s="153" t="s">
        <v>93</v>
      </c>
      <c r="AH34" s="151" t="s">
        <v>94</v>
      </c>
      <c r="AI34" s="1"/>
      <c r="AJ34" s="150" t="s">
        <v>95</v>
      </c>
      <c r="AK34" s="153" t="s">
        <v>96</v>
      </c>
      <c r="AL34" s="153" t="s">
        <v>97</v>
      </c>
      <c r="AM34" s="153" t="s">
        <v>98</v>
      </c>
      <c r="AN34" s="153" t="s">
        <v>98</v>
      </c>
      <c r="AO34" s="151" t="s">
        <v>92</v>
      </c>
      <c r="AP34" s="1"/>
      <c r="AQ34" s="154" t="n">
        <v>8</v>
      </c>
      <c r="AR34" s="137"/>
      <c r="AS34" s="150" t="n">
        <v>0</v>
      </c>
      <c r="AT34" s="151" t="n">
        <v>0</v>
      </c>
      <c r="AU34" s="140"/>
      <c r="AV34" s="150" t="n">
        <f aca="false">IFERROR(ROUND($D34-M34-AW34,0),0)</f>
        <v>0</v>
      </c>
      <c r="AW34" s="151" t="n">
        <f aca="false">IFERROR(N34*$G34,0)</f>
        <v>0</v>
      </c>
      <c r="AX34" s="150" t="n">
        <f aca="false">IFERROR(ROUND($D34-O34-AY34,0),0)</f>
        <v>0</v>
      </c>
      <c r="AY34" s="151" t="n">
        <f aca="false">IFERROR(P34*$G34,0)</f>
        <v>0</v>
      </c>
      <c r="AZ34" s="150" t="n">
        <f aca="false">IFERROR(ROUND($D34-Q34-BA34,0),0)</f>
        <v>0</v>
      </c>
      <c r="BA34" s="151" t="n">
        <f aca="false">IFERROR(R34*$G34,0)</f>
        <v>0</v>
      </c>
      <c r="BB34" s="152" t="n">
        <f aca="false">IFERROR(ROUND($D34-S34-BC34,0),0)</f>
        <v>0</v>
      </c>
      <c r="BC34" s="151" t="n">
        <f aca="false">IFERROR(T34*$G34,0)</f>
        <v>0</v>
      </c>
      <c r="BD34" s="140"/>
      <c r="BE34" s="150" t="n">
        <f aca="false">IFERROR(ROUND($D34-V34-BF34,0),0)</f>
        <v>0</v>
      </c>
      <c r="BF34" s="151" t="n">
        <f aca="false">IFERROR(W34*$G34,0)</f>
        <v>0</v>
      </c>
      <c r="BG34" s="150" t="n">
        <f aca="false">IFERROR(ROUND($D34-X34-BH34,0),0)</f>
        <v>0</v>
      </c>
      <c r="BH34" s="151" t="n">
        <f aca="false">IFERROR(Y34*$G34,0)</f>
        <v>0</v>
      </c>
      <c r="BI34" s="152" t="n">
        <f aca="false">IFERROR(ROUND($D34-Z34-BJ34,0),0)</f>
        <v>0</v>
      </c>
      <c r="BJ34" s="151" t="n">
        <f aca="false">IFERROR(AA34*$G34,0)</f>
        <v>0</v>
      </c>
      <c r="BK34" s="152" t="n">
        <f aca="false">IFERROR(ROUND($D34-AB34-BL34,0),0)</f>
        <v>0</v>
      </c>
      <c r="BL34" s="151" t="n">
        <f aca="false">IFERROR(AC34*$G34,0)</f>
        <v>0</v>
      </c>
      <c r="BM34" s="1"/>
      <c r="BN34" s="154" t="e">
        <f aca="false">#N/A</f>
        <v>#N/A</v>
      </c>
      <c r="BO34" s="155"/>
      <c r="BP34" s="150" t="e">
        <f aca="false">#N/A</f>
        <v>#N/A</v>
      </c>
      <c r="BQ34" s="151" t="e">
        <f aca="false">#N/A</f>
        <v>#N/A</v>
      </c>
      <c r="BR34" s="152"/>
      <c r="BS34" s="150" t="e">
        <f aca="false">#N/A</f>
        <v>#N/A</v>
      </c>
      <c r="BT34" s="151" t="e">
        <f aca="false">#N/A</f>
        <v>#N/A</v>
      </c>
      <c r="BU34" s="150" t="e">
        <f aca="false">#N/A</f>
        <v>#N/A</v>
      </c>
      <c r="BV34" s="151" t="e">
        <f aca="false">#N/A</f>
        <v>#N/A</v>
      </c>
      <c r="BW34" s="150" t="e">
        <f aca="false">#N/A</f>
        <v>#N/A</v>
      </c>
      <c r="BX34" s="151" t="e">
        <f aca="false">#N/A</f>
        <v>#N/A</v>
      </c>
      <c r="BY34" s="150" t="e">
        <f aca="false">#N/A</f>
        <v>#N/A</v>
      </c>
      <c r="BZ34" s="151" t="e">
        <f aca="false">#N/A</f>
        <v>#N/A</v>
      </c>
      <c r="CA34" s="152"/>
      <c r="CB34" s="150" t="e">
        <f aca="false">#N/A</f>
        <v>#N/A</v>
      </c>
      <c r="CC34" s="151" t="e">
        <f aca="false">#N/A</f>
        <v>#N/A</v>
      </c>
      <c r="CD34" s="150" t="e">
        <f aca="false">#N/A</f>
        <v>#N/A</v>
      </c>
      <c r="CE34" s="151" t="e">
        <f aca="false">#N/A</f>
        <v>#N/A</v>
      </c>
      <c r="CF34" s="150" t="e">
        <f aca="false">#N/A</f>
        <v>#N/A</v>
      </c>
      <c r="CG34" s="151" t="e">
        <f aca="false">#N/A</f>
        <v>#N/A</v>
      </c>
      <c r="CH34" s="150" t="e">
        <f aca="false">#N/A</f>
        <v>#N/A</v>
      </c>
      <c r="CI34" s="151" t="e">
        <f aca="false">#N/A</f>
        <v>#N/A</v>
      </c>
      <c r="CJ34" s="1"/>
      <c r="CK34" s="149"/>
      <c r="CL34" s="137"/>
      <c r="CM34" s="154" t="str">
        <f aca="false">IFERROR(+$H34-($J34+$K34*$G34),"-")</f>
        <v>-</v>
      </c>
      <c r="CN34" s="137"/>
      <c r="CO34" s="154" t="str">
        <f aca="false">IFERROR(+$H34-($M34+$N34*$G34),"-")</f>
        <v>-</v>
      </c>
      <c r="CP34" s="154" t="str">
        <f aca="false">IFERROR(+$H34-($O34+$P34*$G34),"-")</f>
        <v>-</v>
      </c>
      <c r="CQ34" s="154" t="str">
        <f aca="false">IFERROR(+$H34-($Q34+$R34*$G34),"-")</f>
        <v>-</v>
      </c>
      <c r="CR34" s="154" t="str">
        <f aca="false">IFERROR(+$H34-($Q34+$R34*$G34),"-")</f>
        <v>-</v>
      </c>
      <c r="CS34" s="137"/>
      <c r="CT34" s="154" t="str">
        <f aca="false">IFERROR(+$H34-($V34+$W34*$G34),"-")</f>
        <v>-</v>
      </c>
      <c r="CU34" s="154" t="str">
        <f aca="false">IFERROR(+$H34-($X34+$Y34*$G34),"-")</f>
        <v>-</v>
      </c>
      <c r="CV34" s="154" t="str">
        <f aca="false">IFERROR(+$H34-($Z34+$AA34*$G34),"-")</f>
        <v>-</v>
      </c>
      <c r="CW34" s="154" t="str">
        <f aca="false">IFERROR(+$H34-($AB34+$AC34*$G34),"-")</f>
        <v>-</v>
      </c>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row>
    <row r="35" s="1" customFormat="true" ht="12.75" hidden="false" customHeight="true" outlineLevel="0" collapsed="false">
      <c r="B35" s="134" t="s">
        <v>90</v>
      </c>
      <c r="C35" s="135" t="s">
        <v>104</v>
      </c>
      <c r="D35" s="136" t="e">
        <f aca="false">VLOOKUP($C35,#REF!,5,0)</f>
        <v>#VALUE!</v>
      </c>
      <c r="E35" s="157" t="e">
        <f aca="false">VLOOKUP($C35,#REF!,6,0)</f>
        <v>#VALUE!</v>
      </c>
      <c r="F35" s="135" t="e">
        <f aca="false">VLOOKUP($C35,#REF!,7,0)</f>
        <v>#VALUE!</v>
      </c>
      <c r="G35" s="135" t="e">
        <f aca="false">VLOOKUP($C35,#REF!,8,0)</f>
        <v>#VALUE!</v>
      </c>
      <c r="H35" s="158" t="e">
        <f aca="false">VLOOKUP($C35,#REF!,9,0)</f>
        <v>#VALUE!</v>
      </c>
      <c r="I35" s="137"/>
      <c r="J35" s="138" t="e">
        <f aca="false">VLOOKUP($C35,#REF!,10,0)</f>
        <v>#VALUE!</v>
      </c>
      <c r="K35" s="139" t="e">
        <f aca="false">VLOOKUP($C35,#REF!,11,0)</f>
        <v>#VALUE!</v>
      </c>
      <c r="L35" s="140"/>
      <c r="M35" s="138" t="e">
        <f aca="false">VLOOKUP($C35,#REF!,12,0)</f>
        <v>#VALUE!</v>
      </c>
      <c r="N35" s="140" t="e">
        <f aca="false">VLOOKUP($C35,#REF!,13,0)</f>
        <v>#VALUE!</v>
      </c>
      <c r="O35" s="138" t="e">
        <f aca="false">VLOOKUP($C35,#REF!,14,0)</f>
        <v>#VALUE!</v>
      </c>
      <c r="P35" s="140" t="e">
        <f aca="false">VLOOKUP($C35,#REF!,15,0)</f>
        <v>#VALUE!</v>
      </c>
      <c r="Q35" s="138" t="e">
        <f aca="false">VLOOKUP($C35,#REF!,16,0)</f>
        <v>#VALUE!</v>
      </c>
      <c r="R35" s="139" t="e">
        <f aca="false">VLOOKUP($C35,#REF!,17,0)</f>
        <v>#VALUE!</v>
      </c>
      <c r="S35" s="140" t="e">
        <f aca="false">VLOOKUP($C35,#REF!,18,0)</f>
        <v>#VALUE!</v>
      </c>
      <c r="T35" s="139" t="e">
        <f aca="false">VLOOKUP($C35,#REF!,19,0)</f>
        <v>#VALUE!</v>
      </c>
      <c r="U35" s="140"/>
      <c r="V35" s="138" t="e">
        <f aca="false">VLOOKUP($C35,#REF!,20,0)</f>
        <v>#VALUE!</v>
      </c>
      <c r="W35" s="140" t="e">
        <f aca="false">VLOOKUP($C35,#REF!,21,0)</f>
        <v>#VALUE!</v>
      </c>
      <c r="X35" s="138" t="e">
        <f aca="false">VLOOKUP($C35,#REF!,22,0)</f>
        <v>#VALUE!</v>
      </c>
      <c r="Y35" s="140" t="e">
        <f aca="false">VLOOKUP($C35,#REF!,23,0)</f>
        <v>#VALUE!</v>
      </c>
      <c r="Z35" s="138" t="e">
        <f aca="false">VLOOKUP($C35,#REF!,24,0)</f>
        <v>#VALUE!</v>
      </c>
      <c r="AA35" s="139" t="e">
        <f aca="false">VLOOKUP($C35,#REF!,25,0)</f>
        <v>#VALUE!</v>
      </c>
      <c r="AB35" s="140" t="e">
        <f aca="false">VLOOKUP($C35,#REF!,26,0)</f>
        <v>#VALUE!</v>
      </c>
      <c r="AC35" s="139" t="e">
        <f aca="false">VLOOKUP($C35,#REF!,27,0)</f>
        <v>#VALUE!</v>
      </c>
      <c r="AE35" s="138" t="e">
        <f aca="false">IF(M35="-","-","0,5 GB")</f>
        <v>#VALUE!</v>
      </c>
      <c r="AF35" s="141" t="s">
        <v>92</v>
      </c>
      <c r="AG35" s="141" t="s">
        <v>93</v>
      </c>
      <c r="AH35" s="139" t="s">
        <v>94</v>
      </c>
      <c r="AJ35" s="138" t="s">
        <v>95</v>
      </c>
      <c r="AK35" s="141" t="s">
        <v>96</v>
      </c>
      <c r="AL35" s="141" t="s">
        <v>97</v>
      </c>
      <c r="AM35" s="141" t="s">
        <v>98</v>
      </c>
      <c r="AN35" s="141" t="s">
        <v>98</v>
      </c>
      <c r="AO35" s="139" t="s">
        <v>92</v>
      </c>
      <c r="AQ35" s="142" t="n">
        <v>17</v>
      </c>
      <c r="AR35" s="137"/>
      <c r="AS35" s="138" t="n">
        <v>0</v>
      </c>
      <c r="AT35" s="139" t="n">
        <v>0</v>
      </c>
      <c r="AU35" s="140"/>
      <c r="AV35" s="138" t="n">
        <f aca="false">IFERROR(ROUND($D35-M35-AW35,0),0)</f>
        <v>0</v>
      </c>
      <c r="AW35" s="139" t="n">
        <f aca="false">IFERROR(N35*$G35,0)</f>
        <v>0</v>
      </c>
      <c r="AX35" s="138" t="n">
        <f aca="false">IFERROR(ROUND($D35-O35-AY35,0),0)</f>
        <v>0</v>
      </c>
      <c r="AY35" s="139" t="n">
        <f aca="false">IFERROR(P35*$G35,0)</f>
        <v>0</v>
      </c>
      <c r="AZ35" s="138" t="n">
        <f aca="false">IFERROR(ROUND($D35-Q35-BA35,0),0)</f>
        <v>0</v>
      </c>
      <c r="BA35" s="139" t="n">
        <f aca="false">IFERROR(R35*$G35,0)</f>
        <v>0</v>
      </c>
      <c r="BB35" s="140" t="n">
        <f aca="false">IFERROR(ROUND($D35-S35-BC35,0),0)</f>
        <v>0</v>
      </c>
      <c r="BC35" s="139" t="n">
        <f aca="false">IFERROR(T35*$G35,0)</f>
        <v>0</v>
      </c>
      <c r="BD35" s="140"/>
      <c r="BE35" s="138" t="n">
        <f aca="false">IFERROR(ROUND($D35-V35-BF35,0),0)</f>
        <v>0</v>
      </c>
      <c r="BF35" s="139" t="n">
        <f aca="false">IFERROR(W35*$G35,0)</f>
        <v>0</v>
      </c>
      <c r="BG35" s="138" t="n">
        <f aca="false">IFERROR(ROUND($D35-X35-BH35,0),0)</f>
        <v>0</v>
      </c>
      <c r="BH35" s="139" t="n">
        <f aca="false">IFERROR(Y35*$G35,0)</f>
        <v>0</v>
      </c>
      <c r="BI35" s="140" t="n">
        <f aca="false">IFERROR(ROUND($D35-Z35-BJ35,0),0)</f>
        <v>0</v>
      </c>
      <c r="BJ35" s="139" t="n">
        <f aca="false">IFERROR(AA35*$G35,0)</f>
        <v>0</v>
      </c>
      <c r="BK35" s="140" t="n">
        <f aca="false">IFERROR(ROUND($D35-AB35-BL35,0),0)</f>
        <v>0</v>
      </c>
      <c r="BL35" s="139" t="n">
        <f aca="false">IFERROR(AC35*$G35,0)</f>
        <v>0</v>
      </c>
      <c r="BN35" s="142" t="n">
        <v>8.26000000000001</v>
      </c>
      <c r="BO35" s="137"/>
      <c r="BP35" s="138" t="n">
        <v>8.26000000000001</v>
      </c>
      <c r="BQ35" s="139" t="n">
        <v>0</v>
      </c>
      <c r="BR35" s="140"/>
      <c r="BS35" s="138" t="n">
        <v>0</v>
      </c>
      <c r="BT35" s="139" t="n">
        <v>0</v>
      </c>
      <c r="BU35" s="138" t="n">
        <v>0</v>
      </c>
      <c r="BV35" s="139" t="n">
        <v>0</v>
      </c>
      <c r="BW35" s="138" t="n">
        <v>0</v>
      </c>
      <c r="BX35" s="139" t="n">
        <v>0</v>
      </c>
      <c r="BY35" s="138" t="n">
        <v>0</v>
      </c>
      <c r="BZ35" s="139" t="n">
        <v>0</v>
      </c>
      <c r="CA35" s="140"/>
      <c r="CB35" s="138" t="n">
        <v>0</v>
      </c>
      <c r="CC35" s="139" t="n">
        <v>0</v>
      </c>
      <c r="CD35" s="138" t="n">
        <v>0</v>
      </c>
      <c r="CE35" s="139" t="n">
        <v>0</v>
      </c>
      <c r="CF35" s="138" t="n">
        <v>0</v>
      </c>
      <c r="CG35" s="139" t="n">
        <v>0</v>
      </c>
      <c r="CH35" s="138" t="n">
        <v>0</v>
      </c>
      <c r="CI35" s="139" t="n">
        <v>0</v>
      </c>
      <c r="CK35" s="143"/>
      <c r="CL35" s="137"/>
      <c r="CM35" s="144" t="str">
        <f aca="false">IFERROR(+$H35-($J35+$K35*$G35),"-")</f>
        <v>-</v>
      </c>
      <c r="CN35" s="137"/>
      <c r="CO35" s="144" t="str">
        <f aca="false">IFERROR(+$H35-($M35+$N35*$G35),"-")</f>
        <v>-</v>
      </c>
      <c r="CP35" s="144" t="str">
        <f aca="false">IFERROR(+$H35-($O35+$P35*$G35),"-")</f>
        <v>-</v>
      </c>
      <c r="CQ35" s="144" t="str">
        <f aca="false">IFERROR(+$H35-($Q35+$R35*$G35),"-")</f>
        <v>-</v>
      </c>
      <c r="CR35" s="144" t="str">
        <f aca="false">IFERROR(+$H35-($Q35+$R35*$G35),"-")</f>
        <v>-</v>
      </c>
      <c r="CS35" s="137"/>
      <c r="CT35" s="144" t="str">
        <f aca="false">IFERROR(+$H35-($V35+$W35*$G35),"-")</f>
        <v>-</v>
      </c>
      <c r="CU35" s="144" t="str">
        <f aca="false">IFERROR(+$H35-($X35+$Y35*$G35),"-")</f>
        <v>-</v>
      </c>
      <c r="CV35" s="144" t="str">
        <f aca="false">IFERROR(+$H35-($Z35+$AA35*$G35),"-")</f>
        <v>-</v>
      </c>
      <c r="CW35" s="144" t="str">
        <f aca="false">IFERROR(+$H35-($AB35+$AC35*$G35),"-")</f>
        <v>-</v>
      </c>
    </row>
    <row r="36" s="156" customFormat="true" ht="12.75" hidden="false" customHeight="true" outlineLevel="0" collapsed="false">
      <c r="A36" s="1"/>
      <c r="B36" s="145" t="s">
        <v>90</v>
      </c>
      <c r="C36" s="146" t="s">
        <v>105</v>
      </c>
      <c r="D36" s="147" t="e">
        <f aca="false">VLOOKUP($C36,#REF!,5,0)</f>
        <v>#VALUE!</v>
      </c>
      <c r="E36" s="148" t="e">
        <f aca="false">VLOOKUP($C36,#REF!,6,0)</f>
        <v>#VALUE!</v>
      </c>
      <c r="F36" s="146" t="e">
        <f aca="false">VLOOKUP($C36,#REF!,7,0)</f>
        <v>#VALUE!</v>
      </c>
      <c r="G36" s="146" t="e">
        <f aca="false">VLOOKUP($C36,#REF!,8,0)</f>
        <v>#VALUE!</v>
      </c>
      <c r="H36" s="149" t="e">
        <f aca="false">VLOOKUP($C36,#REF!,9,0)</f>
        <v>#VALUE!</v>
      </c>
      <c r="I36" s="137"/>
      <c r="J36" s="150" t="e">
        <f aca="false">VLOOKUP($C36,#REF!,10,0)</f>
        <v>#VALUE!</v>
      </c>
      <c r="K36" s="151" t="e">
        <f aca="false">VLOOKUP($C36,#REF!,11,0)</f>
        <v>#VALUE!</v>
      </c>
      <c r="L36" s="140"/>
      <c r="M36" s="150" t="e">
        <f aca="false">VLOOKUP($C36,#REF!,12,0)</f>
        <v>#VALUE!</v>
      </c>
      <c r="N36" s="152" t="e">
        <f aca="false">VLOOKUP($C36,#REF!,13,0)</f>
        <v>#VALUE!</v>
      </c>
      <c r="O36" s="150" t="e">
        <f aca="false">VLOOKUP($C36,#REF!,14,0)</f>
        <v>#VALUE!</v>
      </c>
      <c r="P36" s="152" t="e">
        <f aca="false">VLOOKUP($C36,#REF!,15,0)</f>
        <v>#VALUE!</v>
      </c>
      <c r="Q36" s="150" t="e">
        <f aca="false">VLOOKUP($C36,#REF!,16,0)</f>
        <v>#VALUE!</v>
      </c>
      <c r="R36" s="151" t="e">
        <f aca="false">VLOOKUP($C36,#REF!,17,0)</f>
        <v>#VALUE!</v>
      </c>
      <c r="S36" s="152" t="e">
        <f aca="false">VLOOKUP($C36,#REF!,18,0)</f>
        <v>#VALUE!</v>
      </c>
      <c r="T36" s="151" t="e">
        <f aca="false">VLOOKUP($C36,#REF!,19,0)</f>
        <v>#VALUE!</v>
      </c>
      <c r="U36" s="140"/>
      <c r="V36" s="150" t="e">
        <f aca="false">VLOOKUP($C36,#REF!,20,0)</f>
        <v>#VALUE!</v>
      </c>
      <c r="W36" s="152" t="e">
        <f aca="false">VLOOKUP($C36,#REF!,21,0)</f>
        <v>#VALUE!</v>
      </c>
      <c r="X36" s="150" t="e">
        <f aca="false">VLOOKUP($C36,#REF!,22,0)</f>
        <v>#VALUE!</v>
      </c>
      <c r="Y36" s="152" t="e">
        <f aca="false">VLOOKUP($C36,#REF!,23,0)</f>
        <v>#VALUE!</v>
      </c>
      <c r="Z36" s="150" t="e">
        <f aca="false">VLOOKUP($C36,#REF!,24,0)</f>
        <v>#VALUE!</v>
      </c>
      <c r="AA36" s="151" t="e">
        <f aca="false">VLOOKUP($C36,#REF!,25,0)</f>
        <v>#VALUE!</v>
      </c>
      <c r="AB36" s="152" t="e">
        <f aca="false">VLOOKUP($C36,#REF!,26,0)</f>
        <v>#VALUE!</v>
      </c>
      <c r="AC36" s="151" t="e">
        <f aca="false">VLOOKUP($C36,#REF!,27,0)</f>
        <v>#VALUE!</v>
      </c>
      <c r="AD36" s="1"/>
      <c r="AE36" s="150" t="e">
        <f aca="false">IF(M36="-","-","0,5 GB")</f>
        <v>#VALUE!</v>
      </c>
      <c r="AF36" s="153" t="s">
        <v>92</v>
      </c>
      <c r="AG36" s="153" t="s">
        <v>93</v>
      </c>
      <c r="AH36" s="151" t="s">
        <v>94</v>
      </c>
      <c r="AI36" s="1"/>
      <c r="AJ36" s="150" t="s">
        <v>95</v>
      </c>
      <c r="AK36" s="153" t="s">
        <v>96</v>
      </c>
      <c r="AL36" s="153" t="s">
        <v>97</v>
      </c>
      <c r="AM36" s="153" t="s">
        <v>98</v>
      </c>
      <c r="AN36" s="153" t="s">
        <v>98</v>
      </c>
      <c r="AO36" s="151" t="s">
        <v>92</v>
      </c>
      <c r="AP36" s="1"/>
      <c r="AQ36" s="154" t="n">
        <v>34</v>
      </c>
      <c r="AR36" s="137"/>
      <c r="AS36" s="150" t="n">
        <v>0</v>
      </c>
      <c r="AT36" s="151" t="n">
        <v>0</v>
      </c>
      <c r="AU36" s="140"/>
      <c r="AV36" s="150" t="n">
        <f aca="false">IFERROR(ROUND($D36-M36-AW36,0),0)</f>
        <v>0</v>
      </c>
      <c r="AW36" s="151" t="n">
        <f aca="false">IFERROR(N36*$G36,0)</f>
        <v>0</v>
      </c>
      <c r="AX36" s="150" t="n">
        <f aca="false">IFERROR(ROUND($D36-O36-AY36,0),0)</f>
        <v>0</v>
      </c>
      <c r="AY36" s="151" t="n">
        <f aca="false">IFERROR(P36*$G36,0)</f>
        <v>0</v>
      </c>
      <c r="AZ36" s="150" t="n">
        <f aca="false">IFERROR(ROUND($D36-Q36-BA36,0),0)</f>
        <v>0</v>
      </c>
      <c r="BA36" s="151" t="n">
        <f aca="false">IFERROR(R36*$G36,0)</f>
        <v>0</v>
      </c>
      <c r="BB36" s="152" t="n">
        <f aca="false">IFERROR(ROUND($D36-S36-BC36,0),0)</f>
        <v>0</v>
      </c>
      <c r="BC36" s="151" t="n">
        <f aca="false">IFERROR(T36*$G36,0)</f>
        <v>0</v>
      </c>
      <c r="BD36" s="140"/>
      <c r="BE36" s="150" t="n">
        <f aca="false">IFERROR(ROUND($D36-V36-BF36,0),0)</f>
        <v>0</v>
      </c>
      <c r="BF36" s="151" t="n">
        <f aca="false">IFERROR(W36*$G36,0)</f>
        <v>0</v>
      </c>
      <c r="BG36" s="150" t="n">
        <f aca="false">IFERROR(ROUND($D36-X36-BH36,0),0)</f>
        <v>0</v>
      </c>
      <c r="BH36" s="151" t="n">
        <f aca="false">IFERROR(Y36*$G36,0)</f>
        <v>0</v>
      </c>
      <c r="BI36" s="152" t="n">
        <f aca="false">IFERROR(ROUND($D36-Z36-BJ36,0),0)</f>
        <v>0</v>
      </c>
      <c r="BJ36" s="151" t="n">
        <f aca="false">IFERROR(AA36*$G36,0)</f>
        <v>0</v>
      </c>
      <c r="BK36" s="152" t="n">
        <f aca="false">IFERROR(ROUND($D36-AB36-BL36,0),0)</f>
        <v>0</v>
      </c>
      <c r="BL36" s="151" t="n">
        <f aca="false">IFERROR(AC36*$G36,0)</f>
        <v>0</v>
      </c>
      <c r="BM36" s="1"/>
      <c r="BN36" s="154" t="n">
        <v>-8.26000000000002</v>
      </c>
      <c r="BO36" s="155"/>
      <c r="BP36" s="150" t="n">
        <v>-8.26000000000002</v>
      </c>
      <c r="BQ36" s="151" t="n">
        <v>0</v>
      </c>
      <c r="BR36" s="152"/>
      <c r="BS36" s="150" t="n">
        <v>0</v>
      </c>
      <c r="BT36" s="151" t="n">
        <v>0</v>
      </c>
      <c r="BU36" s="150" t="n">
        <v>0</v>
      </c>
      <c r="BV36" s="151" t="n">
        <v>0</v>
      </c>
      <c r="BW36" s="150" t="n">
        <v>0</v>
      </c>
      <c r="BX36" s="151" t="n">
        <v>0</v>
      </c>
      <c r="BY36" s="150" t="n">
        <v>0</v>
      </c>
      <c r="BZ36" s="151" t="n">
        <v>0</v>
      </c>
      <c r="CA36" s="152"/>
      <c r="CB36" s="150" t="n">
        <v>0</v>
      </c>
      <c r="CC36" s="151" t="n">
        <v>0</v>
      </c>
      <c r="CD36" s="150" t="n">
        <v>0</v>
      </c>
      <c r="CE36" s="151" t="n">
        <v>0</v>
      </c>
      <c r="CF36" s="150" t="n">
        <v>0</v>
      </c>
      <c r="CG36" s="151" t="n">
        <v>0</v>
      </c>
      <c r="CH36" s="150" t="n">
        <v>0</v>
      </c>
      <c r="CI36" s="151" t="n">
        <v>0</v>
      </c>
      <c r="CJ36" s="1"/>
      <c r="CK36" s="149"/>
      <c r="CL36" s="137"/>
      <c r="CM36" s="154" t="str">
        <f aca="false">IFERROR(+$H36-($J36+$K36*$G36),"-")</f>
        <v>-</v>
      </c>
      <c r="CN36" s="137"/>
      <c r="CO36" s="154" t="str">
        <f aca="false">IFERROR(+$H36-($M36+$N36*$G36),"-")</f>
        <v>-</v>
      </c>
      <c r="CP36" s="154" t="str">
        <f aca="false">IFERROR(+$H36-($O36+$P36*$G36),"-")</f>
        <v>-</v>
      </c>
      <c r="CQ36" s="154" t="str">
        <f aca="false">IFERROR(+$H36-($Q36+$R36*$G36),"-")</f>
        <v>-</v>
      </c>
      <c r="CR36" s="154" t="str">
        <f aca="false">IFERROR(+$H36-($Q36+$R36*$G36),"-")</f>
        <v>-</v>
      </c>
      <c r="CS36" s="137"/>
      <c r="CT36" s="154" t="str">
        <f aca="false">IFERROR(+$H36-($V36+$W36*$G36),"-")</f>
        <v>-</v>
      </c>
      <c r="CU36" s="154" t="str">
        <f aca="false">IFERROR(+$H36-($X36+$Y36*$G36),"-")</f>
        <v>-</v>
      </c>
      <c r="CV36" s="154" t="str">
        <f aca="false">IFERROR(+$H36-($Z36+$AA36*$G36),"-")</f>
        <v>-</v>
      </c>
      <c r="CW36" s="154" t="str">
        <f aca="false">IFERROR(+$H36-($AB36+$AC36*$G36),"-")</f>
        <v>-</v>
      </c>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row>
    <row r="37" s="1" customFormat="true" ht="12.75" hidden="false" customHeight="true" outlineLevel="0" collapsed="false">
      <c r="B37" s="134" t="s">
        <v>90</v>
      </c>
      <c r="C37" s="135" t="s">
        <v>106</v>
      </c>
      <c r="D37" s="136" t="e">
        <f aca="false">VLOOKUP($C37,#REF!,5,0)</f>
        <v>#VALUE!</v>
      </c>
      <c r="E37" s="157" t="e">
        <f aca="false">VLOOKUP($C37,#REF!,6,0)</f>
        <v>#VALUE!</v>
      </c>
      <c r="F37" s="135" t="e">
        <f aca="false">VLOOKUP($C37,#REF!,7,0)</f>
        <v>#VALUE!</v>
      </c>
      <c r="G37" s="135" t="e">
        <f aca="false">VLOOKUP($C37,#REF!,8,0)</f>
        <v>#VALUE!</v>
      </c>
      <c r="H37" s="158" t="e">
        <f aca="false">VLOOKUP($C37,#REF!,9,0)</f>
        <v>#VALUE!</v>
      </c>
      <c r="I37" s="137"/>
      <c r="J37" s="138" t="e">
        <f aca="false">VLOOKUP($C37,#REF!,10,0)</f>
        <v>#VALUE!</v>
      </c>
      <c r="K37" s="139" t="e">
        <f aca="false">VLOOKUP($C37,#REF!,11,0)</f>
        <v>#VALUE!</v>
      </c>
      <c r="L37" s="140"/>
      <c r="M37" s="138" t="e">
        <f aca="false">VLOOKUP($C37,#REF!,12,0)</f>
        <v>#VALUE!</v>
      </c>
      <c r="N37" s="140" t="e">
        <f aca="false">VLOOKUP($C37,#REF!,13,0)</f>
        <v>#VALUE!</v>
      </c>
      <c r="O37" s="138" t="e">
        <f aca="false">VLOOKUP($C37,#REF!,14,0)</f>
        <v>#VALUE!</v>
      </c>
      <c r="P37" s="140" t="e">
        <f aca="false">VLOOKUP($C37,#REF!,15,0)</f>
        <v>#VALUE!</v>
      </c>
      <c r="Q37" s="138" t="e">
        <f aca="false">VLOOKUP($C37,#REF!,16,0)</f>
        <v>#VALUE!</v>
      </c>
      <c r="R37" s="139" t="e">
        <f aca="false">VLOOKUP($C37,#REF!,17,0)</f>
        <v>#VALUE!</v>
      </c>
      <c r="S37" s="140" t="e">
        <f aca="false">VLOOKUP($C37,#REF!,18,0)</f>
        <v>#VALUE!</v>
      </c>
      <c r="T37" s="139" t="e">
        <f aca="false">VLOOKUP($C37,#REF!,19,0)</f>
        <v>#VALUE!</v>
      </c>
      <c r="U37" s="140"/>
      <c r="V37" s="138" t="e">
        <f aca="false">VLOOKUP($C37,#REF!,20,0)</f>
        <v>#VALUE!</v>
      </c>
      <c r="W37" s="140" t="e">
        <f aca="false">VLOOKUP($C37,#REF!,21,0)</f>
        <v>#VALUE!</v>
      </c>
      <c r="X37" s="138" t="e">
        <f aca="false">VLOOKUP($C37,#REF!,22,0)</f>
        <v>#VALUE!</v>
      </c>
      <c r="Y37" s="140" t="e">
        <f aca="false">VLOOKUP($C37,#REF!,23,0)</f>
        <v>#VALUE!</v>
      </c>
      <c r="Z37" s="138" t="e">
        <f aca="false">VLOOKUP($C37,#REF!,24,0)</f>
        <v>#VALUE!</v>
      </c>
      <c r="AA37" s="139" t="e">
        <f aca="false">VLOOKUP($C37,#REF!,25,0)</f>
        <v>#VALUE!</v>
      </c>
      <c r="AB37" s="140" t="e">
        <f aca="false">VLOOKUP($C37,#REF!,26,0)</f>
        <v>#VALUE!</v>
      </c>
      <c r="AC37" s="139" t="e">
        <f aca="false">VLOOKUP($C37,#REF!,27,0)</f>
        <v>#VALUE!</v>
      </c>
      <c r="AE37" s="138" t="e">
        <f aca="false">IF(M37="-","-","0,5 GB")</f>
        <v>#VALUE!</v>
      </c>
      <c r="AF37" s="141" t="s">
        <v>92</v>
      </c>
      <c r="AG37" s="141" t="s">
        <v>93</v>
      </c>
      <c r="AH37" s="139" t="s">
        <v>94</v>
      </c>
      <c r="AJ37" s="138" t="s">
        <v>95</v>
      </c>
      <c r="AK37" s="141" t="s">
        <v>96</v>
      </c>
      <c r="AL37" s="141" t="s">
        <v>97</v>
      </c>
      <c r="AM37" s="141" t="s">
        <v>98</v>
      </c>
      <c r="AN37" s="141" t="s">
        <v>98</v>
      </c>
      <c r="AO37" s="139" t="s">
        <v>92</v>
      </c>
      <c r="AQ37" s="142" t="n">
        <v>-18</v>
      </c>
      <c r="AR37" s="137"/>
      <c r="AS37" s="138" t="n">
        <v>0</v>
      </c>
      <c r="AT37" s="139" t="n">
        <v>0</v>
      </c>
      <c r="AU37" s="140"/>
      <c r="AV37" s="138" t="n">
        <f aca="false">IFERROR(ROUND($D37-M37-AW37,0),0)</f>
        <v>0</v>
      </c>
      <c r="AW37" s="139" t="n">
        <f aca="false">IFERROR(N37*$G37,0)</f>
        <v>0</v>
      </c>
      <c r="AX37" s="138" t="n">
        <f aca="false">IFERROR(ROUND($D37-O37-AY37,0),0)</f>
        <v>0</v>
      </c>
      <c r="AY37" s="139" t="n">
        <f aca="false">IFERROR(P37*$G37,0)</f>
        <v>0</v>
      </c>
      <c r="AZ37" s="138" t="n">
        <f aca="false">IFERROR(ROUND($D37-Q37-BA37,0),0)</f>
        <v>0</v>
      </c>
      <c r="BA37" s="139" t="n">
        <f aca="false">IFERROR(R37*$G37,0)</f>
        <v>0</v>
      </c>
      <c r="BB37" s="140" t="n">
        <f aca="false">IFERROR(ROUND($D37-S37-BC37,0),0)</f>
        <v>0</v>
      </c>
      <c r="BC37" s="139" t="n">
        <f aca="false">IFERROR(T37*$G37,0)</f>
        <v>0</v>
      </c>
      <c r="BD37" s="140"/>
      <c r="BE37" s="138" t="n">
        <f aca="false">IFERROR(ROUND($D37-V37-BF37,0),0)</f>
        <v>0</v>
      </c>
      <c r="BF37" s="139" t="n">
        <f aca="false">IFERROR(W37*$G37,0)</f>
        <v>0</v>
      </c>
      <c r="BG37" s="138" t="n">
        <f aca="false">IFERROR(ROUND($D37-X37-BH37,0),0)</f>
        <v>0</v>
      </c>
      <c r="BH37" s="139" t="n">
        <f aca="false">IFERROR(Y37*$G37,0)</f>
        <v>0</v>
      </c>
      <c r="BI37" s="140" t="n">
        <f aca="false">IFERROR(ROUND($D37-Z37-BJ37,0),0)</f>
        <v>0</v>
      </c>
      <c r="BJ37" s="139" t="n">
        <f aca="false">IFERROR(AA37*$G37,0)</f>
        <v>0</v>
      </c>
      <c r="BK37" s="140" t="n">
        <f aca="false">IFERROR(ROUND($D37-AB37-BL37,0),0)</f>
        <v>0</v>
      </c>
      <c r="BL37" s="139" t="n">
        <f aca="false">IFERROR(AC37*$G37,0)</f>
        <v>0</v>
      </c>
      <c r="BN37" s="142" t="n">
        <v>0</v>
      </c>
      <c r="BO37" s="137"/>
      <c r="BP37" s="138" t="n">
        <v>0</v>
      </c>
      <c r="BQ37" s="139" t="n">
        <v>0</v>
      </c>
      <c r="BR37" s="140"/>
      <c r="BS37" s="138" t="n">
        <v>0</v>
      </c>
      <c r="BT37" s="139" t="n">
        <v>0</v>
      </c>
      <c r="BU37" s="138" t="n">
        <v>0</v>
      </c>
      <c r="BV37" s="139" t="n">
        <v>0</v>
      </c>
      <c r="BW37" s="138" t="n">
        <v>0</v>
      </c>
      <c r="BX37" s="139" t="n">
        <v>0</v>
      </c>
      <c r="BY37" s="138" t="n">
        <v>0</v>
      </c>
      <c r="BZ37" s="139" t="n">
        <v>0</v>
      </c>
      <c r="CA37" s="140"/>
      <c r="CB37" s="138" t="n">
        <v>0</v>
      </c>
      <c r="CC37" s="139" t="n">
        <v>0</v>
      </c>
      <c r="CD37" s="138" t="n">
        <v>0</v>
      </c>
      <c r="CE37" s="139" t="n">
        <v>0</v>
      </c>
      <c r="CF37" s="138" t="n">
        <v>0</v>
      </c>
      <c r="CG37" s="139" t="n">
        <v>0</v>
      </c>
      <c r="CH37" s="138" t="n">
        <v>0</v>
      </c>
      <c r="CI37" s="139" t="n">
        <v>0</v>
      </c>
      <c r="CK37" s="143"/>
      <c r="CL37" s="137"/>
      <c r="CM37" s="144" t="str">
        <f aca="false">IFERROR(+$H37-($J37+$K37*$G37),"-")</f>
        <v>-</v>
      </c>
      <c r="CN37" s="137"/>
      <c r="CO37" s="144" t="str">
        <f aca="false">IFERROR(+$H37-($M37+$N37*$G37),"-")</f>
        <v>-</v>
      </c>
      <c r="CP37" s="144" t="str">
        <f aca="false">IFERROR(+$H37-($O37+$P37*$G37),"-")</f>
        <v>-</v>
      </c>
      <c r="CQ37" s="144" t="str">
        <f aca="false">IFERROR(+$H37-($Q37+$R37*$G37),"-")</f>
        <v>-</v>
      </c>
      <c r="CR37" s="144" t="str">
        <f aca="false">IFERROR(+$H37-($Q37+$R37*$G37),"-")</f>
        <v>-</v>
      </c>
      <c r="CS37" s="137"/>
      <c r="CT37" s="144" t="str">
        <f aca="false">IFERROR(+$H37-($V37+$W37*$G37),"-")</f>
        <v>-</v>
      </c>
      <c r="CU37" s="144" t="str">
        <f aca="false">IFERROR(+$H37-($X37+$Y37*$G37),"-")</f>
        <v>-</v>
      </c>
      <c r="CV37" s="144" t="str">
        <f aca="false">IFERROR(+$H37-($Z37+$AA37*$G37),"-")</f>
        <v>-</v>
      </c>
      <c r="CW37" s="144" t="str">
        <f aca="false">IFERROR(+$H37-($AB37+$AC37*$G37),"-")</f>
        <v>-</v>
      </c>
    </row>
    <row r="38" s="156" customFormat="true" ht="12.75" hidden="false" customHeight="true" outlineLevel="0" collapsed="false">
      <c r="A38" s="1"/>
      <c r="B38" s="145" t="s">
        <v>90</v>
      </c>
      <c r="C38" s="146" t="s">
        <v>107</v>
      </c>
      <c r="D38" s="147" t="e">
        <f aca="false">VLOOKUP($C38,#REF!,5,0)</f>
        <v>#VALUE!</v>
      </c>
      <c r="E38" s="148" t="e">
        <f aca="false">VLOOKUP($C38,#REF!,6,0)</f>
        <v>#VALUE!</v>
      </c>
      <c r="F38" s="146" t="e">
        <f aca="false">VLOOKUP($C38,#REF!,7,0)</f>
        <v>#VALUE!</v>
      </c>
      <c r="G38" s="146" t="e">
        <f aca="false">VLOOKUP($C38,#REF!,8,0)</f>
        <v>#VALUE!</v>
      </c>
      <c r="H38" s="149" t="e">
        <f aca="false">VLOOKUP($C38,#REF!,9,0)</f>
        <v>#VALUE!</v>
      </c>
      <c r="I38" s="137"/>
      <c r="J38" s="150" t="e">
        <f aca="false">VLOOKUP($C38,#REF!,10,0)</f>
        <v>#VALUE!</v>
      </c>
      <c r="K38" s="151" t="e">
        <f aca="false">VLOOKUP($C38,#REF!,11,0)</f>
        <v>#VALUE!</v>
      </c>
      <c r="L38" s="140"/>
      <c r="M38" s="150" t="e">
        <f aca="false">VLOOKUP($C38,#REF!,12,0)</f>
        <v>#VALUE!</v>
      </c>
      <c r="N38" s="152" t="e">
        <f aca="false">VLOOKUP($C38,#REF!,13,0)</f>
        <v>#VALUE!</v>
      </c>
      <c r="O38" s="150" t="e">
        <f aca="false">VLOOKUP($C38,#REF!,14,0)</f>
        <v>#VALUE!</v>
      </c>
      <c r="P38" s="152" t="e">
        <f aca="false">VLOOKUP($C38,#REF!,15,0)</f>
        <v>#VALUE!</v>
      </c>
      <c r="Q38" s="150" t="e">
        <f aca="false">VLOOKUP($C38,#REF!,16,0)</f>
        <v>#VALUE!</v>
      </c>
      <c r="R38" s="151" t="e">
        <f aca="false">VLOOKUP($C38,#REF!,17,0)</f>
        <v>#VALUE!</v>
      </c>
      <c r="S38" s="152" t="e">
        <f aca="false">VLOOKUP($C38,#REF!,18,0)</f>
        <v>#VALUE!</v>
      </c>
      <c r="T38" s="151" t="e">
        <f aca="false">VLOOKUP($C38,#REF!,19,0)</f>
        <v>#VALUE!</v>
      </c>
      <c r="U38" s="140"/>
      <c r="V38" s="150" t="e">
        <f aca="false">VLOOKUP($C38,#REF!,20,0)</f>
        <v>#VALUE!</v>
      </c>
      <c r="W38" s="152" t="e">
        <f aca="false">VLOOKUP($C38,#REF!,21,0)</f>
        <v>#VALUE!</v>
      </c>
      <c r="X38" s="150" t="e">
        <f aca="false">VLOOKUP($C38,#REF!,22,0)</f>
        <v>#VALUE!</v>
      </c>
      <c r="Y38" s="152" t="e">
        <f aca="false">VLOOKUP($C38,#REF!,23,0)</f>
        <v>#VALUE!</v>
      </c>
      <c r="Z38" s="150" t="e">
        <f aca="false">VLOOKUP($C38,#REF!,24,0)</f>
        <v>#VALUE!</v>
      </c>
      <c r="AA38" s="151" t="e">
        <f aca="false">VLOOKUP($C38,#REF!,25,0)</f>
        <v>#VALUE!</v>
      </c>
      <c r="AB38" s="152" t="e">
        <f aca="false">VLOOKUP($C38,#REF!,26,0)</f>
        <v>#VALUE!</v>
      </c>
      <c r="AC38" s="151" t="e">
        <f aca="false">VLOOKUP($C38,#REF!,27,0)</f>
        <v>#VALUE!</v>
      </c>
      <c r="AD38" s="1"/>
      <c r="AE38" s="150" t="e">
        <f aca="false">IF(M38="-","-","0,5 GB")</f>
        <v>#VALUE!</v>
      </c>
      <c r="AF38" s="153" t="s">
        <v>92</v>
      </c>
      <c r="AG38" s="153" t="s">
        <v>93</v>
      </c>
      <c r="AH38" s="151" t="s">
        <v>94</v>
      </c>
      <c r="AI38" s="1"/>
      <c r="AJ38" s="150" t="s">
        <v>95</v>
      </c>
      <c r="AK38" s="153" t="s">
        <v>96</v>
      </c>
      <c r="AL38" s="153" t="s">
        <v>97</v>
      </c>
      <c r="AM38" s="153" t="s">
        <v>98</v>
      </c>
      <c r="AN38" s="153" t="s">
        <v>98</v>
      </c>
      <c r="AO38" s="151" t="s">
        <v>92</v>
      </c>
      <c r="AP38" s="1"/>
      <c r="AQ38" s="154" t="n">
        <v>-3</v>
      </c>
      <c r="AR38" s="137"/>
      <c r="AS38" s="150" t="n">
        <v>0</v>
      </c>
      <c r="AT38" s="151" t="n">
        <v>0</v>
      </c>
      <c r="AU38" s="140"/>
      <c r="AV38" s="150" t="n">
        <f aca="false">IFERROR(ROUND($D38-M38-AW38,0),0)</f>
        <v>0</v>
      </c>
      <c r="AW38" s="151" t="n">
        <f aca="false">IFERROR(N38*$G38,0)</f>
        <v>0</v>
      </c>
      <c r="AX38" s="150" t="n">
        <f aca="false">IFERROR(ROUND($D38-O38-AY38,0),0)</f>
        <v>0</v>
      </c>
      <c r="AY38" s="151" t="n">
        <f aca="false">IFERROR(P38*$G38,0)</f>
        <v>0</v>
      </c>
      <c r="AZ38" s="150" t="n">
        <f aca="false">IFERROR(ROUND($D38-Q38-BA38,0),0)</f>
        <v>0</v>
      </c>
      <c r="BA38" s="151" t="n">
        <f aca="false">IFERROR(R38*$G38,0)</f>
        <v>0</v>
      </c>
      <c r="BB38" s="152" t="n">
        <f aca="false">IFERROR(ROUND($D38-S38-BC38,0),0)</f>
        <v>0</v>
      </c>
      <c r="BC38" s="151" t="n">
        <f aca="false">IFERROR(T38*$G38,0)</f>
        <v>0</v>
      </c>
      <c r="BD38" s="140"/>
      <c r="BE38" s="150" t="n">
        <f aca="false">IFERROR(ROUND($D38-V38-BF38,0),0)</f>
        <v>0</v>
      </c>
      <c r="BF38" s="151" t="n">
        <f aca="false">IFERROR(W38*$G38,0)</f>
        <v>0</v>
      </c>
      <c r="BG38" s="150" t="n">
        <f aca="false">IFERROR(ROUND($D38-X38-BH38,0),0)</f>
        <v>0</v>
      </c>
      <c r="BH38" s="151" t="n">
        <f aca="false">IFERROR(Y38*$G38,0)</f>
        <v>0</v>
      </c>
      <c r="BI38" s="152" t="n">
        <f aca="false">IFERROR(ROUND($D38-Z38-BJ38,0),0)</f>
        <v>0</v>
      </c>
      <c r="BJ38" s="151" t="n">
        <f aca="false">IFERROR(AA38*$G38,0)</f>
        <v>0</v>
      </c>
      <c r="BK38" s="152" t="n">
        <f aca="false">IFERROR(ROUND($D38-AB38-BL38,0),0)</f>
        <v>0</v>
      </c>
      <c r="BL38" s="151" t="n">
        <f aca="false">IFERROR(AC38*$G38,0)</f>
        <v>0</v>
      </c>
      <c r="BM38" s="1"/>
      <c r="BN38" s="154" t="n">
        <v>0</v>
      </c>
      <c r="BO38" s="155"/>
      <c r="BP38" s="150" t="n">
        <v>0</v>
      </c>
      <c r="BQ38" s="151" t="n">
        <v>0</v>
      </c>
      <c r="BR38" s="152"/>
      <c r="BS38" s="150" t="n">
        <v>0</v>
      </c>
      <c r="BT38" s="151" t="n">
        <v>0</v>
      </c>
      <c r="BU38" s="150" t="n">
        <v>0</v>
      </c>
      <c r="BV38" s="151" t="n">
        <v>0</v>
      </c>
      <c r="BW38" s="150" t="n">
        <v>0</v>
      </c>
      <c r="BX38" s="151" t="n">
        <v>0</v>
      </c>
      <c r="BY38" s="150" t="n">
        <v>0</v>
      </c>
      <c r="BZ38" s="151" t="n">
        <v>0</v>
      </c>
      <c r="CA38" s="152"/>
      <c r="CB38" s="150" t="n">
        <v>0</v>
      </c>
      <c r="CC38" s="151" t="n">
        <v>0</v>
      </c>
      <c r="CD38" s="150" t="n">
        <v>0</v>
      </c>
      <c r="CE38" s="151" t="n">
        <v>0</v>
      </c>
      <c r="CF38" s="150" t="n">
        <v>0</v>
      </c>
      <c r="CG38" s="151" t="n">
        <v>0</v>
      </c>
      <c r="CH38" s="150" t="n">
        <v>0</v>
      </c>
      <c r="CI38" s="151" t="n">
        <v>0</v>
      </c>
      <c r="CJ38" s="1"/>
      <c r="CK38" s="149"/>
      <c r="CL38" s="137"/>
      <c r="CM38" s="154" t="str">
        <f aca="false">IFERROR(+$H38-($J38+$K38*$G38),"-")</f>
        <v>-</v>
      </c>
      <c r="CN38" s="137"/>
      <c r="CO38" s="154" t="str">
        <f aca="false">IFERROR(+$H38-($M38+$N38*$G38),"-")</f>
        <v>-</v>
      </c>
      <c r="CP38" s="154" t="str">
        <f aca="false">IFERROR(+$H38-($O38+$P38*$G38),"-")</f>
        <v>-</v>
      </c>
      <c r="CQ38" s="154" t="str">
        <f aca="false">IFERROR(+$H38-($Q38+$R38*$G38),"-")</f>
        <v>-</v>
      </c>
      <c r="CR38" s="154" t="str">
        <f aca="false">IFERROR(+$H38-($Q38+$R38*$G38),"-")</f>
        <v>-</v>
      </c>
      <c r="CS38" s="137"/>
      <c r="CT38" s="154" t="str">
        <f aca="false">IFERROR(+$H38-($V38+$W38*$G38),"-")</f>
        <v>-</v>
      </c>
      <c r="CU38" s="154" t="str">
        <f aca="false">IFERROR(+$H38-($X38+$Y38*$G38),"-")</f>
        <v>-</v>
      </c>
      <c r="CV38" s="154" t="str">
        <f aca="false">IFERROR(+$H38-($Z38+$AA38*$G38),"-")</f>
        <v>-</v>
      </c>
      <c r="CW38" s="154" t="str">
        <f aca="false">IFERROR(+$H38-($AB38+$AC38*$G38),"-")</f>
        <v>-</v>
      </c>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row>
    <row r="39" s="1" customFormat="true" ht="12.75" hidden="false" customHeight="true" outlineLevel="0" collapsed="false">
      <c r="B39" s="134" t="s">
        <v>108</v>
      </c>
      <c r="C39" s="135" t="s">
        <v>109</v>
      </c>
      <c r="D39" s="136" t="e">
        <f aca="false">VLOOKUP($C39,#REF!,5,0)</f>
        <v>#VALUE!</v>
      </c>
      <c r="E39" s="157" t="e">
        <f aca="false">VLOOKUP($C39,#REF!,6,0)</f>
        <v>#VALUE!</v>
      </c>
      <c r="F39" s="135" t="e">
        <f aca="false">VLOOKUP($C39,#REF!,7,0)</f>
        <v>#VALUE!</v>
      </c>
      <c r="G39" s="135" t="e">
        <f aca="false">VLOOKUP($C39,#REF!,8,0)</f>
        <v>#VALUE!</v>
      </c>
      <c r="H39" s="158" t="e">
        <f aca="false">VLOOKUP($C39,#REF!,9,0)</f>
        <v>#VALUE!</v>
      </c>
      <c r="I39" s="137"/>
      <c r="J39" s="138" t="e">
        <f aca="false">VLOOKUP($C39,#REF!,10,0)</f>
        <v>#VALUE!</v>
      </c>
      <c r="K39" s="139" t="e">
        <f aca="false">VLOOKUP($C39,#REF!,11,0)</f>
        <v>#VALUE!</v>
      </c>
      <c r="L39" s="140"/>
      <c r="M39" s="138" t="e">
        <f aca="false">VLOOKUP($C39,#REF!,12,0)</f>
        <v>#VALUE!</v>
      </c>
      <c r="N39" s="140" t="e">
        <f aca="false">VLOOKUP($C39,#REF!,13,0)</f>
        <v>#VALUE!</v>
      </c>
      <c r="O39" s="138" t="e">
        <f aca="false">VLOOKUP($C39,#REF!,14,0)</f>
        <v>#VALUE!</v>
      </c>
      <c r="P39" s="140" t="e">
        <f aca="false">VLOOKUP($C39,#REF!,15,0)</f>
        <v>#VALUE!</v>
      </c>
      <c r="Q39" s="138" t="e">
        <f aca="false">VLOOKUP($C39,#REF!,16,0)</f>
        <v>#VALUE!</v>
      </c>
      <c r="R39" s="139" t="e">
        <f aca="false">VLOOKUP($C39,#REF!,17,0)</f>
        <v>#VALUE!</v>
      </c>
      <c r="S39" s="140" t="e">
        <f aca="false">VLOOKUP($C39,#REF!,18,0)</f>
        <v>#VALUE!</v>
      </c>
      <c r="T39" s="139" t="e">
        <f aca="false">VLOOKUP($C39,#REF!,19,0)</f>
        <v>#VALUE!</v>
      </c>
      <c r="U39" s="140"/>
      <c r="V39" s="138" t="e">
        <f aca="false">VLOOKUP($C39,#REF!,20,0)</f>
        <v>#VALUE!</v>
      </c>
      <c r="W39" s="140" t="e">
        <f aca="false">VLOOKUP($C39,#REF!,21,0)</f>
        <v>#VALUE!</v>
      </c>
      <c r="X39" s="138" t="e">
        <f aca="false">VLOOKUP($C39,#REF!,22,0)</f>
        <v>#VALUE!</v>
      </c>
      <c r="Y39" s="140" t="e">
        <f aca="false">VLOOKUP($C39,#REF!,23,0)</f>
        <v>#VALUE!</v>
      </c>
      <c r="Z39" s="138" t="e">
        <f aca="false">VLOOKUP($C39,#REF!,24,0)</f>
        <v>#VALUE!</v>
      </c>
      <c r="AA39" s="139" t="e">
        <f aca="false">VLOOKUP($C39,#REF!,25,0)</f>
        <v>#VALUE!</v>
      </c>
      <c r="AB39" s="140" t="e">
        <f aca="false">VLOOKUP($C39,#REF!,26,0)</f>
        <v>#VALUE!</v>
      </c>
      <c r="AC39" s="139" t="e">
        <f aca="false">VLOOKUP($C39,#REF!,27,0)</f>
        <v>#VALUE!</v>
      </c>
      <c r="AE39" s="138" t="e">
        <f aca="false">IF(M39="-","-","0,5 GB")</f>
        <v>#VALUE!</v>
      </c>
      <c r="AF39" s="141" t="s">
        <v>92</v>
      </c>
      <c r="AG39" s="141" t="s">
        <v>93</v>
      </c>
      <c r="AH39" s="139" t="s">
        <v>94</v>
      </c>
      <c r="AJ39" s="138" t="s">
        <v>95</v>
      </c>
      <c r="AK39" s="141" t="s">
        <v>96</v>
      </c>
      <c r="AL39" s="141" t="s">
        <v>97</v>
      </c>
      <c r="AM39" s="141" t="s">
        <v>98</v>
      </c>
      <c r="AN39" s="141" t="s">
        <v>98</v>
      </c>
      <c r="AO39" s="139" t="s">
        <v>92</v>
      </c>
      <c r="AQ39" s="142" t="n">
        <v>1</v>
      </c>
      <c r="AR39" s="137"/>
      <c r="AS39" s="138" t="n">
        <v>0</v>
      </c>
      <c r="AT39" s="139" t="n">
        <v>0</v>
      </c>
      <c r="AU39" s="140"/>
      <c r="AV39" s="138" t="n">
        <f aca="false">IFERROR(ROUND($D39-M39-AW39,0),0)</f>
        <v>0</v>
      </c>
      <c r="AW39" s="139" t="n">
        <f aca="false">IFERROR(N39*$G39,0)</f>
        <v>0</v>
      </c>
      <c r="AX39" s="138" t="n">
        <f aca="false">IFERROR(ROUND($D39-O39-AY39,0),0)</f>
        <v>0</v>
      </c>
      <c r="AY39" s="139" t="n">
        <f aca="false">IFERROR(P39*$G39,0)</f>
        <v>0</v>
      </c>
      <c r="AZ39" s="138" t="n">
        <f aca="false">IFERROR(ROUND($D39-Q39-BA39,0),0)</f>
        <v>0</v>
      </c>
      <c r="BA39" s="139" t="n">
        <f aca="false">IFERROR(R39*$G39,0)</f>
        <v>0</v>
      </c>
      <c r="BB39" s="140" t="n">
        <f aca="false">IFERROR(ROUND($D39-S39-BC39,0),0)</f>
        <v>0</v>
      </c>
      <c r="BC39" s="139" t="n">
        <f aca="false">IFERROR(T39*$G39,0)</f>
        <v>0</v>
      </c>
      <c r="BD39" s="140"/>
      <c r="BE39" s="138" t="n">
        <f aca="false">IFERROR(ROUND($D39-V39-BF39,0),0)</f>
        <v>0</v>
      </c>
      <c r="BF39" s="139" t="n">
        <f aca="false">IFERROR(W39*$G39,0)</f>
        <v>0</v>
      </c>
      <c r="BG39" s="138" t="n">
        <f aca="false">IFERROR(ROUND($D39-X39-BH39,0),0)</f>
        <v>0</v>
      </c>
      <c r="BH39" s="139" t="n">
        <f aca="false">IFERROR(Y39*$G39,0)</f>
        <v>0</v>
      </c>
      <c r="BI39" s="140" t="n">
        <f aca="false">IFERROR(ROUND($D39-Z39-BJ39,0),0)</f>
        <v>0</v>
      </c>
      <c r="BJ39" s="139" t="n">
        <f aca="false">IFERROR(AA39*$G39,0)</f>
        <v>0</v>
      </c>
      <c r="BK39" s="140" t="n">
        <f aca="false">IFERROR(ROUND($D39-AB39-BL39,0),0)</f>
        <v>0</v>
      </c>
      <c r="BL39" s="139" t="n">
        <f aca="false">IFERROR(AC39*$G39,0)</f>
        <v>0</v>
      </c>
      <c r="BN39" s="142" t="n">
        <v>0</v>
      </c>
      <c r="BO39" s="137"/>
      <c r="BP39" s="138" t="n">
        <v>0</v>
      </c>
      <c r="BQ39" s="139" t="n">
        <v>0</v>
      </c>
      <c r="BR39" s="140"/>
      <c r="BS39" s="138" t="n">
        <v>0</v>
      </c>
      <c r="BT39" s="139" t="n">
        <v>0</v>
      </c>
      <c r="BU39" s="138" t="n">
        <v>0</v>
      </c>
      <c r="BV39" s="139" t="n">
        <v>0</v>
      </c>
      <c r="BW39" s="138" t="n">
        <v>0</v>
      </c>
      <c r="BX39" s="139" t="n">
        <v>0</v>
      </c>
      <c r="BY39" s="138" t="n">
        <v>0</v>
      </c>
      <c r="BZ39" s="139" t="n">
        <v>0</v>
      </c>
      <c r="CA39" s="140"/>
      <c r="CB39" s="138" t="n">
        <v>0</v>
      </c>
      <c r="CC39" s="139" t="n">
        <v>0</v>
      </c>
      <c r="CD39" s="138" t="n">
        <v>0</v>
      </c>
      <c r="CE39" s="139" t="n">
        <v>0</v>
      </c>
      <c r="CF39" s="138" t="n">
        <v>0</v>
      </c>
      <c r="CG39" s="139" t="n">
        <v>0</v>
      </c>
      <c r="CH39" s="138" t="n">
        <v>0</v>
      </c>
      <c r="CI39" s="139" t="n">
        <v>0</v>
      </c>
      <c r="CK39" s="143"/>
      <c r="CL39" s="137"/>
      <c r="CM39" s="144" t="str">
        <f aca="false">IFERROR(+$H39-($J39+$K39*$G39),"-")</f>
        <v>-</v>
      </c>
      <c r="CN39" s="137"/>
      <c r="CO39" s="144" t="str">
        <f aca="false">IFERROR(+$H39-($M39+$N39*$G39),"-")</f>
        <v>-</v>
      </c>
      <c r="CP39" s="144" t="str">
        <f aca="false">IFERROR(+$H39-($O39+$P39*$G39),"-")</f>
        <v>-</v>
      </c>
      <c r="CQ39" s="144" t="str">
        <f aca="false">IFERROR(+$H39-($Q39+$R39*$G39),"-")</f>
        <v>-</v>
      </c>
      <c r="CR39" s="144" t="str">
        <f aca="false">IFERROR(+$H39-($Q39+$R39*$G39),"-")</f>
        <v>-</v>
      </c>
      <c r="CS39" s="137"/>
      <c r="CT39" s="144" t="str">
        <f aca="false">IFERROR(+$H39-($V39+$W39*$G39),"-")</f>
        <v>-</v>
      </c>
      <c r="CU39" s="144" t="str">
        <f aca="false">IFERROR(+$H39-($X39+$Y39*$G39),"-")</f>
        <v>-</v>
      </c>
      <c r="CV39" s="144" t="str">
        <f aca="false">IFERROR(+$H39-($Z39+$AA39*$G39),"-")</f>
        <v>-</v>
      </c>
      <c r="CW39" s="144" t="str">
        <f aca="false">IFERROR(+$H39-($AB39+$AC39*$G39),"-")</f>
        <v>-</v>
      </c>
    </row>
    <row r="40" s="156" customFormat="true" ht="12.75" hidden="false" customHeight="true" outlineLevel="0" collapsed="false">
      <c r="A40" s="1"/>
      <c r="B40" s="145" t="s">
        <v>110</v>
      </c>
      <c r="C40" s="146" t="s">
        <v>111</v>
      </c>
      <c r="D40" s="147" t="e">
        <f aca="false">VLOOKUP($C40,#REF!,5,0)</f>
        <v>#VALUE!</v>
      </c>
      <c r="E40" s="148" t="e">
        <f aca="false">VLOOKUP($C40,#REF!,6,0)</f>
        <v>#VALUE!</v>
      </c>
      <c r="F40" s="146" t="e">
        <f aca="false">VLOOKUP($C40,#REF!,7,0)</f>
        <v>#VALUE!</v>
      </c>
      <c r="G40" s="146" t="e">
        <f aca="false">VLOOKUP($C40,#REF!,8,0)</f>
        <v>#VALUE!</v>
      </c>
      <c r="H40" s="149" t="e">
        <f aca="false">VLOOKUP($C40,#REF!,9,0)</f>
        <v>#VALUE!</v>
      </c>
      <c r="I40" s="137"/>
      <c r="J40" s="150" t="e">
        <f aca="false">VLOOKUP($C40,#REF!,10,0)</f>
        <v>#VALUE!</v>
      </c>
      <c r="K40" s="151" t="e">
        <f aca="false">VLOOKUP($C40,#REF!,11,0)</f>
        <v>#VALUE!</v>
      </c>
      <c r="L40" s="140"/>
      <c r="M40" s="150" t="e">
        <f aca="false">VLOOKUP($C40,#REF!,12,0)</f>
        <v>#VALUE!</v>
      </c>
      <c r="N40" s="152" t="e">
        <f aca="false">VLOOKUP($C40,#REF!,13,0)</f>
        <v>#VALUE!</v>
      </c>
      <c r="O40" s="150" t="e">
        <f aca="false">VLOOKUP($C40,#REF!,14,0)</f>
        <v>#VALUE!</v>
      </c>
      <c r="P40" s="152" t="e">
        <f aca="false">VLOOKUP($C40,#REF!,15,0)</f>
        <v>#VALUE!</v>
      </c>
      <c r="Q40" s="150" t="e">
        <f aca="false">VLOOKUP($C40,#REF!,16,0)</f>
        <v>#VALUE!</v>
      </c>
      <c r="R40" s="151" t="e">
        <f aca="false">VLOOKUP($C40,#REF!,17,0)</f>
        <v>#VALUE!</v>
      </c>
      <c r="S40" s="152" t="e">
        <f aca="false">VLOOKUP($C40,#REF!,18,0)</f>
        <v>#VALUE!</v>
      </c>
      <c r="T40" s="151" t="e">
        <f aca="false">VLOOKUP($C40,#REF!,19,0)</f>
        <v>#VALUE!</v>
      </c>
      <c r="U40" s="140"/>
      <c r="V40" s="150" t="e">
        <f aca="false">VLOOKUP($C40,#REF!,20,0)</f>
        <v>#VALUE!</v>
      </c>
      <c r="W40" s="152" t="e">
        <f aca="false">VLOOKUP($C40,#REF!,21,0)</f>
        <v>#VALUE!</v>
      </c>
      <c r="X40" s="150" t="e">
        <f aca="false">VLOOKUP($C40,#REF!,22,0)</f>
        <v>#VALUE!</v>
      </c>
      <c r="Y40" s="152" t="e">
        <f aca="false">VLOOKUP($C40,#REF!,23,0)</f>
        <v>#VALUE!</v>
      </c>
      <c r="Z40" s="150" t="e">
        <f aca="false">VLOOKUP($C40,#REF!,24,0)</f>
        <v>#VALUE!</v>
      </c>
      <c r="AA40" s="151" t="e">
        <f aca="false">VLOOKUP($C40,#REF!,25,0)</f>
        <v>#VALUE!</v>
      </c>
      <c r="AB40" s="152" t="e">
        <f aca="false">VLOOKUP($C40,#REF!,26,0)</f>
        <v>#VALUE!</v>
      </c>
      <c r="AC40" s="151" t="e">
        <f aca="false">VLOOKUP($C40,#REF!,27,0)</f>
        <v>#VALUE!</v>
      </c>
      <c r="AD40" s="1"/>
      <c r="AE40" s="150" t="e">
        <f aca="false">IF(M40="-","-","0,5 GB")</f>
        <v>#VALUE!</v>
      </c>
      <c r="AF40" s="153" t="s">
        <v>92</v>
      </c>
      <c r="AG40" s="153" t="s">
        <v>93</v>
      </c>
      <c r="AH40" s="151" t="s">
        <v>94</v>
      </c>
      <c r="AI40" s="1"/>
      <c r="AJ40" s="150" t="s">
        <v>95</v>
      </c>
      <c r="AK40" s="153" t="s">
        <v>96</v>
      </c>
      <c r="AL40" s="153" t="s">
        <v>97</v>
      </c>
      <c r="AM40" s="153" t="s">
        <v>98</v>
      </c>
      <c r="AN40" s="153" t="s">
        <v>98</v>
      </c>
      <c r="AO40" s="151" t="s">
        <v>92</v>
      </c>
      <c r="AP40" s="1"/>
      <c r="AQ40" s="154" t="n">
        <v>34</v>
      </c>
      <c r="AR40" s="137"/>
      <c r="AS40" s="150" t="n">
        <v>0</v>
      </c>
      <c r="AT40" s="151" t="n">
        <v>0</v>
      </c>
      <c r="AU40" s="140"/>
      <c r="AV40" s="150" t="n">
        <f aca="false">IFERROR(ROUND($D40-M40-AW40,0),0)</f>
        <v>0</v>
      </c>
      <c r="AW40" s="151" t="n">
        <f aca="false">IFERROR(N40*$G40,0)</f>
        <v>0</v>
      </c>
      <c r="AX40" s="150" t="n">
        <f aca="false">IFERROR(ROUND($D40-O40-AY40,0),0)</f>
        <v>0</v>
      </c>
      <c r="AY40" s="151" t="n">
        <f aca="false">IFERROR(P40*$G40,0)</f>
        <v>0</v>
      </c>
      <c r="AZ40" s="150" t="n">
        <f aca="false">IFERROR(ROUND($D40-Q40-BA40,0),0)</f>
        <v>0</v>
      </c>
      <c r="BA40" s="151" t="n">
        <f aca="false">IFERROR(R40*$G40,0)</f>
        <v>0</v>
      </c>
      <c r="BB40" s="152" t="n">
        <f aca="false">IFERROR(ROUND($D40-S40-BC40,0),0)</f>
        <v>0</v>
      </c>
      <c r="BC40" s="151" t="n">
        <f aca="false">IFERROR(T40*$G40,0)</f>
        <v>0</v>
      </c>
      <c r="BD40" s="140"/>
      <c r="BE40" s="150" t="n">
        <f aca="false">IFERROR(ROUND($D40-V40-BF40,0),0)</f>
        <v>0</v>
      </c>
      <c r="BF40" s="151" t="n">
        <f aca="false">IFERROR(W40*$G40,0)</f>
        <v>0</v>
      </c>
      <c r="BG40" s="150" t="n">
        <f aca="false">IFERROR(ROUND($D40-X40-BH40,0),0)</f>
        <v>0</v>
      </c>
      <c r="BH40" s="151" t="n">
        <f aca="false">IFERROR(Y40*$G40,0)</f>
        <v>0</v>
      </c>
      <c r="BI40" s="152" t="n">
        <f aca="false">IFERROR(ROUND($D40-Z40-BJ40,0),0)</f>
        <v>0</v>
      </c>
      <c r="BJ40" s="151" t="n">
        <f aca="false">IFERROR(AA40*$G40,0)</f>
        <v>0</v>
      </c>
      <c r="BK40" s="152" t="n">
        <f aca="false">IFERROR(ROUND($D40-AB40-BL40,0),0)</f>
        <v>0</v>
      </c>
      <c r="BL40" s="151" t="n">
        <f aca="false">IFERROR(AC40*$G40,0)</f>
        <v>0</v>
      </c>
      <c r="BM40" s="1"/>
      <c r="BN40" s="154" t="n">
        <v>0</v>
      </c>
      <c r="BO40" s="155"/>
      <c r="BP40" s="150" t="n">
        <v>0</v>
      </c>
      <c r="BQ40" s="151" t="n">
        <v>0</v>
      </c>
      <c r="BR40" s="152"/>
      <c r="BS40" s="150" t="n">
        <v>0</v>
      </c>
      <c r="BT40" s="151" t="n">
        <v>0</v>
      </c>
      <c r="BU40" s="150" t="n">
        <v>0</v>
      </c>
      <c r="BV40" s="151" t="n">
        <v>0</v>
      </c>
      <c r="BW40" s="150" t="n">
        <v>0</v>
      </c>
      <c r="BX40" s="151" t="n">
        <v>0</v>
      </c>
      <c r="BY40" s="150" t="n">
        <v>0</v>
      </c>
      <c r="BZ40" s="151" t="n">
        <v>0</v>
      </c>
      <c r="CA40" s="152"/>
      <c r="CB40" s="150" t="n">
        <v>0</v>
      </c>
      <c r="CC40" s="151" t="n">
        <v>0</v>
      </c>
      <c r="CD40" s="150" t="n">
        <v>0</v>
      </c>
      <c r="CE40" s="151" t="n">
        <v>0</v>
      </c>
      <c r="CF40" s="150" t="n">
        <v>0</v>
      </c>
      <c r="CG40" s="151" t="n">
        <v>0</v>
      </c>
      <c r="CH40" s="150" t="n">
        <v>0</v>
      </c>
      <c r="CI40" s="151" t="n">
        <v>0</v>
      </c>
      <c r="CJ40" s="1"/>
      <c r="CK40" s="149"/>
      <c r="CL40" s="137"/>
      <c r="CM40" s="154" t="str">
        <f aca="false">IFERROR(+$H40-($J40+$K40*$G40),"-")</f>
        <v>-</v>
      </c>
      <c r="CN40" s="137"/>
      <c r="CO40" s="154" t="str">
        <f aca="false">IFERROR(+$H40-($M40+$N40*$G40),"-")</f>
        <v>-</v>
      </c>
      <c r="CP40" s="154" t="str">
        <f aca="false">IFERROR(+$H40-($O40+$P40*$G40),"-")</f>
        <v>-</v>
      </c>
      <c r="CQ40" s="154" t="str">
        <f aca="false">IFERROR(+$H40-($Q40+$R40*$G40),"-")</f>
        <v>-</v>
      </c>
      <c r="CR40" s="154" t="str">
        <f aca="false">IFERROR(+$H40-($Q40+$R40*$G40),"-")</f>
        <v>-</v>
      </c>
      <c r="CS40" s="137"/>
      <c r="CT40" s="154" t="str">
        <f aca="false">IFERROR(+$H40-($V40+$W40*$G40),"-")</f>
        <v>-</v>
      </c>
      <c r="CU40" s="154" t="str">
        <f aca="false">IFERROR(+$H40-($X40+$Y40*$G40),"-")</f>
        <v>-</v>
      </c>
      <c r="CV40" s="154" t="str">
        <f aca="false">IFERROR(+$H40-($Z40+$AA40*$G40),"-")</f>
        <v>-</v>
      </c>
      <c r="CW40" s="154" t="str">
        <f aca="false">IFERROR(+$H40-($AB40+$AC40*$G40),"-")</f>
        <v>-</v>
      </c>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row>
    <row r="41" s="1" customFormat="true" ht="12.75" hidden="false" customHeight="true" outlineLevel="0" collapsed="false">
      <c r="B41" s="134" t="s">
        <v>112</v>
      </c>
      <c r="C41" s="135" t="s">
        <v>113</v>
      </c>
      <c r="D41" s="136" t="e">
        <f aca="false">VLOOKUP($C41,#REF!,5,0)</f>
        <v>#VALUE!</v>
      </c>
      <c r="E41" s="157" t="e">
        <f aca="false">VLOOKUP($C41,#REF!,6,0)</f>
        <v>#VALUE!</v>
      </c>
      <c r="F41" s="135" t="e">
        <f aca="false">VLOOKUP($C41,#REF!,7,0)</f>
        <v>#VALUE!</v>
      </c>
      <c r="G41" s="135" t="e">
        <f aca="false">VLOOKUP($C41,#REF!,8,0)</f>
        <v>#VALUE!</v>
      </c>
      <c r="H41" s="158" t="e">
        <f aca="false">VLOOKUP($C41,#REF!,9,0)</f>
        <v>#VALUE!</v>
      </c>
      <c r="I41" s="137"/>
      <c r="J41" s="138" t="e">
        <f aca="false">VLOOKUP($C41,#REF!,10,0)</f>
        <v>#VALUE!</v>
      </c>
      <c r="K41" s="139" t="e">
        <f aca="false">VLOOKUP($C41,#REF!,11,0)</f>
        <v>#VALUE!</v>
      </c>
      <c r="L41" s="140"/>
      <c r="M41" s="138" t="e">
        <f aca="false">VLOOKUP($C41,#REF!,12,0)</f>
        <v>#VALUE!</v>
      </c>
      <c r="N41" s="140" t="e">
        <f aca="false">VLOOKUP($C41,#REF!,13,0)</f>
        <v>#VALUE!</v>
      </c>
      <c r="O41" s="138" t="e">
        <f aca="false">VLOOKUP($C41,#REF!,14,0)</f>
        <v>#VALUE!</v>
      </c>
      <c r="P41" s="140" t="e">
        <f aca="false">VLOOKUP($C41,#REF!,15,0)</f>
        <v>#VALUE!</v>
      </c>
      <c r="Q41" s="138" t="e">
        <f aca="false">VLOOKUP($C41,#REF!,16,0)</f>
        <v>#VALUE!</v>
      </c>
      <c r="R41" s="139" t="e">
        <f aca="false">VLOOKUP($C41,#REF!,17,0)</f>
        <v>#VALUE!</v>
      </c>
      <c r="S41" s="140" t="e">
        <f aca="false">VLOOKUP($C41,#REF!,18,0)</f>
        <v>#VALUE!</v>
      </c>
      <c r="T41" s="139" t="e">
        <f aca="false">VLOOKUP($C41,#REF!,19,0)</f>
        <v>#VALUE!</v>
      </c>
      <c r="U41" s="140"/>
      <c r="V41" s="138" t="e">
        <f aca="false">VLOOKUP($C41,#REF!,20,0)</f>
        <v>#VALUE!</v>
      </c>
      <c r="W41" s="140" t="e">
        <f aca="false">VLOOKUP($C41,#REF!,21,0)</f>
        <v>#VALUE!</v>
      </c>
      <c r="X41" s="138" t="e">
        <f aca="false">VLOOKUP($C41,#REF!,22,0)</f>
        <v>#VALUE!</v>
      </c>
      <c r="Y41" s="140" t="e">
        <f aca="false">VLOOKUP($C41,#REF!,23,0)</f>
        <v>#VALUE!</v>
      </c>
      <c r="Z41" s="138" t="e">
        <f aca="false">VLOOKUP($C41,#REF!,24,0)</f>
        <v>#VALUE!</v>
      </c>
      <c r="AA41" s="139" t="e">
        <f aca="false">VLOOKUP($C41,#REF!,25,0)</f>
        <v>#VALUE!</v>
      </c>
      <c r="AB41" s="140" t="e">
        <f aca="false">VLOOKUP($C41,#REF!,26,0)</f>
        <v>#VALUE!</v>
      </c>
      <c r="AC41" s="139" t="e">
        <f aca="false">VLOOKUP($C41,#REF!,27,0)</f>
        <v>#VALUE!</v>
      </c>
      <c r="AE41" s="138" t="e">
        <f aca="false">IF(M41="-","-","0,5 GB")</f>
        <v>#VALUE!</v>
      </c>
      <c r="AF41" s="141" t="s">
        <v>92</v>
      </c>
      <c r="AG41" s="141" t="s">
        <v>93</v>
      </c>
      <c r="AH41" s="139" t="s">
        <v>94</v>
      </c>
      <c r="AJ41" s="138" t="s">
        <v>95</v>
      </c>
      <c r="AK41" s="141" t="s">
        <v>96</v>
      </c>
      <c r="AL41" s="141" t="s">
        <v>97</v>
      </c>
      <c r="AM41" s="141" t="s">
        <v>98</v>
      </c>
      <c r="AN41" s="141" t="s">
        <v>98</v>
      </c>
      <c r="AO41" s="139" t="s">
        <v>92</v>
      </c>
      <c r="AQ41" s="142"/>
      <c r="AR41" s="137"/>
      <c r="AS41" s="138" t="n">
        <v>0</v>
      </c>
      <c r="AT41" s="139" t="n">
        <v>0</v>
      </c>
      <c r="AU41" s="140"/>
      <c r="AV41" s="138" t="n">
        <f aca="false">IFERROR(ROUND($D41-M41-AW41,0),0)</f>
        <v>0</v>
      </c>
      <c r="AW41" s="139" t="n">
        <f aca="false">IFERROR(N41*$G41,0)</f>
        <v>0</v>
      </c>
      <c r="AX41" s="138" t="n">
        <f aca="false">IFERROR(ROUND($D41-O41-AY41,0),0)</f>
        <v>0</v>
      </c>
      <c r="AY41" s="139" t="n">
        <f aca="false">IFERROR(P41*$G41,0)</f>
        <v>0</v>
      </c>
      <c r="AZ41" s="138" t="n">
        <f aca="false">IFERROR(ROUND($D41-Q41-BA41,0),0)</f>
        <v>0</v>
      </c>
      <c r="BA41" s="139" t="n">
        <f aca="false">IFERROR(R41*$G41,0)</f>
        <v>0</v>
      </c>
      <c r="BB41" s="140" t="n">
        <f aca="false">IFERROR(ROUND($D41-S41-BC41,0),0)</f>
        <v>0</v>
      </c>
      <c r="BC41" s="139" t="n">
        <f aca="false">IFERROR(T41*$G41,0)</f>
        <v>0</v>
      </c>
      <c r="BD41" s="140"/>
      <c r="BE41" s="138" t="n">
        <f aca="false">IFERROR(ROUND($D41-V41-BF41,0),0)</f>
        <v>0</v>
      </c>
      <c r="BF41" s="139" t="n">
        <f aca="false">IFERROR(W41*$G41,0)</f>
        <v>0</v>
      </c>
      <c r="BG41" s="138" t="n">
        <f aca="false">IFERROR(ROUND($D41-X41-BH41,0),0)</f>
        <v>0</v>
      </c>
      <c r="BH41" s="139" t="n">
        <f aca="false">IFERROR(Y41*$G41,0)</f>
        <v>0</v>
      </c>
      <c r="BI41" s="140" t="n">
        <f aca="false">IFERROR(ROUND($D41-Z41-BJ41,0),0)</f>
        <v>0</v>
      </c>
      <c r="BJ41" s="139" t="n">
        <f aca="false">IFERROR(AA41*$G41,0)</f>
        <v>0</v>
      </c>
      <c r="BK41" s="140" t="n">
        <f aca="false">IFERROR(ROUND($D41-AB41-BL41,0),0)</f>
        <v>0</v>
      </c>
      <c r="BL41" s="139" t="n">
        <f aca="false">IFERROR(AC41*$G41,0)</f>
        <v>0</v>
      </c>
      <c r="BN41" s="142"/>
      <c r="BO41" s="137"/>
      <c r="BP41" s="138"/>
      <c r="BQ41" s="139"/>
      <c r="BR41" s="140"/>
      <c r="BS41" s="138"/>
      <c r="BT41" s="139"/>
      <c r="BU41" s="138"/>
      <c r="BV41" s="139"/>
      <c r="BW41" s="138"/>
      <c r="BX41" s="139"/>
      <c r="BY41" s="138"/>
      <c r="BZ41" s="139"/>
      <c r="CA41" s="140"/>
      <c r="CB41" s="138"/>
      <c r="CC41" s="139"/>
      <c r="CD41" s="138"/>
      <c r="CE41" s="139"/>
      <c r="CF41" s="138"/>
      <c r="CG41" s="139"/>
      <c r="CH41" s="138"/>
      <c r="CI41" s="139"/>
      <c r="CK41" s="143"/>
      <c r="CL41" s="137"/>
      <c r="CM41" s="144" t="str">
        <f aca="false">IFERROR(+$H41-($J41+$K41*$G41),"-")</f>
        <v>-</v>
      </c>
      <c r="CN41" s="137"/>
      <c r="CO41" s="144" t="str">
        <f aca="false">IFERROR(+$H41-($M41+$N41*$G41),"-")</f>
        <v>-</v>
      </c>
      <c r="CP41" s="144" t="str">
        <f aca="false">IFERROR(+$H41-($O41+$P41*$G41),"-")</f>
        <v>-</v>
      </c>
      <c r="CQ41" s="144" t="str">
        <f aca="false">IFERROR(+$H41-($Q41+$R41*$G41),"-")</f>
        <v>-</v>
      </c>
      <c r="CR41" s="144" t="str">
        <f aca="false">IFERROR(+$H41-($Q41+$R41*$G41),"-")</f>
        <v>-</v>
      </c>
      <c r="CS41" s="137"/>
      <c r="CT41" s="144" t="str">
        <f aca="false">IFERROR(+$H41-($V41+$W41*$G41),"-")</f>
        <v>-</v>
      </c>
      <c r="CU41" s="144" t="str">
        <f aca="false">IFERROR(+$H41-($X41+$Y41*$G41),"-")</f>
        <v>-</v>
      </c>
      <c r="CV41" s="144" t="str">
        <f aca="false">IFERROR(+$H41-($Z41+$AA41*$G41),"-")</f>
        <v>-</v>
      </c>
      <c r="CW41" s="144" t="str">
        <f aca="false">IFERROR(+$H41-($AB41+$AC41*$G41),"-")</f>
        <v>-</v>
      </c>
    </row>
    <row r="42" s="156" customFormat="true" ht="12.75" hidden="false" customHeight="true" outlineLevel="0" collapsed="false">
      <c r="A42" s="1"/>
      <c r="B42" s="145" t="s">
        <v>112</v>
      </c>
      <c r="C42" s="146" t="s">
        <v>114</v>
      </c>
      <c r="D42" s="147" t="e">
        <f aca="false">VLOOKUP($C42,#REF!,5,0)</f>
        <v>#VALUE!</v>
      </c>
      <c r="E42" s="148" t="e">
        <f aca="false">VLOOKUP($C42,#REF!,6,0)</f>
        <v>#VALUE!</v>
      </c>
      <c r="F42" s="146" t="e">
        <f aca="false">VLOOKUP($C42,#REF!,7,0)</f>
        <v>#VALUE!</v>
      </c>
      <c r="G42" s="146" t="e">
        <f aca="false">VLOOKUP($C42,#REF!,8,0)</f>
        <v>#VALUE!</v>
      </c>
      <c r="H42" s="149" t="e">
        <f aca="false">VLOOKUP($C42,#REF!,9,0)</f>
        <v>#VALUE!</v>
      </c>
      <c r="I42" s="137"/>
      <c r="J42" s="150" t="e">
        <f aca="false">VLOOKUP($C42,#REF!,10,0)</f>
        <v>#VALUE!</v>
      </c>
      <c r="K42" s="151" t="e">
        <f aca="false">VLOOKUP($C42,#REF!,11,0)</f>
        <v>#VALUE!</v>
      </c>
      <c r="L42" s="140"/>
      <c r="M42" s="150" t="e">
        <f aca="false">VLOOKUP($C42,#REF!,12,0)</f>
        <v>#VALUE!</v>
      </c>
      <c r="N42" s="152" t="e">
        <f aca="false">VLOOKUP($C42,#REF!,13,0)</f>
        <v>#VALUE!</v>
      </c>
      <c r="O42" s="150" t="e">
        <f aca="false">VLOOKUP($C42,#REF!,14,0)</f>
        <v>#VALUE!</v>
      </c>
      <c r="P42" s="152" t="e">
        <f aca="false">VLOOKUP($C42,#REF!,15,0)</f>
        <v>#VALUE!</v>
      </c>
      <c r="Q42" s="150" t="e">
        <f aca="false">VLOOKUP($C42,#REF!,16,0)</f>
        <v>#VALUE!</v>
      </c>
      <c r="R42" s="151" t="e">
        <f aca="false">VLOOKUP($C42,#REF!,17,0)</f>
        <v>#VALUE!</v>
      </c>
      <c r="S42" s="152" t="e">
        <f aca="false">VLOOKUP($C42,#REF!,18,0)</f>
        <v>#VALUE!</v>
      </c>
      <c r="T42" s="151" t="e">
        <f aca="false">VLOOKUP($C42,#REF!,19,0)</f>
        <v>#VALUE!</v>
      </c>
      <c r="U42" s="140"/>
      <c r="V42" s="150" t="e">
        <f aca="false">VLOOKUP($C42,#REF!,20,0)</f>
        <v>#VALUE!</v>
      </c>
      <c r="W42" s="152" t="e">
        <f aca="false">VLOOKUP($C42,#REF!,21,0)</f>
        <v>#VALUE!</v>
      </c>
      <c r="X42" s="150" t="e">
        <f aca="false">VLOOKUP($C42,#REF!,22,0)</f>
        <v>#VALUE!</v>
      </c>
      <c r="Y42" s="152" t="e">
        <f aca="false">VLOOKUP($C42,#REF!,23,0)</f>
        <v>#VALUE!</v>
      </c>
      <c r="Z42" s="150" t="e">
        <f aca="false">VLOOKUP($C42,#REF!,24,0)</f>
        <v>#VALUE!</v>
      </c>
      <c r="AA42" s="151" t="e">
        <f aca="false">VLOOKUP($C42,#REF!,25,0)</f>
        <v>#VALUE!</v>
      </c>
      <c r="AB42" s="152" t="e">
        <f aca="false">VLOOKUP($C42,#REF!,26,0)</f>
        <v>#VALUE!</v>
      </c>
      <c r="AC42" s="151" t="e">
        <f aca="false">VLOOKUP($C42,#REF!,27,0)</f>
        <v>#VALUE!</v>
      </c>
      <c r="AD42" s="1"/>
      <c r="AE42" s="150" t="e">
        <f aca="false">IF(M42="-","-","0,5 GB")</f>
        <v>#VALUE!</v>
      </c>
      <c r="AF42" s="153" t="s">
        <v>92</v>
      </c>
      <c r="AG42" s="153" t="s">
        <v>93</v>
      </c>
      <c r="AH42" s="151" t="s">
        <v>94</v>
      </c>
      <c r="AI42" s="1"/>
      <c r="AJ42" s="150" t="s">
        <v>95</v>
      </c>
      <c r="AK42" s="153" t="s">
        <v>96</v>
      </c>
      <c r="AL42" s="153" t="s">
        <v>97</v>
      </c>
      <c r="AM42" s="153" t="s">
        <v>98</v>
      </c>
      <c r="AN42" s="153" t="s">
        <v>98</v>
      </c>
      <c r="AO42" s="151" t="s">
        <v>92</v>
      </c>
      <c r="AP42" s="1"/>
      <c r="AQ42" s="154"/>
      <c r="AR42" s="137"/>
      <c r="AS42" s="150" t="n">
        <v>0</v>
      </c>
      <c r="AT42" s="151" t="n">
        <v>0</v>
      </c>
      <c r="AU42" s="140"/>
      <c r="AV42" s="150" t="n">
        <f aca="false">IFERROR(ROUND($D42-M42-AW42,0),0)</f>
        <v>0</v>
      </c>
      <c r="AW42" s="151" t="n">
        <f aca="false">IFERROR(N42*$G42,0)</f>
        <v>0</v>
      </c>
      <c r="AX42" s="150" t="n">
        <f aca="false">IFERROR(ROUND($D42-O42-AY42,0),0)</f>
        <v>0</v>
      </c>
      <c r="AY42" s="151" t="n">
        <f aca="false">IFERROR(P42*$G42,0)</f>
        <v>0</v>
      </c>
      <c r="AZ42" s="150" t="n">
        <f aca="false">IFERROR(ROUND($D42-Q42-BA42,0),0)</f>
        <v>0</v>
      </c>
      <c r="BA42" s="151" t="n">
        <f aca="false">IFERROR(R42*$G42,0)</f>
        <v>0</v>
      </c>
      <c r="BB42" s="152" t="n">
        <f aca="false">IFERROR(ROUND($D42-S42-BC42,0),0)</f>
        <v>0</v>
      </c>
      <c r="BC42" s="151" t="n">
        <f aca="false">IFERROR(T42*$G42,0)</f>
        <v>0</v>
      </c>
      <c r="BD42" s="140"/>
      <c r="BE42" s="150" t="n">
        <f aca="false">IFERROR(ROUND($D42-V42-BF42,0),0)</f>
        <v>0</v>
      </c>
      <c r="BF42" s="151" t="n">
        <f aca="false">IFERROR(W42*$G42,0)</f>
        <v>0</v>
      </c>
      <c r="BG42" s="150" t="n">
        <f aca="false">IFERROR(ROUND($D42-X42-BH42,0),0)</f>
        <v>0</v>
      </c>
      <c r="BH42" s="151" t="n">
        <f aca="false">IFERROR(Y42*$G42,0)</f>
        <v>0</v>
      </c>
      <c r="BI42" s="152" t="n">
        <f aca="false">IFERROR(ROUND($D42-Z42-BJ42,0),0)</f>
        <v>0</v>
      </c>
      <c r="BJ42" s="151" t="n">
        <f aca="false">IFERROR(AA42*$G42,0)</f>
        <v>0</v>
      </c>
      <c r="BK42" s="152" t="n">
        <f aca="false">IFERROR(ROUND($D42-AB42-BL42,0),0)</f>
        <v>0</v>
      </c>
      <c r="BL42" s="151" t="n">
        <f aca="false">IFERROR(AC42*$G42,0)</f>
        <v>0</v>
      </c>
      <c r="BM42" s="1"/>
      <c r="BN42" s="154"/>
      <c r="BO42" s="155"/>
      <c r="BP42" s="150"/>
      <c r="BQ42" s="151"/>
      <c r="BR42" s="152"/>
      <c r="BS42" s="150"/>
      <c r="BT42" s="151"/>
      <c r="BU42" s="150"/>
      <c r="BV42" s="151"/>
      <c r="BW42" s="150"/>
      <c r="BX42" s="151"/>
      <c r="BY42" s="150"/>
      <c r="BZ42" s="151"/>
      <c r="CA42" s="152"/>
      <c r="CB42" s="150"/>
      <c r="CC42" s="151"/>
      <c r="CD42" s="150"/>
      <c r="CE42" s="151"/>
      <c r="CF42" s="150"/>
      <c r="CG42" s="151"/>
      <c r="CH42" s="150"/>
      <c r="CI42" s="151"/>
      <c r="CJ42" s="1"/>
      <c r="CK42" s="149"/>
      <c r="CL42" s="137"/>
      <c r="CM42" s="154" t="str">
        <f aca="false">IFERROR(+$H42-($J42+$K42*$G42),"-")</f>
        <v>-</v>
      </c>
      <c r="CN42" s="137"/>
      <c r="CO42" s="154" t="str">
        <f aca="false">IFERROR(+$H42-($M42+$N42*$G42),"-")</f>
        <v>-</v>
      </c>
      <c r="CP42" s="154" t="str">
        <f aca="false">IFERROR(+$H42-($O42+$P42*$G42),"-")</f>
        <v>-</v>
      </c>
      <c r="CQ42" s="154" t="str">
        <f aca="false">IFERROR(+$H42-($Q42+$R42*$G42),"-")</f>
        <v>-</v>
      </c>
      <c r="CR42" s="154" t="str">
        <f aca="false">IFERROR(+$H42-($Q42+$R42*$G42),"-")</f>
        <v>-</v>
      </c>
      <c r="CS42" s="137"/>
      <c r="CT42" s="154" t="str">
        <f aca="false">IFERROR(+$H42-($V42+$W42*$G42),"-")</f>
        <v>-</v>
      </c>
      <c r="CU42" s="154" t="str">
        <f aca="false">IFERROR(+$H42-($X42+$Y42*$G42),"-")</f>
        <v>-</v>
      </c>
      <c r="CV42" s="154" t="str">
        <f aca="false">IFERROR(+$H42-($Z42+$AA42*$G42),"-")</f>
        <v>-</v>
      </c>
      <c r="CW42" s="154" t="str">
        <f aca="false">IFERROR(+$H42-($AB42+$AC42*$G42),"-")</f>
        <v>-</v>
      </c>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row>
    <row r="43" s="1" customFormat="true" ht="12.75" hidden="false" customHeight="true" outlineLevel="0" collapsed="false">
      <c r="B43" s="134" t="s">
        <v>112</v>
      </c>
      <c r="C43" s="135" t="s">
        <v>115</v>
      </c>
      <c r="D43" s="136" t="e">
        <f aca="false">VLOOKUP($C43,#REF!,5,0)</f>
        <v>#VALUE!</v>
      </c>
      <c r="E43" s="157" t="e">
        <f aca="false">VLOOKUP($C43,#REF!,6,0)</f>
        <v>#VALUE!</v>
      </c>
      <c r="F43" s="135" t="e">
        <f aca="false">VLOOKUP($C43,#REF!,7,0)</f>
        <v>#VALUE!</v>
      </c>
      <c r="G43" s="135" t="e">
        <f aca="false">VLOOKUP($C43,#REF!,8,0)</f>
        <v>#VALUE!</v>
      </c>
      <c r="H43" s="158" t="e">
        <f aca="false">VLOOKUP($C43,#REF!,9,0)</f>
        <v>#VALUE!</v>
      </c>
      <c r="I43" s="137"/>
      <c r="J43" s="138" t="e">
        <f aca="false">VLOOKUP($C43,#REF!,10,0)</f>
        <v>#VALUE!</v>
      </c>
      <c r="K43" s="139" t="e">
        <f aca="false">VLOOKUP($C43,#REF!,11,0)</f>
        <v>#VALUE!</v>
      </c>
      <c r="L43" s="140"/>
      <c r="M43" s="138" t="e">
        <f aca="false">VLOOKUP($C43,#REF!,12,0)</f>
        <v>#VALUE!</v>
      </c>
      <c r="N43" s="140" t="e">
        <f aca="false">VLOOKUP($C43,#REF!,13,0)</f>
        <v>#VALUE!</v>
      </c>
      <c r="O43" s="138" t="e">
        <f aca="false">VLOOKUP($C43,#REF!,14,0)</f>
        <v>#VALUE!</v>
      </c>
      <c r="P43" s="140" t="e">
        <f aca="false">VLOOKUP($C43,#REF!,15,0)</f>
        <v>#VALUE!</v>
      </c>
      <c r="Q43" s="138" t="e">
        <f aca="false">VLOOKUP($C43,#REF!,16,0)</f>
        <v>#VALUE!</v>
      </c>
      <c r="R43" s="139" t="e">
        <f aca="false">VLOOKUP($C43,#REF!,17,0)</f>
        <v>#VALUE!</v>
      </c>
      <c r="S43" s="140" t="e">
        <f aca="false">VLOOKUP($C43,#REF!,18,0)</f>
        <v>#VALUE!</v>
      </c>
      <c r="T43" s="139" t="e">
        <f aca="false">VLOOKUP($C43,#REF!,19,0)</f>
        <v>#VALUE!</v>
      </c>
      <c r="U43" s="140"/>
      <c r="V43" s="138" t="e">
        <f aca="false">VLOOKUP($C43,#REF!,20,0)</f>
        <v>#VALUE!</v>
      </c>
      <c r="W43" s="140" t="e">
        <f aca="false">VLOOKUP($C43,#REF!,21,0)</f>
        <v>#VALUE!</v>
      </c>
      <c r="X43" s="138" t="e">
        <f aca="false">VLOOKUP($C43,#REF!,22,0)</f>
        <v>#VALUE!</v>
      </c>
      <c r="Y43" s="140" t="e">
        <f aca="false">VLOOKUP($C43,#REF!,23,0)</f>
        <v>#VALUE!</v>
      </c>
      <c r="Z43" s="138" t="e">
        <f aca="false">VLOOKUP($C43,#REF!,24,0)</f>
        <v>#VALUE!</v>
      </c>
      <c r="AA43" s="139" t="e">
        <f aca="false">VLOOKUP($C43,#REF!,25,0)</f>
        <v>#VALUE!</v>
      </c>
      <c r="AB43" s="140" t="e">
        <f aca="false">VLOOKUP($C43,#REF!,26,0)</f>
        <v>#VALUE!</v>
      </c>
      <c r="AC43" s="139" t="e">
        <f aca="false">VLOOKUP($C43,#REF!,27,0)</f>
        <v>#VALUE!</v>
      </c>
      <c r="AE43" s="138" t="e">
        <f aca="false">IF(M43="-","-","0,5 GB")</f>
        <v>#VALUE!</v>
      </c>
      <c r="AF43" s="141" t="s">
        <v>92</v>
      </c>
      <c r="AG43" s="141" t="s">
        <v>93</v>
      </c>
      <c r="AH43" s="139" t="s">
        <v>94</v>
      </c>
      <c r="AJ43" s="138" t="s">
        <v>95</v>
      </c>
      <c r="AK43" s="141" t="s">
        <v>96</v>
      </c>
      <c r="AL43" s="141" t="s">
        <v>97</v>
      </c>
      <c r="AM43" s="141" t="s">
        <v>98</v>
      </c>
      <c r="AN43" s="141" t="s">
        <v>98</v>
      </c>
      <c r="AO43" s="139" t="s">
        <v>92</v>
      </c>
      <c r="AQ43" s="142"/>
      <c r="AR43" s="137"/>
      <c r="AS43" s="138" t="n">
        <v>0</v>
      </c>
      <c r="AT43" s="139" t="n">
        <v>0</v>
      </c>
      <c r="AU43" s="140"/>
      <c r="AV43" s="138" t="n">
        <f aca="false">IFERROR(ROUND($D43-M43-AW43,0),0)</f>
        <v>0</v>
      </c>
      <c r="AW43" s="139" t="n">
        <f aca="false">IFERROR(N43*$G43,0)</f>
        <v>0</v>
      </c>
      <c r="AX43" s="138" t="n">
        <f aca="false">IFERROR(ROUND($D43-O43-AY43,0),0)</f>
        <v>0</v>
      </c>
      <c r="AY43" s="139" t="n">
        <f aca="false">IFERROR(P43*$G43,0)</f>
        <v>0</v>
      </c>
      <c r="AZ43" s="138" t="n">
        <f aca="false">IFERROR(ROUND($D43-Q43-BA43,0),0)</f>
        <v>0</v>
      </c>
      <c r="BA43" s="139" t="n">
        <f aca="false">IFERROR(R43*$G43,0)</f>
        <v>0</v>
      </c>
      <c r="BB43" s="140" t="n">
        <f aca="false">IFERROR(ROUND($D43-S43-BC43,0),0)</f>
        <v>0</v>
      </c>
      <c r="BC43" s="139" t="n">
        <f aca="false">IFERROR(T43*$G43,0)</f>
        <v>0</v>
      </c>
      <c r="BD43" s="140"/>
      <c r="BE43" s="138" t="n">
        <f aca="false">IFERROR(ROUND($D43-V43-BF43,0),0)</f>
        <v>0</v>
      </c>
      <c r="BF43" s="139" t="n">
        <f aca="false">IFERROR(W43*$G43,0)</f>
        <v>0</v>
      </c>
      <c r="BG43" s="138" t="n">
        <f aca="false">IFERROR(ROUND($D43-X43-BH43,0),0)</f>
        <v>0</v>
      </c>
      <c r="BH43" s="139" t="n">
        <f aca="false">IFERROR(Y43*$G43,0)</f>
        <v>0</v>
      </c>
      <c r="BI43" s="140" t="n">
        <f aca="false">IFERROR(ROUND($D43-Z43-BJ43,0),0)</f>
        <v>0</v>
      </c>
      <c r="BJ43" s="139" t="n">
        <f aca="false">IFERROR(AA43*$G43,0)</f>
        <v>0</v>
      </c>
      <c r="BK43" s="140" t="n">
        <f aca="false">IFERROR(ROUND($D43-AB43-BL43,0),0)</f>
        <v>0</v>
      </c>
      <c r="BL43" s="139" t="n">
        <f aca="false">IFERROR(AC43*$G43,0)</f>
        <v>0</v>
      </c>
      <c r="BN43" s="142"/>
      <c r="BO43" s="137"/>
      <c r="BP43" s="138"/>
      <c r="BQ43" s="139"/>
      <c r="BR43" s="140"/>
      <c r="BS43" s="138"/>
      <c r="BT43" s="139"/>
      <c r="BU43" s="138"/>
      <c r="BV43" s="139"/>
      <c r="BW43" s="138"/>
      <c r="BX43" s="139"/>
      <c r="BY43" s="138"/>
      <c r="BZ43" s="139"/>
      <c r="CA43" s="140"/>
      <c r="CB43" s="138"/>
      <c r="CC43" s="139"/>
      <c r="CD43" s="138"/>
      <c r="CE43" s="139"/>
      <c r="CF43" s="138"/>
      <c r="CG43" s="139"/>
      <c r="CH43" s="138"/>
      <c r="CI43" s="139"/>
      <c r="CK43" s="143"/>
      <c r="CL43" s="137"/>
      <c r="CM43" s="144" t="str">
        <f aca="false">IFERROR(+$H43-($J43+$K43*$G43),"-")</f>
        <v>-</v>
      </c>
      <c r="CN43" s="137"/>
      <c r="CO43" s="144" t="str">
        <f aca="false">IFERROR(+$H43-($M43+$N43*$G43),"-")</f>
        <v>-</v>
      </c>
      <c r="CP43" s="144" t="str">
        <f aca="false">IFERROR(+$H43-($O43+$P43*$G43),"-")</f>
        <v>-</v>
      </c>
      <c r="CQ43" s="144" t="str">
        <f aca="false">IFERROR(+$H43-($Q43+$R43*$G43),"-")</f>
        <v>-</v>
      </c>
      <c r="CR43" s="144" t="str">
        <f aca="false">IFERROR(+$H43-($Q43+$R43*$G43),"-")</f>
        <v>-</v>
      </c>
      <c r="CS43" s="137"/>
      <c r="CT43" s="144" t="str">
        <f aca="false">IFERROR(+$H43-($V43+$W43*$G43),"-")</f>
        <v>-</v>
      </c>
      <c r="CU43" s="144" t="str">
        <f aca="false">IFERROR(+$H43-($X43+$Y43*$G43),"-")</f>
        <v>-</v>
      </c>
      <c r="CV43" s="144" t="str">
        <f aca="false">IFERROR(+$H43-($Z43+$AA43*$G43),"-")</f>
        <v>-</v>
      </c>
      <c r="CW43" s="144" t="str">
        <f aca="false">IFERROR(+$H43-($AB43+$AC43*$G43),"-")</f>
        <v>-</v>
      </c>
    </row>
    <row r="44" s="156" customFormat="true" ht="12.75" hidden="false" customHeight="true" outlineLevel="0" collapsed="false">
      <c r="A44" s="1"/>
      <c r="B44" s="145" t="s">
        <v>112</v>
      </c>
      <c r="C44" s="146" t="s">
        <v>116</v>
      </c>
      <c r="D44" s="147" t="e">
        <f aca="false">VLOOKUP($C44,#REF!,5,0)</f>
        <v>#VALUE!</v>
      </c>
      <c r="E44" s="148" t="e">
        <f aca="false">VLOOKUP($C44,#REF!,6,0)</f>
        <v>#VALUE!</v>
      </c>
      <c r="F44" s="146" t="e">
        <f aca="false">VLOOKUP($C44,#REF!,7,0)</f>
        <v>#VALUE!</v>
      </c>
      <c r="G44" s="146" t="e">
        <f aca="false">VLOOKUP($C44,#REF!,8,0)</f>
        <v>#VALUE!</v>
      </c>
      <c r="H44" s="149" t="e">
        <f aca="false">VLOOKUP($C44,#REF!,9,0)</f>
        <v>#VALUE!</v>
      </c>
      <c r="I44" s="137"/>
      <c r="J44" s="150" t="e">
        <f aca="false">VLOOKUP($C44,#REF!,10,0)</f>
        <v>#VALUE!</v>
      </c>
      <c r="K44" s="151" t="e">
        <f aca="false">VLOOKUP($C44,#REF!,11,0)</f>
        <v>#VALUE!</v>
      </c>
      <c r="L44" s="140"/>
      <c r="M44" s="150" t="e">
        <f aca="false">VLOOKUP($C44,#REF!,12,0)</f>
        <v>#VALUE!</v>
      </c>
      <c r="N44" s="152" t="e">
        <f aca="false">VLOOKUP($C44,#REF!,13,0)</f>
        <v>#VALUE!</v>
      </c>
      <c r="O44" s="150" t="e">
        <f aca="false">VLOOKUP($C44,#REF!,14,0)</f>
        <v>#VALUE!</v>
      </c>
      <c r="P44" s="152" t="e">
        <f aca="false">VLOOKUP($C44,#REF!,15,0)</f>
        <v>#VALUE!</v>
      </c>
      <c r="Q44" s="150" t="e">
        <f aca="false">VLOOKUP($C44,#REF!,16,0)</f>
        <v>#VALUE!</v>
      </c>
      <c r="R44" s="151" t="e">
        <f aca="false">VLOOKUP($C44,#REF!,17,0)</f>
        <v>#VALUE!</v>
      </c>
      <c r="S44" s="152" t="e">
        <f aca="false">VLOOKUP($C44,#REF!,18,0)</f>
        <v>#VALUE!</v>
      </c>
      <c r="T44" s="151" t="e">
        <f aca="false">VLOOKUP($C44,#REF!,19,0)</f>
        <v>#VALUE!</v>
      </c>
      <c r="U44" s="140"/>
      <c r="V44" s="150" t="e">
        <f aca="false">VLOOKUP($C44,#REF!,20,0)</f>
        <v>#VALUE!</v>
      </c>
      <c r="W44" s="152" t="e">
        <f aca="false">VLOOKUP($C44,#REF!,21,0)</f>
        <v>#VALUE!</v>
      </c>
      <c r="X44" s="150" t="e">
        <f aca="false">VLOOKUP($C44,#REF!,22,0)</f>
        <v>#VALUE!</v>
      </c>
      <c r="Y44" s="152" t="e">
        <f aca="false">VLOOKUP($C44,#REF!,23,0)</f>
        <v>#VALUE!</v>
      </c>
      <c r="Z44" s="150" t="e">
        <f aca="false">VLOOKUP($C44,#REF!,24,0)</f>
        <v>#VALUE!</v>
      </c>
      <c r="AA44" s="151" t="e">
        <f aca="false">VLOOKUP($C44,#REF!,25,0)</f>
        <v>#VALUE!</v>
      </c>
      <c r="AB44" s="152" t="e">
        <f aca="false">VLOOKUP($C44,#REF!,26,0)</f>
        <v>#VALUE!</v>
      </c>
      <c r="AC44" s="151" t="e">
        <f aca="false">VLOOKUP($C44,#REF!,27,0)</f>
        <v>#VALUE!</v>
      </c>
      <c r="AD44" s="1"/>
      <c r="AE44" s="150" t="e">
        <f aca="false">IF(M44="-","-","0,5 GB")</f>
        <v>#VALUE!</v>
      </c>
      <c r="AF44" s="153" t="s">
        <v>92</v>
      </c>
      <c r="AG44" s="153" t="s">
        <v>93</v>
      </c>
      <c r="AH44" s="151" t="s">
        <v>94</v>
      </c>
      <c r="AI44" s="1"/>
      <c r="AJ44" s="150" t="s">
        <v>95</v>
      </c>
      <c r="AK44" s="153" t="s">
        <v>96</v>
      </c>
      <c r="AL44" s="153" t="s">
        <v>97</v>
      </c>
      <c r="AM44" s="153" t="s">
        <v>98</v>
      </c>
      <c r="AN44" s="153" t="s">
        <v>98</v>
      </c>
      <c r="AO44" s="151" t="s">
        <v>92</v>
      </c>
      <c r="AP44" s="1"/>
      <c r="AQ44" s="154" t="n">
        <v>83</v>
      </c>
      <c r="AR44" s="137"/>
      <c r="AS44" s="150" t="n">
        <v>0</v>
      </c>
      <c r="AT44" s="151" t="n">
        <v>0</v>
      </c>
      <c r="AU44" s="140"/>
      <c r="AV44" s="150" t="n">
        <f aca="false">IFERROR(ROUND($D44-M44-AW44,0),0)</f>
        <v>0</v>
      </c>
      <c r="AW44" s="151" t="n">
        <f aca="false">IFERROR(N44*$G44,0)</f>
        <v>0</v>
      </c>
      <c r="AX44" s="150" t="n">
        <f aca="false">IFERROR(ROUND($D44-O44-AY44,0),0)</f>
        <v>0</v>
      </c>
      <c r="AY44" s="151" t="n">
        <f aca="false">IFERROR(P44*$G44,0)</f>
        <v>0</v>
      </c>
      <c r="AZ44" s="150" t="n">
        <f aca="false">IFERROR(ROUND($D44-Q44-BA44,0),0)</f>
        <v>0</v>
      </c>
      <c r="BA44" s="151" t="n">
        <f aca="false">IFERROR(R44*$G44,0)</f>
        <v>0</v>
      </c>
      <c r="BB44" s="152" t="n">
        <f aca="false">IFERROR(ROUND($D44-S44-BC44,0),0)</f>
        <v>0</v>
      </c>
      <c r="BC44" s="151" t="n">
        <f aca="false">IFERROR(T44*$G44,0)</f>
        <v>0</v>
      </c>
      <c r="BD44" s="140"/>
      <c r="BE44" s="150" t="n">
        <f aca="false">IFERROR(ROUND($D44-V44-BF44,0),0)</f>
        <v>0</v>
      </c>
      <c r="BF44" s="151" t="n">
        <f aca="false">IFERROR(W44*$G44,0)</f>
        <v>0</v>
      </c>
      <c r="BG44" s="150" t="n">
        <f aca="false">IFERROR(ROUND($D44-X44-BH44,0),0)</f>
        <v>0</v>
      </c>
      <c r="BH44" s="151" t="n">
        <f aca="false">IFERROR(Y44*$G44,0)</f>
        <v>0</v>
      </c>
      <c r="BI44" s="152" t="n">
        <f aca="false">IFERROR(ROUND($D44-Z44-BJ44,0),0)</f>
        <v>0</v>
      </c>
      <c r="BJ44" s="151" t="n">
        <f aca="false">IFERROR(AA44*$G44,0)</f>
        <v>0</v>
      </c>
      <c r="BK44" s="152" t="n">
        <f aca="false">IFERROR(ROUND($D44-AB44-BL44,0),0)</f>
        <v>0</v>
      </c>
      <c r="BL44" s="151" t="n">
        <f aca="false">IFERROR(AC44*$G44,0)</f>
        <v>0</v>
      </c>
      <c r="BM44" s="1"/>
      <c r="BN44" s="154" t="n">
        <v>0</v>
      </c>
      <c r="BO44" s="155"/>
      <c r="BP44" s="150" t="n">
        <v>0</v>
      </c>
      <c r="BQ44" s="151" t="n">
        <v>0</v>
      </c>
      <c r="BR44" s="152"/>
      <c r="BS44" s="150" t="n">
        <v>0</v>
      </c>
      <c r="BT44" s="151" t="n">
        <v>0</v>
      </c>
      <c r="BU44" s="150" t="n">
        <v>0</v>
      </c>
      <c r="BV44" s="151" t="n">
        <v>0</v>
      </c>
      <c r="BW44" s="150" t="n">
        <v>-50</v>
      </c>
      <c r="BX44" s="151" t="n">
        <v>-3</v>
      </c>
      <c r="BY44" s="150" t="n">
        <v>-50</v>
      </c>
      <c r="BZ44" s="151" t="n">
        <v>-3</v>
      </c>
      <c r="CA44" s="152"/>
      <c r="CB44" s="150" t="n">
        <v>0</v>
      </c>
      <c r="CC44" s="151" t="n">
        <v>0</v>
      </c>
      <c r="CD44" s="150" t="n">
        <v>0</v>
      </c>
      <c r="CE44" s="151" t="n">
        <v>0</v>
      </c>
      <c r="CF44" s="150" t="n">
        <v>0</v>
      </c>
      <c r="CG44" s="151" t="n">
        <v>-5</v>
      </c>
      <c r="CH44" s="150" t="n">
        <v>0</v>
      </c>
      <c r="CI44" s="151" t="n">
        <v>-5</v>
      </c>
      <c r="CJ44" s="1"/>
      <c r="CK44" s="149"/>
      <c r="CL44" s="137"/>
      <c r="CM44" s="154" t="str">
        <f aca="false">IFERROR(+$H44-($J44+$K44*$G44),"-")</f>
        <v>-</v>
      </c>
      <c r="CN44" s="137"/>
      <c r="CO44" s="154" t="str">
        <f aca="false">IFERROR(+$H44-($M44+$N44*$G44),"-")</f>
        <v>-</v>
      </c>
      <c r="CP44" s="154" t="str">
        <f aca="false">IFERROR(+$H44-($O44+$P44*$G44),"-")</f>
        <v>-</v>
      </c>
      <c r="CQ44" s="154" t="str">
        <f aca="false">IFERROR(+$H44-($Q44+$R44*$G44),"-")</f>
        <v>-</v>
      </c>
      <c r="CR44" s="154" t="str">
        <f aca="false">IFERROR(+$H44-($Q44+$R44*$G44),"-")</f>
        <v>-</v>
      </c>
      <c r="CS44" s="137"/>
      <c r="CT44" s="154" t="str">
        <f aca="false">IFERROR(+$H44-($V44+$W44*$G44),"-")</f>
        <v>-</v>
      </c>
      <c r="CU44" s="154" t="str">
        <f aca="false">IFERROR(+$H44-($X44+$Y44*$G44),"-")</f>
        <v>-</v>
      </c>
      <c r="CV44" s="154" t="str">
        <f aca="false">IFERROR(+$H44-($Z44+$AA44*$G44),"-")</f>
        <v>-</v>
      </c>
      <c r="CW44" s="154" t="str">
        <f aca="false">IFERROR(+$H44-($AB44+$AC44*$G44),"-")</f>
        <v>-</v>
      </c>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row>
    <row r="45" s="1" customFormat="true" ht="12.75" hidden="false" customHeight="true" outlineLevel="0" collapsed="false">
      <c r="B45" s="134" t="s">
        <v>112</v>
      </c>
      <c r="C45" s="135" t="s">
        <v>117</v>
      </c>
      <c r="D45" s="136" t="e">
        <f aca="false">VLOOKUP($C45,#REF!,5,0)</f>
        <v>#VALUE!</v>
      </c>
      <c r="E45" s="157" t="e">
        <f aca="false">VLOOKUP($C45,#REF!,6,0)</f>
        <v>#VALUE!</v>
      </c>
      <c r="F45" s="135" t="e">
        <f aca="false">VLOOKUP($C45,#REF!,7,0)</f>
        <v>#VALUE!</v>
      </c>
      <c r="G45" s="135" t="e">
        <f aca="false">VLOOKUP($C45,#REF!,8,0)</f>
        <v>#VALUE!</v>
      </c>
      <c r="H45" s="158" t="e">
        <f aca="false">VLOOKUP($C45,#REF!,9,0)</f>
        <v>#VALUE!</v>
      </c>
      <c r="I45" s="137"/>
      <c r="J45" s="138" t="e">
        <f aca="false">VLOOKUP($C45,#REF!,10,0)</f>
        <v>#VALUE!</v>
      </c>
      <c r="K45" s="139" t="e">
        <f aca="false">VLOOKUP($C45,#REF!,11,0)</f>
        <v>#VALUE!</v>
      </c>
      <c r="L45" s="140"/>
      <c r="M45" s="138" t="e">
        <f aca="false">VLOOKUP($C45,#REF!,12,0)</f>
        <v>#VALUE!</v>
      </c>
      <c r="N45" s="140" t="e">
        <f aca="false">VLOOKUP($C45,#REF!,13,0)</f>
        <v>#VALUE!</v>
      </c>
      <c r="O45" s="138" t="e">
        <f aca="false">VLOOKUP($C45,#REF!,14,0)</f>
        <v>#VALUE!</v>
      </c>
      <c r="P45" s="140" t="e">
        <f aca="false">VLOOKUP($C45,#REF!,15,0)</f>
        <v>#VALUE!</v>
      </c>
      <c r="Q45" s="138" t="e">
        <f aca="false">VLOOKUP($C45,#REF!,16,0)</f>
        <v>#VALUE!</v>
      </c>
      <c r="R45" s="139" t="e">
        <f aca="false">VLOOKUP($C45,#REF!,17,0)</f>
        <v>#VALUE!</v>
      </c>
      <c r="S45" s="140" t="e">
        <f aca="false">VLOOKUP($C45,#REF!,18,0)</f>
        <v>#VALUE!</v>
      </c>
      <c r="T45" s="139" t="e">
        <f aca="false">VLOOKUP($C45,#REF!,19,0)</f>
        <v>#VALUE!</v>
      </c>
      <c r="U45" s="140"/>
      <c r="V45" s="138" t="e">
        <f aca="false">VLOOKUP($C45,#REF!,20,0)</f>
        <v>#VALUE!</v>
      </c>
      <c r="W45" s="140" t="e">
        <f aca="false">VLOOKUP($C45,#REF!,21,0)</f>
        <v>#VALUE!</v>
      </c>
      <c r="X45" s="138" t="e">
        <f aca="false">VLOOKUP($C45,#REF!,22,0)</f>
        <v>#VALUE!</v>
      </c>
      <c r="Y45" s="140" t="e">
        <f aca="false">VLOOKUP($C45,#REF!,23,0)</f>
        <v>#VALUE!</v>
      </c>
      <c r="Z45" s="138" t="e">
        <f aca="false">VLOOKUP($C45,#REF!,24,0)</f>
        <v>#VALUE!</v>
      </c>
      <c r="AA45" s="139" t="e">
        <f aca="false">VLOOKUP($C45,#REF!,25,0)</f>
        <v>#VALUE!</v>
      </c>
      <c r="AB45" s="140" t="e">
        <f aca="false">VLOOKUP($C45,#REF!,26,0)</f>
        <v>#VALUE!</v>
      </c>
      <c r="AC45" s="139" t="e">
        <f aca="false">VLOOKUP($C45,#REF!,27,0)</f>
        <v>#VALUE!</v>
      </c>
      <c r="AE45" s="138" t="e">
        <f aca="false">IF(M45="-","-","0,5 GB")</f>
        <v>#VALUE!</v>
      </c>
      <c r="AF45" s="141" t="s">
        <v>92</v>
      </c>
      <c r="AG45" s="141" t="s">
        <v>93</v>
      </c>
      <c r="AH45" s="139" t="s">
        <v>94</v>
      </c>
      <c r="AJ45" s="138" t="s">
        <v>95</v>
      </c>
      <c r="AK45" s="141" t="s">
        <v>96</v>
      </c>
      <c r="AL45" s="141" t="s">
        <v>97</v>
      </c>
      <c r="AM45" s="141" t="s">
        <v>98</v>
      </c>
      <c r="AN45" s="141" t="s">
        <v>98</v>
      </c>
      <c r="AO45" s="139" t="s">
        <v>92</v>
      </c>
      <c r="AQ45" s="142" t="n">
        <v>116</v>
      </c>
      <c r="AR45" s="137"/>
      <c r="AS45" s="138" t="n">
        <v>0</v>
      </c>
      <c r="AT45" s="139" t="n">
        <v>0</v>
      </c>
      <c r="AU45" s="140"/>
      <c r="AV45" s="138" t="n">
        <f aca="false">IFERROR(ROUND($D45-M45-AW45,0),0)</f>
        <v>0</v>
      </c>
      <c r="AW45" s="139" t="n">
        <f aca="false">IFERROR(N45*$G45,0)</f>
        <v>0</v>
      </c>
      <c r="AX45" s="138" t="n">
        <f aca="false">IFERROR(ROUND($D45-O45-AY45,0),0)</f>
        <v>0</v>
      </c>
      <c r="AY45" s="139" t="n">
        <f aca="false">IFERROR(P45*$G45,0)</f>
        <v>0</v>
      </c>
      <c r="AZ45" s="138" t="n">
        <f aca="false">IFERROR(ROUND($D45-Q45-BA45,0),0)</f>
        <v>0</v>
      </c>
      <c r="BA45" s="139" t="n">
        <f aca="false">IFERROR(R45*$G45,0)</f>
        <v>0</v>
      </c>
      <c r="BB45" s="140" t="n">
        <f aca="false">IFERROR(ROUND($D45-S45-BC45,0),0)</f>
        <v>0</v>
      </c>
      <c r="BC45" s="139" t="n">
        <f aca="false">IFERROR(T45*$G45,0)</f>
        <v>0</v>
      </c>
      <c r="BD45" s="140"/>
      <c r="BE45" s="138" t="n">
        <f aca="false">IFERROR(ROUND($D45-V45-BF45,0),0)</f>
        <v>0</v>
      </c>
      <c r="BF45" s="139" t="n">
        <f aca="false">IFERROR(W45*$G45,0)</f>
        <v>0</v>
      </c>
      <c r="BG45" s="138" t="n">
        <f aca="false">IFERROR(ROUND($D45-X45-BH45,0),0)</f>
        <v>0</v>
      </c>
      <c r="BH45" s="139" t="n">
        <f aca="false">IFERROR(Y45*$G45,0)</f>
        <v>0</v>
      </c>
      <c r="BI45" s="140" t="n">
        <f aca="false">IFERROR(ROUND($D45-Z45-BJ45,0),0)</f>
        <v>0</v>
      </c>
      <c r="BJ45" s="139" t="n">
        <f aca="false">IFERROR(AA45*$G45,0)</f>
        <v>0</v>
      </c>
      <c r="BK45" s="140" t="n">
        <f aca="false">IFERROR(ROUND($D45-AB45-BL45,0),0)</f>
        <v>0</v>
      </c>
      <c r="BL45" s="139" t="n">
        <f aca="false">IFERROR(AC45*$G45,0)</f>
        <v>0</v>
      </c>
      <c r="BN45" s="142" t="n">
        <v>-32.23</v>
      </c>
      <c r="BO45" s="137"/>
      <c r="BP45" s="138" t="n">
        <v>-32.23</v>
      </c>
      <c r="BQ45" s="139" t="n">
        <v>0</v>
      </c>
      <c r="BR45" s="140"/>
      <c r="BS45" s="138" t="n">
        <v>0</v>
      </c>
      <c r="BT45" s="139" t="n">
        <v>0</v>
      </c>
      <c r="BU45" s="138" t="n">
        <v>0</v>
      </c>
      <c r="BV45" s="139" t="n">
        <v>0</v>
      </c>
      <c r="BW45" s="138" t="n">
        <v>0</v>
      </c>
      <c r="BX45" s="139" t="n">
        <v>0</v>
      </c>
      <c r="BY45" s="138" t="n">
        <v>0</v>
      </c>
      <c r="BZ45" s="139" t="n">
        <v>0</v>
      </c>
      <c r="CA45" s="140"/>
      <c r="CB45" s="138" t="n">
        <v>0</v>
      </c>
      <c r="CC45" s="139" t="n">
        <v>0</v>
      </c>
      <c r="CD45" s="138" t="n">
        <v>0</v>
      </c>
      <c r="CE45" s="139" t="n">
        <v>0</v>
      </c>
      <c r="CF45" s="138" t="n">
        <v>0</v>
      </c>
      <c r="CG45" s="139" t="n">
        <v>0</v>
      </c>
      <c r="CH45" s="138" t="n">
        <v>0</v>
      </c>
      <c r="CI45" s="139" t="n">
        <v>0</v>
      </c>
      <c r="CK45" s="143"/>
      <c r="CL45" s="137"/>
      <c r="CM45" s="144" t="str">
        <f aca="false">IFERROR(+$H45-($J45+$K45*$G45),"-")</f>
        <v>-</v>
      </c>
      <c r="CN45" s="137"/>
      <c r="CO45" s="144" t="str">
        <f aca="false">IFERROR(+$H45-($M45+$N45*$G45),"-")</f>
        <v>-</v>
      </c>
      <c r="CP45" s="144" t="str">
        <f aca="false">IFERROR(+$H45-($O45+$P45*$G45),"-")</f>
        <v>-</v>
      </c>
      <c r="CQ45" s="144" t="str">
        <f aca="false">IFERROR(+$H45-($Q45+$R45*$G45),"-")</f>
        <v>-</v>
      </c>
      <c r="CR45" s="144" t="str">
        <f aca="false">IFERROR(+$H45-($Q45+$R45*$G45),"-")</f>
        <v>-</v>
      </c>
      <c r="CS45" s="137"/>
      <c r="CT45" s="144" t="str">
        <f aca="false">IFERROR(+$H45-($V45+$W45*$G45),"-")</f>
        <v>-</v>
      </c>
      <c r="CU45" s="144" t="str">
        <f aca="false">IFERROR(+$H45-($X45+$Y45*$G45),"-")</f>
        <v>-</v>
      </c>
      <c r="CV45" s="144" t="str">
        <f aca="false">IFERROR(+$H45-($Z45+$AA45*$G45),"-")</f>
        <v>-</v>
      </c>
      <c r="CW45" s="144" t="str">
        <f aca="false">IFERROR(+$H45-($AB45+$AC45*$G45),"-")</f>
        <v>-</v>
      </c>
    </row>
    <row r="46" s="156" customFormat="true" ht="12.75" hidden="false" customHeight="true" outlineLevel="0" collapsed="false">
      <c r="A46" s="1"/>
      <c r="B46" s="145" t="s">
        <v>112</v>
      </c>
      <c r="C46" s="146" t="s">
        <v>118</v>
      </c>
      <c r="D46" s="147" t="e">
        <f aca="false">VLOOKUP($C46,#REF!,5,0)</f>
        <v>#VALUE!</v>
      </c>
      <c r="E46" s="148" t="e">
        <f aca="false">VLOOKUP($C46,#REF!,6,0)</f>
        <v>#VALUE!</v>
      </c>
      <c r="F46" s="146" t="e">
        <f aca="false">VLOOKUP($C46,#REF!,7,0)</f>
        <v>#VALUE!</v>
      </c>
      <c r="G46" s="146" t="e">
        <f aca="false">VLOOKUP($C46,#REF!,8,0)</f>
        <v>#VALUE!</v>
      </c>
      <c r="H46" s="149" t="e">
        <f aca="false">VLOOKUP($C46,#REF!,9,0)</f>
        <v>#VALUE!</v>
      </c>
      <c r="I46" s="137"/>
      <c r="J46" s="150" t="e">
        <f aca="false">VLOOKUP($C46,#REF!,10,0)</f>
        <v>#VALUE!</v>
      </c>
      <c r="K46" s="151" t="e">
        <f aca="false">VLOOKUP($C46,#REF!,11,0)</f>
        <v>#VALUE!</v>
      </c>
      <c r="L46" s="140"/>
      <c r="M46" s="150" t="e">
        <f aca="false">VLOOKUP($C46,#REF!,12,0)</f>
        <v>#VALUE!</v>
      </c>
      <c r="N46" s="152" t="e">
        <f aca="false">VLOOKUP($C46,#REF!,13,0)</f>
        <v>#VALUE!</v>
      </c>
      <c r="O46" s="150" t="e">
        <f aca="false">VLOOKUP($C46,#REF!,14,0)</f>
        <v>#VALUE!</v>
      </c>
      <c r="P46" s="152" t="e">
        <f aca="false">VLOOKUP($C46,#REF!,15,0)</f>
        <v>#VALUE!</v>
      </c>
      <c r="Q46" s="150" t="e">
        <f aca="false">VLOOKUP($C46,#REF!,16,0)</f>
        <v>#VALUE!</v>
      </c>
      <c r="R46" s="151" t="e">
        <f aca="false">VLOOKUP($C46,#REF!,17,0)</f>
        <v>#VALUE!</v>
      </c>
      <c r="S46" s="152" t="e">
        <f aca="false">VLOOKUP($C46,#REF!,18,0)</f>
        <v>#VALUE!</v>
      </c>
      <c r="T46" s="151" t="e">
        <f aca="false">VLOOKUP($C46,#REF!,19,0)</f>
        <v>#VALUE!</v>
      </c>
      <c r="U46" s="140"/>
      <c r="V46" s="150" t="e">
        <f aca="false">VLOOKUP($C46,#REF!,20,0)</f>
        <v>#VALUE!</v>
      </c>
      <c r="W46" s="152" t="e">
        <f aca="false">VLOOKUP($C46,#REF!,21,0)</f>
        <v>#VALUE!</v>
      </c>
      <c r="X46" s="150" t="e">
        <f aca="false">VLOOKUP($C46,#REF!,22,0)</f>
        <v>#VALUE!</v>
      </c>
      <c r="Y46" s="152" t="e">
        <f aca="false">VLOOKUP($C46,#REF!,23,0)</f>
        <v>#VALUE!</v>
      </c>
      <c r="Z46" s="150" t="e">
        <f aca="false">VLOOKUP($C46,#REF!,24,0)</f>
        <v>#VALUE!</v>
      </c>
      <c r="AA46" s="151" t="e">
        <f aca="false">VLOOKUP($C46,#REF!,25,0)</f>
        <v>#VALUE!</v>
      </c>
      <c r="AB46" s="152" t="e">
        <f aca="false">VLOOKUP($C46,#REF!,26,0)</f>
        <v>#VALUE!</v>
      </c>
      <c r="AC46" s="151" t="e">
        <f aca="false">VLOOKUP($C46,#REF!,27,0)</f>
        <v>#VALUE!</v>
      </c>
      <c r="AD46" s="1"/>
      <c r="AE46" s="150" t="e">
        <f aca="false">IF(M46="-","-","0,5 GB")</f>
        <v>#VALUE!</v>
      </c>
      <c r="AF46" s="153" t="s">
        <v>92</v>
      </c>
      <c r="AG46" s="153" t="s">
        <v>93</v>
      </c>
      <c r="AH46" s="151" t="s">
        <v>94</v>
      </c>
      <c r="AI46" s="1"/>
      <c r="AJ46" s="150" t="s">
        <v>95</v>
      </c>
      <c r="AK46" s="153" t="s">
        <v>96</v>
      </c>
      <c r="AL46" s="153" t="s">
        <v>97</v>
      </c>
      <c r="AM46" s="153" t="s">
        <v>98</v>
      </c>
      <c r="AN46" s="153" t="s">
        <v>98</v>
      </c>
      <c r="AO46" s="151" t="s">
        <v>92</v>
      </c>
      <c r="AP46" s="1"/>
      <c r="AQ46" s="154" t="n">
        <v>-7</v>
      </c>
      <c r="AR46" s="137"/>
      <c r="AS46" s="150" t="n">
        <v>0</v>
      </c>
      <c r="AT46" s="151" t="n">
        <v>0</v>
      </c>
      <c r="AU46" s="140"/>
      <c r="AV46" s="150" t="n">
        <f aca="false">IFERROR(ROUND($D46-M46-AW46,0),0)</f>
        <v>0</v>
      </c>
      <c r="AW46" s="151" t="n">
        <f aca="false">IFERROR(N46*$G46,0)</f>
        <v>0</v>
      </c>
      <c r="AX46" s="150" t="n">
        <f aca="false">IFERROR(ROUND($D46-O46-AY46,0),0)</f>
        <v>0</v>
      </c>
      <c r="AY46" s="151" t="n">
        <f aca="false">IFERROR(P46*$G46,0)</f>
        <v>0</v>
      </c>
      <c r="AZ46" s="150" t="n">
        <f aca="false">IFERROR(ROUND($D46-Q46-BA46,0),0)</f>
        <v>0</v>
      </c>
      <c r="BA46" s="151" t="n">
        <f aca="false">IFERROR(R46*$G46,0)</f>
        <v>0</v>
      </c>
      <c r="BB46" s="152" t="n">
        <f aca="false">IFERROR(ROUND($D46-S46-BC46,0),0)</f>
        <v>0</v>
      </c>
      <c r="BC46" s="151" t="n">
        <f aca="false">IFERROR(T46*$G46,0)</f>
        <v>0</v>
      </c>
      <c r="BD46" s="140"/>
      <c r="BE46" s="150" t="n">
        <f aca="false">IFERROR(ROUND($D46-V46-BF46,0),0)</f>
        <v>0</v>
      </c>
      <c r="BF46" s="151" t="n">
        <f aca="false">IFERROR(W46*$G46,0)</f>
        <v>0</v>
      </c>
      <c r="BG46" s="150" t="n">
        <f aca="false">IFERROR(ROUND($D46-X46-BH46,0),0)</f>
        <v>0</v>
      </c>
      <c r="BH46" s="151" t="n">
        <f aca="false">IFERROR(Y46*$G46,0)</f>
        <v>0</v>
      </c>
      <c r="BI46" s="152" t="n">
        <f aca="false">IFERROR(ROUND($D46-Z46-BJ46,0),0)</f>
        <v>0</v>
      </c>
      <c r="BJ46" s="151" t="n">
        <f aca="false">IFERROR(AA46*$G46,0)</f>
        <v>0</v>
      </c>
      <c r="BK46" s="152" t="n">
        <f aca="false">IFERROR(ROUND($D46-AB46-BL46,0),0)</f>
        <v>0</v>
      </c>
      <c r="BL46" s="151" t="n">
        <f aca="false">IFERROR(AC46*$G46,0)</f>
        <v>0</v>
      </c>
      <c r="BM46" s="1"/>
      <c r="BN46" s="154" t="n">
        <v>0</v>
      </c>
      <c r="BO46" s="155"/>
      <c r="BP46" s="150" t="n">
        <v>0</v>
      </c>
      <c r="BQ46" s="151" t="n">
        <v>0</v>
      </c>
      <c r="BR46" s="152"/>
      <c r="BS46" s="150" t="n">
        <v>0</v>
      </c>
      <c r="BT46" s="151" t="n">
        <v>0</v>
      </c>
      <c r="BU46" s="150" t="n">
        <v>0</v>
      </c>
      <c r="BV46" s="151" t="n">
        <v>0</v>
      </c>
      <c r="BW46" s="150" t="n">
        <v>0</v>
      </c>
      <c r="BX46" s="151" t="n">
        <v>0</v>
      </c>
      <c r="BY46" s="150" t="n">
        <v>0</v>
      </c>
      <c r="BZ46" s="151" t="n">
        <v>0</v>
      </c>
      <c r="CA46" s="152"/>
      <c r="CB46" s="150" t="n">
        <v>0</v>
      </c>
      <c r="CC46" s="151" t="n">
        <v>0</v>
      </c>
      <c r="CD46" s="150" t="n">
        <v>0</v>
      </c>
      <c r="CE46" s="151" t="n">
        <v>0</v>
      </c>
      <c r="CF46" s="150" t="n">
        <v>0</v>
      </c>
      <c r="CG46" s="151" t="n">
        <v>0</v>
      </c>
      <c r="CH46" s="150" t="n">
        <v>0</v>
      </c>
      <c r="CI46" s="151" t="n">
        <v>0</v>
      </c>
      <c r="CJ46" s="1"/>
      <c r="CK46" s="149"/>
      <c r="CL46" s="137"/>
      <c r="CM46" s="154" t="str">
        <f aca="false">IFERROR(+$H46-($J46+$K46*$G46),"-")</f>
        <v>-</v>
      </c>
      <c r="CN46" s="137"/>
      <c r="CO46" s="154" t="str">
        <f aca="false">IFERROR(+$H46-($M46+$N46*$G46),"-")</f>
        <v>-</v>
      </c>
      <c r="CP46" s="154" t="str">
        <f aca="false">IFERROR(+$H46-($O46+$P46*$G46),"-")</f>
        <v>-</v>
      </c>
      <c r="CQ46" s="154" t="str">
        <f aca="false">IFERROR(+$H46-($Q46+$R46*$G46),"-")</f>
        <v>-</v>
      </c>
      <c r="CR46" s="154" t="str">
        <f aca="false">IFERROR(+$H46-($Q46+$R46*$G46),"-")</f>
        <v>-</v>
      </c>
      <c r="CS46" s="137"/>
      <c r="CT46" s="154" t="str">
        <f aca="false">IFERROR(+$H46-($V46+$W46*$G46),"-")</f>
        <v>-</v>
      </c>
      <c r="CU46" s="154" t="str">
        <f aca="false">IFERROR(+$H46-($X46+$Y46*$G46),"-")</f>
        <v>-</v>
      </c>
      <c r="CV46" s="154" t="str">
        <f aca="false">IFERROR(+$H46-($Z46+$AA46*$G46),"-")</f>
        <v>-</v>
      </c>
      <c r="CW46" s="154" t="str">
        <f aca="false">IFERROR(+$H46-($AB46+$AC46*$G46),"-")</f>
        <v>-</v>
      </c>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row>
    <row r="47" s="1" customFormat="true" ht="12.75" hidden="false" customHeight="true" outlineLevel="0" collapsed="false">
      <c r="B47" s="134" t="s">
        <v>112</v>
      </c>
      <c r="C47" s="135" t="s">
        <v>119</v>
      </c>
      <c r="D47" s="136" t="e">
        <f aca="false">VLOOKUP($C47,#REF!,5,0)</f>
        <v>#VALUE!</v>
      </c>
      <c r="E47" s="157" t="e">
        <f aca="false">VLOOKUP($C47,#REF!,6,0)</f>
        <v>#VALUE!</v>
      </c>
      <c r="F47" s="135" t="e">
        <f aca="false">VLOOKUP($C47,#REF!,7,0)</f>
        <v>#VALUE!</v>
      </c>
      <c r="G47" s="135" t="e">
        <f aca="false">VLOOKUP($C47,#REF!,8,0)</f>
        <v>#VALUE!</v>
      </c>
      <c r="H47" s="158" t="e">
        <f aca="false">VLOOKUP($C47,#REF!,9,0)</f>
        <v>#VALUE!</v>
      </c>
      <c r="I47" s="137"/>
      <c r="J47" s="138" t="e">
        <f aca="false">VLOOKUP($C47,#REF!,10,0)</f>
        <v>#VALUE!</v>
      </c>
      <c r="K47" s="139" t="e">
        <f aca="false">VLOOKUP($C47,#REF!,11,0)</f>
        <v>#VALUE!</v>
      </c>
      <c r="L47" s="140"/>
      <c r="M47" s="138" t="e">
        <f aca="false">VLOOKUP($C47,#REF!,12,0)</f>
        <v>#VALUE!</v>
      </c>
      <c r="N47" s="140" t="e">
        <f aca="false">VLOOKUP($C47,#REF!,13,0)</f>
        <v>#VALUE!</v>
      </c>
      <c r="O47" s="138" t="e">
        <f aca="false">VLOOKUP($C47,#REF!,14,0)</f>
        <v>#VALUE!</v>
      </c>
      <c r="P47" s="140" t="e">
        <f aca="false">VLOOKUP($C47,#REF!,15,0)</f>
        <v>#VALUE!</v>
      </c>
      <c r="Q47" s="138" t="e">
        <f aca="false">VLOOKUP($C47,#REF!,16,0)</f>
        <v>#VALUE!</v>
      </c>
      <c r="R47" s="139" t="e">
        <f aca="false">VLOOKUP($C47,#REF!,17,0)</f>
        <v>#VALUE!</v>
      </c>
      <c r="S47" s="140" t="e">
        <f aca="false">VLOOKUP($C47,#REF!,18,0)</f>
        <v>#VALUE!</v>
      </c>
      <c r="T47" s="139" t="e">
        <f aca="false">VLOOKUP($C47,#REF!,19,0)</f>
        <v>#VALUE!</v>
      </c>
      <c r="U47" s="140"/>
      <c r="V47" s="138" t="e">
        <f aca="false">VLOOKUP($C47,#REF!,20,0)</f>
        <v>#VALUE!</v>
      </c>
      <c r="W47" s="140" t="e">
        <f aca="false">VLOOKUP($C47,#REF!,21,0)</f>
        <v>#VALUE!</v>
      </c>
      <c r="X47" s="138" t="e">
        <f aca="false">VLOOKUP($C47,#REF!,22,0)</f>
        <v>#VALUE!</v>
      </c>
      <c r="Y47" s="140" t="e">
        <f aca="false">VLOOKUP($C47,#REF!,23,0)</f>
        <v>#VALUE!</v>
      </c>
      <c r="Z47" s="138" t="e">
        <f aca="false">VLOOKUP($C47,#REF!,24,0)</f>
        <v>#VALUE!</v>
      </c>
      <c r="AA47" s="139" t="e">
        <f aca="false">VLOOKUP($C47,#REF!,25,0)</f>
        <v>#VALUE!</v>
      </c>
      <c r="AB47" s="140" t="e">
        <f aca="false">VLOOKUP($C47,#REF!,26,0)</f>
        <v>#VALUE!</v>
      </c>
      <c r="AC47" s="139" t="e">
        <f aca="false">VLOOKUP($C47,#REF!,27,0)</f>
        <v>#VALUE!</v>
      </c>
      <c r="AE47" s="138" t="e">
        <f aca="false">IF(M47="-","-","0,5 GB")</f>
        <v>#VALUE!</v>
      </c>
      <c r="AF47" s="141" t="s">
        <v>92</v>
      </c>
      <c r="AG47" s="141" t="s">
        <v>93</v>
      </c>
      <c r="AH47" s="139" t="s">
        <v>94</v>
      </c>
      <c r="AJ47" s="138" t="s">
        <v>95</v>
      </c>
      <c r="AK47" s="141" t="s">
        <v>96</v>
      </c>
      <c r="AL47" s="141" t="s">
        <v>97</v>
      </c>
      <c r="AM47" s="141" t="s">
        <v>98</v>
      </c>
      <c r="AN47" s="141" t="s">
        <v>98</v>
      </c>
      <c r="AO47" s="139" t="s">
        <v>92</v>
      </c>
      <c r="AQ47" s="142" t="n">
        <v>30</v>
      </c>
      <c r="AR47" s="137"/>
      <c r="AS47" s="138" t="n">
        <v>0</v>
      </c>
      <c r="AT47" s="139" t="n">
        <v>0</v>
      </c>
      <c r="AU47" s="140"/>
      <c r="AV47" s="138" t="n">
        <f aca="false">IFERROR(ROUND($D47-M47-AW47,0),0)</f>
        <v>0</v>
      </c>
      <c r="AW47" s="139" t="n">
        <f aca="false">IFERROR(N47*$G47,0)</f>
        <v>0</v>
      </c>
      <c r="AX47" s="138" t="n">
        <f aca="false">IFERROR(ROUND($D47-O47-AY47,0),0)</f>
        <v>0</v>
      </c>
      <c r="AY47" s="139" t="n">
        <f aca="false">IFERROR(P47*$G47,0)</f>
        <v>0</v>
      </c>
      <c r="AZ47" s="138" t="n">
        <f aca="false">IFERROR(ROUND($D47-Q47-BA47,0),0)</f>
        <v>0</v>
      </c>
      <c r="BA47" s="139" t="n">
        <f aca="false">IFERROR(R47*$G47,0)</f>
        <v>0</v>
      </c>
      <c r="BB47" s="140" t="n">
        <f aca="false">IFERROR(ROUND($D47-S47-BC47,0),0)</f>
        <v>0</v>
      </c>
      <c r="BC47" s="139" t="n">
        <f aca="false">IFERROR(T47*$G47,0)</f>
        <v>0</v>
      </c>
      <c r="BD47" s="140"/>
      <c r="BE47" s="138" t="n">
        <f aca="false">IFERROR(ROUND($D47-V47-BF47,0),0)</f>
        <v>0</v>
      </c>
      <c r="BF47" s="139" t="n">
        <f aca="false">IFERROR(W47*$G47,0)</f>
        <v>0</v>
      </c>
      <c r="BG47" s="138" t="n">
        <f aca="false">IFERROR(ROUND($D47-X47-BH47,0),0)</f>
        <v>0</v>
      </c>
      <c r="BH47" s="139" t="n">
        <f aca="false">IFERROR(Y47*$G47,0)</f>
        <v>0</v>
      </c>
      <c r="BI47" s="140" t="n">
        <f aca="false">IFERROR(ROUND($D47-Z47-BJ47,0),0)</f>
        <v>0</v>
      </c>
      <c r="BJ47" s="139" t="n">
        <f aca="false">IFERROR(AA47*$G47,0)</f>
        <v>0</v>
      </c>
      <c r="BK47" s="140" t="n">
        <f aca="false">IFERROR(ROUND($D47-AB47-BL47,0),0)</f>
        <v>0</v>
      </c>
      <c r="BL47" s="139" t="n">
        <f aca="false">IFERROR(AC47*$G47,0)</f>
        <v>0</v>
      </c>
      <c r="BN47" s="142" t="n">
        <v>0</v>
      </c>
      <c r="BO47" s="137"/>
      <c r="BP47" s="138" t="n">
        <v>0</v>
      </c>
      <c r="BQ47" s="139" t="n">
        <v>0</v>
      </c>
      <c r="BR47" s="140"/>
      <c r="BS47" s="138" t="n">
        <v>0</v>
      </c>
      <c r="BT47" s="139" t="n">
        <v>0</v>
      </c>
      <c r="BU47" s="138" t="n">
        <v>0</v>
      </c>
      <c r="BV47" s="139" t="n">
        <v>0</v>
      </c>
      <c r="BW47" s="138" t="n">
        <v>0</v>
      </c>
      <c r="BX47" s="139" t="n">
        <v>0</v>
      </c>
      <c r="BY47" s="138" t="n">
        <v>0</v>
      </c>
      <c r="BZ47" s="139" t="n">
        <v>0</v>
      </c>
      <c r="CA47" s="140"/>
      <c r="CB47" s="138" t="n">
        <v>0</v>
      </c>
      <c r="CC47" s="139" t="n">
        <v>0</v>
      </c>
      <c r="CD47" s="138" t="n">
        <v>0</v>
      </c>
      <c r="CE47" s="139" t="n">
        <v>0</v>
      </c>
      <c r="CF47" s="138" t="n">
        <v>0</v>
      </c>
      <c r="CG47" s="139" t="n">
        <v>0</v>
      </c>
      <c r="CH47" s="138" t="n">
        <v>0</v>
      </c>
      <c r="CI47" s="139" t="n">
        <v>0</v>
      </c>
      <c r="CK47" s="143"/>
      <c r="CL47" s="137"/>
      <c r="CM47" s="144" t="str">
        <f aca="false">IFERROR(+$H47-($J47+$K47*$G47),"-")</f>
        <v>-</v>
      </c>
      <c r="CN47" s="137"/>
      <c r="CO47" s="144" t="str">
        <f aca="false">IFERROR(+$H47-($M47+$N47*$G47),"-")</f>
        <v>-</v>
      </c>
      <c r="CP47" s="144" t="str">
        <f aca="false">IFERROR(+$H47-($O47+$P47*$G47),"-")</f>
        <v>-</v>
      </c>
      <c r="CQ47" s="144" t="str">
        <f aca="false">IFERROR(+$H47-($Q47+$R47*$G47),"-")</f>
        <v>-</v>
      </c>
      <c r="CR47" s="144" t="str">
        <f aca="false">IFERROR(+$H47-($Q47+$R47*$G47),"-")</f>
        <v>-</v>
      </c>
      <c r="CS47" s="137"/>
      <c r="CT47" s="144" t="str">
        <f aca="false">IFERROR(+$H47-($V47+$W47*$G47),"-")</f>
        <v>-</v>
      </c>
      <c r="CU47" s="144" t="str">
        <f aca="false">IFERROR(+$H47-($X47+$Y47*$G47),"-")</f>
        <v>-</v>
      </c>
      <c r="CV47" s="144" t="str">
        <f aca="false">IFERROR(+$H47-($Z47+$AA47*$G47),"-")</f>
        <v>-</v>
      </c>
      <c r="CW47" s="144" t="str">
        <f aca="false">IFERROR(+$H47-($AB47+$AC47*$G47),"-")</f>
        <v>-</v>
      </c>
    </row>
    <row r="48" s="156" customFormat="true" ht="12.75" hidden="false" customHeight="true" outlineLevel="0" collapsed="false">
      <c r="A48" s="1"/>
      <c r="B48" s="145" t="s">
        <v>120</v>
      </c>
      <c r="C48" s="146" t="s">
        <v>121</v>
      </c>
      <c r="D48" s="147" t="e">
        <f aca="false">VLOOKUP($C48,#REF!,5,0)</f>
        <v>#VALUE!</v>
      </c>
      <c r="E48" s="148" t="e">
        <f aca="false">VLOOKUP($C48,#REF!,6,0)</f>
        <v>#VALUE!</v>
      </c>
      <c r="F48" s="146" t="e">
        <f aca="false">VLOOKUP($C48,#REF!,7,0)</f>
        <v>#VALUE!</v>
      </c>
      <c r="G48" s="146" t="e">
        <f aca="false">VLOOKUP($C48,#REF!,8,0)</f>
        <v>#VALUE!</v>
      </c>
      <c r="H48" s="149" t="e">
        <f aca="false">VLOOKUP($C48,#REF!,9,0)</f>
        <v>#VALUE!</v>
      </c>
      <c r="I48" s="137"/>
      <c r="J48" s="150" t="e">
        <f aca="false">VLOOKUP($C48,#REF!,10,0)</f>
        <v>#VALUE!</v>
      </c>
      <c r="K48" s="151" t="e">
        <f aca="false">VLOOKUP($C48,#REF!,11,0)</f>
        <v>#VALUE!</v>
      </c>
      <c r="L48" s="140"/>
      <c r="M48" s="150" t="e">
        <f aca="false">VLOOKUP($C48,#REF!,12,0)</f>
        <v>#VALUE!</v>
      </c>
      <c r="N48" s="152" t="e">
        <f aca="false">VLOOKUP($C48,#REF!,13,0)</f>
        <v>#VALUE!</v>
      </c>
      <c r="O48" s="150" t="e">
        <f aca="false">VLOOKUP($C48,#REF!,14,0)</f>
        <v>#VALUE!</v>
      </c>
      <c r="P48" s="152" t="e">
        <f aca="false">VLOOKUP($C48,#REF!,15,0)</f>
        <v>#VALUE!</v>
      </c>
      <c r="Q48" s="150" t="e">
        <f aca="false">VLOOKUP($C48,#REF!,16,0)</f>
        <v>#VALUE!</v>
      </c>
      <c r="R48" s="151" t="e">
        <f aca="false">VLOOKUP($C48,#REF!,17,0)</f>
        <v>#VALUE!</v>
      </c>
      <c r="S48" s="152" t="e">
        <f aca="false">VLOOKUP($C48,#REF!,18,0)</f>
        <v>#VALUE!</v>
      </c>
      <c r="T48" s="151" t="e">
        <f aca="false">VLOOKUP($C48,#REF!,19,0)</f>
        <v>#VALUE!</v>
      </c>
      <c r="U48" s="140"/>
      <c r="V48" s="150" t="e">
        <f aca="false">VLOOKUP($C48,#REF!,20,0)</f>
        <v>#VALUE!</v>
      </c>
      <c r="W48" s="152" t="e">
        <f aca="false">VLOOKUP($C48,#REF!,21,0)</f>
        <v>#VALUE!</v>
      </c>
      <c r="X48" s="150" t="e">
        <f aca="false">VLOOKUP($C48,#REF!,22,0)</f>
        <v>#VALUE!</v>
      </c>
      <c r="Y48" s="152" t="e">
        <f aca="false">VLOOKUP($C48,#REF!,23,0)</f>
        <v>#VALUE!</v>
      </c>
      <c r="Z48" s="150" t="e">
        <f aca="false">VLOOKUP($C48,#REF!,24,0)</f>
        <v>#VALUE!</v>
      </c>
      <c r="AA48" s="151" t="e">
        <f aca="false">VLOOKUP($C48,#REF!,25,0)</f>
        <v>#VALUE!</v>
      </c>
      <c r="AB48" s="152" t="e">
        <f aca="false">VLOOKUP($C48,#REF!,26,0)</f>
        <v>#VALUE!</v>
      </c>
      <c r="AC48" s="151" t="e">
        <f aca="false">VLOOKUP($C48,#REF!,27,0)</f>
        <v>#VALUE!</v>
      </c>
      <c r="AD48" s="1"/>
      <c r="AE48" s="150" t="e">
        <f aca="false">IF(M48="-","-","0,5 GB")</f>
        <v>#VALUE!</v>
      </c>
      <c r="AF48" s="153" t="s">
        <v>92</v>
      </c>
      <c r="AG48" s="153" t="s">
        <v>93</v>
      </c>
      <c r="AH48" s="151" t="s">
        <v>94</v>
      </c>
      <c r="AI48" s="1"/>
      <c r="AJ48" s="150" t="s">
        <v>95</v>
      </c>
      <c r="AK48" s="153" t="s">
        <v>96</v>
      </c>
      <c r="AL48" s="153" t="s">
        <v>97</v>
      </c>
      <c r="AM48" s="153" t="s">
        <v>98</v>
      </c>
      <c r="AN48" s="153" t="s">
        <v>98</v>
      </c>
      <c r="AO48" s="151" t="s">
        <v>92</v>
      </c>
      <c r="AP48" s="1"/>
      <c r="AQ48" s="154" t="n">
        <v>0</v>
      </c>
      <c r="AR48" s="137"/>
      <c r="AS48" s="150" t="n">
        <v>0</v>
      </c>
      <c r="AT48" s="151" t="n">
        <v>0</v>
      </c>
      <c r="AU48" s="140"/>
      <c r="AV48" s="150" t="n">
        <f aca="false">IFERROR(ROUND($D48-M48-AW48,0),0)</f>
        <v>0</v>
      </c>
      <c r="AW48" s="151" t="n">
        <f aca="false">IFERROR(N48*$G48,0)</f>
        <v>0</v>
      </c>
      <c r="AX48" s="150" t="n">
        <f aca="false">IFERROR(ROUND($D48-O48-AY48,0),0)</f>
        <v>0</v>
      </c>
      <c r="AY48" s="151" t="n">
        <f aca="false">IFERROR(P48*$G48,0)</f>
        <v>0</v>
      </c>
      <c r="AZ48" s="150" t="n">
        <f aca="false">IFERROR(ROUND($D48-Q48-BA48,0),0)</f>
        <v>0</v>
      </c>
      <c r="BA48" s="151" t="n">
        <f aca="false">IFERROR(R48*$G48,0)</f>
        <v>0</v>
      </c>
      <c r="BB48" s="152" t="n">
        <f aca="false">IFERROR(ROUND($D48-S48-BC48,0),0)</f>
        <v>0</v>
      </c>
      <c r="BC48" s="151" t="n">
        <f aca="false">IFERROR(T48*$G48,0)</f>
        <v>0</v>
      </c>
      <c r="BD48" s="140"/>
      <c r="BE48" s="150" t="n">
        <f aca="false">IFERROR(ROUND($D48-V48-BF48,0),0)</f>
        <v>0</v>
      </c>
      <c r="BF48" s="151" t="n">
        <f aca="false">IFERROR(W48*$G48,0)</f>
        <v>0</v>
      </c>
      <c r="BG48" s="150" t="n">
        <f aca="false">IFERROR(ROUND($D48-X48-BH48,0),0)</f>
        <v>0</v>
      </c>
      <c r="BH48" s="151" t="n">
        <f aca="false">IFERROR(Y48*$G48,0)</f>
        <v>0</v>
      </c>
      <c r="BI48" s="152" t="n">
        <f aca="false">IFERROR(ROUND($D48-Z48-BJ48,0),0)</f>
        <v>0</v>
      </c>
      <c r="BJ48" s="151" t="n">
        <f aca="false">IFERROR(AA48*$G48,0)</f>
        <v>0</v>
      </c>
      <c r="BK48" s="152" t="n">
        <f aca="false">IFERROR(ROUND($D48-AB48-BL48,0),0)</f>
        <v>0</v>
      </c>
      <c r="BL48" s="151" t="n">
        <f aca="false">IFERROR(AC48*$G48,0)</f>
        <v>0</v>
      </c>
      <c r="BM48" s="1"/>
      <c r="BN48" s="154" t="n">
        <v>0</v>
      </c>
      <c r="BO48" s="155"/>
      <c r="BP48" s="150" t="n">
        <v>0</v>
      </c>
      <c r="BQ48" s="151" t="n">
        <v>0</v>
      </c>
      <c r="BR48" s="152"/>
      <c r="BS48" s="150" t="n">
        <v>0</v>
      </c>
      <c r="BT48" s="151" t="n">
        <v>0</v>
      </c>
      <c r="BU48" s="150" t="n">
        <v>0</v>
      </c>
      <c r="BV48" s="151" t="n">
        <v>0</v>
      </c>
      <c r="BW48" s="150" t="n">
        <v>0</v>
      </c>
      <c r="BX48" s="151" t="n">
        <v>0</v>
      </c>
      <c r="BY48" s="150" t="n">
        <v>0</v>
      </c>
      <c r="BZ48" s="151" t="n">
        <v>0</v>
      </c>
      <c r="CA48" s="152"/>
      <c r="CB48" s="150" t="n">
        <v>0</v>
      </c>
      <c r="CC48" s="151" t="n">
        <v>0</v>
      </c>
      <c r="CD48" s="150" t="n">
        <v>0</v>
      </c>
      <c r="CE48" s="151" t="n">
        <v>0</v>
      </c>
      <c r="CF48" s="150" t="n">
        <v>0</v>
      </c>
      <c r="CG48" s="151" t="n">
        <v>0</v>
      </c>
      <c r="CH48" s="150" t="n">
        <v>0</v>
      </c>
      <c r="CI48" s="151" t="n">
        <v>0</v>
      </c>
      <c r="CJ48" s="1"/>
      <c r="CK48" s="149"/>
      <c r="CL48" s="137"/>
      <c r="CM48" s="154" t="str">
        <f aca="false">IFERROR(+$H48-($J48+$K48*$G48),"-")</f>
        <v>-</v>
      </c>
      <c r="CN48" s="137"/>
      <c r="CO48" s="154" t="str">
        <f aca="false">IFERROR(+$H48-($M48+$N48*$G48),"-")</f>
        <v>-</v>
      </c>
      <c r="CP48" s="154" t="str">
        <f aca="false">IFERROR(+$H48-($O48+$P48*$G48),"-")</f>
        <v>-</v>
      </c>
      <c r="CQ48" s="154" t="str">
        <f aca="false">IFERROR(+$H48-($Q48+$R48*$G48),"-")</f>
        <v>-</v>
      </c>
      <c r="CR48" s="154" t="str">
        <f aca="false">IFERROR(+$H48-($Q48+$R48*$G48),"-")</f>
        <v>-</v>
      </c>
      <c r="CS48" s="137"/>
      <c r="CT48" s="154" t="str">
        <f aca="false">IFERROR(+$H48-($V48+$W48*$G48),"-")</f>
        <v>-</v>
      </c>
      <c r="CU48" s="154" t="str">
        <f aca="false">IFERROR(+$H48-($X48+$Y48*$G48),"-")</f>
        <v>-</v>
      </c>
      <c r="CV48" s="154" t="str">
        <f aca="false">IFERROR(+$H48-($Z48+$AA48*$G48),"-")</f>
        <v>-</v>
      </c>
      <c r="CW48" s="154" t="str">
        <f aca="false">IFERROR(+$H48-($AB48+$AC48*$G48),"-")</f>
        <v>-</v>
      </c>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row>
    <row r="49" s="1" customFormat="true" ht="12.75" hidden="false" customHeight="true" outlineLevel="0" collapsed="false">
      <c r="B49" s="134" t="s">
        <v>122</v>
      </c>
      <c r="C49" s="135" t="s">
        <v>123</v>
      </c>
      <c r="D49" s="136" t="e">
        <f aca="false">VLOOKUP($C49,#REF!,5,0)</f>
        <v>#VALUE!</v>
      </c>
      <c r="E49" s="157" t="e">
        <f aca="false">VLOOKUP($C49,#REF!,6,0)</f>
        <v>#VALUE!</v>
      </c>
      <c r="F49" s="135" t="e">
        <f aca="false">VLOOKUP($C49,#REF!,7,0)</f>
        <v>#VALUE!</v>
      </c>
      <c r="G49" s="135" t="e">
        <f aca="false">VLOOKUP($C49,#REF!,8,0)</f>
        <v>#VALUE!</v>
      </c>
      <c r="H49" s="158" t="e">
        <f aca="false">VLOOKUP($C49,#REF!,9,0)</f>
        <v>#VALUE!</v>
      </c>
      <c r="I49" s="137"/>
      <c r="J49" s="138" t="e">
        <f aca="false">VLOOKUP($C49,#REF!,10,0)</f>
        <v>#VALUE!</v>
      </c>
      <c r="K49" s="139" t="e">
        <f aca="false">VLOOKUP($C49,#REF!,11,0)</f>
        <v>#VALUE!</v>
      </c>
      <c r="L49" s="140"/>
      <c r="M49" s="138" t="e">
        <f aca="false">VLOOKUP($C49,#REF!,12,0)</f>
        <v>#VALUE!</v>
      </c>
      <c r="N49" s="140" t="e">
        <f aca="false">VLOOKUP($C49,#REF!,13,0)</f>
        <v>#VALUE!</v>
      </c>
      <c r="O49" s="138" t="e">
        <f aca="false">VLOOKUP($C49,#REF!,14,0)</f>
        <v>#VALUE!</v>
      </c>
      <c r="P49" s="140" t="e">
        <f aca="false">VLOOKUP($C49,#REF!,15,0)</f>
        <v>#VALUE!</v>
      </c>
      <c r="Q49" s="138" t="e">
        <f aca="false">VLOOKUP($C49,#REF!,16,0)</f>
        <v>#VALUE!</v>
      </c>
      <c r="R49" s="139" t="e">
        <f aca="false">VLOOKUP($C49,#REF!,17,0)</f>
        <v>#VALUE!</v>
      </c>
      <c r="S49" s="140" t="e">
        <f aca="false">VLOOKUP($C49,#REF!,18,0)</f>
        <v>#VALUE!</v>
      </c>
      <c r="T49" s="139" t="e">
        <f aca="false">VLOOKUP($C49,#REF!,19,0)</f>
        <v>#VALUE!</v>
      </c>
      <c r="U49" s="140"/>
      <c r="V49" s="138" t="e">
        <f aca="false">VLOOKUP($C49,#REF!,20,0)</f>
        <v>#VALUE!</v>
      </c>
      <c r="W49" s="140" t="e">
        <f aca="false">VLOOKUP($C49,#REF!,21,0)</f>
        <v>#VALUE!</v>
      </c>
      <c r="X49" s="138" t="e">
        <f aca="false">VLOOKUP($C49,#REF!,22,0)</f>
        <v>#VALUE!</v>
      </c>
      <c r="Y49" s="140" t="e">
        <f aca="false">VLOOKUP($C49,#REF!,23,0)</f>
        <v>#VALUE!</v>
      </c>
      <c r="Z49" s="138" t="e">
        <f aca="false">VLOOKUP($C49,#REF!,24,0)</f>
        <v>#VALUE!</v>
      </c>
      <c r="AA49" s="139" t="e">
        <f aca="false">VLOOKUP($C49,#REF!,25,0)</f>
        <v>#VALUE!</v>
      </c>
      <c r="AB49" s="140" t="e">
        <f aca="false">VLOOKUP($C49,#REF!,26,0)</f>
        <v>#VALUE!</v>
      </c>
      <c r="AC49" s="139" t="e">
        <f aca="false">VLOOKUP($C49,#REF!,27,0)</f>
        <v>#VALUE!</v>
      </c>
      <c r="AE49" s="138" t="e">
        <f aca="false">IF(M49="-","-","0,5 GB")</f>
        <v>#VALUE!</v>
      </c>
      <c r="AF49" s="141" t="s">
        <v>92</v>
      </c>
      <c r="AG49" s="141" t="s">
        <v>93</v>
      </c>
      <c r="AH49" s="139" t="s">
        <v>94</v>
      </c>
      <c r="AJ49" s="138" t="s">
        <v>95</v>
      </c>
      <c r="AK49" s="141" t="s">
        <v>96</v>
      </c>
      <c r="AL49" s="141" t="s">
        <v>97</v>
      </c>
      <c r="AM49" s="141" t="s">
        <v>98</v>
      </c>
      <c r="AN49" s="141" t="s">
        <v>98</v>
      </c>
      <c r="AO49" s="139" t="s">
        <v>92</v>
      </c>
      <c r="AQ49" s="142" t="n">
        <v>-33</v>
      </c>
      <c r="AR49" s="137"/>
      <c r="AS49" s="138" t="n">
        <v>0</v>
      </c>
      <c r="AT49" s="139" t="n">
        <v>0</v>
      </c>
      <c r="AU49" s="140"/>
      <c r="AV49" s="138" t="n">
        <f aca="false">IFERROR(ROUND($D49-M49-AW49,0),0)</f>
        <v>0</v>
      </c>
      <c r="AW49" s="139" t="n">
        <f aca="false">IFERROR(N49*$G49,0)</f>
        <v>0</v>
      </c>
      <c r="AX49" s="138" t="n">
        <f aca="false">IFERROR(ROUND($D49-O49-AY49,0),0)</f>
        <v>0</v>
      </c>
      <c r="AY49" s="139" t="n">
        <f aca="false">IFERROR(P49*$G49,0)</f>
        <v>0</v>
      </c>
      <c r="AZ49" s="138" t="n">
        <f aca="false">IFERROR(ROUND($D49-Q49-BA49,0),0)</f>
        <v>0</v>
      </c>
      <c r="BA49" s="139" t="n">
        <f aca="false">IFERROR(R49*$G49,0)</f>
        <v>0</v>
      </c>
      <c r="BB49" s="140" t="n">
        <f aca="false">IFERROR(ROUND($D49-S49-BC49,0),0)</f>
        <v>0</v>
      </c>
      <c r="BC49" s="139" t="n">
        <f aca="false">IFERROR(T49*$G49,0)</f>
        <v>0</v>
      </c>
      <c r="BD49" s="140"/>
      <c r="BE49" s="138" t="n">
        <f aca="false">IFERROR(ROUND($D49-V49-BF49,0),0)</f>
        <v>0</v>
      </c>
      <c r="BF49" s="139" t="n">
        <f aca="false">IFERROR(W49*$G49,0)</f>
        <v>0</v>
      </c>
      <c r="BG49" s="138" t="n">
        <f aca="false">IFERROR(ROUND($D49-X49-BH49,0),0)</f>
        <v>0</v>
      </c>
      <c r="BH49" s="139" t="n">
        <f aca="false">IFERROR(Y49*$G49,0)</f>
        <v>0</v>
      </c>
      <c r="BI49" s="140" t="n">
        <f aca="false">IFERROR(ROUND($D49-Z49-BJ49,0),0)</f>
        <v>0</v>
      </c>
      <c r="BJ49" s="139" t="n">
        <f aca="false">IFERROR(AA49*$G49,0)</f>
        <v>0</v>
      </c>
      <c r="BK49" s="140" t="n">
        <f aca="false">IFERROR(ROUND($D49-AB49-BL49,0),0)</f>
        <v>0</v>
      </c>
      <c r="BL49" s="139" t="n">
        <f aca="false">IFERROR(AC49*$G49,0)</f>
        <v>0</v>
      </c>
      <c r="BN49" s="142" t="n">
        <v>33.06</v>
      </c>
      <c r="BO49" s="137"/>
      <c r="BP49" s="138" t="n">
        <v>33.06</v>
      </c>
      <c r="BQ49" s="139" t="n">
        <v>0</v>
      </c>
      <c r="BR49" s="140"/>
      <c r="BS49" s="138" t="n">
        <v>0</v>
      </c>
      <c r="BT49" s="139" t="n">
        <v>0</v>
      </c>
      <c r="BU49" s="138" t="n">
        <v>0</v>
      </c>
      <c r="BV49" s="139" t="n">
        <v>0</v>
      </c>
      <c r="BW49" s="138" t="n">
        <v>0</v>
      </c>
      <c r="BX49" s="139" t="n">
        <v>0</v>
      </c>
      <c r="BY49" s="138" t="n">
        <v>0</v>
      </c>
      <c r="BZ49" s="139" t="n">
        <v>0</v>
      </c>
      <c r="CA49" s="140"/>
      <c r="CB49" s="138" t="n">
        <v>0</v>
      </c>
      <c r="CC49" s="139" t="n">
        <v>0</v>
      </c>
      <c r="CD49" s="138" t="n">
        <v>0</v>
      </c>
      <c r="CE49" s="139" t="n">
        <v>0</v>
      </c>
      <c r="CF49" s="138" t="n">
        <v>0</v>
      </c>
      <c r="CG49" s="139" t="n">
        <v>0</v>
      </c>
      <c r="CH49" s="138" t="n">
        <v>0</v>
      </c>
      <c r="CI49" s="139" t="n">
        <v>0</v>
      </c>
      <c r="CK49" s="143"/>
      <c r="CL49" s="137"/>
      <c r="CM49" s="144" t="str">
        <f aca="false">IFERROR(+$H49-($J49+$K49*$G49),"-")</f>
        <v>-</v>
      </c>
      <c r="CN49" s="137"/>
      <c r="CO49" s="144" t="str">
        <f aca="false">IFERROR(+$H49-($M49+$N49*$G49),"-")</f>
        <v>-</v>
      </c>
      <c r="CP49" s="144" t="str">
        <f aca="false">IFERROR(+$H49-($O49+$P49*$G49),"-")</f>
        <v>-</v>
      </c>
      <c r="CQ49" s="144" t="str">
        <f aca="false">IFERROR(+$H49-($Q49+$R49*$G49),"-")</f>
        <v>-</v>
      </c>
      <c r="CR49" s="144" t="str">
        <f aca="false">IFERROR(+$H49-($Q49+$R49*$G49),"-")</f>
        <v>-</v>
      </c>
      <c r="CS49" s="137"/>
      <c r="CT49" s="144" t="str">
        <f aca="false">IFERROR(+$H49-($V49+$W49*$G49),"-")</f>
        <v>-</v>
      </c>
      <c r="CU49" s="144" t="str">
        <f aca="false">IFERROR(+$H49-($X49+$Y49*$G49),"-")</f>
        <v>-</v>
      </c>
      <c r="CV49" s="144" t="str">
        <f aca="false">IFERROR(+$H49-($Z49+$AA49*$G49),"-")</f>
        <v>-</v>
      </c>
      <c r="CW49" s="144" t="str">
        <f aca="false">IFERROR(+$H49-($AB49+$AC49*$G49),"-")</f>
        <v>-</v>
      </c>
    </row>
    <row r="50" s="156" customFormat="true" ht="12.75" hidden="false" customHeight="true" outlineLevel="0" collapsed="false">
      <c r="A50" s="1"/>
      <c r="B50" s="145" t="s">
        <v>124</v>
      </c>
      <c r="C50" s="146" t="s">
        <v>125</v>
      </c>
      <c r="D50" s="147" t="e">
        <f aca="false">VLOOKUP($C50,#REF!,5,0)</f>
        <v>#VALUE!</v>
      </c>
      <c r="E50" s="148" t="e">
        <f aca="false">VLOOKUP($C50,#REF!,6,0)</f>
        <v>#VALUE!</v>
      </c>
      <c r="F50" s="146" t="e">
        <f aca="false">VLOOKUP($C50,#REF!,7,0)</f>
        <v>#VALUE!</v>
      </c>
      <c r="G50" s="146" t="e">
        <f aca="false">VLOOKUP($C50,#REF!,8,0)</f>
        <v>#VALUE!</v>
      </c>
      <c r="H50" s="149" t="e">
        <f aca="false">VLOOKUP($C50,#REF!,9,0)</f>
        <v>#VALUE!</v>
      </c>
      <c r="I50" s="137"/>
      <c r="J50" s="150" t="e">
        <f aca="false">VLOOKUP($C50,#REF!,10,0)</f>
        <v>#VALUE!</v>
      </c>
      <c r="K50" s="151" t="e">
        <f aca="false">VLOOKUP($C50,#REF!,11,0)</f>
        <v>#VALUE!</v>
      </c>
      <c r="L50" s="140"/>
      <c r="M50" s="150" t="e">
        <f aca="false">VLOOKUP($C50,#REF!,12,0)</f>
        <v>#VALUE!</v>
      </c>
      <c r="N50" s="152" t="e">
        <f aca="false">VLOOKUP($C50,#REF!,13,0)</f>
        <v>#VALUE!</v>
      </c>
      <c r="O50" s="150" t="e">
        <f aca="false">VLOOKUP($C50,#REF!,14,0)</f>
        <v>#VALUE!</v>
      </c>
      <c r="P50" s="152" t="e">
        <f aca="false">VLOOKUP($C50,#REF!,15,0)</f>
        <v>#VALUE!</v>
      </c>
      <c r="Q50" s="150" t="e">
        <f aca="false">VLOOKUP($C50,#REF!,16,0)</f>
        <v>#VALUE!</v>
      </c>
      <c r="R50" s="151" t="e">
        <f aca="false">VLOOKUP($C50,#REF!,17,0)</f>
        <v>#VALUE!</v>
      </c>
      <c r="S50" s="152" t="e">
        <f aca="false">VLOOKUP($C50,#REF!,18,0)</f>
        <v>#VALUE!</v>
      </c>
      <c r="T50" s="151" t="e">
        <f aca="false">VLOOKUP($C50,#REF!,19,0)</f>
        <v>#VALUE!</v>
      </c>
      <c r="U50" s="140"/>
      <c r="V50" s="150" t="e">
        <f aca="false">VLOOKUP($C50,#REF!,20,0)</f>
        <v>#VALUE!</v>
      </c>
      <c r="W50" s="152" t="e">
        <f aca="false">VLOOKUP($C50,#REF!,21,0)</f>
        <v>#VALUE!</v>
      </c>
      <c r="X50" s="150" t="e">
        <f aca="false">VLOOKUP($C50,#REF!,22,0)</f>
        <v>#VALUE!</v>
      </c>
      <c r="Y50" s="152" t="e">
        <f aca="false">VLOOKUP($C50,#REF!,23,0)</f>
        <v>#VALUE!</v>
      </c>
      <c r="Z50" s="150" t="e">
        <f aca="false">VLOOKUP($C50,#REF!,24,0)</f>
        <v>#VALUE!</v>
      </c>
      <c r="AA50" s="151" t="e">
        <f aca="false">VLOOKUP($C50,#REF!,25,0)</f>
        <v>#VALUE!</v>
      </c>
      <c r="AB50" s="152" t="e">
        <f aca="false">VLOOKUP($C50,#REF!,26,0)</f>
        <v>#VALUE!</v>
      </c>
      <c r="AC50" s="151" t="e">
        <f aca="false">VLOOKUP($C50,#REF!,27,0)</f>
        <v>#VALUE!</v>
      </c>
      <c r="AD50" s="1"/>
      <c r="AE50" s="150" t="e">
        <f aca="false">IF(M50="-","-","0,5 GB")</f>
        <v>#VALUE!</v>
      </c>
      <c r="AF50" s="153" t="s">
        <v>92</v>
      </c>
      <c r="AG50" s="153" t="s">
        <v>93</v>
      </c>
      <c r="AH50" s="151" t="s">
        <v>94</v>
      </c>
      <c r="AI50" s="1"/>
      <c r="AJ50" s="150" t="s">
        <v>95</v>
      </c>
      <c r="AK50" s="153" t="s">
        <v>96</v>
      </c>
      <c r="AL50" s="153" t="s">
        <v>97</v>
      </c>
      <c r="AM50" s="153" t="s">
        <v>98</v>
      </c>
      <c r="AN50" s="153" t="s">
        <v>98</v>
      </c>
      <c r="AO50" s="151" t="s">
        <v>92</v>
      </c>
      <c r="AP50" s="1"/>
      <c r="AQ50" s="154" t="n">
        <v>52</v>
      </c>
      <c r="AR50" s="137"/>
      <c r="AS50" s="150" t="n">
        <v>0</v>
      </c>
      <c r="AT50" s="151" t="n">
        <v>0</v>
      </c>
      <c r="AU50" s="140"/>
      <c r="AV50" s="150" t="n">
        <f aca="false">IFERROR(ROUND($D50-M50-AW50,0),0)</f>
        <v>0</v>
      </c>
      <c r="AW50" s="151" t="n">
        <f aca="false">IFERROR(N50*$G50,0)</f>
        <v>0</v>
      </c>
      <c r="AX50" s="150" t="n">
        <f aca="false">IFERROR(ROUND($D50-O50-AY50,0),0)</f>
        <v>0</v>
      </c>
      <c r="AY50" s="151" t="n">
        <f aca="false">IFERROR(P50*$G50,0)</f>
        <v>0</v>
      </c>
      <c r="AZ50" s="150" t="n">
        <f aca="false">IFERROR(ROUND($D50-Q50-BA50,0),0)</f>
        <v>0</v>
      </c>
      <c r="BA50" s="151" t="n">
        <f aca="false">IFERROR(R50*$G50,0)</f>
        <v>0</v>
      </c>
      <c r="BB50" s="152" t="n">
        <f aca="false">IFERROR(ROUND($D50-S50-BC50,0),0)</f>
        <v>0</v>
      </c>
      <c r="BC50" s="151" t="n">
        <f aca="false">IFERROR(T50*$G50,0)</f>
        <v>0</v>
      </c>
      <c r="BD50" s="140"/>
      <c r="BE50" s="150" t="n">
        <f aca="false">IFERROR(ROUND($D50-V50-BF50,0),0)</f>
        <v>0</v>
      </c>
      <c r="BF50" s="151" t="n">
        <f aca="false">IFERROR(W50*$G50,0)</f>
        <v>0</v>
      </c>
      <c r="BG50" s="150" t="n">
        <f aca="false">IFERROR(ROUND($D50-X50-BH50,0),0)</f>
        <v>0</v>
      </c>
      <c r="BH50" s="151" t="n">
        <f aca="false">IFERROR(Y50*$G50,0)</f>
        <v>0</v>
      </c>
      <c r="BI50" s="152" t="n">
        <f aca="false">IFERROR(ROUND($D50-Z50-BJ50,0),0)</f>
        <v>0</v>
      </c>
      <c r="BJ50" s="151" t="n">
        <f aca="false">IFERROR(AA50*$G50,0)</f>
        <v>0</v>
      </c>
      <c r="BK50" s="152" t="n">
        <f aca="false">IFERROR(ROUND($D50-AB50-BL50,0),0)</f>
        <v>0</v>
      </c>
      <c r="BL50" s="151" t="n">
        <f aca="false">IFERROR(AC50*$G50,0)</f>
        <v>0</v>
      </c>
      <c r="BM50" s="1"/>
      <c r="BN50" s="154" t="n">
        <v>0</v>
      </c>
      <c r="BO50" s="155"/>
      <c r="BP50" s="150" t="n">
        <v>0</v>
      </c>
      <c r="BQ50" s="151" t="n">
        <v>0</v>
      </c>
      <c r="BR50" s="152"/>
      <c r="BS50" s="150" t="n">
        <v>0</v>
      </c>
      <c r="BT50" s="151" t="n">
        <v>0</v>
      </c>
      <c r="BU50" s="150" t="n">
        <v>0</v>
      </c>
      <c r="BV50" s="151" t="n">
        <v>0</v>
      </c>
      <c r="BW50" s="150" t="n">
        <v>0</v>
      </c>
      <c r="BX50" s="151" t="n">
        <v>0</v>
      </c>
      <c r="BY50" s="150" t="n">
        <v>0</v>
      </c>
      <c r="BZ50" s="151" t="n">
        <v>0</v>
      </c>
      <c r="CA50" s="152"/>
      <c r="CB50" s="150" t="n">
        <v>0</v>
      </c>
      <c r="CC50" s="151" t="n">
        <v>0</v>
      </c>
      <c r="CD50" s="150" t="n">
        <v>0</v>
      </c>
      <c r="CE50" s="151" t="n">
        <v>0</v>
      </c>
      <c r="CF50" s="150" t="n">
        <v>0</v>
      </c>
      <c r="CG50" s="151" t="n">
        <v>0</v>
      </c>
      <c r="CH50" s="150" t="n">
        <v>0</v>
      </c>
      <c r="CI50" s="151" t="n">
        <v>0</v>
      </c>
      <c r="CJ50" s="1"/>
      <c r="CK50" s="149"/>
      <c r="CL50" s="137"/>
      <c r="CM50" s="154" t="str">
        <f aca="false">IFERROR(+$H50-($J50+$K50*$G50),"-")</f>
        <v>-</v>
      </c>
      <c r="CN50" s="137"/>
      <c r="CO50" s="154" t="str">
        <f aca="false">IFERROR(+$H50-($M50+$N50*$G50),"-")</f>
        <v>-</v>
      </c>
      <c r="CP50" s="154" t="str">
        <f aca="false">IFERROR(+$H50-($O50+$P50*$G50),"-")</f>
        <v>-</v>
      </c>
      <c r="CQ50" s="154" t="str">
        <f aca="false">IFERROR(+$H50-($Q50+$R50*$G50),"-")</f>
        <v>-</v>
      </c>
      <c r="CR50" s="154" t="str">
        <f aca="false">IFERROR(+$H50-($Q50+$R50*$G50),"-")</f>
        <v>-</v>
      </c>
      <c r="CS50" s="137"/>
      <c r="CT50" s="154" t="str">
        <f aca="false">IFERROR(+$H50-($V50+$W50*$G50),"-")</f>
        <v>-</v>
      </c>
      <c r="CU50" s="154" t="str">
        <f aca="false">IFERROR(+$H50-($X50+$Y50*$G50),"-")</f>
        <v>-</v>
      </c>
      <c r="CV50" s="154" t="str">
        <f aca="false">IFERROR(+$H50-($Z50+$AA50*$G50),"-")</f>
        <v>-</v>
      </c>
      <c r="CW50" s="154" t="str">
        <f aca="false">IFERROR(+$H50-($AB50+$AC50*$G50),"-")</f>
        <v>-</v>
      </c>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row>
    <row r="51" s="1" customFormat="true" ht="12.75" hidden="false" customHeight="true" outlineLevel="0" collapsed="false">
      <c r="B51" s="134" t="s">
        <v>108</v>
      </c>
      <c r="C51" s="135" t="s">
        <v>126</v>
      </c>
      <c r="D51" s="136" t="e">
        <f aca="false">VLOOKUP($C51,#REF!,5,0)</f>
        <v>#VALUE!</v>
      </c>
      <c r="E51" s="157" t="e">
        <f aca="false">VLOOKUP($C51,#REF!,6,0)</f>
        <v>#VALUE!</v>
      </c>
      <c r="F51" s="135" t="e">
        <f aca="false">VLOOKUP($C51,#REF!,7,0)</f>
        <v>#VALUE!</v>
      </c>
      <c r="G51" s="135" t="e">
        <f aca="false">VLOOKUP($C51,#REF!,8,0)</f>
        <v>#VALUE!</v>
      </c>
      <c r="H51" s="158" t="e">
        <f aca="false">VLOOKUP($C51,#REF!,9,0)</f>
        <v>#VALUE!</v>
      </c>
      <c r="I51" s="137"/>
      <c r="J51" s="138" t="e">
        <f aca="false">VLOOKUP($C51,#REF!,10,0)</f>
        <v>#VALUE!</v>
      </c>
      <c r="K51" s="139" t="e">
        <f aca="false">VLOOKUP($C51,#REF!,11,0)</f>
        <v>#VALUE!</v>
      </c>
      <c r="L51" s="140"/>
      <c r="M51" s="138" t="e">
        <f aca="false">VLOOKUP($C51,#REF!,12,0)</f>
        <v>#VALUE!</v>
      </c>
      <c r="N51" s="140" t="e">
        <f aca="false">VLOOKUP($C51,#REF!,13,0)</f>
        <v>#VALUE!</v>
      </c>
      <c r="O51" s="138" t="e">
        <f aca="false">VLOOKUP($C51,#REF!,14,0)</f>
        <v>#VALUE!</v>
      </c>
      <c r="P51" s="140" t="e">
        <f aca="false">VLOOKUP($C51,#REF!,15,0)</f>
        <v>#VALUE!</v>
      </c>
      <c r="Q51" s="138" t="e">
        <f aca="false">VLOOKUP($C51,#REF!,16,0)</f>
        <v>#VALUE!</v>
      </c>
      <c r="R51" s="139" t="e">
        <f aca="false">VLOOKUP($C51,#REF!,17,0)</f>
        <v>#VALUE!</v>
      </c>
      <c r="S51" s="140" t="e">
        <f aca="false">VLOOKUP($C51,#REF!,18,0)</f>
        <v>#VALUE!</v>
      </c>
      <c r="T51" s="139" t="e">
        <f aca="false">VLOOKUP($C51,#REF!,19,0)</f>
        <v>#VALUE!</v>
      </c>
      <c r="U51" s="140"/>
      <c r="V51" s="138" t="e">
        <f aca="false">VLOOKUP($C51,#REF!,20,0)</f>
        <v>#VALUE!</v>
      </c>
      <c r="W51" s="140" t="e">
        <f aca="false">VLOOKUP($C51,#REF!,21,0)</f>
        <v>#VALUE!</v>
      </c>
      <c r="X51" s="138" t="e">
        <f aca="false">VLOOKUP($C51,#REF!,22,0)</f>
        <v>#VALUE!</v>
      </c>
      <c r="Y51" s="140" t="e">
        <f aca="false">VLOOKUP($C51,#REF!,23,0)</f>
        <v>#VALUE!</v>
      </c>
      <c r="Z51" s="138" t="e">
        <f aca="false">VLOOKUP($C51,#REF!,24,0)</f>
        <v>#VALUE!</v>
      </c>
      <c r="AA51" s="139" t="e">
        <f aca="false">VLOOKUP($C51,#REF!,25,0)</f>
        <v>#VALUE!</v>
      </c>
      <c r="AB51" s="140" t="e">
        <f aca="false">VLOOKUP($C51,#REF!,26,0)</f>
        <v>#VALUE!</v>
      </c>
      <c r="AC51" s="139" t="e">
        <f aca="false">VLOOKUP($C51,#REF!,27,0)</f>
        <v>#VALUE!</v>
      </c>
      <c r="AE51" s="138" t="e">
        <f aca="false">IF(M51="-","-","0,5 GB")</f>
        <v>#VALUE!</v>
      </c>
      <c r="AF51" s="141" t="s">
        <v>92</v>
      </c>
      <c r="AG51" s="141" t="s">
        <v>93</v>
      </c>
      <c r="AH51" s="139" t="s">
        <v>94</v>
      </c>
      <c r="AJ51" s="138" t="s">
        <v>95</v>
      </c>
      <c r="AK51" s="141" t="s">
        <v>96</v>
      </c>
      <c r="AL51" s="141" t="s">
        <v>97</v>
      </c>
      <c r="AM51" s="141" t="s">
        <v>98</v>
      </c>
      <c r="AN51" s="141" t="s">
        <v>98</v>
      </c>
      <c r="AO51" s="139" t="s">
        <v>92</v>
      </c>
      <c r="AQ51" s="142" t="n">
        <v>41</v>
      </c>
      <c r="AR51" s="137"/>
      <c r="AS51" s="138" t="n">
        <v>0</v>
      </c>
      <c r="AT51" s="139" t="n">
        <v>0</v>
      </c>
      <c r="AU51" s="140"/>
      <c r="AV51" s="138" t="n">
        <f aca="false">IFERROR(ROUND($D51-M51-AW51,0),0)</f>
        <v>0</v>
      </c>
      <c r="AW51" s="139" t="n">
        <f aca="false">IFERROR(N51*$G51,0)</f>
        <v>0</v>
      </c>
      <c r="AX51" s="138" t="n">
        <f aca="false">IFERROR(ROUND($D51-O51-AY51,0),0)</f>
        <v>0</v>
      </c>
      <c r="AY51" s="139" t="n">
        <f aca="false">IFERROR(P51*$G51,0)</f>
        <v>0</v>
      </c>
      <c r="AZ51" s="138" t="n">
        <f aca="false">IFERROR(ROUND($D51-Q51-BA51,0),0)</f>
        <v>0</v>
      </c>
      <c r="BA51" s="139" t="n">
        <f aca="false">IFERROR(R51*$G51,0)</f>
        <v>0</v>
      </c>
      <c r="BB51" s="140" t="n">
        <f aca="false">IFERROR(ROUND($D51-S51-BC51,0),0)</f>
        <v>0</v>
      </c>
      <c r="BC51" s="139" t="n">
        <f aca="false">IFERROR(T51*$G51,0)</f>
        <v>0</v>
      </c>
      <c r="BD51" s="140"/>
      <c r="BE51" s="138" t="n">
        <f aca="false">IFERROR(ROUND($D51-V51-BF51,0),0)</f>
        <v>0</v>
      </c>
      <c r="BF51" s="139" t="n">
        <f aca="false">IFERROR(W51*$G51,0)</f>
        <v>0</v>
      </c>
      <c r="BG51" s="138" t="n">
        <f aca="false">IFERROR(ROUND($D51-X51-BH51,0),0)</f>
        <v>0</v>
      </c>
      <c r="BH51" s="139" t="n">
        <f aca="false">IFERROR(Y51*$G51,0)</f>
        <v>0</v>
      </c>
      <c r="BI51" s="140" t="n">
        <f aca="false">IFERROR(ROUND($D51-Z51-BJ51,0),0)</f>
        <v>0</v>
      </c>
      <c r="BJ51" s="139" t="n">
        <f aca="false">IFERROR(AA51*$G51,0)</f>
        <v>0</v>
      </c>
      <c r="BK51" s="140" t="n">
        <f aca="false">IFERROR(ROUND($D51-AB51-BL51,0),0)</f>
        <v>0</v>
      </c>
      <c r="BL51" s="139" t="n">
        <f aca="false">IFERROR(AC51*$G51,0)</f>
        <v>0</v>
      </c>
      <c r="BN51" s="142" t="n">
        <v>0</v>
      </c>
      <c r="BO51" s="137"/>
      <c r="BP51" s="138" t="n">
        <v>0</v>
      </c>
      <c r="BQ51" s="139" t="n">
        <v>0</v>
      </c>
      <c r="BR51" s="140"/>
      <c r="BS51" s="138" t="n">
        <v>0</v>
      </c>
      <c r="BT51" s="139" t="n">
        <v>0</v>
      </c>
      <c r="BU51" s="138" t="n">
        <v>0</v>
      </c>
      <c r="BV51" s="139" t="n">
        <v>0</v>
      </c>
      <c r="BW51" s="138" t="n">
        <v>0</v>
      </c>
      <c r="BX51" s="139" t="n">
        <v>0</v>
      </c>
      <c r="BY51" s="138" t="n">
        <v>0</v>
      </c>
      <c r="BZ51" s="139" t="n">
        <v>0</v>
      </c>
      <c r="CA51" s="140"/>
      <c r="CB51" s="138" t="n">
        <v>0</v>
      </c>
      <c r="CC51" s="139" t="n">
        <v>0</v>
      </c>
      <c r="CD51" s="138" t="n">
        <v>0</v>
      </c>
      <c r="CE51" s="139" t="n">
        <v>0</v>
      </c>
      <c r="CF51" s="138" t="n">
        <v>0</v>
      </c>
      <c r="CG51" s="139" t="n">
        <v>0</v>
      </c>
      <c r="CH51" s="138" t="n">
        <v>0</v>
      </c>
      <c r="CI51" s="139" t="n">
        <v>0</v>
      </c>
      <c r="CK51" s="143"/>
      <c r="CL51" s="137"/>
      <c r="CM51" s="144" t="str">
        <f aca="false">IFERROR(+$H51-($J51+$K51*$G51),"-")</f>
        <v>-</v>
      </c>
      <c r="CN51" s="137"/>
      <c r="CO51" s="144" t="str">
        <f aca="false">IFERROR(+$H51-($M51+$N51*$G51),"-")</f>
        <v>-</v>
      </c>
      <c r="CP51" s="144" t="str">
        <f aca="false">IFERROR(+$H51-($O51+$P51*$G51),"-")</f>
        <v>-</v>
      </c>
      <c r="CQ51" s="144" t="str">
        <f aca="false">IFERROR(+$H51-($Q51+$R51*$G51),"-")</f>
        <v>-</v>
      </c>
      <c r="CR51" s="144" t="str">
        <f aca="false">IFERROR(+$H51-($Q51+$R51*$G51),"-")</f>
        <v>-</v>
      </c>
      <c r="CS51" s="137"/>
      <c r="CT51" s="144" t="str">
        <f aca="false">IFERROR(+$H51-($V51+$W51*$G51),"-")</f>
        <v>-</v>
      </c>
      <c r="CU51" s="144" t="str">
        <f aca="false">IFERROR(+$H51-($X51+$Y51*$G51),"-")</f>
        <v>-</v>
      </c>
      <c r="CV51" s="144" t="str">
        <f aca="false">IFERROR(+$H51-($Z51+$AA51*$G51),"-")</f>
        <v>-</v>
      </c>
      <c r="CW51" s="144" t="str">
        <f aca="false">IFERROR(+$H51-($AB51+$AC51*$G51),"-")</f>
        <v>-</v>
      </c>
    </row>
    <row r="52" s="156" customFormat="true" ht="12.75" hidden="false" customHeight="true" outlineLevel="0" collapsed="false">
      <c r="A52" s="1"/>
      <c r="B52" s="145" t="s">
        <v>124</v>
      </c>
      <c r="C52" s="146" t="s">
        <v>127</v>
      </c>
      <c r="D52" s="147" t="e">
        <f aca="false">VLOOKUP($C52,#REF!,5,0)</f>
        <v>#VALUE!</v>
      </c>
      <c r="E52" s="148" t="e">
        <f aca="false">VLOOKUP($C52,#REF!,6,0)</f>
        <v>#VALUE!</v>
      </c>
      <c r="F52" s="146" t="e">
        <f aca="false">VLOOKUP($C52,#REF!,7,0)</f>
        <v>#VALUE!</v>
      </c>
      <c r="G52" s="146" t="e">
        <f aca="false">VLOOKUP($C52,#REF!,8,0)</f>
        <v>#VALUE!</v>
      </c>
      <c r="H52" s="149" t="e">
        <f aca="false">VLOOKUP($C52,#REF!,9,0)</f>
        <v>#VALUE!</v>
      </c>
      <c r="I52" s="137"/>
      <c r="J52" s="150" t="e">
        <f aca="false">VLOOKUP($C52,#REF!,10,0)</f>
        <v>#VALUE!</v>
      </c>
      <c r="K52" s="151" t="e">
        <f aca="false">VLOOKUP($C52,#REF!,11,0)</f>
        <v>#VALUE!</v>
      </c>
      <c r="L52" s="140"/>
      <c r="M52" s="150" t="e">
        <f aca="false">VLOOKUP($C52,#REF!,12,0)</f>
        <v>#VALUE!</v>
      </c>
      <c r="N52" s="152" t="e">
        <f aca="false">VLOOKUP($C52,#REF!,13,0)</f>
        <v>#VALUE!</v>
      </c>
      <c r="O52" s="150" t="e">
        <f aca="false">VLOOKUP($C52,#REF!,14,0)</f>
        <v>#VALUE!</v>
      </c>
      <c r="P52" s="152" t="e">
        <f aca="false">VLOOKUP($C52,#REF!,15,0)</f>
        <v>#VALUE!</v>
      </c>
      <c r="Q52" s="150" t="e">
        <f aca="false">VLOOKUP($C52,#REF!,16,0)</f>
        <v>#VALUE!</v>
      </c>
      <c r="R52" s="151" t="e">
        <f aca="false">VLOOKUP($C52,#REF!,17,0)</f>
        <v>#VALUE!</v>
      </c>
      <c r="S52" s="152" t="e">
        <f aca="false">VLOOKUP($C52,#REF!,18,0)</f>
        <v>#VALUE!</v>
      </c>
      <c r="T52" s="151" t="e">
        <f aca="false">VLOOKUP($C52,#REF!,19,0)</f>
        <v>#VALUE!</v>
      </c>
      <c r="U52" s="140"/>
      <c r="V52" s="150" t="e">
        <f aca="false">VLOOKUP($C52,#REF!,20,0)</f>
        <v>#VALUE!</v>
      </c>
      <c r="W52" s="152" t="e">
        <f aca="false">VLOOKUP($C52,#REF!,21,0)</f>
        <v>#VALUE!</v>
      </c>
      <c r="X52" s="150" t="e">
        <f aca="false">VLOOKUP($C52,#REF!,22,0)</f>
        <v>#VALUE!</v>
      </c>
      <c r="Y52" s="152" t="e">
        <f aca="false">VLOOKUP($C52,#REF!,23,0)</f>
        <v>#VALUE!</v>
      </c>
      <c r="Z52" s="150" t="e">
        <f aca="false">VLOOKUP($C52,#REF!,24,0)</f>
        <v>#VALUE!</v>
      </c>
      <c r="AA52" s="151" t="e">
        <f aca="false">VLOOKUP($C52,#REF!,25,0)</f>
        <v>#VALUE!</v>
      </c>
      <c r="AB52" s="152" t="e">
        <f aca="false">VLOOKUP($C52,#REF!,26,0)</f>
        <v>#VALUE!</v>
      </c>
      <c r="AC52" s="151" t="e">
        <f aca="false">VLOOKUP($C52,#REF!,27,0)</f>
        <v>#VALUE!</v>
      </c>
      <c r="AD52" s="1"/>
      <c r="AE52" s="150" t="e">
        <f aca="false">IF(M52="-","-","0,5 GB")</f>
        <v>#VALUE!</v>
      </c>
      <c r="AF52" s="153" t="s">
        <v>92</v>
      </c>
      <c r="AG52" s="153" t="s">
        <v>93</v>
      </c>
      <c r="AH52" s="151" t="s">
        <v>94</v>
      </c>
      <c r="AI52" s="1"/>
      <c r="AJ52" s="150" t="s">
        <v>95</v>
      </c>
      <c r="AK52" s="153" t="s">
        <v>96</v>
      </c>
      <c r="AL52" s="153" t="s">
        <v>97</v>
      </c>
      <c r="AM52" s="153" t="s">
        <v>98</v>
      </c>
      <c r="AN52" s="153" t="s">
        <v>98</v>
      </c>
      <c r="AO52" s="151" t="s">
        <v>92</v>
      </c>
      <c r="AP52" s="1"/>
      <c r="AQ52" s="154" t="n">
        <v>-33</v>
      </c>
      <c r="AR52" s="137"/>
      <c r="AS52" s="150" t="n">
        <v>0</v>
      </c>
      <c r="AT52" s="151" t="n">
        <v>0</v>
      </c>
      <c r="AU52" s="140"/>
      <c r="AV52" s="150" t="n">
        <f aca="false">IFERROR(ROUND($D52-M52-AW52,0),0)</f>
        <v>0</v>
      </c>
      <c r="AW52" s="151" t="n">
        <f aca="false">IFERROR(N52*$G52,0)</f>
        <v>0</v>
      </c>
      <c r="AX52" s="150" t="n">
        <f aca="false">IFERROR(ROUND($D52-O52-AY52,0),0)</f>
        <v>0</v>
      </c>
      <c r="AY52" s="151" t="n">
        <f aca="false">IFERROR(P52*$G52,0)</f>
        <v>0</v>
      </c>
      <c r="AZ52" s="150" t="n">
        <f aca="false">IFERROR(ROUND($D52-Q52-BA52,0),0)</f>
        <v>0</v>
      </c>
      <c r="BA52" s="151" t="n">
        <f aca="false">IFERROR(R52*$G52,0)</f>
        <v>0</v>
      </c>
      <c r="BB52" s="152" t="n">
        <f aca="false">IFERROR(ROUND($D52-S52-BC52,0),0)</f>
        <v>0</v>
      </c>
      <c r="BC52" s="151" t="n">
        <f aca="false">IFERROR(T52*$G52,0)</f>
        <v>0</v>
      </c>
      <c r="BD52" s="140"/>
      <c r="BE52" s="150" t="n">
        <f aca="false">IFERROR(ROUND($D52-V52-BF52,0),0)</f>
        <v>0</v>
      </c>
      <c r="BF52" s="151" t="n">
        <f aca="false">IFERROR(W52*$G52,0)</f>
        <v>0</v>
      </c>
      <c r="BG52" s="150" t="n">
        <f aca="false">IFERROR(ROUND($D52-X52-BH52,0),0)</f>
        <v>0</v>
      </c>
      <c r="BH52" s="151" t="n">
        <f aca="false">IFERROR(Y52*$G52,0)</f>
        <v>0</v>
      </c>
      <c r="BI52" s="152" t="n">
        <f aca="false">IFERROR(ROUND($D52-Z52-BJ52,0),0)</f>
        <v>0</v>
      </c>
      <c r="BJ52" s="151" t="n">
        <f aca="false">IFERROR(AA52*$G52,0)</f>
        <v>0</v>
      </c>
      <c r="BK52" s="152" t="n">
        <f aca="false">IFERROR(ROUND($D52-AB52-BL52,0),0)</f>
        <v>0</v>
      </c>
      <c r="BL52" s="151" t="n">
        <f aca="false">IFERROR(AC52*$G52,0)</f>
        <v>0</v>
      </c>
      <c r="BM52" s="1"/>
      <c r="BN52" s="154" t="n">
        <v>33.06</v>
      </c>
      <c r="BO52" s="155"/>
      <c r="BP52" s="150" t="n">
        <v>33.06</v>
      </c>
      <c r="BQ52" s="151" t="n">
        <v>0</v>
      </c>
      <c r="BR52" s="152"/>
      <c r="BS52" s="150" t="n">
        <v>0</v>
      </c>
      <c r="BT52" s="151" t="n">
        <v>0</v>
      </c>
      <c r="BU52" s="150" t="n">
        <v>0</v>
      </c>
      <c r="BV52" s="151" t="n">
        <v>0</v>
      </c>
      <c r="BW52" s="150" t="n">
        <v>0</v>
      </c>
      <c r="BX52" s="151" t="n">
        <v>0</v>
      </c>
      <c r="BY52" s="150" t="n">
        <v>0</v>
      </c>
      <c r="BZ52" s="151" t="n">
        <v>0</v>
      </c>
      <c r="CA52" s="152"/>
      <c r="CB52" s="150" t="n">
        <v>0</v>
      </c>
      <c r="CC52" s="151" t="n">
        <v>0</v>
      </c>
      <c r="CD52" s="150" t="n">
        <v>0</v>
      </c>
      <c r="CE52" s="151" t="n">
        <v>0</v>
      </c>
      <c r="CF52" s="150" t="n">
        <v>0</v>
      </c>
      <c r="CG52" s="151" t="n">
        <v>0</v>
      </c>
      <c r="CH52" s="150" t="n">
        <v>0</v>
      </c>
      <c r="CI52" s="151" t="n">
        <v>0</v>
      </c>
      <c r="CJ52" s="1"/>
      <c r="CK52" s="149"/>
      <c r="CL52" s="137"/>
      <c r="CM52" s="154" t="str">
        <f aca="false">IFERROR(+$H52-($J52+$K52*$G52),"-")</f>
        <v>-</v>
      </c>
      <c r="CN52" s="137"/>
      <c r="CO52" s="154" t="str">
        <f aca="false">IFERROR(+$H52-($M52+$N52*$G52),"-")</f>
        <v>-</v>
      </c>
      <c r="CP52" s="154" t="str">
        <f aca="false">IFERROR(+$H52-($O52+$P52*$G52),"-")</f>
        <v>-</v>
      </c>
      <c r="CQ52" s="154" t="str">
        <f aca="false">IFERROR(+$H52-($Q52+$R52*$G52),"-")</f>
        <v>-</v>
      </c>
      <c r="CR52" s="154" t="str">
        <f aca="false">IFERROR(+$H52-($Q52+$R52*$G52),"-")</f>
        <v>-</v>
      </c>
      <c r="CS52" s="137"/>
      <c r="CT52" s="154" t="str">
        <f aca="false">IFERROR(+$H52-($V52+$W52*$G52),"-")</f>
        <v>-</v>
      </c>
      <c r="CU52" s="154" t="str">
        <f aca="false">IFERROR(+$H52-($X52+$Y52*$G52),"-")</f>
        <v>-</v>
      </c>
      <c r="CV52" s="154" t="str">
        <f aca="false">IFERROR(+$H52-($Z52+$AA52*$G52),"-")</f>
        <v>-</v>
      </c>
      <c r="CW52" s="154" t="str">
        <f aca="false">IFERROR(+$H52-($AB52+$AC52*$G52),"-")</f>
        <v>-</v>
      </c>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row>
    <row r="53" s="1" customFormat="true" ht="12.75" hidden="false" customHeight="true" outlineLevel="0" collapsed="false">
      <c r="B53" s="134" t="s">
        <v>124</v>
      </c>
      <c r="C53" s="135" t="s">
        <v>128</v>
      </c>
      <c r="D53" s="136" t="e">
        <f aca="false">VLOOKUP($C53,#REF!,5,0)</f>
        <v>#VALUE!</v>
      </c>
      <c r="E53" s="157" t="e">
        <f aca="false">VLOOKUP($C53,#REF!,6,0)</f>
        <v>#VALUE!</v>
      </c>
      <c r="F53" s="135" t="e">
        <f aca="false">VLOOKUP($C53,#REF!,7,0)</f>
        <v>#VALUE!</v>
      </c>
      <c r="G53" s="135" t="e">
        <f aca="false">VLOOKUP($C53,#REF!,8,0)</f>
        <v>#VALUE!</v>
      </c>
      <c r="H53" s="158" t="e">
        <f aca="false">VLOOKUP($C53,#REF!,9,0)</f>
        <v>#VALUE!</v>
      </c>
      <c r="I53" s="137"/>
      <c r="J53" s="138" t="e">
        <f aca="false">VLOOKUP($C53,#REF!,10,0)</f>
        <v>#VALUE!</v>
      </c>
      <c r="K53" s="139" t="e">
        <f aca="false">VLOOKUP($C53,#REF!,11,0)</f>
        <v>#VALUE!</v>
      </c>
      <c r="L53" s="140"/>
      <c r="M53" s="138" t="e">
        <f aca="false">VLOOKUP($C53,#REF!,12,0)</f>
        <v>#VALUE!</v>
      </c>
      <c r="N53" s="140" t="e">
        <f aca="false">VLOOKUP($C53,#REF!,13,0)</f>
        <v>#VALUE!</v>
      </c>
      <c r="O53" s="138" t="e">
        <f aca="false">VLOOKUP($C53,#REF!,14,0)</f>
        <v>#VALUE!</v>
      </c>
      <c r="P53" s="140" t="e">
        <f aca="false">VLOOKUP($C53,#REF!,15,0)</f>
        <v>#VALUE!</v>
      </c>
      <c r="Q53" s="138" t="e">
        <f aca="false">VLOOKUP($C53,#REF!,16,0)</f>
        <v>#VALUE!</v>
      </c>
      <c r="R53" s="139" t="e">
        <f aca="false">VLOOKUP($C53,#REF!,17,0)</f>
        <v>#VALUE!</v>
      </c>
      <c r="S53" s="140" t="e">
        <f aca="false">VLOOKUP($C53,#REF!,18,0)</f>
        <v>#VALUE!</v>
      </c>
      <c r="T53" s="139" t="e">
        <f aca="false">VLOOKUP($C53,#REF!,19,0)</f>
        <v>#VALUE!</v>
      </c>
      <c r="U53" s="140"/>
      <c r="V53" s="138" t="e">
        <f aca="false">VLOOKUP($C53,#REF!,20,0)</f>
        <v>#VALUE!</v>
      </c>
      <c r="W53" s="140" t="e">
        <f aca="false">VLOOKUP($C53,#REF!,21,0)</f>
        <v>#VALUE!</v>
      </c>
      <c r="X53" s="138" t="e">
        <f aca="false">VLOOKUP($C53,#REF!,22,0)</f>
        <v>#VALUE!</v>
      </c>
      <c r="Y53" s="140" t="e">
        <f aca="false">VLOOKUP($C53,#REF!,23,0)</f>
        <v>#VALUE!</v>
      </c>
      <c r="Z53" s="138" t="e">
        <f aca="false">VLOOKUP($C53,#REF!,24,0)</f>
        <v>#VALUE!</v>
      </c>
      <c r="AA53" s="139" t="e">
        <f aca="false">VLOOKUP($C53,#REF!,25,0)</f>
        <v>#VALUE!</v>
      </c>
      <c r="AB53" s="140" t="e">
        <f aca="false">VLOOKUP($C53,#REF!,26,0)</f>
        <v>#VALUE!</v>
      </c>
      <c r="AC53" s="139" t="e">
        <f aca="false">VLOOKUP($C53,#REF!,27,0)</f>
        <v>#VALUE!</v>
      </c>
      <c r="AE53" s="138" t="e">
        <f aca="false">IF(M53="-","-","0,5 GB")</f>
        <v>#VALUE!</v>
      </c>
      <c r="AF53" s="141" t="s">
        <v>92</v>
      </c>
      <c r="AG53" s="141" t="s">
        <v>93</v>
      </c>
      <c r="AH53" s="139" t="s">
        <v>94</v>
      </c>
      <c r="AJ53" s="138" t="s">
        <v>95</v>
      </c>
      <c r="AK53" s="141" t="s">
        <v>96</v>
      </c>
      <c r="AL53" s="141" t="s">
        <v>97</v>
      </c>
      <c r="AM53" s="141" t="s">
        <v>98</v>
      </c>
      <c r="AN53" s="141" t="s">
        <v>98</v>
      </c>
      <c r="AO53" s="139" t="s">
        <v>92</v>
      </c>
      <c r="AQ53" s="142" t="n">
        <v>-33</v>
      </c>
      <c r="AR53" s="137"/>
      <c r="AS53" s="138" t="n">
        <v>0</v>
      </c>
      <c r="AT53" s="139" t="n">
        <v>0</v>
      </c>
      <c r="AU53" s="140"/>
      <c r="AV53" s="138" t="n">
        <f aca="false">IFERROR(ROUND($D53-M53-AW53,0),0)</f>
        <v>0</v>
      </c>
      <c r="AW53" s="139" t="n">
        <f aca="false">IFERROR(N53*$G53,0)</f>
        <v>0</v>
      </c>
      <c r="AX53" s="138" t="n">
        <f aca="false">IFERROR(ROUND($D53-O53-AY53,0),0)</f>
        <v>0</v>
      </c>
      <c r="AY53" s="139" t="n">
        <f aca="false">IFERROR(P53*$G53,0)</f>
        <v>0</v>
      </c>
      <c r="AZ53" s="138" t="n">
        <f aca="false">IFERROR(ROUND($D53-Q53-BA53,0),0)</f>
        <v>0</v>
      </c>
      <c r="BA53" s="139" t="n">
        <f aca="false">IFERROR(R53*$G53,0)</f>
        <v>0</v>
      </c>
      <c r="BB53" s="140" t="n">
        <f aca="false">IFERROR(ROUND($D53-S53-BC53,0),0)</f>
        <v>0</v>
      </c>
      <c r="BC53" s="139" t="n">
        <f aca="false">IFERROR(T53*$G53,0)</f>
        <v>0</v>
      </c>
      <c r="BD53" s="140"/>
      <c r="BE53" s="138" t="n">
        <f aca="false">IFERROR(ROUND($D53-V53-BF53,0),0)</f>
        <v>0</v>
      </c>
      <c r="BF53" s="139" t="n">
        <f aca="false">IFERROR(W53*$G53,0)</f>
        <v>0</v>
      </c>
      <c r="BG53" s="138" t="n">
        <f aca="false">IFERROR(ROUND($D53-X53-BH53,0),0)</f>
        <v>0</v>
      </c>
      <c r="BH53" s="139" t="n">
        <f aca="false">IFERROR(Y53*$G53,0)</f>
        <v>0</v>
      </c>
      <c r="BI53" s="140" t="n">
        <f aca="false">IFERROR(ROUND($D53-Z53-BJ53,0),0)</f>
        <v>0</v>
      </c>
      <c r="BJ53" s="139" t="n">
        <f aca="false">IFERROR(AA53*$G53,0)</f>
        <v>0</v>
      </c>
      <c r="BK53" s="140" t="n">
        <f aca="false">IFERROR(ROUND($D53-AB53-BL53,0),0)</f>
        <v>0</v>
      </c>
      <c r="BL53" s="139" t="n">
        <f aca="false">IFERROR(AC53*$G53,0)</f>
        <v>0</v>
      </c>
      <c r="BN53" s="142" t="n">
        <v>33.05</v>
      </c>
      <c r="BO53" s="137"/>
      <c r="BP53" s="138" t="n">
        <v>33.05</v>
      </c>
      <c r="BQ53" s="139" t="n">
        <v>0</v>
      </c>
      <c r="BR53" s="140"/>
      <c r="BS53" s="138" t="n">
        <v>0</v>
      </c>
      <c r="BT53" s="139" t="n">
        <v>0</v>
      </c>
      <c r="BU53" s="138" t="n">
        <v>0</v>
      </c>
      <c r="BV53" s="139" t="n">
        <v>0</v>
      </c>
      <c r="BW53" s="138" t="n">
        <v>0</v>
      </c>
      <c r="BX53" s="139" t="n">
        <v>0</v>
      </c>
      <c r="BY53" s="138" t="n">
        <v>0</v>
      </c>
      <c r="BZ53" s="139" t="n">
        <v>0</v>
      </c>
      <c r="CA53" s="140"/>
      <c r="CB53" s="138" t="n">
        <v>0</v>
      </c>
      <c r="CC53" s="139" t="n">
        <v>0</v>
      </c>
      <c r="CD53" s="138" t="n">
        <v>0</v>
      </c>
      <c r="CE53" s="139" t="n">
        <v>0</v>
      </c>
      <c r="CF53" s="138" t="n">
        <v>0</v>
      </c>
      <c r="CG53" s="139" t="n">
        <v>0</v>
      </c>
      <c r="CH53" s="138" t="n">
        <v>0</v>
      </c>
      <c r="CI53" s="139" t="n">
        <v>0</v>
      </c>
      <c r="CK53" s="143"/>
      <c r="CL53" s="137"/>
      <c r="CM53" s="144" t="str">
        <f aca="false">IFERROR(+$H53-($J53+$K53*$G53),"-")</f>
        <v>-</v>
      </c>
      <c r="CN53" s="137"/>
      <c r="CO53" s="144" t="str">
        <f aca="false">IFERROR(+$H53-($M53+$N53*$G53),"-")</f>
        <v>-</v>
      </c>
      <c r="CP53" s="144" t="str">
        <f aca="false">IFERROR(+$H53-($O53+$P53*$G53),"-")</f>
        <v>-</v>
      </c>
      <c r="CQ53" s="144" t="str">
        <f aca="false">IFERROR(+$H53-($Q53+$R53*$G53),"-")</f>
        <v>-</v>
      </c>
      <c r="CR53" s="144" t="str">
        <f aca="false">IFERROR(+$H53-($Q53+$R53*$G53),"-")</f>
        <v>-</v>
      </c>
      <c r="CS53" s="137"/>
      <c r="CT53" s="144" t="str">
        <f aca="false">IFERROR(+$H53-($V53+$W53*$G53),"-")</f>
        <v>-</v>
      </c>
      <c r="CU53" s="144" t="str">
        <f aca="false">IFERROR(+$H53-($X53+$Y53*$G53),"-")</f>
        <v>-</v>
      </c>
      <c r="CV53" s="144" t="str">
        <f aca="false">IFERROR(+$H53-($Z53+$AA53*$G53),"-")</f>
        <v>-</v>
      </c>
      <c r="CW53" s="144" t="str">
        <f aca="false">IFERROR(+$H53-($AB53+$AC53*$G53),"-")</f>
        <v>-</v>
      </c>
    </row>
    <row r="54" s="156" customFormat="true" ht="12.75" hidden="false" customHeight="true" outlineLevel="0" collapsed="false">
      <c r="A54" s="1"/>
      <c r="B54" s="145" t="s">
        <v>124</v>
      </c>
      <c r="C54" s="146" t="s">
        <v>129</v>
      </c>
      <c r="D54" s="147" t="e">
        <f aca="false">VLOOKUP($C54,#REF!,5,0)</f>
        <v>#VALUE!</v>
      </c>
      <c r="E54" s="148" t="e">
        <f aca="false">VLOOKUP($C54,#REF!,6,0)</f>
        <v>#VALUE!</v>
      </c>
      <c r="F54" s="146" t="e">
        <f aca="false">VLOOKUP($C54,#REF!,7,0)</f>
        <v>#VALUE!</v>
      </c>
      <c r="G54" s="146" t="e">
        <f aca="false">VLOOKUP($C54,#REF!,8,0)</f>
        <v>#VALUE!</v>
      </c>
      <c r="H54" s="149" t="e">
        <f aca="false">VLOOKUP($C54,#REF!,9,0)</f>
        <v>#VALUE!</v>
      </c>
      <c r="I54" s="137"/>
      <c r="J54" s="150" t="e">
        <f aca="false">VLOOKUP($C54,#REF!,10,0)</f>
        <v>#VALUE!</v>
      </c>
      <c r="K54" s="151" t="e">
        <f aca="false">VLOOKUP($C54,#REF!,11,0)</f>
        <v>#VALUE!</v>
      </c>
      <c r="L54" s="140"/>
      <c r="M54" s="150" t="e">
        <f aca="false">VLOOKUP($C54,#REF!,12,0)</f>
        <v>#VALUE!</v>
      </c>
      <c r="N54" s="152" t="e">
        <f aca="false">VLOOKUP($C54,#REF!,13,0)</f>
        <v>#VALUE!</v>
      </c>
      <c r="O54" s="150" t="e">
        <f aca="false">VLOOKUP($C54,#REF!,14,0)</f>
        <v>#VALUE!</v>
      </c>
      <c r="P54" s="152" t="e">
        <f aca="false">VLOOKUP($C54,#REF!,15,0)</f>
        <v>#VALUE!</v>
      </c>
      <c r="Q54" s="150" t="e">
        <f aca="false">VLOOKUP($C54,#REF!,16,0)</f>
        <v>#VALUE!</v>
      </c>
      <c r="R54" s="151" t="e">
        <f aca="false">VLOOKUP($C54,#REF!,17,0)</f>
        <v>#VALUE!</v>
      </c>
      <c r="S54" s="152" t="e">
        <f aca="false">VLOOKUP($C54,#REF!,18,0)</f>
        <v>#VALUE!</v>
      </c>
      <c r="T54" s="151" t="e">
        <f aca="false">VLOOKUP($C54,#REF!,19,0)</f>
        <v>#VALUE!</v>
      </c>
      <c r="U54" s="140"/>
      <c r="V54" s="150" t="e">
        <f aca="false">VLOOKUP($C54,#REF!,20,0)</f>
        <v>#VALUE!</v>
      </c>
      <c r="W54" s="152" t="e">
        <f aca="false">VLOOKUP($C54,#REF!,21,0)</f>
        <v>#VALUE!</v>
      </c>
      <c r="X54" s="150" t="e">
        <f aca="false">VLOOKUP($C54,#REF!,22,0)</f>
        <v>#VALUE!</v>
      </c>
      <c r="Y54" s="152" t="e">
        <f aca="false">VLOOKUP($C54,#REF!,23,0)</f>
        <v>#VALUE!</v>
      </c>
      <c r="Z54" s="150" t="e">
        <f aca="false">VLOOKUP($C54,#REF!,24,0)</f>
        <v>#VALUE!</v>
      </c>
      <c r="AA54" s="151" t="e">
        <f aca="false">VLOOKUP($C54,#REF!,25,0)</f>
        <v>#VALUE!</v>
      </c>
      <c r="AB54" s="152" t="e">
        <f aca="false">VLOOKUP($C54,#REF!,26,0)</f>
        <v>#VALUE!</v>
      </c>
      <c r="AC54" s="151" t="e">
        <f aca="false">VLOOKUP($C54,#REF!,27,0)</f>
        <v>#VALUE!</v>
      </c>
      <c r="AD54" s="1"/>
      <c r="AE54" s="150" t="e">
        <f aca="false">IF(M54="-","-","0,5 GB")</f>
        <v>#VALUE!</v>
      </c>
      <c r="AF54" s="153" t="s">
        <v>92</v>
      </c>
      <c r="AG54" s="153" t="s">
        <v>93</v>
      </c>
      <c r="AH54" s="151" t="s">
        <v>94</v>
      </c>
      <c r="AI54" s="1"/>
      <c r="AJ54" s="150" t="s">
        <v>95</v>
      </c>
      <c r="AK54" s="153" t="s">
        <v>96</v>
      </c>
      <c r="AL54" s="153" t="s">
        <v>97</v>
      </c>
      <c r="AM54" s="153" t="s">
        <v>98</v>
      </c>
      <c r="AN54" s="153" t="s">
        <v>98</v>
      </c>
      <c r="AO54" s="151" t="s">
        <v>92</v>
      </c>
      <c r="AP54" s="1"/>
      <c r="AQ54" s="154" t="n">
        <v>-24</v>
      </c>
      <c r="AR54" s="137"/>
      <c r="AS54" s="150" t="n">
        <v>0</v>
      </c>
      <c r="AT54" s="151" t="n">
        <v>0</v>
      </c>
      <c r="AU54" s="140"/>
      <c r="AV54" s="150" t="n">
        <f aca="false">IFERROR(ROUND($D54-M54-AW54,0),0)</f>
        <v>0</v>
      </c>
      <c r="AW54" s="151" t="n">
        <f aca="false">IFERROR(N54*$G54,0)</f>
        <v>0</v>
      </c>
      <c r="AX54" s="150" t="n">
        <f aca="false">IFERROR(ROUND($D54-O54-AY54,0),0)</f>
        <v>0</v>
      </c>
      <c r="AY54" s="151" t="n">
        <f aca="false">IFERROR(P54*$G54,0)</f>
        <v>0</v>
      </c>
      <c r="AZ54" s="150" t="n">
        <f aca="false">IFERROR(ROUND($D54-Q54-BA54,0),0)</f>
        <v>0</v>
      </c>
      <c r="BA54" s="151" t="n">
        <f aca="false">IFERROR(R54*$G54,0)</f>
        <v>0</v>
      </c>
      <c r="BB54" s="152" t="n">
        <f aca="false">IFERROR(ROUND($D54-S54-BC54,0),0)</f>
        <v>0</v>
      </c>
      <c r="BC54" s="151" t="n">
        <f aca="false">IFERROR(T54*$G54,0)</f>
        <v>0</v>
      </c>
      <c r="BD54" s="140"/>
      <c r="BE54" s="150" t="n">
        <f aca="false">IFERROR(ROUND($D54-V54-BF54,0),0)</f>
        <v>0</v>
      </c>
      <c r="BF54" s="151" t="n">
        <f aca="false">IFERROR(W54*$G54,0)</f>
        <v>0</v>
      </c>
      <c r="BG54" s="150" t="n">
        <f aca="false">IFERROR(ROUND($D54-X54-BH54,0),0)</f>
        <v>0</v>
      </c>
      <c r="BH54" s="151" t="n">
        <f aca="false">IFERROR(Y54*$G54,0)</f>
        <v>0</v>
      </c>
      <c r="BI54" s="152" t="n">
        <f aca="false">IFERROR(ROUND($D54-Z54-BJ54,0),0)</f>
        <v>0</v>
      </c>
      <c r="BJ54" s="151" t="n">
        <f aca="false">IFERROR(AA54*$G54,0)</f>
        <v>0</v>
      </c>
      <c r="BK54" s="152" t="n">
        <f aca="false">IFERROR(ROUND($D54-AB54-BL54,0),0)</f>
        <v>0</v>
      </c>
      <c r="BL54" s="151" t="n">
        <f aca="false">IFERROR(AC54*$G54,0)</f>
        <v>0</v>
      </c>
      <c r="BM54" s="1"/>
      <c r="BN54" s="154" t="n">
        <v>24.79</v>
      </c>
      <c r="BO54" s="155"/>
      <c r="BP54" s="150" t="n">
        <v>24.79</v>
      </c>
      <c r="BQ54" s="151" t="n">
        <v>0</v>
      </c>
      <c r="BR54" s="152"/>
      <c r="BS54" s="150" t="n">
        <v>0</v>
      </c>
      <c r="BT54" s="151" t="n">
        <v>0</v>
      </c>
      <c r="BU54" s="150" t="n">
        <v>0</v>
      </c>
      <c r="BV54" s="151" t="n">
        <v>0</v>
      </c>
      <c r="BW54" s="150" t="n">
        <v>0</v>
      </c>
      <c r="BX54" s="151" t="n">
        <v>0</v>
      </c>
      <c r="BY54" s="150" t="n">
        <v>0</v>
      </c>
      <c r="BZ54" s="151" t="n">
        <v>0</v>
      </c>
      <c r="CA54" s="152"/>
      <c r="CB54" s="150" t="n">
        <v>0</v>
      </c>
      <c r="CC54" s="151" t="n">
        <v>0</v>
      </c>
      <c r="CD54" s="150" t="n">
        <v>0</v>
      </c>
      <c r="CE54" s="151" t="n">
        <v>0</v>
      </c>
      <c r="CF54" s="150" t="n">
        <v>0</v>
      </c>
      <c r="CG54" s="151" t="n">
        <v>0</v>
      </c>
      <c r="CH54" s="150" t="n">
        <v>0</v>
      </c>
      <c r="CI54" s="151" t="n">
        <v>0</v>
      </c>
      <c r="CJ54" s="1"/>
      <c r="CK54" s="149"/>
      <c r="CL54" s="137"/>
      <c r="CM54" s="154" t="str">
        <f aca="false">IFERROR(+$H54-($J54+$K54*$G54),"-")</f>
        <v>-</v>
      </c>
      <c r="CN54" s="137"/>
      <c r="CO54" s="154" t="str">
        <f aca="false">IFERROR(+$H54-($M54+$N54*$G54),"-")</f>
        <v>-</v>
      </c>
      <c r="CP54" s="154" t="str">
        <f aca="false">IFERROR(+$H54-($O54+$P54*$G54),"-")</f>
        <v>-</v>
      </c>
      <c r="CQ54" s="154" t="str">
        <f aca="false">IFERROR(+$H54-($Q54+$R54*$G54),"-")</f>
        <v>-</v>
      </c>
      <c r="CR54" s="154" t="str">
        <f aca="false">IFERROR(+$H54-($Q54+$R54*$G54),"-")</f>
        <v>-</v>
      </c>
      <c r="CS54" s="137"/>
      <c r="CT54" s="154" t="str">
        <f aca="false">IFERROR(+$H54-($V54+$W54*$G54),"-")</f>
        <v>-</v>
      </c>
      <c r="CU54" s="154" t="str">
        <f aca="false">IFERROR(+$H54-($X54+$Y54*$G54),"-")</f>
        <v>-</v>
      </c>
      <c r="CV54" s="154" t="str">
        <f aca="false">IFERROR(+$H54-($Z54+$AA54*$G54),"-")</f>
        <v>-</v>
      </c>
      <c r="CW54" s="154" t="str">
        <f aca="false">IFERROR(+$H54-($AB54+$AC54*$G54),"-")</f>
        <v>-</v>
      </c>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row>
    <row r="55" s="1" customFormat="true" ht="12.75" hidden="false" customHeight="true" outlineLevel="0" collapsed="false">
      <c r="B55" s="134" t="s">
        <v>130</v>
      </c>
      <c r="C55" s="135" t="s">
        <v>131</v>
      </c>
      <c r="D55" s="136" t="e">
        <f aca="false">VLOOKUP($C55,#REF!,5,0)</f>
        <v>#VALUE!</v>
      </c>
      <c r="E55" s="157" t="e">
        <f aca="false">VLOOKUP($C55,#REF!,6,0)</f>
        <v>#VALUE!</v>
      </c>
      <c r="F55" s="135" t="e">
        <f aca="false">VLOOKUP($C55,#REF!,7,0)</f>
        <v>#VALUE!</v>
      </c>
      <c r="G55" s="135" t="e">
        <f aca="false">VLOOKUP($C55,#REF!,8,0)</f>
        <v>#VALUE!</v>
      </c>
      <c r="H55" s="158" t="e">
        <f aca="false">VLOOKUP($C55,#REF!,9,0)</f>
        <v>#VALUE!</v>
      </c>
      <c r="I55" s="137"/>
      <c r="J55" s="138" t="e">
        <f aca="false">VLOOKUP($C55,#REF!,10,0)</f>
        <v>#VALUE!</v>
      </c>
      <c r="K55" s="139" t="e">
        <f aca="false">VLOOKUP($C55,#REF!,11,0)</f>
        <v>#VALUE!</v>
      </c>
      <c r="L55" s="140"/>
      <c r="M55" s="138" t="e">
        <f aca="false">VLOOKUP($C55,#REF!,12,0)</f>
        <v>#VALUE!</v>
      </c>
      <c r="N55" s="140" t="e">
        <f aca="false">VLOOKUP($C55,#REF!,13,0)</f>
        <v>#VALUE!</v>
      </c>
      <c r="O55" s="138" t="e">
        <f aca="false">VLOOKUP($C55,#REF!,14,0)</f>
        <v>#VALUE!</v>
      </c>
      <c r="P55" s="140" t="e">
        <f aca="false">VLOOKUP($C55,#REF!,15,0)</f>
        <v>#VALUE!</v>
      </c>
      <c r="Q55" s="138" t="e">
        <f aca="false">VLOOKUP($C55,#REF!,16,0)</f>
        <v>#VALUE!</v>
      </c>
      <c r="R55" s="139" t="e">
        <f aca="false">VLOOKUP($C55,#REF!,17,0)</f>
        <v>#VALUE!</v>
      </c>
      <c r="S55" s="140" t="e">
        <f aca="false">VLOOKUP($C55,#REF!,18,0)</f>
        <v>#VALUE!</v>
      </c>
      <c r="T55" s="139" t="e">
        <f aca="false">VLOOKUP($C55,#REF!,19,0)</f>
        <v>#VALUE!</v>
      </c>
      <c r="U55" s="140"/>
      <c r="V55" s="138" t="e">
        <f aca="false">VLOOKUP($C55,#REF!,20,0)</f>
        <v>#VALUE!</v>
      </c>
      <c r="W55" s="140" t="e">
        <f aca="false">VLOOKUP($C55,#REF!,21,0)</f>
        <v>#VALUE!</v>
      </c>
      <c r="X55" s="138" t="e">
        <f aca="false">VLOOKUP($C55,#REF!,22,0)</f>
        <v>#VALUE!</v>
      </c>
      <c r="Y55" s="140" t="e">
        <f aca="false">VLOOKUP($C55,#REF!,23,0)</f>
        <v>#VALUE!</v>
      </c>
      <c r="Z55" s="138" t="e">
        <f aca="false">VLOOKUP($C55,#REF!,24,0)</f>
        <v>#VALUE!</v>
      </c>
      <c r="AA55" s="139" t="e">
        <f aca="false">VLOOKUP($C55,#REF!,25,0)</f>
        <v>#VALUE!</v>
      </c>
      <c r="AB55" s="140" t="e">
        <f aca="false">VLOOKUP($C55,#REF!,26,0)</f>
        <v>#VALUE!</v>
      </c>
      <c r="AC55" s="139" t="e">
        <f aca="false">VLOOKUP($C55,#REF!,27,0)</f>
        <v>#VALUE!</v>
      </c>
      <c r="AE55" s="138" t="e">
        <f aca="false">IF(M55="-","-","0,5 GB")</f>
        <v>#VALUE!</v>
      </c>
      <c r="AF55" s="141" t="s">
        <v>92</v>
      </c>
      <c r="AG55" s="141" t="s">
        <v>93</v>
      </c>
      <c r="AH55" s="139" t="s">
        <v>94</v>
      </c>
      <c r="AJ55" s="138" t="s">
        <v>95</v>
      </c>
      <c r="AK55" s="141" t="s">
        <v>96</v>
      </c>
      <c r="AL55" s="141" t="s">
        <v>97</v>
      </c>
      <c r="AM55" s="141" t="s">
        <v>98</v>
      </c>
      <c r="AN55" s="141" t="s">
        <v>98</v>
      </c>
      <c r="AO55" s="139" t="s">
        <v>92</v>
      </c>
      <c r="AQ55" s="142" t="n">
        <v>-17</v>
      </c>
      <c r="AR55" s="137"/>
      <c r="AS55" s="138" t="n">
        <v>0</v>
      </c>
      <c r="AT55" s="139" t="n">
        <v>0</v>
      </c>
      <c r="AU55" s="140"/>
      <c r="AV55" s="138" t="n">
        <f aca="false">IFERROR(ROUND($D55-M55-AW55,0),0)</f>
        <v>0</v>
      </c>
      <c r="AW55" s="139" t="n">
        <f aca="false">IFERROR(N55*$G55,0)</f>
        <v>0</v>
      </c>
      <c r="AX55" s="138" t="n">
        <f aca="false">IFERROR(ROUND($D55-O55-AY55,0),0)</f>
        <v>0</v>
      </c>
      <c r="AY55" s="139" t="n">
        <f aca="false">IFERROR(P55*$G55,0)</f>
        <v>0</v>
      </c>
      <c r="AZ55" s="138" t="n">
        <f aca="false">IFERROR(ROUND($D55-Q55-BA55,0),0)</f>
        <v>0</v>
      </c>
      <c r="BA55" s="139" t="n">
        <f aca="false">IFERROR(R55*$G55,0)</f>
        <v>0</v>
      </c>
      <c r="BB55" s="140" t="n">
        <f aca="false">IFERROR(ROUND($D55-S55-BC55,0),0)</f>
        <v>0</v>
      </c>
      <c r="BC55" s="139" t="n">
        <f aca="false">IFERROR(T55*$G55,0)</f>
        <v>0</v>
      </c>
      <c r="BD55" s="140"/>
      <c r="BE55" s="138" t="n">
        <f aca="false">IFERROR(ROUND($D55-V55-BF55,0),0)</f>
        <v>0</v>
      </c>
      <c r="BF55" s="139" t="n">
        <f aca="false">IFERROR(W55*$G55,0)</f>
        <v>0</v>
      </c>
      <c r="BG55" s="138" t="n">
        <f aca="false">IFERROR(ROUND($D55-X55-BH55,0),0)</f>
        <v>0</v>
      </c>
      <c r="BH55" s="139" t="n">
        <f aca="false">IFERROR(Y55*$G55,0)</f>
        <v>0</v>
      </c>
      <c r="BI55" s="140" t="n">
        <f aca="false">IFERROR(ROUND($D55-Z55-BJ55,0),0)</f>
        <v>0</v>
      </c>
      <c r="BJ55" s="139" t="n">
        <f aca="false">IFERROR(AA55*$G55,0)</f>
        <v>0</v>
      </c>
      <c r="BK55" s="140" t="n">
        <f aca="false">IFERROR(ROUND($D55-AB55-BL55,0),0)</f>
        <v>0</v>
      </c>
      <c r="BL55" s="139" t="n">
        <f aca="false">IFERROR(AC55*$G55,0)</f>
        <v>0</v>
      </c>
      <c r="BN55" s="142" t="n">
        <v>16.53</v>
      </c>
      <c r="BO55" s="137"/>
      <c r="BP55" s="138" t="n">
        <v>16.53</v>
      </c>
      <c r="BQ55" s="139" t="n">
        <v>0</v>
      </c>
      <c r="BR55" s="140"/>
      <c r="BS55" s="138" t="n">
        <v>0</v>
      </c>
      <c r="BT55" s="139" t="n">
        <v>0</v>
      </c>
      <c r="BU55" s="138" t="n">
        <v>0</v>
      </c>
      <c r="BV55" s="139" t="n">
        <v>0</v>
      </c>
      <c r="BW55" s="138" t="n">
        <v>0</v>
      </c>
      <c r="BX55" s="139" t="n">
        <v>0</v>
      </c>
      <c r="BY55" s="138" t="n">
        <v>0</v>
      </c>
      <c r="BZ55" s="139" t="n">
        <v>0</v>
      </c>
      <c r="CA55" s="140"/>
      <c r="CB55" s="138" t="n">
        <v>0</v>
      </c>
      <c r="CC55" s="139" t="n">
        <v>0</v>
      </c>
      <c r="CD55" s="138" t="n">
        <v>0</v>
      </c>
      <c r="CE55" s="139" t="n">
        <v>0</v>
      </c>
      <c r="CF55" s="138" t="n">
        <v>0</v>
      </c>
      <c r="CG55" s="139" t="n">
        <v>0</v>
      </c>
      <c r="CH55" s="138" t="n">
        <v>0</v>
      </c>
      <c r="CI55" s="139" t="n">
        <v>0</v>
      </c>
      <c r="CK55" s="143"/>
      <c r="CL55" s="137"/>
      <c r="CM55" s="144" t="str">
        <f aca="false">IFERROR(+$H55-($J55+$K55*$G55),"-")</f>
        <v>-</v>
      </c>
      <c r="CN55" s="137"/>
      <c r="CO55" s="144" t="str">
        <f aca="false">IFERROR(+$H55-($M55+$N55*$G55),"-")</f>
        <v>-</v>
      </c>
      <c r="CP55" s="144" t="str">
        <f aca="false">IFERROR(+$H55-($O55+$P55*$G55),"-")</f>
        <v>-</v>
      </c>
      <c r="CQ55" s="144" t="str">
        <f aca="false">IFERROR(+$H55-($Q55+$R55*$G55),"-")</f>
        <v>-</v>
      </c>
      <c r="CR55" s="144" t="str">
        <f aca="false">IFERROR(+$H55-($Q55+$R55*$G55),"-")</f>
        <v>-</v>
      </c>
      <c r="CS55" s="137"/>
      <c r="CT55" s="144" t="str">
        <f aca="false">IFERROR(+$H55-($V55+$W55*$G55),"-")</f>
        <v>-</v>
      </c>
      <c r="CU55" s="144" t="str">
        <f aca="false">IFERROR(+$H55-($X55+$Y55*$G55),"-")</f>
        <v>-</v>
      </c>
      <c r="CV55" s="144" t="str">
        <f aca="false">IFERROR(+$H55-($Z55+$AA55*$G55),"-")</f>
        <v>-</v>
      </c>
      <c r="CW55" s="144" t="str">
        <f aca="false">IFERROR(+$H55-($AB55+$AC55*$G55),"-")</f>
        <v>-</v>
      </c>
    </row>
    <row r="56" s="156" customFormat="true" ht="12.75" hidden="false" customHeight="true" outlineLevel="0" collapsed="false">
      <c r="A56" s="1"/>
      <c r="B56" s="145" t="s">
        <v>130</v>
      </c>
      <c r="C56" s="146" t="s">
        <v>132</v>
      </c>
      <c r="D56" s="147" t="e">
        <f aca="false">VLOOKUP($C56,#REF!,5,0)</f>
        <v>#VALUE!</v>
      </c>
      <c r="E56" s="148" t="e">
        <f aca="false">VLOOKUP($C56,#REF!,6,0)</f>
        <v>#VALUE!</v>
      </c>
      <c r="F56" s="146" t="e">
        <f aca="false">VLOOKUP($C56,#REF!,7,0)</f>
        <v>#VALUE!</v>
      </c>
      <c r="G56" s="146" t="e">
        <f aca="false">VLOOKUP($C56,#REF!,8,0)</f>
        <v>#VALUE!</v>
      </c>
      <c r="H56" s="149" t="e">
        <f aca="false">VLOOKUP($C56,#REF!,9,0)</f>
        <v>#VALUE!</v>
      </c>
      <c r="I56" s="137"/>
      <c r="J56" s="150" t="e">
        <f aca="false">VLOOKUP($C56,#REF!,10,0)</f>
        <v>#VALUE!</v>
      </c>
      <c r="K56" s="151" t="e">
        <f aca="false">VLOOKUP($C56,#REF!,11,0)</f>
        <v>#VALUE!</v>
      </c>
      <c r="L56" s="140"/>
      <c r="M56" s="150" t="e">
        <f aca="false">VLOOKUP($C56,#REF!,12,0)</f>
        <v>#VALUE!</v>
      </c>
      <c r="N56" s="152" t="e">
        <f aca="false">VLOOKUP($C56,#REF!,13,0)</f>
        <v>#VALUE!</v>
      </c>
      <c r="O56" s="150" t="e">
        <f aca="false">VLOOKUP($C56,#REF!,14,0)</f>
        <v>#VALUE!</v>
      </c>
      <c r="P56" s="152" t="e">
        <f aca="false">VLOOKUP($C56,#REF!,15,0)</f>
        <v>#VALUE!</v>
      </c>
      <c r="Q56" s="150" t="e">
        <f aca="false">VLOOKUP($C56,#REF!,16,0)</f>
        <v>#VALUE!</v>
      </c>
      <c r="R56" s="151" t="e">
        <f aca="false">VLOOKUP($C56,#REF!,17,0)</f>
        <v>#VALUE!</v>
      </c>
      <c r="S56" s="152" t="e">
        <f aca="false">VLOOKUP($C56,#REF!,18,0)</f>
        <v>#VALUE!</v>
      </c>
      <c r="T56" s="151" t="e">
        <f aca="false">VLOOKUP($C56,#REF!,19,0)</f>
        <v>#VALUE!</v>
      </c>
      <c r="U56" s="140"/>
      <c r="V56" s="150" t="e">
        <f aca="false">VLOOKUP($C56,#REF!,20,0)</f>
        <v>#VALUE!</v>
      </c>
      <c r="W56" s="152" t="e">
        <f aca="false">VLOOKUP($C56,#REF!,21,0)</f>
        <v>#VALUE!</v>
      </c>
      <c r="X56" s="150" t="e">
        <f aca="false">VLOOKUP($C56,#REF!,22,0)</f>
        <v>#VALUE!</v>
      </c>
      <c r="Y56" s="152" t="e">
        <f aca="false">VLOOKUP($C56,#REF!,23,0)</f>
        <v>#VALUE!</v>
      </c>
      <c r="Z56" s="150" t="e">
        <f aca="false">VLOOKUP($C56,#REF!,24,0)</f>
        <v>#VALUE!</v>
      </c>
      <c r="AA56" s="151" t="e">
        <f aca="false">VLOOKUP($C56,#REF!,25,0)</f>
        <v>#VALUE!</v>
      </c>
      <c r="AB56" s="152" t="e">
        <f aca="false">VLOOKUP($C56,#REF!,26,0)</f>
        <v>#VALUE!</v>
      </c>
      <c r="AC56" s="151" t="e">
        <f aca="false">VLOOKUP($C56,#REF!,27,0)</f>
        <v>#VALUE!</v>
      </c>
      <c r="AD56" s="1"/>
      <c r="AE56" s="150" t="e">
        <f aca="false">IF(M56="-","-","0,5 GB")</f>
        <v>#VALUE!</v>
      </c>
      <c r="AF56" s="153" t="s">
        <v>92</v>
      </c>
      <c r="AG56" s="153" t="s">
        <v>93</v>
      </c>
      <c r="AH56" s="151" t="s">
        <v>94</v>
      </c>
      <c r="AI56" s="1"/>
      <c r="AJ56" s="150" t="s">
        <v>95</v>
      </c>
      <c r="AK56" s="153" t="s">
        <v>96</v>
      </c>
      <c r="AL56" s="153" t="s">
        <v>97</v>
      </c>
      <c r="AM56" s="153" t="s">
        <v>98</v>
      </c>
      <c r="AN56" s="153" t="s">
        <v>98</v>
      </c>
      <c r="AO56" s="151" t="s">
        <v>92</v>
      </c>
      <c r="AP56" s="1"/>
      <c r="AQ56" s="154" t="n">
        <v>27</v>
      </c>
      <c r="AR56" s="137"/>
      <c r="AS56" s="150" t="n">
        <v>0</v>
      </c>
      <c r="AT56" s="151" t="n">
        <v>0</v>
      </c>
      <c r="AU56" s="140"/>
      <c r="AV56" s="150" t="n">
        <f aca="false">IFERROR(ROUND($D56-M56-AW56,0),0)</f>
        <v>0</v>
      </c>
      <c r="AW56" s="151" t="n">
        <f aca="false">IFERROR(N56*$G56,0)</f>
        <v>0</v>
      </c>
      <c r="AX56" s="150" t="n">
        <f aca="false">IFERROR(ROUND($D56-O56-AY56,0),0)</f>
        <v>0</v>
      </c>
      <c r="AY56" s="151" t="n">
        <f aca="false">IFERROR(P56*$G56,0)</f>
        <v>0</v>
      </c>
      <c r="AZ56" s="150" t="n">
        <f aca="false">IFERROR(ROUND($D56-Q56-BA56,0),0)</f>
        <v>0</v>
      </c>
      <c r="BA56" s="151" t="n">
        <f aca="false">IFERROR(R56*$G56,0)</f>
        <v>0</v>
      </c>
      <c r="BB56" s="152" t="n">
        <f aca="false">IFERROR(ROUND($D56-S56-BC56,0),0)</f>
        <v>0</v>
      </c>
      <c r="BC56" s="151" t="n">
        <f aca="false">IFERROR(T56*$G56,0)</f>
        <v>0</v>
      </c>
      <c r="BD56" s="140"/>
      <c r="BE56" s="150" t="n">
        <f aca="false">IFERROR(ROUND($D56-V56-BF56,0),0)</f>
        <v>0</v>
      </c>
      <c r="BF56" s="151" t="n">
        <f aca="false">IFERROR(W56*$G56,0)</f>
        <v>0</v>
      </c>
      <c r="BG56" s="150" t="n">
        <f aca="false">IFERROR(ROUND($D56-X56-BH56,0),0)</f>
        <v>0</v>
      </c>
      <c r="BH56" s="151" t="n">
        <f aca="false">IFERROR(Y56*$G56,0)</f>
        <v>0</v>
      </c>
      <c r="BI56" s="152" t="n">
        <f aca="false">IFERROR(ROUND($D56-Z56-BJ56,0),0)</f>
        <v>0</v>
      </c>
      <c r="BJ56" s="151" t="n">
        <f aca="false">IFERROR(AA56*$G56,0)</f>
        <v>0</v>
      </c>
      <c r="BK56" s="152" t="n">
        <f aca="false">IFERROR(ROUND($D56-AB56-BL56,0),0)</f>
        <v>0</v>
      </c>
      <c r="BL56" s="151" t="n">
        <f aca="false">IFERROR(AC56*$G56,0)</f>
        <v>0</v>
      </c>
      <c r="BM56" s="1"/>
      <c r="BN56" s="154" t="n">
        <v>0</v>
      </c>
      <c r="BO56" s="155"/>
      <c r="BP56" s="150" t="n">
        <v>0</v>
      </c>
      <c r="BQ56" s="151" t="n">
        <v>0</v>
      </c>
      <c r="BR56" s="152"/>
      <c r="BS56" s="150" t="n">
        <v>0</v>
      </c>
      <c r="BT56" s="151" t="n">
        <v>0</v>
      </c>
      <c r="BU56" s="150" t="n">
        <v>0</v>
      </c>
      <c r="BV56" s="151" t="n">
        <v>0</v>
      </c>
      <c r="BW56" s="150" t="n">
        <v>0</v>
      </c>
      <c r="BX56" s="151" t="n">
        <v>0</v>
      </c>
      <c r="BY56" s="150" t="n">
        <v>0</v>
      </c>
      <c r="BZ56" s="151" t="n">
        <v>0</v>
      </c>
      <c r="CA56" s="152"/>
      <c r="CB56" s="150" t="n">
        <v>0</v>
      </c>
      <c r="CC56" s="151" t="n">
        <v>0</v>
      </c>
      <c r="CD56" s="150" t="n">
        <v>0</v>
      </c>
      <c r="CE56" s="151" t="n">
        <v>0</v>
      </c>
      <c r="CF56" s="150" t="n">
        <v>0</v>
      </c>
      <c r="CG56" s="151" t="n">
        <v>0</v>
      </c>
      <c r="CH56" s="150" t="n">
        <v>0</v>
      </c>
      <c r="CI56" s="151" t="n">
        <v>0</v>
      </c>
      <c r="CJ56" s="1"/>
      <c r="CK56" s="149"/>
      <c r="CL56" s="137"/>
      <c r="CM56" s="154" t="str">
        <f aca="false">IFERROR(+$H56-($J56+$K56*$G56),"-")</f>
        <v>-</v>
      </c>
      <c r="CN56" s="137"/>
      <c r="CO56" s="154" t="str">
        <f aca="false">IFERROR(+$H56-($M56+$N56*$G56),"-")</f>
        <v>-</v>
      </c>
      <c r="CP56" s="154" t="str">
        <f aca="false">IFERROR(+$H56-($O56+$P56*$G56),"-")</f>
        <v>-</v>
      </c>
      <c r="CQ56" s="154" t="str">
        <f aca="false">IFERROR(+$H56-($Q56+$R56*$G56),"-")</f>
        <v>-</v>
      </c>
      <c r="CR56" s="154" t="str">
        <f aca="false">IFERROR(+$H56-($Q56+$R56*$G56),"-")</f>
        <v>-</v>
      </c>
      <c r="CS56" s="137"/>
      <c r="CT56" s="154" t="str">
        <f aca="false">IFERROR(+$H56-($V56+$W56*$G56),"-")</f>
        <v>-</v>
      </c>
      <c r="CU56" s="154" t="str">
        <f aca="false">IFERROR(+$H56-($X56+$Y56*$G56),"-")</f>
        <v>-</v>
      </c>
      <c r="CV56" s="154" t="str">
        <f aca="false">IFERROR(+$H56-($Z56+$AA56*$G56),"-")</f>
        <v>-</v>
      </c>
      <c r="CW56" s="154" t="str">
        <f aca="false">IFERROR(+$H56-($AB56+$AC56*$G56),"-")</f>
        <v>-</v>
      </c>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row>
    <row r="57" s="1" customFormat="true" ht="12.75" hidden="false" customHeight="true" outlineLevel="0" collapsed="false">
      <c r="B57" s="134" t="s">
        <v>130</v>
      </c>
      <c r="C57" s="135" t="s">
        <v>133</v>
      </c>
      <c r="D57" s="136" t="e">
        <f aca="false">VLOOKUP($C57,#REF!,5,0)</f>
        <v>#VALUE!</v>
      </c>
      <c r="E57" s="157" t="e">
        <f aca="false">VLOOKUP($C57,#REF!,6,0)</f>
        <v>#VALUE!</v>
      </c>
      <c r="F57" s="135" t="e">
        <f aca="false">VLOOKUP($C57,#REF!,7,0)</f>
        <v>#VALUE!</v>
      </c>
      <c r="G57" s="135" t="e">
        <f aca="false">VLOOKUP($C57,#REF!,8,0)</f>
        <v>#VALUE!</v>
      </c>
      <c r="H57" s="158" t="e">
        <f aca="false">VLOOKUP($C57,#REF!,9,0)</f>
        <v>#VALUE!</v>
      </c>
      <c r="I57" s="137"/>
      <c r="J57" s="138" t="e">
        <f aca="false">VLOOKUP($C57,#REF!,10,0)</f>
        <v>#VALUE!</v>
      </c>
      <c r="K57" s="139" t="e">
        <f aca="false">VLOOKUP($C57,#REF!,11,0)</f>
        <v>#VALUE!</v>
      </c>
      <c r="L57" s="140"/>
      <c r="M57" s="138" t="e">
        <f aca="false">VLOOKUP($C57,#REF!,12,0)</f>
        <v>#VALUE!</v>
      </c>
      <c r="N57" s="140" t="e">
        <f aca="false">VLOOKUP($C57,#REF!,13,0)</f>
        <v>#VALUE!</v>
      </c>
      <c r="O57" s="138" t="e">
        <f aca="false">VLOOKUP($C57,#REF!,14,0)</f>
        <v>#VALUE!</v>
      </c>
      <c r="P57" s="140" t="e">
        <f aca="false">VLOOKUP($C57,#REF!,15,0)</f>
        <v>#VALUE!</v>
      </c>
      <c r="Q57" s="138" t="e">
        <f aca="false">VLOOKUP($C57,#REF!,16,0)</f>
        <v>#VALUE!</v>
      </c>
      <c r="R57" s="139" t="e">
        <f aca="false">VLOOKUP($C57,#REF!,17,0)</f>
        <v>#VALUE!</v>
      </c>
      <c r="S57" s="140" t="e">
        <f aca="false">VLOOKUP($C57,#REF!,18,0)</f>
        <v>#VALUE!</v>
      </c>
      <c r="T57" s="139" t="e">
        <f aca="false">VLOOKUP($C57,#REF!,19,0)</f>
        <v>#VALUE!</v>
      </c>
      <c r="U57" s="140"/>
      <c r="V57" s="138" t="e">
        <f aca="false">VLOOKUP($C57,#REF!,20,0)</f>
        <v>#VALUE!</v>
      </c>
      <c r="W57" s="140" t="e">
        <f aca="false">VLOOKUP($C57,#REF!,21,0)</f>
        <v>#VALUE!</v>
      </c>
      <c r="X57" s="138" t="e">
        <f aca="false">VLOOKUP($C57,#REF!,22,0)</f>
        <v>#VALUE!</v>
      </c>
      <c r="Y57" s="140" t="e">
        <f aca="false">VLOOKUP($C57,#REF!,23,0)</f>
        <v>#VALUE!</v>
      </c>
      <c r="Z57" s="138" t="e">
        <f aca="false">VLOOKUP($C57,#REF!,24,0)</f>
        <v>#VALUE!</v>
      </c>
      <c r="AA57" s="139" t="e">
        <f aca="false">VLOOKUP($C57,#REF!,25,0)</f>
        <v>#VALUE!</v>
      </c>
      <c r="AB57" s="140" t="e">
        <f aca="false">VLOOKUP($C57,#REF!,26,0)</f>
        <v>#VALUE!</v>
      </c>
      <c r="AC57" s="139" t="e">
        <f aca="false">VLOOKUP($C57,#REF!,27,0)</f>
        <v>#VALUE!</v>
      </c>
      <c r="AE57" s="138" t="e">
        <f aca="false">IF(M57="-","-","0,5 GB")</f>
        <v>#VALUE!</v>
      </c>
      <c r="AF57" s="141" t="s">
        <v>92</v>
      </c>
      <c r="AG57" s="141" t="s">
        <v>93</v>
      </c>
      <c r="AH57" s="139" t="s">
        <v>94</v>
      </c>
      <c r="AJ57" s="138" t="s">
        <v>95</v>
      </c>
      <c r="AK57" s="141" t="s">
        <v>96</v>
      </c>
      <c r="AL57" s="141" t="s">
        <v>97</v>
      </c>
      <c r="AM57" s="141" t="s">
        <v>98</v>
      </c>
      <c r="AN57" s="141" t="s">
        <v>98</v>
      </c>
      <c r="AO57" s="139" t="s">
        <v>92</v>
      </c>
      <c r="AQ57" s="142" t="n">
        <v>0</v>
      </c>
      <c r="AR57" s="137"/>
      <c r="AS57" s="138" t="n">
        <v>0</v>
      </c>
      <c r="AT57" s="139" t="n">
        <v>0</v>
      </c>
      <c r="AU57" s="140"/>
      <c r="AV57" s="138" t="n">
        <f aca="false">IFERROR(ROUND($D57-M57-AW57,0),0)</f>
        <v>0</v>
      </c>
      <c r="AW57" s="139" t="n">
        <f aca="false">IFERROR(N57*$G57,0)</f>
        <v>0</v>
      </c>
      <c r="AX57" s="138" t="n">
        <f aca="false">IFERROR(ROUND($D57-O57-AY57,0),0)</f>
        <v>0</v>
      </c>
      <c r="AY57" s="139" t="n">
        <f aca="false">IFERROR(P57*$G57,0)</f>
        <v>0</v>
      </c>
      <c r="AZ57" s="138" t="n">
        <f aca="false">IFERROR(ROUND($D57-Q57-BA57,0),0)</f>
        <v>0</v>
      </c>
      <c r="BA57" s="139" t="n">
        <f aca="false">IFERROR(R57*$G57,0)</f>
        <v>0</v>
      </c>
      <c r="BB57" s="140" t="n">
        <f aca="false">IFERROR(ROUND($D57-S57-BC57,0),0)</f>
        <v>0</v>
      </c>
      <c r="BC57" s="139" t="n">
        <f aca="false">IFERROR(T57*$G57,0)</f>
        <v>0</v>
      </c>
      <c r="BD57" s="140"/>
      <c r="BE57" s="138" t="n">
        <f aca="false">IFERROR(ROUND($D57-V57-BF57,0),0)</f>
        <v>0</v>
      </c>
      <c r="BF57" s="139" t="n">
        <f aca="false">IFERROR(W57*$G57,0)</f>
        <v>0</v>
      </c>
      <c r="BG57" s="138" t="n">
        <f aca="false">IFERROR(ROUND($D57-X57-BH57,0),0)</f>
        <v>0</v>
      </c>
      <c r="BH57" s="139" t="n">
        <f aca="false">IFERROR(Y57*$G57,0)</f>
        <v>0</v>
      </c>
      <c r="BI57" s="140" t="n">
        <f aca="false">IFERROR(ROUND($D57-Z57-BJ57,0),0)</f>
        <v>0</v>
      </c>
      <c r="BJ57" s="139" t="n">
        <f aca="false">IFERROR(AA57*$G57,0)</f>
        <v>0</v>
      </c>
      <c r="BK57" s="140" t="n">
        <f aca="false">IFERROR(ROUND($D57-AB57-BL57,0),0)</f>
        <v>0</v>
      </c>
      <c r="BL57" s="139" t="n">
        <f aca="false">IFERROR(AC57*$G57,0)</f>
        <v>0</v>
      </c>
      <c r="BN57" s="142" t="n">
        <v>0</v>
      </c>
      <c r="BO57" s="137"/>
      <c r="BP57" s="138" t="n">
        <v>0</v>
      </c>
      <c r="BQ57" s="139" t="n">
        <v>0</v>
      </c>
      <c r="BR57" s="140"/>
      <c r="BS57" s="138" t="n">
        <v>0</v>
      </c>
      <c r="BT57" s="139" t="n">
        <v>0</v>
      </c>
      <c r="BU57" s="138" t="n">
        <v>0</v>
      </c>
      <c r="BV57" s="139" t="n">
        <v>0</v>
      </c>
      <c r="BW57" s="138" t="n">
        <v>0</v>
      </c>
      <c r="BX57" s="139" t="n">
        <v>0</v>
      </c>
      <c r="BY57" s="138" t="n">
        <v>0</v>
      </c>
      <c r="BZ57" s="139" t="n">
        <v>0</v>
      </c>
      <c r="CA57" s="140"/>
      <c r="CB57" s="138" t="n">
        <v>0</v>
      </c>
      <c r="CC57" s="139" t="n">
        <v>0</v>
      </c>
      <c r="CD57" s="138" t="n">
        <v>0</v>
      </c>
      <c r="CE57" s="139" t="n">
        <v>0</v>
      </c>
      <c r="CF57" s="138" t="n">
        <v>0</v>
      </c>
      <c r="CG57" s="139" t="n">
        <v>0</v>
      </c>
      <c r="CH57" s="138" t="n">
        <v>0</v>
      </c>
      <c r="CI57" s="139" t="n">
        <v>0</v>
      </c>
      <c r="CK57" s="143"/>
      <c r="CL57" s="137"/>
      <c r="CM57" s="144" t="str">
        <f aca="false">IFERROR(+$H57-($J57+$K57*$G57),"-")</f>
        <v>-</v>
      </c>
      <c r="CN57" s="137"/>
      <c r="CO57" s="144" t="str">
        <f aca="false">IFERROR(+$H57-($M57+$N57*$G57),"-")</f>
        <v>-</v>
      </c>
      <c r="CP57" s="144" t="str">
        <f aca="false">IFERROR(+$H57-($O57+$P57*$G57),"-")</f>
        <v>-</v>
      </c>
      <c r="CQ57" s="144" t="str">
        <f aca="false">IFERROR(+$H57-($Q57+$R57*$G57),"-")</f>
        <v>-</v>
      </c>
      <c r="CR57" s="144" t="str">
        <f aca="false">IFERROR(+$H57-($Q57+$R57*$G57),"-")</f>
        <v>-</v>
      </c>
      <c r="CS57" s="137"/>
      <c r="CT57" s="144" t="str">
        <f aca="false">IFERROR(+$H57-($V57+$W57*$G57),"-")</f>
        <v>-</v>
      </c>
      <c r="CU57" s="144" t="str">
        <f aca="false">IFERROR(+$H57-($X57+$Y57*$G57),"-")</f>
        <v>-</v>
      </c>
      <c r="CV57" s="144" t="str">
        <f aca="false">IFERROR(+$H57-($Z57+$AA57*$G57),"-")</f>
        <v>-</v>
      </c>
      <c r="CW57" s="144" t="str">
        <f aca="false">IFERROR(+$H57-($AB57+$AC57*$G57),"-")</f>
        <v>-</v>
      </c>
    </row>
    <row r="58" s="156" customFormat="true" ht="12.75" hidden="false" customHeight="true" outlineLevel="0" collapsed="false">
      <c r="A58" s="1"/>
      <c r="B58" s="145" t="s">
        <v>130</v>
      </c>
      <c r="C58" s="146" t="s">
        <v>134</v>
      </c>
      <c r="D58" s="147" t="e">
        <f aca="false">VLOOKUP($C58,#REF!,5,0)</f>
        <v>#VALUE!</v>
      </c>
      <c r="E58" s="148" t="e">
        <f aca="false">VLOOKUP($C58,#REF!,6,0)</f>
        <v>#VALUE!</v>
      </c>
      <c r="F58" s="146" t="e">
        <f aca="false">VLOOKUP($C58,#REF!,7,0)</f>
        <v>#VALUE!</v>
      </c>
      <c r="G58" s="146" t="e">
        <f aca="false">VLOOKUP($C58,#REF!,8,0)</f>
        <v>#VALUE!</v>
      </c>
      <c r="H58" s="149" t="e">
        <f aca="false">VLOOKUP($C58,#REF!,9,0)</f>
        <v>#VALUE!</v>
      </c>
      <c r="I58" s="137"/>
      <c r="J58" s="150" t="e">
        <f aca="false">VLOOKUP($C58,#REF!,10,0)</f>
        <v>#VALUE!</v>
      </c>
      <c r="K58" s="151" t="e">
        <f aca="false">VLOOKUP($C58,#REF!,11,0)</f>
        <v>#VALUE!</v>
      </c>
      <c r="L58" s="140"/>
      <c r="M58" s="150" t="e">
        <f aca="false">VLOOKUP($C58,#REF!,12,0)</f>
        <v>#VALUE!</v>
      </c>
      <c r="N58" s="152" t="e">
        <f aca="false">VLOOKUP($C58,#REF!,13,0)</f>
        <v>#VALUE!</v>
      </c>
      <c r="O58" s="150" t="e">
        <f aca="false">VLOOKUP($C58,#REF!,14,0)</f>
        <v>#VALUE!</v>
      </c>
      <c r="P58" s="152" t="e">
        <f aca="false">VLOOKUP($C58,#REF!,15,0)</f>
        <v>#VALUE!</v>
      </c>
      <c r="Q58" s="150" t="e">
        <f aca="false">VLOOKUP($C58,#REF!,16,0)</f>
        <v>#VALUE!</v>
      </c>
      <c r="R58" s="151" t="e">
        <f aca="false">VLOOKUP($C58,#REF!,17,0)</f>
        <v>#VALUE!</v>
      </c>
      <c r="S58" s="152" t="e">
        <f aca="false">VLOOKUP($C58,#REF!,18,0)</f>
        <v>#VALUE!</v>
      </c>
      <c r="T58" s="151" t="e">
        <f aca="false">VLOOKUP($C58,#REF!,19,0)</f>
        <v>#VALUE!</v>
      </c>
      <c r="U58" s="140"/>
      <c r="V58" s="150" t="e">
        <f aca="false">VLOOKUP($C58,#REF!,20,0)</f>
        <v>#VALUE!</v>
      </c>
      <c r="W58" s="152" t="e">
        <f aca="false">VLOOKUP($C58,#REF!,21,0)</f>
        <v>#VALUE!</v>
      </c>
      <c r="X58" s="150" t="e">
        <f aca="false">VLOOKUP($C58,#REF!,22,0)</f>
        <v>#VALUE!</v>
      </c>
      <c r="Y58" s="152" t="e">
        <f aca="false">VLOOKUP($C58,#REF!,23,0)</f>
        <v>#VALUE!</v>
      </c>
      <c r="Z58" s="150" t="e">
        <f aca="false">VLOOKUP($C58,#REF!,24,0)</f>
        <v>#VALUE!</v>
      </c>
      <c r="AA58" s="151" t="e">
        <f aca="false">VLOOKUP($C58,#REF!,25,0)</f>
        <v>#VALUE!</v>
      </c>
      <c r="AB58" s="152" t="e">
        <f aca="false">VLOOKUP($C58,#REF!,26,0)</f>
        <v>#VALUE!</v>
      </c>
      <c r="AC58" s="151" t="e">
        <f aca="false">VLOOKUP($C58,#REF!,27,0)</f>
        <v>#VALUE!</v>
      </c>
      <c r="AD58" s="1"/>
      <c r="AE58" s="150" t="e">
        <f aca="false">IF(M58="-","-","0,5 GB")</f>
        <v>#VALUE!</v>
      </c>
      <c r="AF58" s="153" t="s">
        <v>92</v>
      </c>
      <c r="AG58" s="153" t="s">
        <v>93</v>
      </c>
      <c r="AH58" s="151" t="s">
        <v>94</v>
      </c>
      <c r="AI58" s="1"/>
      <c r="AJ58" s="150" t="s">
        <v>95</v>
      </c>
      <c r="AK58" s="153" t="s">
        <v>96</v>
      </c>
      <c r="AL58" s="153" t="s">
        <v>97</v>
      </c>
      <c r="AM58" s="153" t="s">
        <v>98</v>
      </c>
      <c r="AN58" s="153" t="s">
        <v>98</v>
      </c>
      <c r="AO58" s="151" t="s">
        <v>92</v>
      </c>
      <c r="AP58" s="1"/>
      <c r="AQ58" s="154" t="n">
        <v>-1</v>
      </c>
      <c r="AR58" s="137"/>
      <c r="AS58" s="150" t="n">
        <v>0</v>
      </c>
      <c r="AT58" s="151" t="n">
        <v>0</v>
      </c>
      <c r="AU58" s="140"/>
      <c r="AV58" s="150" t="n">
        <f aca="false">IFERROR(ROUND($D58-M58-AW58,0),0)</f>
        <v>0</v>
      </c>
      <c r="AW58" s="151" t="n">
        <f aca="false">IFERROR(N58*$G58,0)</f>
        <v>0</v>
      </c>
      <c r="AX58" s="150" t="n">
        <f aca="false">IFERROR(ROUND($D58-O58-AY58,0),0)</f>
        <v>0</v>
      </c>
      <c r="AY58" s="151" t="n">
        <f aca="false">IFERROR(P58*$G58,0)</f>
        <v>0</v>
      </c>
      <c r="AZ58" s="150" t="n">
        <f aca="false">IFERROR(ROUND($D58-Q58-BA58,0),0)</f>
        <v>0</v>
      </c>
      <c r="BA58" s="151" t="n">
        <f aca="false">IFERROR(R58*$G58,0)</f>
        <v>0</v>
      </c>
      <c r="BB58" s="152" t="n">
        <f aca="false">IFERROR(ROUND($D58-S58-BC58,0),0)</f>
        <v>0</v>
      </c>
      <c r="BC58" s="151" t="n">
        <f aca="false">IFERROR(T58*$G58,0)</f>
        <v>0</v>
      </c>
      <c r="BD58" s="140"/>
      <c r="BE58" s="150" t="n">
        <f aca="false">IFERROR(ROUND($D58-V58-BF58,0),0)</f>
        <v>0</v>
      </c>
      <c r="BF58" s="151" t="n">
        <f aca="false">IFERROR(W58*$G58,0)</f>
        <v>0</v>
      </c>
      <c r="BG58" s="150" t="n">
        <f aca="false">IFERROR(ROUND($D58-X58-BH58,0),0)</f>
        <v>0</v>
      </c>
      <c r="BH58" s="151" t="n">
        <f aca="false">IFERROR(Y58*$G58,0)</f>
        <v>0</v>
      </c>
      <c r="BI58" s="152" t="n">
        <f aca="false">IFERROR(ROUND($D58-Z58-BJ58,0),0)</f>
        <v>0</v>
      </c>
      <c r="BJ58" s="151" t="n">
        <f aca="false">IFERROR(AA58*$G58,0)</f>
        <v>0</v>
      </c>
      <c r="BK58" s="152" t="n">
        <f aca="false">IFERROR(ROUND($D58-AB58-BL58,0),0)</f>
        <v>0</v>
      </c>
      <c r="BL58" s="151" t="n">
        <f aca="false">IFERROR(AC58*$G58,0)</f>
        <v>0</v>
      </c>
      <c r="BM58" s="1"/>
      <c r="BN58" s="154" t="n">
        <v>0</v>
      </c>
      <c r="BO58" s="155"/>
      <c r="BP58" s="150" t="n">
        <v>0</v>
      </c>
      <c r="BQ58" s="151" t="n">
        <v>0</v>
      </c>
      <c r="BR58" s="152"/>
      <c r="BS58" s="150" t="n">
        <v>0</v>
      </c>
      <c r="BT58" s="151" t="n">
        <v>0</v>
      </c>
      <c r="BU58" s="150" t="n">
        <v>0</v>
      </c>
      <c r="BV58" s="151" t="n">
        <v>0</v>
      </c>
      <c r="BW58" s="150" t="n">
        <v>0</v>
      </c>
      <c r="BX58" s="151" t="n">
        <v>0</v>
      </c>
      <c r="BY58" s="150" t="n">
        <v>0</v>
      </c>
      <c r="BZ58" s="151" t="n">
        <v>0</v>
      </c>
      <c r="CA58" s="152"/>
      <c r="CB58" s="150" t="n">
        <v>0</v>
      </c>
      <c r="CC58" s="151" t="n">
        <v>0</v>
      </c>
      <c r="CD58" s="150" t="n">
        <v>0</v>
      </c>
      <c r="CE58" s="151" t="n">
        <v>0</v>
      </c>
      <c r="CF58" s="150" t="n">
        <v>0</v>
      </c>
      <c r="CG58" s="151" t="n">
        <v>0</v>
      </c>
      <c r="CH58" s="150" t="n">
        <v>0</v>
      </c>
      <c r="CI58" s="151" t="n">
        <v>0</v>
      </c>
      <c r="CJ58" s="1"/>
      <c r="CK58" s="149"/>
      <c r="CL58" s="137"/>
      <c r="CM58" s="154" t="str">
        <f aca="false">IFERROR(+$H58-($J58+$K58*$G58),"-")</f>
        <v>-</v>
      </c>
      <c r="CN58" s="137"/>
      <c r="CO58" s="154" t="str">
        <f aca="false">IFERROR(+$H58-($M58+$N58*$G58),"-")</f>
        <v>-</v>
      </c>
      <c r="CP58" s="154" t="str">
        <f aca="false">IFERROR(+$H58-($O58+$P58*$G58),"-")</f>
        <v>-</v>
      </c>
      <c r="CQ58" s="154" t="str">
        <f aca="false">IFERROR(+$H58-($Q58+$R58*$G58),"-")</f>
        <v>-</v>
      </c>
      <c r="CR58" s="154" t="str">
        <f aca="false">IFERROR(+$H58-($Q58+$R58*$G58),"-")</f>
        <v>-</v>
      </c>
      <c r="CS58" s="137"/>
      <c r="CT58" s="154" t="str">
        <f aca="false">IFERROR(+$H58-($V58+$W58*$G58),"-")</f>
        <v>-</v>
      </c>
      <c r="CU58" s="154" t="str">
        <f aca="false">IFERROR(+$H58-($X58+$Y58*$G58),"-")</f>
        <v>-</v>
      </c>
      <c r="CV58" s="154" t="str">
        <f aca="false">IFERROR(+$H58-($Z58+$AA58*$G58),"-")</f>
        <v>-</v>
      </c>
      <c r="CW58" s="154" t="str">
        <f aca="false">IFERROR(+$H58-($AB58+$AC58*$G58),"-")</f>
        <v>-</v>
      </c>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row>
    <row r="59" s="1" customFormat="true" ht="12.75" hidden="false" customHeight="true" outlineLevel="0" collapsed="false">
      <c r="B59" s="134" t="s">
        <v>130</v>
      </c>
      <c r="C59" s="135" t="s">
        <v>135</v>
      </c>
      <c r="D59" s="136" t="e">
        <f aca="false">VLOOKUP($C59,#REF!,5,0)</f>
        <v>#VALUE!</v>
      </c>
      <c r="E59" s="157" t="e">
        <f aca="false">VLOOKUP($C59,#REF!,6,0)</f>
        <v>#VALUE!</v>
      </c>
      <c r="F59" s="135" t="e">
        <f aca="false">VLOOKUP($C59,#REF!,7,0)</f>
        <v>#VALUE!</v>
      </c>
      <c r="G59" s="135" t="e">
        <f aca="false">VLOOKUP($C59,#REF!,8,0)</f>
        <v>#VALUE!</v>
      </c>
      <c r="H59" s="158" t="e">
        <f aca="false">VLOOKUP($C59,#REF!,9,0)</f>
        <v>#VALUE!</v>
      </c>
      <c r="I59" s="137"/>
      <c r="J59" s="138" t="e">
        <f aca="false">VLOOKUP($C59,#REF!,10,0)</f>
        <v>#VALUE!</v>
      </c>
      <c r="K59" s="139" t="e">
        <f aca="false">VLOOKUP($C59,#REF!,11,0)</f>
        <v>#VALUE!</v>
      </c>
      <c r="L59" s="140"/>
      <c r="M59" s="138" t="e">
        <f aca="false">VLOOKUP($C59,#REF!,12,0)</f>
        <v>#VALUE!</v>
      </c>
      <c r="N59" s="140" t="e">
        <f aca="false">VLOOKUP($C59,#REF!,13,0)</f>
        <v>#VALUE!</v>
      </c>
      <c r="O59" s="138" t="e">
        <f aca="false">VLOOKUP($C59,#REF!,14,0)</f>
        <v>#VALUE!</v>
      </c>
      <c r="P59" s="140" t="e">
        <f aca="false">VLOOKUP($C59,#REF!,15,0)</f>
        <v>#VALUE!</v>
      </c>
      <c r="Q59" s="138" t="e">
        <f aca="false">VLOOKUP($C59,#REF!,16,0)</f>
        <v>#VALUE!</v>
      </c>
      <c r="R59" s="139" t="e">
        <f aca="false">VLOOKUP($C59,#REF!,17,0)</f>
        <v>#VALUE!</v>
      </c>
      <c r="S59" s="140" t="e">
        <f aca="false">VLOOKUP($C59,#REF!,18,0)</f>
        <v>#VALUE!</v>
      </c>
      <c r="T59" s="139" t="e">
        <f aca="false">VLOOKUP($C59,#REF!,19,0)</f>
        <v>#VALUE!</v>
      </c>
      <c r="U59" s="140"/>
      <c r="V59" s="138" t="e">
        <f aca="false">VLOOKUP($C59,#REF!,20,0)</f>
        <v>#VALUE!</v>
      </c>
      <c r="W59" s="140" t="e">
        <f aca="false">VLOOKUP($C59,#REF!,21,0)</f>
        <v>#VALUE!</v>
      </c>
      <c r="X59" s="138" t="e">
        <f aca="false">VLOOKUP($C59,#REF!,22,0)</f>
        <v>#VALUE!</v>
      </c>
      <c r="Y59" s="140" t="e">
        <f aca="false">VLOOKUP($C59,#REF!,23,0)</f>
        <v>#VALUE!</v>
      </c>
      <c r="Z59" s="138" t="e">
        <f aca="false">VLOOKUP($C59,#REF!,24,0)</f>
        <v>#VALUE!</v>
      </c>
      <c r="AA59" s="139" t="e">
        <f aca="false">VLOOKUP($C59,#REF!,25,0)</f>
        <v>#VALUE!</v>
      </c>
      <c r="AB59" s="140" t="e">
        <f aca="false">VLOOKUP($C59,#REF!,26,0)</f>
        <v>#VALUE!</v>
      </c>
      <c r="AC59" s="139" t="e">
        <f aca="false">VLOOKUP($C59,#REF!,27,0)</f>
        <v>#VALUE!</v>
      </c>
      <c r="AE59" s="138" t="e">
        <f aca="false">IF(M59="-","-","0,5 GB")</f>
        <v>#VALUE!</v>
      </c>
      <c r="AF59" s="141" t="s">
        <v>92</v>
      </c>
      <c r="AG59" s="141" t="s">
        <v>93</v>
      </c>
      <c r="AH59" s="139" t="s">
        <v>94</v>
      </c>
      <c r="AJ59" s="138" t="s">
        <v>95</v>
      </c>
      <c r="AK59" s="141" t="s">
        <v>96</v>
      </c>
      <c r="AL59" s="141" t="s">
        <v>97</v>
      </c>
      <c r="AM59" s="141" t="s">
        <v>98</v>
      </c>
      <c r="AN59" s="141" t="s">
        <v>98</v>
      </c>
      <c r="AO59" s="139" t="s">
        <v>92</v>
      </c>
      <c r="AQ59" s="142" t="n">
        <v>6</v>
      </c>
      <c r="AR59" s="137"/>
      <c r="AS59" s="138" t="n">
        <v>0</v>
      </c>
      <c r="AT59" s="139" t="n">
        <v>0</v>
      </c>
      <c r="AU59" s="140"/>
      <c r="AV59" s="138" t="n">
        <f aca="false">IFERROR(ROUND($D59-M59-AW59,0),0)</f>
        <v>0</v>
      </c>
      <c r="AW59" s="139" t="n">
        <f aca="false">IFERROR(N59*$G59,0)</f>
        <v>0</v>
      </c>
      <c r="AX59" s="138" t="n">
        <f aca="false">IFERROR(ROUND($D59-O59-AY59,0),0)</f>
        <v>0</v>
      </c>
      <c r="AY59" s="139" t="n">
        <f aca="false">IFERROR(P59*$G59,0)</f>
        <v>0</v>
      </c>
      <c r="AZ59" s="138" t="n">
        <f aca="false">IFERROR(ROUND($D59-Q59-BA59,0),0)</f>
        <v>0</v>
      </c>
      <c r="BA59" s="139" t="n">
        <f aca="false">IFERROR(R59*$G59,0)</f>
        <v>0</v>
      </c>
      <c r="BB59" s="140" t="n">
        <f aca="false">IFERROR(ROUND($D59-S59-BC59,0),0)</f>
        <v>0</v>
      </c>
      <c r="BC59" s="139" t="n">
        <f aca="false">IFERROR(T59*$G59,0)</f>
        <v>0</v>
      </c>
      <c r="BD59" s="140"/>
      <c r="BE59" s="138" t="n">
        <f aca="false">IFERROR(ROUND($D59-V59-BF59,0),0)</f>
        <v>0</v>
      </c>
      <c r="BF59" s="139" t="n">
        <f aca="false">IFERROR(W59*$G59,0)</f>
        <v>0</v>
      </c>
      <c r="BG59" s="138" t="n">
        <f aca="false">IFERROR(ROUND($D59-X59-BH59,0),0)</f>
        <v>0</v>
      </c>
      <c r="BH59" s="139" t="n">
        <f aca="false">IFERROR(Y59*$G59,0)</f>
        <v>0</v>
      </c>
      <c r="BI59" s="140" t="n">
        <f aca="false">IFERROR(ROUND($D59-Z59-BJ59,0),0)</f>
        <v>0</v>
      </c>
      <c r="BJ59" s="139" t="n">
        <f aca="false">IFERROR(AA59*$G59,0)</f>
        <v>0</v>
      </c>
      <c r="BK59" s="140" t="n">
        <f aca="false">IFERROR(ROUND($D59-AB59-BL59,0),0)</f>
        <v>0</v>
      </c>
      <c r="BL59" s="139" t="n">
        <f aca="false">IFERROR(AC59*$G59,0)</f>
        <v>0</v>
      </c>
      <c r="BN59" s="142" t="n">
        <v>0</v>
      </c>
      <c r="BO59" s="137"/>
      <c r="BP59" s="138" t="n">
        <v>0</v>
      </c>
      <c r="BQ59" s="139" t="n">
        <v>0</v>
      </c>
      <c r="BR59" s="140"/>
      <c r="BS59" s="138" t="n">
        <v>0</v>
      </c>
      <c r="BT59" s="139" t="n">
        <v>0</v>
      </c>
      <c r="BU59" s="138" t="n">
        <v>0</v>
      </c>
      <c r="BV59" s="139" t="n">
        <v>0</v>
      </c>
      <c r="BW59" s="138" t="n">
        <v>0</v>
      </c>
      <c r="BX59" s="139" t="n">
        <v>0</v>
      </c>
      <c r="BY59" s="138" t="n">
        <v>0</v>
      </c>
      <c r="BZ59" s="139" t="n">
        <v>0</v>
      </c>
      <c r="CA59" s="140"/>
      <c r="CB59" s="138" t="n">
        <v>0</v>
      </c>
      <c r="CC59" s="139" t="n">
        <v>0</v>
      </c>
      <c r="CD59" s="138" t="n">
        <v>0</v>
      </c>
      <c r="CE59" s="139" t="n">
        <v>0</v>
      </c>
      <c r="CF59" s="138" t="n">
        <v>0</v>
      </c>
      <c r="CG59" s="139" t="n">
        <v>0</v>
      </c>
      <c r="CH59" s="138" t="n">
        <v>0</v>
      </c>
      <c r="CI59" s="139" t="n">
        <v>0</v>
      </c>
      <c r="CK59" s="143"/>
      <c r="CL59" s="137"/>
      <c r="CM59" s="144" t="str">
        <f aca="false">IFERROR(+$H59-($J59+$K59*$G59),"-")</f>
        <v>-</v>
      </c>
      <c r="CN59" s="137"/>
      <c r="CO59" s="144" t="str">
        <f aca="false">IFERROR(+$H59-($M59+$N59*$G59),"-")</f>
        <v>-</v>
      </c>
      <c r="CP59" s="144" t="str">
        <f aca="false">IFERROR(+$H59-($O59+$P59*$G59),"-")</f>
        <v>-</v>
      </c>
      <c r="CQ59" s="144" t="str">
        <f aca="false">IFERROR(+$H59-($Q59+$R59*$G59),"-")</f>
        <v>-</v>
      </c>
      <c r="CR59" s="144" t="str">
        <f aca="false">IFERROR(+$H59-($Q59+$R59*$G59),"-")</f>
        <v>-</v>
      </c>
      <c r="CS59" s="137"/>
      <c r="CT59" s="144" t="str">
        <f aca="false">IFERROR(+$H59-($V59+$W59*$G59),"-")</f>
        <v>-</v>
      </c>
      <c r="CU59" s="144" t="str">
        <f aca="false">IFERROR(+$H59-($X59+$Y59*$G59),"-")</f>
        <v>-</v>
      </c>
      <c r="CV59" s="144" t="str">
        <f aca="false">IFERROR(+$H59-($Z59+$AA59*$G59),"-")</f>
        <v>-</v>
      </c>
      <c r="CW59" s="144" t="str">
        <f aca="false">IFERROR(+$H59-($AB59+$AC59*$G59),"-")</f>
        <v>-</v>
      </c>
    </row>
    <row r="60" s="156" customFormat="true" ht="12.75" hidden="false" customHeight="true" outlineLevel="0" collapsed="false">
      <c r="A60" s="1"/>
      <c r="B60" s="145" t="s">
        <v>130</v>
      </c>
      <c r="C60" s="146" t="s">
        <v>136</v>
      </c>
      <c r="D60" s="147" t="e">
        <f aca="false">VLOOKUP($C60,#REF!,5,0)</f>
        <v>#VALUE!</v>
      </c>
      <c r="E60" s="148" t="e">
        <f aca="false">VLOOKUP($C60,#REF!,6,0)</f>
        <v>#VALUE!</v>
      </c>
      <c r="F60" s="146" t="e">
        <f aca="false">VLOOKUP($C60,#REF!,7,0)</f>
        <v>#VALUE!</v>
      </c>
      <c r="G60" s="146" t="e">
        <f aca="false">VLOOKUP($C60,#REF!,8,0)</f>
        <v>#VALUE!</v>
      </c>
      <c r="H60" s="149" t="e">
        <f aca="false">VLOOKUP($C60,#REF!,9,0)</f>
        <v>#VALUE!</v>
      </c>
      <c r="I60" s="137"/>
      <c r="J60" s="150" t="e">
        <f aca="false">VLOOKUP($C60,#REF!,10,0)</f>
        <v>#VALUE!</v>
      </c>
      <c r="K60" s="151" t="e">
        <f aca="false">VLOOKUP($C60,#REF!,11,0)</f>
        <v>#VALUE!</v>
      </c>
      <c r="L60" s="140"/>
      <c r="M60" s="150" t="e">
        <f aca="false">VLOOKUP($C60,#REF!,12,0)</f>
        <v>#VALUE!</v>
      </c>
      <c r="N60" s="152" t="e">
        <f aca="false">VLOOKUP($C60,#REF!,13,0)</f>
        <v>#VALUE!</v>
      </c>
      <c r="O60" s="150" t="e">
        <f aca="false">VLOOKUP($C60,#REF!,14,0)</f>
        <v>#VALUE!</v>
      </c>
      <c r="P60" s="152" t="e">
        <f aca="false">VLOOKUP($C60,#REF!,15,0)</f>
        <v>#VALUE!</v>
      </c>
      <c r="Q60" s="150" t="e">
        <f aca="false">VLOOKUP($C60,#REF!,16,0)</f>
        <v>#VALUE!</v>
      </c>
      <c r="R60" s="151" t="e">
        <f aca="false">VLOOKUP($C60,#REF!,17,0)</f>
        <v>#VALUE!</v>
      </c>
      <c r="S60" s="152" t="e">
        <f aca="false">VLOOKUP($C60,#REF!,18,0)</f>
        <v>#VALUE!</v>
      </c>
      <c r="T60" s="151" t="e">
        <f aca="false">VLOOKUP($C60,#REF!,19,0)</f>
        <v>#VALUE!</v>
      </c>
      <c r="U60" s="140"/>
      <c r="V60" s="150" t="e">
        <f aca="false">VLOOKUP($C60,#REF!,20,0)</f>
        <v>#VALUE!</v>
      </c>
      <c r="W60" s="152" t="e">
        <f aca="false">VLOOKUP($C60,#REF!,21,0)</f>
        <v>#VALUE!</v>
      </c>
      <c r="X60" s="150" t="e">
        <f aca="false">VLOOKUP($C60,#REF!,22,0)</f>
        <v>#VALUE!</v>
      </c>
      <c r="Y60" s="152" t="e">
        <f aca="false">VLOOKUP($C60,#REF!,23,0)</f>
        <v>#VALUE!</v>
      </c>
      <c r="Z60" s="150" t="e">
        <f aca="false">VLOOKUP($C60,#REF!,24,0)</f>
        <v>#VALUE!</v>
      </c>
      <c r="AA60" s="151" t="e">
        <f aca="false">VLOOKUP($C60,#REF!,25,0)</f>
        <v>#VALUE!</v>
      </c>
      <c r="AB60" s="152" t="e">
        <f aca="false">VLOOKUP($C60,#REF!,26,0)</f>
        <v>#VALUE!</v>
      </c>
      <c r="AC60" s="151" t="e">
        <f aca="false">VLOOKUP($C60,#REF!,27,0)</f>
        <v>#VALUE!</v>
      </c>
      <c r="AD60" s="1"/>
      <c r="AE60" s="150" t="e">
        <f aca="false">IF(M60="-","-","0,5 GB")</f>
        <v>#VALUE!</v>
      </c>
      <c r="AF60" s="153" t="s">
        <v>92</v>
      </c>
      <c r="AG60" s="153" t="s">
        <v>93</v>
      </c>
      <c r="AH60" s="151" t="s">
        <v>94</v>
      </c>
      <c r="AI60" s="1"/>
      <c r="AJ60" s="150" t="s">
        <v>95</v>
      </c>
      <c r="AK60" s="153" t="s">
        <v>96</v>
      </c>
      <c r="AL60" s="153" t="s">
        <v>97</v>
      </c>
      <c r="AM60" s="153" t="s">
        <v>98</v>
      </c>
      <c r="AN60" s="153" t="s">
        <v>98</v>
      </c>
      <c r="AO60" s="151" t="s">
        <v>92</v>
      </c>
      <c r="AP60" s="1"/>
      <c r="AQ60" s="154"/>
      <c r="AR60" s="137"/>
      <c r="AS60" s="150" t="n">
        <v>0</v>
      </c>
      <c r="AT60" s="151" t="n">
        <v>0</v>
      </c>
      <c r="AU60" s="140"/>
      <c r="AV60" s="150" t="n">
        <f aca="false">IFERROR(ROUND($D60-M60-AW60,0),0)</f>
        <v>0</v>
      </c>
      <c r="AW60" s="151" t="n">
        <f aca="false">IFERROR(N60*$G60,0)</f>
        <v>0</v>
      </c>
      <c r="AX60" s="150" t="n">
        <f aca="false">IFERROR(ROUND($D60-O60-AY60,0),0)</f>
        <v>0</v>
      </c>
      <c r="AY60" s="151" t="n">
        <f aca="false">IFERROR(P60*$G60,0)</f>
        <v>0</v>
      </c>
      <c r="AZ60" s="150" t="n">
        <f aca="false">IFERROR(ROUND($D60-Q60-BA60,0),0)</f>
        <v>0</v>
      </c>
      <c r="BA60" s="151" t="n">
        <f aca="false">IFERROR(R60*$G60,0)</f>
        <v>0</v>
      </c>
      <c r="BB60" s="152" t="n">
        <f aca="false">IFERROR(ROUND($D60-S60-BC60,0),0)</f>
        <v>0</v>
      </c>
      <c r="BC60" s="151" t="n">
        <f aca="false">IFERROR(T60*$G60,0)</f>
        <v>0</v>
      </c>
      <c r="BD60" s="140"/>
      <c r="BE60" s="150" t="n">
        <f aca="false">IFERROR(ROUND($D60-V60-BF60,0),0)</f>
        <v>0</v>
      </c>
      <c r="BF60" s="151" t="n">
        <f aca="false">IFERROR(W60*$G60,0)</f>
        <v>0</v>
      </c>
      <c r="BG60" s="150" t="n">
        <f aca="false">IFERROR(ROUND($D60-X60-BH60,0),0)</f>
        <v>0</v>
      </c>
      <c r="BH60" s="151" t="n">
        <f aca="false">IFERROR(Y60*$G60,0)</f>
        <v>0</v>
      </c>
      <c r="BI60" s="152" t="n">
        <f aca="false">IFERROR(ROUND($D60-Z60-BJ60,0),0)</f>
        <v>0</v>
      </c>
      <c r="BJ60" s="151" t="n">
        <f aca="false">IFERROR(AA60*$G60,0)</f>
        <v>0</v>
      </c>
      <c r="BK60" s="152" t="n">
        <f aca="false">IFERROR(ROUND($D60-AB60-BL60,0),0)</f>
        <v>0</v>
      </c>
      <c r="BL60" s="151" t="n">
        <f aca="false">IFERROR(AC60*$G60,0)</f>
        <v>0</v>
      </c>
      <c r="BM60" s="1"/>
      <c r="BN60" s="154"/>
      <c r="BO60" s="155"/>
      <c r="BP60" s="150"/>
      <c r="BQ60" s="151"/>
      <c r="BR60" s="152"/>
      <c r="BS60" s="150"/>
      <c r="BT60" s="151"/>
      <c r="BU60" s="150"/>
      <c r="BV60" s="151"/>
      <c r="BW60" s="150"/>
      <c r="BX60" s="151"/>
      <c r="BY60" s="150"/>
      <c r="BZ60" s="151"/>
      <c r="CA60" s="152"/>
      <c r="CB60" s="150"/>
      <c r="CC60" s="151"/>
      <c r="CD60" s="150"/>
      <c r="CE60" s="151"/>
      <c r="CF60" s="150"/>
      <c r="CG60" s="151"/>
      <c r="CH60" s="150"/>
      <c r="CI60" s="151"/>
      <c r="CJ60" s="1"/>
      <c r="CK60" s="149"/>
      <c r="CL60" s="137"/>
      <c r="CM60" s="154" t="str">
        <f aca="false">IFERROR(+$H60-($J60+$K60*$G60),"-")</f>
        <v>-</v>
      </c>
      <c r="CN60" s="137"/>
      <c r="CO60" s="154" t="str">
        <f aca="false">IFERROR(+$H60-($M60+$N60*$G60),"-")</f>
        <v>-</v>
      </c>
      <c r="CP60" s="154" t="str">
        <f aca="false">IFERROR(+$H60-($O60+$P60*$G60),"-")</f>
        <v>-</v>
      </c>
      <c r="CQ60" s="154" t="str">
        <f aca="false">IFERROR(+$H60-($Q60+$R60*$G60),"-")</f>
        <v>-</v>
      </c>
      <c r="CR60" s="154" t="str">
        <f aca="false">IFERROR(+$H60-($Q60+$R60*$G60),"-")</f>
        <v>-</v>
      </c>
      <c r="CS60" s="137"/>
      <c r="CT60" s="154" t="str">
        <f aca="false">IFERROR(+$H60-($V60+$W60*$G60),"-")</f>
        <v>-</v>
      </c>
      <c r="CU60" s="154" t="str">
        <f aca="false">IFERROR(+$H60-($X60+$Y60*$G60),"-")</f>
        <v>-</v>
      </c>
      <c r="CV60" s="154" t="str">
        <f aca="false">IFERROR(+$H60-($Z60+$AA60*$G60),"-")</f>
        <v>-</v>
      </c>
      <c r="CW60" s="154" t="str">
        <f aca="false">IFERROR(+$H60-($AB60+$AC60*$G60),"-")</f>
        <v>-</v>
      </c>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row>
    <row r="61" s="1" customFormat="true" ht="12.75" hidden="false" customHeight="true" outlineLevel="0" collapsed="false">
      <c r="B61" s="134" t="s">
        <v>130</v>
      </c>
      <c r="C61" s="135" t="s">
        <v>137</v>
      </c>
      <c r="D61" s="136" t="e">
        <f aca="false">VLOOKUP($C61,#REF!,5,0)</f>
        <v>#VALUE!</v>
      </c>
      <c r="E61" s="157" t="e">
        <f aca="false">VLOOKUP($C61,#REF!,6,0)</f>
        <v>#VALUE!</v>
      </c>
      <c r="F61" s="135" t="e">
        <f aca="false">VLOOKUP($C61,#REF!,7,0)</f>
        <v>#VALUE!</v>
      </c>
      <c r="G61" s="135" t="e">
        <f aca="false">VLOOKUP($C61,#REF!,8,0)</f>
        <v>#VALUE!</v>
      </c>
      <c r="H61" s="158" t="e">
        <f aca="false">VLOOKUP($C61,#REF!,9,0)</f>
        <v>#VALUE!</v>
      </c>
      <c r="I61" s="137"/>
      <c r="J61" s="138" t="e">
        <f aca="false">VLOOKUP($C61,#REF!,10,0)</f>
        <v>#VALUE!</v>
      </c>
      <c r="K61" s="139" t="e">
        <f aca="false">VLOOKUP($C61,#REF!,11,0)</f>
        <v>#VALUE!</v>
      </c>
      <c r="L61" s="140"/>
      <c r="M61" s="138" t="e">
        <f aca="false">VLOOKUP($C61,#REF!,12,0)</f>
        <v>#VALUE!</v>
      </c>
      <c r="N61" s="140" t="e">
        <f aca="false">VLOOKUP($C61,#REF!,13,0)</f>
        <v>#VALUE!</v>
      </c>
      <c r="O61" s="138" t="e">
        <f aca="false">VLOOKUP($C61,#REF!,14,0)</f>
        <v>#VALUE!</v>
      </c>
      <c r="P61" s="140" t="e">
        <f aca="false">VLOOKUP($C61,#REF!,15,0)</f>
        <v>#VALUE!</v>
      </c>
      <c r="Q61" s="138" t="e">
        <f aca="false">VLOOKUP($C61,#REF!,16,0)</f>
        <v>#VALUE!</v>
      </c>
      <c r="R61" s="139" t="e">
        <f aca="false">VLOOKUP($C61,#REF!,17,0)</f>
        <v>#VALUE!</v>
      </c>
      <c r="S61" s="140" t="e">
        <f aca="false">VLOOKUP($C61,#REF!,18,0)</f>
        <v>#VALUE!</v>
      </c>
      <c r="T61" s="139" t="e">
        <f aca="false">VLOOKUP($C61,#REF!,19,0)</f>
        <v>#VALUE!</v>
      </c>
      <c r="U61" s="140"/>
      <c r="V61" s="138" t="e">
        <f aca="false">VLOOKUP($C61,#REF!,20,0)</f>
        <v>#VALUE!</v>
      </c>
      <c r="W61" s="140" t="e">
        <f aca="false">VLOOKUP($C61,#REF!,21,0)</f>
        <v>#VALUE!</v>
      </c>
      <c r="X61" s="138" t="e">
        <f aca="false">VLOOKUP($C61,#REF!,22,0)</f>
        <v>#VALUE!</v>
      </c>
      <c r="Y61" s="140" t="e">
        <f aca="false">VLOOKUP($C61,#REF!,23,0)</f>
        <v>#VALUE!</v>
      </c>
      <c r="Z61" s="138" t="e">
        <f aca="false">VLOOKUP($C61,#REF!,24,0)</f>
        <v>#VALUE!</v>
      </c>
      <c r="AA61" s="139" t="e">
        <f aca="false">VLOOKUP($C61,#REF!,25,0)</f>
        <v>#VALUE!</v>
      </c>
      <c r="AB61" s="140" t="e">
        <f aca="false">VLOOKUP($C61,#REF!,26,0)</f>
        <v>#VALUE!</v>
      </c>
      <c r="AC61" s="139" t="e">
        <f aca="false">VLOOKUP($C61,#REF!,27,0)</f>
        <v>#VALUE!</v>
      </c>
      <c r="AE61" s="138" t="e">
        <f aca="false">IF(M61="-","-","0,5 GB")</f>
        <v>#VALUE!</v>
      </c>
      <c r="AF61" s="141" t="s">
        <v>92</v>
      </c>
      <c r="AG61" s="141" t="s">
        <v>93</v>
      </c>
      <c r="AH61" s="139" t="s">
        <v>94</v>
      </c>
      <c r="AJ61" s="138" t="s">
        <v>95</v>
      </c>
      <c r="AK61" s="141" t="s">
        <v>96</v>
      </c>
      <c r="AL61" s="141" t="s">
        <v>97</v>
      </c>
      <c r="AM61" s="141" t="s">
        <v>98</v>
      </c>
      <c r="AN61" s="141" t="s">
        <v>98</v>
      </c>
      <c r="AO61" s="139" t="s">
        <v>92</v>
      </c>
      <c r="AQ61" s="142" t="n">
        <v>0</v>
      </c>
      <c r="AR61" s="137"/>
      <c r="AS61" s="138" t="n">
        <v>0</v>
      </c>
      <c r="AT61" s="139" t="n">
        <v>0</v>
      </c>
      <c r="AU61" s="140"/>
      <c r="AV61" s="138" t="n">
        <f aca="false">IFERROR(ROUND($D61-M61-AW61,0),0)</f>
        <v>0</v>
      </c>
      <c r="AW61" s="139" t="n">
        <f aca="false">IFERROR(N61*$G61,0)</f>
        <v>0</v>
      </c>
      <c r="AX61" s="138" t="n">
        <f aca="false">IFERROR(ROUND($D61-O61-AY61,0),0)</f>
        <v>0</v>
      </c>
      <c r="AY61" s="139" t="n">
        <f aca="false">IFERROR(P61*$G61,0)</f>
        <v>0</v>
      </c>
      <c r="AZ61" s="138" t="n">
        <f aca="false">IFERROR(ROUND($D61-Q61-BA61,0),0)</f>
        <v>0</v>
      </c>
      <c r="BA61" s="139" t="n">
        <f aca="false">IFERROR(R61*$G61,0)</f>
        <v>0</v>
      </c>
      <c r="BB61" s="140" t="n">
        <f aca="false">IFERROR(ROUND($D61-S61-BC61,0),0)</f>
        <v>0</v>
      </c>
      <c r="BC61" s="139" t="n">
        <f aca="false">IFERROR(T61*$G61,0)</f>
        <v>0</v>
      </c>
      <c r="BD61" s="140"/>
      <c r="BE61" s="138" t="n">
        <f aca="false">IFERROR(ROUND($D61-V61-BF61,0),0)</f>
        <v>0</v>
      </c>
      <c r="BF61" s="139" t="n">
        <f aca="false">IFERROR(W61*$G61,0)</f>
        <v>0</v>
      </c>
      <c r="BG61" s="138" t="n">
        <f aca="false">IFERROR(ROUND($D61-X61-BH61,0),0)</f>
        <v>0</v>
      </c>
      <c r="BH61" s="139" t="n">
        <f aca="false">IFERROR(Y61*$G61,0)</f>
        <v>0</v>
      </c>
      <c r="BI61" s="140" t="n">
        <f aca="false">IFERROR(ROUND($D61-Z61-BJ61,0),0)</f>
        <v>0</v>
      </c>
      <c r="BJ61" s="139" t="n">
        <f aca="false">IFERROR(AA61*$G61,0)</f>
        <v>0</v>
      </c>
      <c r="BK61" s="140" t="n">
        <f aca="false">IFERROR(ROUND($D61-AB61-BL61,0),0)</f>
        <v>0</v>
      </c>
      <c r="BL61" s="139" t="n">
        <f aca="false">IFERROR(AC61*$G61,0)</f>
        <v>0</v>
      </c>
      <c r="BN61" s="142" t="n">
        <v>0</v>
      </c>
      <c r="BO61" s="137"/>
      <c r="BP61" s="138" t="n">
        <v>0</v>
      </c>
      <c r="BQ61" s="139" t="n">
        <v>0</v>
      </c>
      <c r="BR61" s="140"/>
      <c r="BS61" s="138" t="n">
        <v>0</v>
      </c>
      <c r="BT61" s="139" t="n">
        <v>0</v>
      </c>
      <c r="BU61" s="138" t="n">
        <v>0</v>
      </c>
      <c r="BV61" s="139" t="n">
        <v>0</v>
      </c>
      <c r="BW61" s="138" t="n">
        <v>0</v>
      </c>
      <c r="BX61" s="139" t="n">
        <v>0</v>
      </c>
      <c r="BY61" s="138" t="n">
        <v>0</v>
      </c>
      <c r="BZ61" s="139" t="n">
        <v>0</v>
      </c>
      <c r="CA61" s="140"/>
      <c r="CB61" s="138" t="n">
        <v>0</v>
      </c>
      <c r="CC61" s="139" t="n">
        <v>0</v>
      </c>
      <c r="CD61" s="138" t="n">
        <v>0</v>
      </c>
      <c r="CE61" s="139" t="n">
        <v>0</v>
      </c>
      <c r="CF61" s="138" t="n">
        <v>0</v>
      </c>
      <c r="CG61" s="139" t="n">
        <v>0</v>
      </c>
      <c r="CH61" s="138" t="n">
        <v>0</v>
      </c>
      <c r="CI61" s="139" t="n">
        <v>0</v>
      </c>
      <c r="CK61" s="143"/>
      <c r="CL61" s="137"/>
      <c r="CM61" s="144" t="str">
        <f aca="false">IFERROR(+$H61-($J61+$K61*$G61),"-")</f>
        <v>-</v>
      </c>
      <c r="CN61" s="137"/>
      <c r="CO61" s="144" t="str">
        <f aca="false">IFERROR(+$H61-($M61+$N61*$G61),"-")</f>
        <v>-</v>
      </c>
      <c r="CP61" s="144" t="str">
        <f aca="false">IFERROR(+$H61-($O61+$P61*$G61),"-")</f>
        <v>-</v>
      </c>
      <c r="CQ61" s="144" t="str">
        <f aca="false">IFERROR(+$H61-($Q61+$R61*$G61),"-")</f>
        <v>-</v>
      </c>
      <c r="CR61" s="144" t="str">
        <f aca="false">IFERROR(+$H61-($Q61+$R61*$G61),"-")</f>
        <v>-</v>
      </c>
      <c r="CS61" s="137"/>
      <c r="CT61" s="144" t="str">
        <f aca="false">IFERROR(+$H61-($V61+$W61*$G61),"-")</f>
        <v>-</v>
      </c>
      <c r="CU61" s="144" t="str">
        <f aca="false">IFERROR(+$H61-($X61+$Y61*$G61),"-")</f>
        <v>-</v>
      </c>
      <c r="CV61" s="144" t="str">
        <f aca="false">IFERROR(+$H61-($Z61+$AA61*$G61),"-")</f>
        <v>-</v>
      </c>
      <c r="CW61" s="144" t="str">
        <f aca="false">IFERROR(+$H61-($AB61+$AC61*$G61),"-")</f>
        <v>-</v>
      </c>
    </row>
    <row r="62" s="156" customFormat="true" ht="12.75" hidden="false" customHeight="true" outlineLevel="0" collapsed="false">
      <c r="A62" s="1"/>
      <c r="B62" s="145" t="s">
        <v>130</v>
      </c>
      <c r="C62" s="146" t="s">
        <v>138</v>
      </c>
      <c r="D62" s="147" t="e">
        <f aca="false">VLOOKUP($C62,#REF!,5,0)</f>
        <v>#VALUE!</v>
      </c>
      <c r="E62" s="148" t="e">
        <f aca="false">VLOOKUP($C62,#REF!,6,0)</f>
        <v>#VALUE!</v>
      </c>
      <c r="F62" s="146" t="e">
        <f aca="false">VLOOKUP($C62,#REF!,7,0)</f>
        <v>#VALUE!</v>
      </c>
      <c r="G62" s="146" t="e">
        <f aca="false">VLOOKUP($C62,#REF!,8,0)</f>
        <v>#VALUE!</v>
      </c>
      <c r="H62" s="149" t="e">
        <f aca="false">VLOOKUP($C62,#REF!,9,0)</f>
        <v>#VALUE!</v>
      </c>
      <c r="I62" s="137"/>
      <c r="J62" s="150" t="e">
        <f aca="false">VLOOKUP($C62,#REF!,10,0)</f>
        <v>#VALUE!</v>
      </c>
      <c r="K62" s="151" t="e">
        <f aca="false">VLOOKUP($C62,#REF!,11,0)</f>
        <v>#VALUE!</v>
      </c>
      <c r="L62" s="140"/>
      <c r="M62" s="150" t="e">
        <f aca="false">VLOOKUP($C62,#REF!,12,0)</f>
        <v>#VALUE!</v>
      </c>
      <c r="N62" s="152" t="e">
        <f aca="false">VLOOKUP($C62,#REF!,13,0)</f>
        <v>#VALUE!</v>
      </c>
      <c r="O62" s="150" t="e">
        <f aca="false">VLOOKUP($C62,#REF!,14,0)</f>
        <v>#VALUE!</v>
      </c>
      <c r="P62" s="152" t="e">
        <f aca="false">VLOOKUP($C62,#REF!,15,0)</f>
        <v>#VALUE!</v>
      </c>
      <c r="Q62" s="150" t="e">
        <f aca="false">VLOOKUP($C62,#REF!,16,0)</f>
        <v>#VALUE!</v>
      </c>
      <c r="R62" s="151" t="e">
        <f aca="false">VLOOKUP($C62,#REF!,17,0)</f>
        <v>#VALUE!</v>
      </c>
      <c r="S62" s="152" t="e">
        <f aca="false">VLOOKUP($C62,#REF!,18,0)</f>
        <v>#VALUE!</v>
      </c>
      <c r="T62" s="151" t="e">
        <f aca="false">VLOOKUP($C62,#REF!,19,0)</f>
        <v>#VALUE!</v>
      </c>
      <c r="U62" s="140"/>
      <c r="V62" s="150" t="e">
        <f aca="false">VLOOKUP($C62,#REF!,20,0)</f>
        <v>#VALUE!</v>
      </c>
      <c r="W62" s="152" t="e">
        <f aca="false">VLOOKUP($C62,#REF!,21,0)</f>
        <v>#VALUE!</v>
      </c>
      <c r="X62" s="150" t="e">
        <f aca="false">VLOOKUP($C62,#REF!,22,0)</f>
        <v>#VALUE!</v>
      </c>
      <c r="Y62" s="152" t="e">
        <f aca="false">VLOOKUP($C62,#REF!,23,0)</f>
        <v>#VALUE!</v>
      </c>
      <c r="Z62" s="150" t="e">
        <f aca="false">VLOOKUP($C62,#REF!,24,0)</f>
        <v>#VALUE!</v>
      </c>
      <c r="AA62" s="151" t="e">
        <f aca="false">VLOOKUP($C62,#REF!,25,0)</f>
        <v>#VALUE!</v>
      </c>
      <c r="AB62" s="152" t="e">
        <f aca="false">VLOOKUP($C62,#REF!,26,0)</f>
        <v>#VALUE!</v>
      </c>
      <c r="AC62" s="151" t="e">
        <f aca="false">VLOOKUP($C62,#REF!,27,0)</f>
        <v>#VALUE!</v>
      </c>
      <c r="AD62" s="1"/>
      <c r="AE62" s="150" t="e">
        <f aca="false">IF(M62="-","-","0,5 GB")</f>
        <v>#VALUE!</v>
      </c>
      <c r="AF62" s="153" t="s">
        <v>92</v>
      </c>
      <c r="AG62" s="153" t="s">
        <v>93</v>
      </c>
      <c r="AH62" s="151" t="s">
        <v>94</v>
      </c>
      <c r="AI62" s="1"/>
      <c r="AJ62" s="150" t="s">
        <v>95</v>
      </c>
      <c r="AK62" s="153" t="s">
        <v>96</v>
      </c>
      <c r="AL62" s="153" t="s">
        <v>97</v>
      </c>
      <c r="AM62" s="153" t="s">
        <v>98</v>
      </c>
      <c r="AN62" s="153" t="s">
        <v>98</v>
      </c>
      <c r="AO62" s="151" t="s">
        <v>92</v>
      </c>
      <c r="AP62" s="1"/>
      <c r="AQ62" s="154" t="n">
        <v>0</v>
      </c>
      <c r="AR62" s="137"/>
      <c r="AS62" s="150" t="n">
        <v>0</v>
      </c>
      <c r="AT62" s="151" t="n">
        <v>0</v>
      </c>
      <c r="AU62" s="140"/>
      <c r="AV62" s="150" t="n">
        <f aca="false">IFERROR(ROUND($D62-M62-AW62,0),0)</f>
        <v>0</v>
      </c>
      <c r="AW62" s="151" t="n">
        <f aca="false">IFERROR(N62*$G62,0)</f>
        <v>0</v>
      </c>
      <c r="AX62" s="150" t="n">
        <f aca="false">IFERROR(ROUND($D62-O62-AY62,0),0)</f>
        <v>0</v>
      </c>
      <c r="AY62" s="151" t="n">
        <f aca="false">IFERROR(P62*$G62,0)</f>
        <v>0</v>
      </c>
      <c r="AZ62" s="150" t="n">
        <f aca="false">IFERROR(ROUND($D62-Q62-BA62,0),0)</f>
        <v>0</v>
      </c>
      <c r="BA62" s="151" t="n">
        <f aca="false">IFERROR(R62*$G62,0)</f>
        <v>0</v>
      </c>
      <c r="BB62" s="152" t="n">
        <f aca="false">IFERROR(ROUND($D62-S62-BC62,0),0)</f>
        <v>0</v>
      </c>
      <c r="BC62" s="151" t="n">
        <f aca="false">IFERROR(T62*$G62,0)</f>
        <v>0</v>
      </c>
      <c r="BD62" s="140"/>
      <c r="BE62" s="150" t="n">
        <f aca="false">IFERROR(ROUND($D62-V62-BF62,0),0)</f>
        <v>0</v>
      </c>
      <c r="BF62" s="151" t="n">
        <f aca="false">IFERROR(W62*$G62,0)</f>
        <v>0</v>
      </c>
      <c r="BG62" s="150" t="n">
        <f aca="false">IFERROR(ROUND($D62-X62-BH62,0),0)</f>
        <v>0</v>
      </c>
      <c r="BH62" s="151" t="n">
        <f aca="false">IFERROR(Y62*$G62,0)</f>
        <v>0</v>
      </c>
      <c r="BI62" s="152" t="n">
        <f aca="false">IFERROR(ROUND($D62-Z62-BJ62,0),0)</f>
        <v>0</v>
      </c>
      <c r="BJ62" s="151" t="n">
        <f aca="false">IFERROR(AA62*$G62,0)</f>
        <v>0</v>
      </c>
      <c r="BK62" s="152" t="n">
        <f aca="false">IFERROR(ROUND($D62-AB62-BL62,0),0)</f>
        <v>0</v>
      </c>
      <c r="BL62" s="151" t="n">
        <f aca="false">IFERROR(AC62*$G62,0)</f>
        <v>0</v>
      </c>
      <c r="BM62" s="1"/>
      <c r="BN62" s="154" t="n">
        <v>0</v>
      </c>
      <c r="BO62" s="155"/>
      <c r="BP62" s="150" t="n">
        <v>0</v>
      </c>
      <c r="BQ62" s="151" t="n">
        <v>0</v>
      </c>
      <c r="BR62" s="152"/>
      <c r="BS62" s="150" t="n">
        <v>0</v>
      </c>
      <c r="BT62" s="151" t="n">
        <v>0</v>
      </c>
      <c r="BU62" s="150" t="n">
        <v>0</v>
      </c>
      <c r="BV62" s="151" t="n">
        <v>0</v>
      </c>
      <c r="BW62" s="150" t="n">
        <v>0</v>
      </c>
      <c r="BX62" s="151" t="n">
        <v>0</v>
      </c>
      <c r="BY62" s="150" t="n">
        <v>0</v>
      </c>
      <c r="BZ62" s="151" t="n">
        <v>0</v>
      </c>
      <c r="CA62" s="152"/>
      <c r="CB62" s="150" t="n">
        <v>0</v>
      </c>
      <c r="CC62" s="151" t="n">
        <v>0</v>
      </c>
      <c r="CD62" s="150" t="n">
        <v>0</v>
      </c>
      <c r="CE62" s="151" t="n">
        <v>0</v>
      </c>
      <c r="CF62" s="150" t="n">
        <v>0</v>
      </c>
      <c r="CG62" s="151" t="n">
        <v>0</v>
      </c>
      <c r="CH62" s="150" t="n">
        <v>0</v>
      </c>
      <c r="CI62" s="151" t="n">
        <v>0</v>
      </c>
      <c r="CJ62" s="1"/>
      <c r="CK62" s="149"/>
      <c r="CL62" s="137"/>
      <c r="CM62" s="154" t="str">
        <f aca="false">IFERROR(+$H62-($J62+$K62*$G62),"-")</f>
        <v>-</v>
      </c>
      <c r="CN62" s="137"/>
      <c r="CO62" s="154" t="str">
        <f aca="false">IFERROR(+$H62-($M62+$N62*$G62),"-")</f>
        <v>-</v>
      </c>
      <c r="CP62" s="154" t="str">
        <f aca="false">IFERROR(+$H62-($O62+$P62*$G62),"-")</f>
        <v>-</v>
      </c>
      <c r="CQ62" s="154" t="str">
        <f aca="false">IFERROR(+$H62-($Q62+$R62*$G62),"-")</f>
        <v>-</v>
      </c>
      <c r="CR62" s="154" t="str">
        <f aca="false">IFERROR(+$H62-($Q62+$R62*$G62),"-")</f>
        <v>-</v>
      </c>
      <c r="CS62" s="137"/>
      <c r="CT62" s="154" t="str">
        <f aca="false">IFERROR(+$H62-($V62+$W62*$G62),"-")</f>
        <v>-</v>
      </c>
      <c r="CU62" s="154" t="str">
        <f aca="false">IFERROR(+$H62-($X62+$Y62*$G62),"-")</f>
        <v>-</v>
      </c>
      <c r="CV62" s="154" t="str">
        <f aca="false">IFERROR(+$H62-($Z62+$AA62*$G62),"-")</f>
        <v>-</v>
      </c>
      <c r="CW62" s="154" t="str">
        <f aca="false">IFERROR(+$H62-($AB62+$AC62*$G62),"-")</f>
        <v>-</v>
      </c>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row>
    <row r="63" s="1" customFormat="true" ht="12.75" hidden="false" customHeight="true" outlineLevel="0" collapsed="false">
      <c r="B63" s="159" t="s">
        <v>130</v>
      </c>
      <c r="C63" s="160" t="s">
        <v>139</v>
      </c>
      <c r="D63" s="136" t="e">
        <f aca="false">VLOOKUP($C63,#REF!,5,0)</f>
        <v>#VALUE!</v>
      </c>
      <c r="E63" s="157" t="e">
        <f aca="false">VLOOKUP($C63,#REF!,6,0)</f>
        <v>#VALUE!</v>
      </c>
      <c r="F63" s="135" t="e">
        <f aca="false">VLOOKUP($C63,#REF!,7,0)</f>
        <v>#VALUE!</v>
      </c>
      <c r="G63" s="135" t="e">
        <f aca="false">VLOOKUP($C63,#REF!,8,0)</f>
        <v>#VALUE!</v>
      </c>
      <c r="H63" s="158" t="e">
        <f aca="false">VLOOKUP($C63,#REF!,9,0)</f>
        <v>#VALUE!</v>
      </c>
      <c r="I63" s="137"/>
      <c r="J63" s="138" t="e">
        <f aca="false">VLOOKUP($C63,#REF!,10,0)</f>
        <v>#VALUE!</v>
      </c>
      <c r="K63" s="139" t="e">
        <f aca="false">VLOOKUP($C63,#REF!,11,0)</f>
        <v>#VALUE!</v>
      </c>
      <c r="L63" s="140"/>
      <c r="M63" s="138" t="e">
        <f aca="false">VLOOKUP($C63,#REF!,12,0)</f>
        <v>#VALUE!</v>
      </c>
      <c r="N63" s="140" t="e">
        <f aca="false">VLOOKUP($C63,#REF!,13,0)</f>
        <v>#VALUE!</v>
      </c>
      <c r="O63" s="138" t="e">
        <f aca="false">VLOOKUP($C63,#REF!,14,0)</f>
        <v>#VALUE!</v>
      </c>
      <c r="P63" s="140" t="e">
        <f aca="false">VLOOKUP($C63,#REF!,15,0)</f>
        <v>#VALUE!</v>
      </c>
      <c r="Q63" s="138" t="e">
        <f aca="false">VLOOKUP($C63,#REF!,16,0)</f>
        <v>#VALUE!</v>
      </c>
      <c r="R63" s="139" t="e">
        <f aca="false">VLOOKUP($C63,#REF!,17,0)</f>
        <v>#VALUE!</v>
      </c>
      <c r="S63" s="140" t="e">
        <f aca="false">VLOOKUP($C63,#REF!,18,0)</f>
        <v>#VALUE!</v>
      </c>
      <c r="T63" s="139" t="e">
        <f aca="false">VLOOKUP($C63,#REF!,19,0)</f>
        <v>#VALUE!</v>
      </c>
      <c r="U63" s="140"/>
      <c r="V63" s="138" t="e">
        <f aca="false">VLOOKUP($C63,#REF!,20,0)</f>
        <v>#VALUE!</v>
      </c>
      <c r="W63" s="140" t="e">
        <f aca="false">VLOOKUP($C63,#REF!,21,0)</f>
        <v>#VALUE!</v>
      </c>
      <c r="X63" s="138" t="e">
        <f aca="false">VLOOKUP($C63,#REF!,22,0)</f>
        <v>#VALUE!</v>
      </c>
      <c r="Y63" s="140" t="e">
        <f aca="false">VLOOKUP($C63,#REF!,23,0)</f>
        <v>#VALUE!</v>
      </c>
      <c r="Z63" s="138" t="e">
        <f aca="false">VLOOKUP($C63,#REF!,24,0)</f>
        <v>#VALUE!</v>
      </c>
      <c r="AA63" s="139" t="e">
        <f aca="false">VLOOKUP($C63,#REF!,25,0)</f>
        <v>#VALUE!</v>
      </c>
      <c r="AB63" s="140" t="e">
        <f aca="false">VLOOKUP($C63,#REF!,26,0)</f>
        <v>#VALUE!</v>
      </c>
      <c r="AC63" s="139" t="e">
        <f aca="false">VLOOKUP($C63,#REF!,27,0)</f>
        <v>#VALUE!</v>
      </c>
      <c r="AE63" s="138" t="e">
        <f aca="false">IF(M63="-","-","0,5 GB")</f>
        <v>#VALUE!</v>
      </c>
      <c r="AF63" s="141" t="s">
        <v>92</v>
      </c>
      <c r="AG63" s="141" t="s">
        <v>93</v>
      </c>
      <c r="AH63" s="139" t="s">
        <v>94</v>
      </c>
      <c r="AJ63" s="138" t="s">
        <v>95</v>
      </c>
      <c r="AK63" s="141" t="s">
        <v>96</v>
      </c>
      <c r="AL63" s="141" t="s">
        <v>97</v>
      </c>
      <c r="AM63" s="141" t="s">
        <v>98</v>
      </c>
      <c r="AN63" s="141" t="s">
        <v>98</v>
      </c>
      <c r="AO63" s="139" t="s">
        <v>92</v>
      </c>
      <c r="AQ63" s="142" t="n">
        <v>1</v>
      </c>
      <c r="AR63" s="137"/>
      <c r="AS63" s="138" t="n">
        <v>0</v>
      </c>
      <c r="AT63" s="139" t="n">
        <v>0</v>
      </c>
      <c r="AU63" s="140"/>
      <c r="AV63" s="138" t="n">
        <f aca="false">IFERROR(ROUND($D63-M63-AW63,0),0)</f>
        <v>0</v>
      </c>
      <c r="AW63" s="139" t="n">
        <f aca="false">IFERROR(N63*$G63,0)</f>
        <v>0</v>
      </c>
      <c r="AX63" s="138" t="n">
        <f aca="false">IFERROR(ROUND($D63-O63-AY63,0),0)</f>
        <v>0</v>
      </c>
      <c r="AY63" s="139" t="n">
        <f aca="false">IFERROR(P63*$G63,0)</f>
        <v>0</v>
      </c>
      <c r="AZ63" s="138" t="n">
        <f aca="false">IFERROR(ROUND($D63-Q63-BA63,0),0)</f>
        <v>0</v>
      </c>
      <c r="BA63" s="139" t="n">
        <f aca="false">IFERROR(R63*$G63,0)</f>
        <v>0</v>
      </c>
      <c r="BB63" s="140" t="n">
        <f aca="false">IFERROR(ROUND($D63-S63-BC63,0),0)</f>
        <v>0</v>
      </c>
      <c r="BC63" s="139" t="n">
        <f aca="false">IFERROR(T63*$G63,0)</f>
        <v>0</v>
      </c>
      <c r="BD63" s="140"/>
      <c r="BE63" s="138" t="n">
        <f aca="false">IFERROR(ROUND($D63-V63-BF63,0),0)</f>
        <v>0</v>
      </c>
      <c r="BF63" s="139" t="n">
        <f aca="false">IFERROR(W63*$G63,0)</f>
        <v>0</v>
      </c>
      <c r="BG63" s="138" t="n">
        <f aca="false">IFERROR(ROUND($D63-X63-BH63,0),0)</f>
        <v>0</v>
      </c>
      <c r="BH63" s="139" t="n">
        <f aca="false">IFERROR(Y63*$G63,0)</f>
        <v>0</v>
      </c>
      <c r="BI63" s="140" t="n">
        <f aca="false">IFERROR(ROUND($D63-Z63-BJ63,0),0)</f>
        <v>0</v>
      </c>
      <c r="BJ63" s="139" t="n">
        <f aca="false">IFERROR(AA63*$G63,0)</f>
        <v>0</v>
      </c>
      <c r="BK63" s="140" t="n">
        <f aca="false">IFERROR(ROUND($D63-AB63-BL63,0),0)</f>
        <v>0</v>
      </c>
      <c r="BL63" s="139" t="n">
        <f aca="false">IFERROR(AC63*$G63,0)</f>
        <v>0</v>
      </c>
      <c r="BN63" s="142" t="n">
        <v>0</v>
      </c>
      <c r="BO63" s="137"/>
      <c r="BP63" s="138" t="n">
        <v>0</v>
      </c>
      <c r="BQ63" s="139" t="n">
        <v>0</v>
      </c>
      <c r="BR63" s="140"/>
      <c r="BS63" s="138" t="n">
        <v>0</v>
      </c>
      <c r="BT63" s="139" t="n">
        <v>0</v>
      </c>
      <c r="BU63" s="138" t="n">
        <v>0</v>
      </c>
      <c r="BV63" s="139" t="n">
        <v>0</v>
      </c>
      <c r="BW63" s="138" t="n">
        <v>0</v>
      </c>
      <c r="BX63" s="139" t="n">
        <v>0</v>
      </c>
      <c r="BY63" s="138" t="n">
        <v>0</v>
      </c>
      <c r="BZ63" s="139" t="n">
        <v>0</v>
      </c>
      <c r="CA63" s="140"/>
      <c r="CB63" s="138" t="n">
        <v>0</v>
      </c>
      <c r="CC63" s="139" t="n">
        <v>0</v>
      </c>
      <c r="CD63" s="138" t="n">
        <v>0</v>
      </c>
      <c r="CE63" s="139" t="n">
        <v>0</v>
      </c>
      <c r="CF63" s="138" t="n">
        <v>0</v>
      </c>
      <c r="CG63" s="139" t="n">
        <v>0</v>
      </c>
      <c r="CH63" s="138" t="n">
        <v>0</v>
      </c>
      <c r="CI63" s="139" t="n">
        <v>0</v>
      </c>
      <c r="CK63" s="143"/>
      <c r="CL63" s="137"/>
      <c r="CM63" s="144" t="str">
        <f aca="false">IFERROR(+$H63-($J63+$K63*$G63),"-")</f>
        <v>-</v>
      </c>
      <c r="CN63" s="137"/>
      <c r="CO63" s="144" t="str">
        <f aca="false">IFERROR(+$H63-($M63+$N63*$G63),"-")</f>
        <v>-</v>
      </c>
      <c r="CP63" s="144" t="str">
        <f aca="false">IFERROR(+$H63-($O63+$P63*$G63),"-")</f>
        <v>-</v>
      </c>
      <c r="CQ63" s="144" t="str">
        <f aca="false">IFERROR(+$H63-($Q63+$R63*$G63),"-")</f>
        <v>-</v>
      </c>
      <c r="CR63" s="144" t="str">
        <f aca="false">IFERROR(+$H63-($Q63+$R63*$G63),"-")</f>
        <v>-</v>
      </c>
      <c r="CS63" s="137"/>
      <c r="CT63" s="144" t="str">
        <f aca="false">IFERROR(+$H63-($V63+$W63*$G63),"-")</f>
        <v>-</v>
      </c>
      <c r="CU63" s="144" t="str">
        <f aca="false">IFERROR(+$H63-($X63+$Y63*$G63),"-")</f>
        <v>-</v>
      </c>
      <c r="CV63" s="144" t="str">
        <f aca="false">IFERROR(+$H63-($Z63+$AA63*$G63),"-")</f>
        <v>-</v>
      </c>
      <c r="CW63" s="144" t="str">
        <f aca="false">IFERROR(+$H63-($AB63+$AC63*$G63),"-")</f>
        <v>-</v>
      </c>
    </row>
    <row r="64" s="156" customFormat="true" ht="12.75" hidden="false" customHeight="true" outlineLevel="0" collapsed="false">
      <c r="A64" s="1"/>
      <c r="B64" s="145" t="s">
        <v>130</v>
      </c>
      <c r="C64" s="146" t="s">
        <v>140</v>
      </c>
      <c r="D64" s="147" t="e">
        <f aca="false">VLOOKUP($C64,#REF!,5,0)</f>
        <v>#VALUE!</v>
      </c>
      <c r="E64" s="148" t="e">
        <f aca="false">VLOOKUP($C64,#REF!,6,0)</f>
        <v>#VALUE!</v>
      </c>
      <c r="F64" s="146" t="e">
        <f aca="false">VLOOKUP($C64,#REF!,7,0)</f>
        <v>#VALUE!</v>
      </c>
      <c r="G64" s="146" t="e">
        <f aca="false">VLOOKUP($C64,#REF!,8,0)</f>
        <v>#VALUE!</v>
      </c>
      <c r="H64" s="149" t="e">
        <f aca="false">VLOOKUP($C64,#REF!,9,0)</f>
        <v>#VALUE!</v>
      </c>
      <c r="I64" s="137"/>
      <c r="J64" s="150" t="e">
        <f aca="false">VLOOKUP($C64,#REF!,10,0)</f>
        <v>#VALUE!</v>
      </c>
      <c r="K64" s="151" t="e">
        <f aca="false">VLOOKUP($C64,#REF!,11,0)</f>
        <v>#VALUE!</v>
      </c>
      <c r="L64" s="140"/>
      <c r="M64" s="150" t="e">
        <f aca="false">VLOOKUP($C64,#REF!,12,0)</f>
        <v>#VALUE!</v>
      </c>
      <c r="N64" s="152" t="e">
        <f aca="false">VLOOKUP($C64,#REF!,13,0)</f>
        <v>#VALUE!</v>
      </c>
      <c r="O64" s="150" t="e">
        <f aca="false">VLOOKUP($C64,#REF!,14,0)</f>
        <v>#VALUE!</v>
      </c>
      <c r="P64" s="152" t="e">
        <f aca="false">VLOOKUP($C64,#REF!,15,0)</f>
        <v>#VALUE!</v>
      </c>
      <c r="Q64" s="150" t="e">
        <f aca="false">VLOOKUP($C64,#REF!,16,0)</f>
        <v>#VALUE!</v>
      </c>
      <c r="R64" s="151" t="e">
        <f aca="false">VLOOKUP($C64,#REF!,17,0)</f>
        <v>#VALUE!</v>
      </c>
      <c r="S64" s="152" t="e">
        <f aca="false">VLOOKUP($C64,#REF!,18,0)</f>
        <v>#VALUE!</v>
      </c>
      <c r="T64" s="151" t="e">
        <f aca="false">VLOOKUP($C64,#REF!,19,0)</f>
        <v>#VALUE!</v>
      </c>
      <c r="U64" s="140"/>
      <c r="V64" s="150" t="e">
        <f aca="false">VLOOKUP($C64,#REF!,20,0)</f>
        <v>#VALUE!</v>
      </c>
      <c r="W64" s="152" t="e">
        <f aca="false">VLOOKUP($C64,#REF!,21,0)</f>
        <v>#VALUE!</v>
      </c>
      <c r="X64" s="150" t="e">
        <f aca="false">VLOOKUP($C64,#REF!,22,0)</f>
        <v>#VALUE!</v>
      </c>
      <c r="Y64" s="152" t="e">
        <f aca="false">VLOOKUP($C64,#REF!,23,0)</f>
        <v>#VALUE!</v>
      </c>
      <c r="Z64" s="150" t="e">
        <f aca="false">VLOOKUP($C64,#REF!,24,0)</f>
        <v>#VALUE!</v>
      </c>
      <c r="AA64" s="151" t="e">
        <f aca="false">VLOOKUP($C64,#REF!,25,0)</f>
        <v>#VALUE!</v>
      </c>
      <c r="AB64" s="152" t="e">
        <f aca="false">VLOOKUP($C64,#REF!,26,0)</f>
        <v>#VALUE!</v>
      </c>
      <c r="AC64" s="151" t="e">
        <f aca="false">VLOOKUP($C64,#REF!,27,0)</f>
        <v>#VALUE!</v>
      </c>
      <c r="AD64" s="1"/>
      <c r="AE64" s="150" t="e">
        <f aca="false">IF(M64="-","-","0,5 GB")</f>
        <v>#VALUE!</v>
      </c>
      <c r="AF64" s="153" t="s">
        <v>92</v>
      </c>
      <c r="AG64" s="153" t="s">
        <v>93</v>
      </c>
      <c r="AH64" s="151" t="s">
        <v>94</v>
      </c>
      <c r="AI64" s="1"/>
      <c r="AJ64" s="150" t="s">
        <v>95</v>
      </c>
      <c r="AK64" s="153" t="s">
        <v>96</v>
      </c>
      <c r="AL64" s="153" t="s">
        <v>97</v>
      </c>
      <c r="AM64" s="153" t="s">
        <v>98</v>
      </c>
      <c r="AN64" s="153" t="s">
        <v>98</v>
      </c>
      <c r="AO64" s="151" t="s">
        <v>92</v>
      </c>
      <c r="AP64" s="1"/>
      <c r="AQ64" s="154" t="n">
        <v>0</v>
      </c>
      <c r="AR64" s="137"/>
      <c r="AS64" s="150" t="n">
        <v>0</v>
      </c>
      <c r="AT64" s="151" t="n">
        <v>0</v>
      </c>
      <c r="AU64" s="140"/>
      <c r="AV64" s="150" t="n">
        <f aca="false">IFERROR(ROUND($D64-M64-AW64,0),0)</f>
        <v>0</v>
      </c>
      <c r="AW64" s="151" t="n">
        <f aca="false">IFERROR(N64*$G64,0)</f>
        <v>0</v>
      </c>
      <c r="AX64" s="150" t="n">
        <f aca="false">IFERROR(ROUND($D64-O64-AY64,0),0)</f>
        <v>0</v>
      </c>
      <c r="AY64" s="151" t="n">
        <f aca="false">IFERROR(P64*$G64,0)</f>
        <v>0</v>
      </c>
      <c r="AZ64" s="150" t="n">
        <f aca="false">IFERROR(ROUND($D64-Q64-BA64,0),0)</f>
        <v>0</v>
      </c>
      <c r="BA64" s="151" t="n">
        <f aca="false">IFERROR(R64*$G64,0)</f>
        <v>0</v>
      </c>
      <c r="BB64" s="152" t="n">
        <f aca="false">IFERROR(ROUND($D64-S64-BC64,0),0)</f>
        <v>0</v>
      </c>
      <c r="BC64" s="151" t="n">
        <f aca="false">IFERROR(T64*$G64,0)</f>
        <v>0</v>
      </c>
      <c r="BD64" s="140"/>
      <c r="BE64" s="150" t="n">
        <f aca="false">IFERROR(ROUND($D64-V64-BF64,0),0)</f>
        <v>0</v>
      </c>
      <c r="BF64" s="151" t="n">
        <f aca="false">IFERROR(W64*$G64,0)</f>
        <v>0</v>
      </c>
      <c r="BG64" s="150" t="n">
        <f aca="false">IFERROR(ROUND($D64-X64-BH64,0),0)</f>
        <v>0</v>
      </c>
      <c r="BH64" s="151" t="n">
        <f aca="false">IFERROR(Y64*$G64,0)</f>
        <v>0</v>
      </c>
      <c r="BI64" s="152" t="n">
        <f aca="false">IFERROR(ROUND($D64-Z64-BJ64,0),0)</f>
        <v>0</v>
      </c>
      <c r="BJ64" s="151" t="n">
        <f aca="false">IFERROR(AA64*$G64,0)</f>
        <v>0</v>
      </c>
      <c r="BK64" s="152" t="n">
        <f aca="false">IFERROR(ROUND($D64-AB64-BL64,0),0)</f>
        <v>0</v>
      </c>
      <c r="BL64" s="151" t="n">
        <f aca="false">IFERROR(AC64*$G64,0)</f>
        <v>0</v>
      </c>
      <c r="BM64" s="1"/>
      <c r="BN64" s="154" t="n">
        <v>0</v>
      </c>
      <c r="BO64" s="155"/>
      <c r="BP64" s="150" t="n">
        <v>0</v>
      </c>
      <c r="BQ64" s="151" t="n">
        <v>0</v>
      </c>
      <c r="BR64" s="152"/>
      <c r="BS64" s="150" t="n">
        <v>0</v>
      </c>
      <c r="BT64" s="151" t="n">
        <v>0</v>
      </c>
      <c r="BU64" s="150" t="n">
        <v>0</v>
      </c>
      <c r="BV64" s="151" t="n">
        <v>0</v>
      </c>
      <c r="BW64" s="150" t="n">
        <v>0</v>
      </c>
      <c r="BX64" s="151" t="n">
        <v>0</v>
      </c>
      <c r="BY64" s="150" t="n">
        <v>0</v>
      </c>
      <c r="BZ64" s="151" t="n">
        <v>0</v>
      </c>
      <c r="CA64" s="152"/>
      <c r="CB64" s="150" t="n">
        <v>0</v>
      </c>
      <c r="CC64" s="151" t="n">
        <v>0</v>
      </c>
      <c r="CD64" s="150" t="n">
        <v>0</v>
      </c>
      <c r="CE64" s="151" t="n">
        <v>0</v>
      </c>
      <c r="CF64" s="150" t="n">
        <v>0</v>
      </c>
      <c r="CG64" s="151" t="n">
        <v>0</v>
      </c>
      <c r="CH64" s="150" t="n">
        <v>0</v>
      </c>
      <c r="CI64" s="151" t="n">
        <v>0</v>
      </c>
      <c r="CJ64" s="1"/>
      <c r="CK64" s="149"/>
      <c r="CL64" s="137"/>
      <c r="CM64" s="154" t="str">
        <f aca="false">IFERROR(+$H64-($J64+$K64*$G64),"-")</f>
        <v>-</v>
      </c>
      <c r="CN64" s="137"/>
      <c r="CO64" s="154" t="str">
        <f aca="false">IFERROR(+$H64-($M64+$N64*$G64),"-")</f>
        <v>-</v>
      </c>
      <c r="CP64" s="154" t="str">
        <f aca="false">IFERROR(+$H64-($O64+$P64*$G64),"-")</f>
        <v>-</v>
      </c>
      <c r="CQ64" s="154" t="str">
        <f aca="false">IFERROR(+$H64-($Q64+$R64*$G64),"-")</f>
        <v>-</v>
      </c>
      <c r="CR64" s="154" t="str">
        <f aca="false">IFERROR(+$H64-($Q64+$R64*$G64),"-")</f>
        <v>-</v>
      </c>
      <c r="CS64" s="137"/>
      <c r="CT64" s="154" t="str">
        <f aca="false">IFERROR(+$H64-($V64+$W64*$G64),"-")</f>
        <v>-</v>
      </c>
      <c r="CU64" s="154" t="str">
        <f aca="false">IFERROR(+$H64-($X64+$Y64*$G64),"-")</f>
        <v>-</v>
      </c>
      <c r="CV64" s="154" t="str">
        <f aca="false">IFERROR(+$H64-($Z64+$AA64*$G64),"-")</f>
        <v>-</v>
      </c>
      <c r="CW64" s="154" t="str">
        <f aca="false">IFERROR(+$H64-($AB64+$AC64*$G64),"-")</f>
        <v>-</v>
      </c>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row>
    <row r="65" s="1" customFormat="true" ht="12.75" hidden="false" customHeight="true" outlineLevel="0" collapsed="false">
      <c r="B65" s="134" t="s">
        <v>130</v>
      </c>
      <c r="C65" s="135" t="s">
        <v>141</v>
      </c>
      <c r="D65" s="136" t="e">
        <f aca="false">VLOOKUP($C65,#REF!,5,0)</f>
        <v>#VALUE!</v>
      </c>
      <c r="E65" s="157" t="e">
        <f aca="false">VLOOKUP($C65,#REF!,6,0)</f>
        <v>#VALUE!</v>
      </c>
      <c r="F65" s="135" t="e">
        <f aca="false">VLOOKUP($C65,#REF!,7,0)</f>
        <v>#VALUE!</v>
      </c>
      <c r="G65" s="135" t="e">
        <f aca="false">VLOOKUP($C65,#REF!,8,0)</f>
        <v>#VALUE!</v>
      </c>
      <c r="H65" s="158" t="e">
        <f aca="false">VLOOKUP($C65,#REF!,9,0)</f>
        <v>#VALUE!</v>
      </c>
      <c r="I65" s="137"/>
      <c r="J65" s="138" t="e">
        <f aca="false">VLOOKUP($C65,#REF!,10,0)</f>
        <v>#VALUE!</v>
      </c>
      <c r="K65" s="139" t="e">
        <f aca="false">VLOOKUP($C65,#REF!,11,0)</f>
        <v>#VALUE!</v>
      </c>
      <c r="L65" s="140"/>
      <c r="M65" s="138" t="e">
        <f aca="false">VLOOKUP($C65,#REF!,12,0)</f>
        <v>#VALUE!</v>
      </c>
      <c r="N65" s="140" t="e">
        <f aca="false">VLOOKUP($C65,#REF!,13,0)</f>
        <v>#VALUE!</v>
      </c>
      <c r="O65" s="138" t="e">
        <f aca="false">VLOOKUP($C65,#REF!,14,0)</f>
        <v>#VALUE!</v>
      </c>
      <c r="P65" s="140" t="e">
        <f aca="false">VLOOKUP($C65,#REF!,15,0)</f>
        <v>#VALUE!</v>
      </c>
      <c r="Q65" s="138" t="e">
        <f aca="false">VLOOKUP($C65,#REF!,16,0)</f>
        <v>#VALUE!</v>
      </c>
      <c r="R65" s="139" t="e">
        <f aca="false">VLOOKUP($C65,#REF!,17,0)</f>
        <v>#VALUE!</v>
      </c>
      <c r="S65" s="140" t="e">
        <f aca="false">VLOOKUP($C65,#REF!,18,0)</f>
        <v>#VALUE!</v>
      </c>
      <c r="T65" s="139" t="e">
        <f aca="false">VLOOKUP($C65,#REF!,19,0)</f>
        <v>#VALUE!</v>
      </c>
      <c r="U65" s="140"/>
      <c r="V65" s="138" t="e">
        <f aca="false">VLOOKUP($C65,#REF!,20,0)</f>
        <v>#VALUE!</v>
      </c>
      <c r="W65" s="140" t="e">
        <f aca="false">VLOOKUP($C65,#REF!,21,0)</f>
        <v>#VALUE!</v>
      </c>
      <c r="X65" s="138" t="e">
        <f aca="false">VLOOKUP($C65,#REF!,22,0)</f>
        <v>#VALUE!</v>
      </c>
      <c r="Y65" s="140" t="e">
        <f aca="false">VLOOKUP($C65,#REF!,23,0)</f>
        <v>#VALUE!</v>
      </c>
      <c r="Z65" s="138" t="e">
        <f aca="false">VLOOKUP($C65,#REF!,24,0)</f>
        <v>#VALUE!</v>
      </c>
      <c r="AA65" s="139" t="e">
        <f aca="false">VLOOKUP($C65,#REF!,25,0)</f>
        <v>#VALUE!</v>
      </c>
      <c r="AB65" s="140" t="e">
        <f aca="false">VLOOKUP($C65,#REF!,26,0)</f>
        <v>#VALUE!</v>
      </c>
      <c r="AC65" s="139" t="e">
        <f aca="false">VLOOKUP($C65,#REF!,27,0)</f>
        <v>#VALUE!</v>
      </c>
      <c r="AE65" s="138" t="e">
        <f aca="false">IF(M65="-","-","0,5 GB")</f>
        <v>#VALUE!</v>
      </c>
      <c r="AF65" s="141" t="s">
        <v>92</v>
      </c>
      <c r="AG65" s="141" t="s">
        <v>93</v>
      </c>
      <c r="AH65" s="139" t="s">
        <v>94</v>
      </c>
      <c r="AJ65" s="138" t="s">
        <v>95</v>
      </c>
      <c r="AK65" s="141" t="s">
        <v>96</v>
      </c>
      <c r="AL65" s="141" t="s">
        <v>97</v>
      </c>
      <c r="AM65" s="141" t="s">
        <v>98</v>
      </c>
      <c r="AN65" s="141" t="s">
        <v>98</v>
      </c>
      <c r="AO65" s="139" t="s">
        <v>92</v>
      </c>
      <c r="AQ65" s="142" t="n">
        <v>1</v>
      </c>
      <c r="AR65" s="137"/>
      <c r="AS65" s="138" t="n">
        <v>0</v>
      </c>
      <c r="AT65" s="139" t="n">
        <v>0</v>
      </c>
      <c r="AU65" s="140"/>
      <c r="AV65" s="138" t="n">
        <f aca="false">IFERROR(ROUND($D65-M65-AW65,0),0)</f>
        <v>0</v>
      </c>
      <c r="AW65" s="139" t="n">
        <f aca="false">IFERROR(N65*$G65,0)</f>
        <v>0</v>
      </c>
      <c r="AX65" s="138" t="n">
        <f aca="false">IFERROR(ROUND($D65-O65-AY65,0),0)</f>
        <v>0</v>
      </c>
      <c r="AY65" s="139" t="n">
        <f aca="false">IFERROR(P65*$G65,0)</f>
        <v>0</v>
      </c>
      <c r="AZ65" s="138" t="n">
        <f aca="false">IFERROR(ROUND($D65-Q65-BA65,0),0)</f>
        <v>0</v>
      </c>
      <c r="BA65" s="139" t="n">
        <f aca="false">IFERROR(R65*$G65,0)</f>
        <v>0</v>
      </c>
      <c r="BB65" s="140" t="n">
        <f aca="false">IFERROR(ROUND($D65-S65-BC65,0),0)</f>
        <v>0</v>
      </c>
      <c r="BC65" s="139" t="n">
        <f aca="false">IFERROR(T65*$G65,0)</f>
        <v>0</v>
      </c>
      <c r="BD65" s="140"/>
      <c r="BE65" s="138" t="n">
        <f aca="false">IFERROR(ROUND($D65-V65-BF65,0),0)</f>
        <v>0</v>
      </c>
      <c r="BF65" s="139" t="n">
        <f aca="false">IFERROR(W65*$G65,0)</f>
        <v>0</v>
      </c>
      <c r="BG65" s="138" t="n">
        <f aca="false">IFERROR(ROUND($D65-X65-BH65,0),0)</f>
        <v>0</v>
      </c>
      <c r="BH65" s="139" t="n">
        <f aca="false">IFERROR(Y65*$G65,0)</f>
        <v>0</v>
      </c>
      <c r="BI65" s="140" t="n">
        <f aca="false">IFERROR(ROUND($D65-Z65-BJ65,0),0)</f>
        <v>0</v>
      </c>
      <c r="BJ65" s="139" t="n">
        <f aca="false">IFERROR(AA65*$G65,0)</f>
        <v>0</v>
      </c>
      <c r="BK65" s="140" t="n">
        <f aca="false">IFERROR(ROUND($D65-AB65-BL65,0),0)</f>
        <v>0</v>
      </c>
      <c r="BL65" s="139" t="n">
        <f aca="false">IFERROR(AC65*$G65,0)</f>
        <v>0</v>
      </c>
      <c r="BN65" s="142" t="e">
        <f aca="false">#N/A</f>
        <v>#N/A</v>
      </c>
      <c r="BO65" s="137"/>
      <c r="BP65" s="138" t="e">
        <f aca="false">#N/A</f>
        <v>#N/A</v>
      </c>
      <c r="BQ65" s="139" t="e">
        <f aca="false">#N/A</f>
        <v>#N/A</v>
      </c>
      <c r="BR65" s="140"/>
      <c r="BS65" s="138" t="e">
        <f aca="false">#N/A</f>
        <v>#N/A</v>
      </c>
      <c r="BT65" s="139" t="e">
        <f aca="false">#N/A</f>
        <v>#N/A</v>
      </c>
      <c r="BU65" s="138" t="e">
        <f aca="false">#N/A</f>
        <v>#N/A</v>
      </c>
      <c r="BV65" s="139" t="e">
        <f aca="false">#N/A</f>
        <v>#N/A</v>
      </c>
      <c r="BW65" s="138" t="e">
        <f aca="false">#N/A</f>
        <v>#N/A</v>
      </c>
      <c r="BX65" s="139" t="e">
        <f aca="false">#N/A</f>
        <v>#N/A</v>
      </c>
      <c r="BY65" s="138" t="e">
        <f aca="false">#N/A</f>
        <v>#N/A</v>
      </c>
      <c r="BZ65" s="139" t="e">
        <f aca="false">#N/A</f>
        <v>#N/A</v>
      </c>
      <c r="CA65" s="140"/>
      <c r="CB65" s="138" t="e">
        <f aca="false">#N/A</f>
        <v>#N/A</v>
      </c>
      <c r="CC65" s="139" t="e">
        <f aca="false">#N/A</f>
        <v>#N/A</v>
      </c>
      <c r="CD65" s="138" t="e">
        <f aca="false">#N/A</f>
        <v>#N/A</v>
      </c>
      <c r="CE65" s="139" t="e">
        <f aca="false">#N/A</f>
        <v>#N/A</v>
      </c>
      <c r="CF65" s="138" t="e">
        <f aca="false">#N/A</f>
        <v>#N/A</v>
      </c>
      <c r="CG65" s="139" t="e">
        <f aca="false">#N/A</f>
        <v>#N/A</v>
      </c>
      <c r="CH65" s="138" t="e">
        <f aca="false">#N/A</f>
        <v>#N/A</v>
      </c>
      <c r="CI65" s="139" t="e">
        <f aca="false">#N/A</f>
        <v>#N/A</v>
      </c>
      <c r="CK65" s="143"/>
      <c r="CL65" s="137"/>
      <c r="CM65" s="144" t="str">
        <f aca="false">IFERROR(+$H65-($J65+$K65*$G65),"-")</f>
        <v>-</v>
      </c>
      <c r="CN65" s="137"/>
      <c r="CO65" s="144" t="str">
        <f aca="false">IFERROR(+$H65-($M65+$N65*$G65),"-")</f>
        <v>-</v>
      </c>
      <c r="CP65" s="144" t="str">
        <f aca="false">IFERROR(+$H65-($O65+$P65*$G65),"-")</f>
        <v>-</v>
      </c>
      <c r="CQ65" s="144" t="str">
        <f aca="false">IFERROR(+$H65-($Q65+$R65*$G65),"-")</f>
        <v>-</v>
      </c>
      <c r="CR65" s="144" t="str">
        <f aca="false">IFERROR(+$H65-($Q65+$R65*$G65),"-")</f>
        <v>-</v>
      </c>
      <c r="CS65" s="137"/>
      <c r="CT65" s="144" t="str">
        <f aca="false">IFERROR(+$H65-($V65+$W65*$G65),"-")</f>
        <v>-</v>
      </c>
      <c r="CU65" s="144" t="str">
        <f aca="false">IFERROR(+$H65-($X65+$Y65*$G65),"-")</f>
        <v>-</v>
      </c>
      <c r="CV65" s="144" t="str">
        <f aca="false">IFERROR(+$H65-($Z65+$AA65*$G65),"-")</f>
        <v>-</v>
      </c>
      <c r="CW65" s="144" t="str">
        <f aca="false">IFERROR(+$H65-($AB65+$AC65*$G65),"-")</f>
        <v>-</v>
      </c>
    </row>
    <row r="66" s="156" customFormat="true" ht="12.75" hidden="false" customHeight="true" outlineLevel="0" collapsed="false">
      <c r="A66" s="1"/>
      <c r="B66" s="145" t="s">
        <v>130</v>
      </c>
      <c r="C66" s="146" t="s">
        <v>142</v>
      </c>
      <c r="D66" s="147" t="e">
        <f aca="false">VLOOKUP($C66,#REF!,5,0)</f>
        <v>#VALUE!</v>
      </c>
      <c r="E66" s="148" t="e">
        <f aca="false">VLOOKUP($C66,#REF!,6,0)</f>
        <v>#VALUE!</v>
      </c>
      <c r="F66" s="146" t="e">
        <f aca="false">VLOOKUP($C66,#REF!,7,0)</f>
        <v>#VALUE!</v>
      </c>
      <c r="G66" s="146" t="e">
        <f aca="false">VLOOKUP($C66,#REF!,8,0)</f>
        <v>#VALUE!</v>
      </c>
      <c r="H66" s="149" t="e">
        <f aca="false">VLOOKUP($C66,#REF!,9,0)</f>
        <v>#VALUE!</v>
      </c>
      <c r="I66" s="137"/>
      <c r="J66" s="150" t="e">
        <f aca="false">VLOOKUP($C66,#REF!,10,0)</f>
        <v>#VALUE!</v>
      </c>
      <c r="K66" s="151" t="e">
        <f aca="false">VLOOKUP($C66,#REF!,11,0)</f>
        <v>#VALUE!</v>
      </c>
      <c r="L66" s="140"/>
      <c r="M66" s="150" t="e">
        <f aca="false">VLOOKUP($C66,#REF!,12,0)</f>
        <v>#VALUE!</v>
      </c>
      <c r="N66" s="152" t="e">
        <f aca="false">VLOOKUP($C66,#REF!,13,0)</f>
        <v>#VALUE!</v>
      </c>
      <c r="O66" s="150" t="e">
        <f aca="false">VLOOKUP($C66,#REF!,14,0)</f>
        <v>#VALUE!</v>
      </c>
      <c r="P66" s="152" t="e">
        <f aca="false">VLOOKUP($C66,#REF!,15,0)</f>
        <v>#VALUE!</v>
      </c>
      <c r="Q66" s="150" t="e">
        <f aca="false">VLOOKUP($C66,#REF!,16,0)</f>
        <v>#VALUE!</v>
      </c>
      <c r="R66" s="151" t="e">
        <f aca="false">VLOOKUP($C66,#REF!,17,0)</f>
        <v>#VALUE!</v>
      </c>
      <c r="S66" s="152" t="e">
        <f aca="false">VLOOKUP($C66,#REF!,18,0)</f>
        <v>#VALUE!</v>
      </c>
      <c r="T66" s="151" t="e">
        <f aca="false">VLOOKUP($C66,#REF!,19,0)</f>
        <v>#VALUE!</v>
      </c>
      <c r="U66" s="140"/>
      <c r="V66" s="150" t="e">
        <f aca="false">VLOOKUP($C66,#REF!,20,0)</f>
        <v>#VALUE!</v>
      </c>
      <c r="W66" s="152" t="e">
        <f aca="false">VLOOKUP($C66,#REF!,21,0)</f>
        <v>#VALUE!</v>
      </c>
      <c r="X66" s="150" t="e">
        <f aca="false">VLOOKUP($C66,#REF!,22,0)</f>
        <v>#VALUE!</v>
      </c>
      <c r="Y66" s="152" t="e">
        <f aca="false">VLOOKUP($C66,#REF!,23,0)</f>
        <v>#VALUE!</v>
      </c>
      <c r="Z66" s="150" t="e">
        <f aca="false">VLOOKUP($C66,#REF!,24,0)</f>
        <v>#VALUE!</v>
      </c>
      <c r="AA66" s="151" t="e">
        <f aca="false">VLOOKUP($C66,#REF!,25,0)</f>
        <v>#VALUE!</v>
      </c>
      <c r="AB66" s="152" t="e">
        <f aca="false">VLOOKUP($C66,#REF!,26,0)</f>
        <v>#VALUE!</v>
      </c>
      <c r="AC66" s="151" t="e">
        <f aca="false">VLOOKUP($C66,#REF!,27,0)</f>
        <v>#VALUE!</v>
      </c>
      <c r="AD66" s="1"/>
      <c r="AE66" s="150" t="e">
        <f aca="false">IF(M66="-","-","0,5 GB")</f>
        <v>#VALUE!</v>
      </c>
      <c r="AF66" s="153" t="s">
        <v>92</v>
      </c>
      <c r="AG66" s="153" t="s">
        <v>93</v>
      </c>
      <c r="AH66" s="151" t="s">
        <v>94</v>
      </c>
      <c r="AI66" s="1"/>
      <c r="AJ66" s="150" t="s">
        <v>95</v>
      </c>
      <c r="AK66" s="153" t="s">
        <v>96</v>
      </c>
      <c r="AL66" s="153" t="s">
        <v>97</v>
      </c>
      <c r="AM66" s="153" t="s">
        <v>98</v>
      </c>
      <c r="AN66" s="153" t="s">
        <v>98</v>
      </c>
      <c r="AO66" s="151" t="s">
        <v>92</v>
      </c>
      <c r="AP66" s="1"/>
      <c r="AQ66" s="154" t="n">
        <v>2</v>
      </c>
      <c r="AR66" s="137"/>
      <c r="AS66" s="150" t="n">
        <v>0</v>
      </c>
      <c r="AT66" s="151" t="n">
        <v>0</v>
      </c>
      <c r="AU66" s="140"/>
      <c r="AV66" s="150" t="n">
        <f aca="false">IFERROR(ROUND($D66-M66-AW66,0),0)</f>
        <v>0</v>
      </c>
      <c r="AW66" s="151" t="n">
        <f aca="false">IFERROR(N66*$G66,0)</f>
        <v>0</v>
      </c>
      <c r="AX66" s="150" t="n">
        <f aca="false">IFERROR(ROUND($D66-O66-AY66,0),0)</f>
        <v>0</v>
      </c>
      <c r="AY66" s="151" t="n">
        <f aca="false">IFERROR(P66*$G66,0)</f>
        <v>0</v>
      </c>
      <c r="AZ66" s="150" t="n">
        <f aca="false">IFERROR(ROUND($D66-Q66-BA66,0),0)</f>
        <v>0</v>
      </c>
      <c r="BA66" s="151" t="n">
        <f aca="false">IFERROR(R66*$G66,0)</f>
        <v>0</v>
      </c>
      <c r="BB66" s="152" t="n">
        <f aca="false">IFERROR(ROUND($D66-S66-BC66,0),0)</f>
        <v>0</v>
      </c>
      <c r="BC66" s="151" t="n">
        <f aca="false">IFERROR(T66*$G66,0)</f>
        <v>0</v>
      </c>
      <c r="BD66" s="140"/>
      <c r="BE66" s="150" t="n">
        <f aca="false">IFERROR(ROUND($D66-V66-BF66,0),0)</f>
        <v>0</v>
      </c>
      <c r="BF66" s="151" t="n">
        <f aca="false">IFERROR(W66*$G66,0)</f>
        <v>0</v>
      </c>
      <c r="BG66" s="150" t="n">
        <f aca="false">IFERROR(ROUND($D66-X66-BH66,0),0)</f>
        <v>0</v>
      </c>
      <c r="BH66" s="151" t="n">
        <f aca="false">IFERROR(Y66*$G66,0)</f>
        <v>0</v>
      </c>
      <c r="BI66" s="152" t="n">
        <f aca="false">IFERROR(ROUND($D66-Z66-BJ66,0),0)</f>
        <v>0</v>
      </c>
      <c r="BJ66" s="151" t="n">
        <f aca="false">IFERROR(AA66*$G66,0)</f>
        <v>0</v>
      </c>
      <c r="BK66" s="152" t="n">
        <f aca="false">IFERROR(ROUND($D66-AB66-BL66,0),0)</f>
        <v>0</v>
      </c>
      <c r="BL66" s="151" t="n">
        <f aca="false">IFERROR(AC66*$G66,0)</f>
        <v>0</v>
      </c>
      <c r="BM66" s="1"/>
      <c r="BN66" s="154" t="n">
        <v>0</v>
      </c>
      <c r="BO66" s="155"/>
      <c r="BP66" s="150" t="n">
        <v>0</v>
      </c>
      <c r="BQ66" s="151" t="n">
        <v>0</v>
      </c>
      <c r="BR66" s="152"/>
      <c r="BS66" s="150" t="n">
        <v>0</v>
      </c>
      <c r="BT66" s="151" t="n">
        <v>0</v>
      </c>
      <c r="BU66" s="150" t="n">
        <v>0</v>
      </c>
      <c r="BV66" s="151" t="n">
        <v>0</v>
      </c>
      <c r="BW66" s="150" t="n">
        <v>0</v>
      </c>
      <c r="BX66" s="151" t="n">
        <v>0</v>
      </c>
      <c r="BY66" s="150" t="n">
        <v>0</v>
      </c>
      <c r="BZ66" s="151" t="n">
        <v>0</v>
      </c>
      <c r="CA66" s="152"/>
      <c r="CB66" s="150" t="n">
        <v>0</v>
      </c>
      <c r="CC66" s="151" t="n">
        <v>0</v>
      </c>
      <c r="CD66" s="150" t="n">
        <v>0</v>
      </c>
      <c r="CE66" s="151" t="n">
        <v>0</v>
      </c>
      <c r="CF66" s="150" t="n">
        <v>0</v>
      </c>
      <c r="CG66" s="151" t="n">
        <v>0</v>
      </c>
      <c r="CH66" s="150" t="n">
        <v>0</v>
      </c>
      <c r="CI66" s="151" t="n">
        <v>0</v>
      </c>
      <c r="CJ66" s="1"/>
      <c r="CK66" s="149"/>
      <c r="CL66" s="137"/>
      <c r="CM66" s="154" t="str">
        <f aca="false">IFERROR(+$H66-($J66+$K66*$G66),"-")</f>
        <v>-</v>
      </c>
      <c r="CN66" s="137"/>
      <c r="CO66" s="154" t="str">
        <f aca="false">IFERROR(+$H66-($M66+$N66*$G66),"-")</f>
        <v>-</v>
      </c>
      <c r="CP66" s="154" t="str">
        <f aca="false">IFERROR(+$H66-($O66+$P66*$G66),"-")</f>
        <v>-</v>
      </c>
      <c r="CQ66" s="154" t="str">
        <f aca="false">IFERROR(+$H66-($Q66+$R66*$G66),"-")</f>
        <v>-</v>
      </c>
      <c r="CR66" s="154" t="str">
        <f aca="false">IFERROR(+$H66-($Q66+$R66*$G66),"-")</f>
        <v>-</v>
      </c>
      <c r="CS66" s="137"/>
      <c r="CT66" s="154" t="str">
        <f aca="false">IFERROR(+$H66-($V66+$W66*$G66),"-")</f>
        <v>-</v>
      </c>
      <c r="CU66" s="154" t="str">
        <f aca="false">IFERROR(+$H66-($X66+$Y66*$G66),"-")</f>
        <v>-</v>
      </c>
      <c r="CV66" s="154" t="str">
        <f aca="false">IFERROR(+$H66-($Z66+$AA66*$G66),"-")</f>
        <v>-</v>
      </c>
      <c r="CW66" s="154" t="str">
        <f aca="false">IFERROR(+$H66-($AB66+$AC66*$G66),"-")</f>
        <v>-</v>
      </c>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row>
    <row r="67" s="1" customFormat="true" ht="12.75" hidden="false" customHeight="true" outlineLevel="0" collapsed="false">
      <c r="B67" s="134" t="s">
        <v>130</v>
      </c>
      <c r="C67" s="135" t="s">
        <v>143</v>
      </c>
      <c r="D67" s="136" t="e">
        <f aca="false">VLOOKUP($C67,#REF!,5,0)</f>
        <v>#VALUE!</v>
      </c>
      <c r="E67" s="157" t="e">
        <f aca="false">VLOOKUP($C67,#REF!,6,0)</f>
        <v>#VALUE!</v>
      </c>
      <c r="F67" s="135" t="e">
        <f aca="false">VLOOKUP($C67,#REF!,7,0)</f>
        <v>#VALUE!</v>
      </c>
      <c r="G67" s="135" t="e">
        <f aca="false">VLOOKUP($C67,#REF!,8,0)</f>
        <v>#VALUE!</v>
      </c>
      <c r="H67" s="158" t="e">
        <f aca="false">VLOOKUP($C67,#REF!,9,0)</f>
        <v>#VALUE!</v>
      </c>
      <c r="I67" s="137"/>
      <c r="J67" s="138" t="e">
        <f aca="false">VLOOKUP($C67,#REF!,10,0)</f>
        <v>#VALUE!</v>
      </c>
      <c r="K67" s="139" t="e">
        <f aca="false">VLOOKUP($C67,#REF!,11,0)</f>
        <v>#VALUE!</v>
      </c>
      <c r="L67" s="140"/>
      <c r="M67" s="138" t="e">
        <f aca="false">VLOOKUP($C67,#REF!,12,0)</f>
        <v>#VALUE!</v>
      </c>
      <c r="N67" s="140" t="e">
        <f aca="false">VLOOKUP($C67,#REF!,13,0)</f>
        <v>#VALUE!</v>
      </c>
      <c r="O67" s="138" t="e">
        <f aca="false">VLOOKUP($C67,#REF!,14,0)</f>
        <v>#VALUE!</v>
      </c>
      <c r="P67" s="140" t="e">
        <f aca="false">VLOOKUP($C67,#REF!,15,0)</f>
        <v>#VALUE!</v>
      </c>
      <c r="Q67" s="138" t="e">
        <f aca="false">VLOOKUP($C67,#REF!,16,0)</f>
        <v>#VALUE!</v>
      </c>
      <c r="R67" s="139" t="e">
        <f aca="false">VLOOKUP($C67,#REF!,17,0)</f>
        <v>#VALUE!</v>
      </c>
      <c r="S67" s="140" t="e">
        <f aca="false">VLOOKUP($C67,#REF!,18,0)</f>
        <v>#VALUE!</v>
      </c>
      <c r="T67" s="139" t="e">
        <f aca="false">VLOOKUP($C67,#REF!,19,0)</f>
        <v>#VALUE!</v>
      </c>
      <c r="U67" s="140"/>
      <c r="V67" s="138" t="e">
        <f aca="false">VLOOKUP($C67,#REF!,20,0)</f>
        <v>#VALUE!</v>
      </c>
      <c r="W67" s="140" t="e">
        <f aca="false">VLOOKUP($C67,#REF!,21,0)</f>
        <v>#VALUE!</v>
      </c>
      <c r="X67" s="138" t="e">
        <f aca="false">VLOOKUP($C67,#REF!,22,0)</f>
        <v>#VALUE!</v>
      </c>
      <c r="Y67" s="140" t="e">
        <f aca="false">VLOOKUP($C67,#REF!,23,0)</f>
        <v>#VALUE!</v>
      </c>
      <c r="Z67" s="138" t="e">
        <f aca="false">VLOOKUP($C67,#REF!,24,0)</f>
        <v>#VALUE!</v>
      </c>
      <c r="AA67" s="139" t="e">
        <f aca="false">VLOOKUP($C67,#REF!,25,0)</f>
        <v>#VALUE!</v>
      </c>
      <c r="AB67" s="140" t="e">
        <f aca="false">VLOOKUP($C67,#REF!,26,0)</f>
        <v>#VALUE!</v>
      </c>
      <c r="AC67" s="139" t="e">
        <f aca="false">VLOOKUP($C67,#REF!,27,0)</f>
        <v>#VALUE!</v>
      </c>
      <c r="AE67" s="138" t="e">
        <f aca="false">IF(M67="-","-","0,5 GB")</f>
        <v>#VALUE!</v>
      </c>
      <c r="AF67" s="141" t="s">
        <v>92</v>
      </c>
      <c r="AG67" s="141" t="s">
        <v>93</v>
      </c>
      <c r="AH67" s="139" t="s">
        <v>94</v>
      </c>
      <c r="AJ67" s="138" t="s">
        <v>95</v>
      </c>
      <c r="AK67" s="141" t="s">
        <v>96</v>
      </c>
      <c r="AL67" s="141" t="s">
        <v>97</v>
      </c>
      <c r="AM67" s="141" t="s">
        <v>98</v>
      </c>
      <c r="AN67" s="141" t="s">
        <v>98</v>
      </c>
      <c r="AO67" s="139" t="s">
        <v>92</v>
      </c>
      <c r="AQ67" s="142" t="n">
        <v>0</v>
      </c>
      <c r="AR67" s="137"/>
      <c r="AS67" s="138" t="n">
        <v>0</v>
      </c>
      <c r="AT67" s="139" t="n">
        <v>0</v>
      </c>
      <c r="AU67" s="140"/>
      <c r="AV67" s="138" t="n">
        <f aca="false">IFERROR(ROUND($D67-M67-AW67,0),0)</f>
        <v>0</v>
      </c>
      <c r="AW67" s="139" t="n">
        <f aca="false">IFERROR(N67*$G67,0)</f>
        <v>0</v>
      </c>
      <c r="AX67" s="138" t="n">
        <f aca="false">IFERROR(ROUND($D67-O67-AY67,0),0)</f>
        <v>0</v>
      </c>
      <c r="AY67" s="139" t="n">
        <f aca="false">IFERROR(P67*$G67,0)</f>
        <v>0</v>
      </c>
      <c r="AZ67" s="138" t="n">
        <f aca="false">IFERROR(ROUND($D67-Q67-BA67,0),0)</f>
        <v>0</v>
      </c>
      <c r="BA67" s="139" t="n">
        <f aca="false">IFERROR(R67*$G67,0)</f>
        <v>0</v>
      </c>
      <c r="BB67" s="140" t="n">
        <f aca="false">IFERROR(ROUND($D67-S67-BC67,0),0)</f>
        <v>0</v>
      </c>
      <c r="BC67" s="139" t="n">
        <f aca="false">IFERROR(T67*$G67,0)</f>
        <v>0</v>
      </c>
      <c r="BD67" s="140"/>
      <c r="BE67" s="138" t="n">
        <f aca="false">IFERROR(ROUND($D67-V67-BF67,0),0)</f>
        <v>0</v>
      </c>
      <c r="BF67" s="139" t="n">
        <f aca="false">IFERROR(W67*$G67,0)</f>
        <v>0</v>
      </c>
      <c r="BG67" s="138" t="n">
        <f aca="false">IFERROR(ROUND($D67-X67-BH67,0),0)</f>
        <v>0</v>
      </c>
      <c r="BH67" s="139" t="n">
        <f aca="false">IFERROR(Y67*$G67,0)</f>
        <v>0</v>
      </c>
      <c r="BI67" s="140" t="n">
        <f aca="false">IFERROR(ROUND($D67-Z67-BJ67,0),0)</f>
        <v>0</v>
      </c>
      <c r="BJ67" s="139" t="n">
        <f aca="false">IFERROR(AA67*$G67,0)</f>
        <v>0</v>
      </c>
      <c r="BK67" s="140" t="n">
        <f aca="false">IFERROR(ROUND($D67-AB67-BL67,0),0)</f>
        <v>0</v>
      </c>
      <c r="BL67" s="139" t="n">
        <f aca="false">IFERROR(AC67*$G67,0)</f>
        <v>0</v>
      </c>
      <c r="BN67" s="142" t="n">
        <v>0</v>
      </c>
      <c r="BO67" s="137"/>
      <c r="BP67" s="138" t="n">
        <v>0</v>
      </c>
      <c r="BQ67" s="139" t="n">
        <v>0</v>
      </c>
      <c r="BR67" s="140"/>
      <c r="BS67" s="138" t="n">
        <v>0</v>
      </c>
      <c r="BT67" s="139" t="n">
        <v>0</v>
      </c>
      <c r="BU67" s="138" t="n">
        <v>0</v>
      </c>
      <c r="BV67" s="139" t="n">
        <v>0</v>
      </c>
      <c r="BW67" s="138" t="n">
        <v>0</v>
      </c>
      <c r="BX67" s="139" t="n">
        <v>0</v>
      </c>
      <c r="BY67" s="138" t="n">
        <v>0</v>
      </c>
      <c r="BZ67" s="139" t="n">
        <v>0</v>
      </c>
      <c r="CA67" s="140"/>
      <c r="CB67" s="138" t="n">
        <v>0</v>
      </c>
      <c r="CC67" s="139" t="n">
        <v>0</v>
      </c>
      <c r="CD67" s="138" t="n">
        <v>0</v>
      </c>
      <c r="CE67" s="139" t="n">
        <v>0</v>
      </c>
      <c r="CF67" s="138" t="n">
        <v>0</v>
      </c>
      <c r="CG67" s="139" t="n">
        <v>0</v>
      </c>
      <c r="CH67" s="138" t="n">
        <v>0</v>
      </c>
      <c r="CI67" s="139" t="n">
        <v>0</v>
      </c>
      <c r="CK67" s="143"/>
      <c r="CL67" s="137"/>
      <c r="CM67" s="144" t="str">
        <f aca="false">IFERROR(+$H67-($J67+$K67*$G67),"-")</f>
        <v>-</v>
      </c>
      <c r="CN67" s="137"/>
      <c r="CO67" s="144" t="str">
        <f aca="false">IFERROR(+$H67-($M67+$N67*$G67),"-")</f>
        <v>-</v>
      </c>
      <c r="CP67" s="144" t="str">
        <f aca="false">IFERROR(+$H67-($O67+$P67*$G67),"-")</f>
        <v>-</v>
      </c>
      <c r="CQ67" s="144" t="str">
        <f aca="false">IFERROR(+$H67-($Q67+$R67*$G67),"-")</f>
        <v>-</v>
      </c>
      <c r="CR67" s="144" t="str">
        <f aca="false">IFERROR(+$H67-($Q67+$R67*$G67),"-")</f>
        <v>-</v>
      </c>
      <c r="CS67" s="137"/>
      <c r="CT67" s="144" t="str">
        <f aca="false">IFERROR(+$H67-($V67+$W67*$G67),"-")</f>
        <v>-</v>
      </c>
      <c r="CU67" s="144" t="str">
        <f aca="false">IFERROR(+$H67-($X67+$Y67*$G67),"-")</f>
        <v>-</v>
      </c>
      <c r="CV67" s="144" t="str">
        <f aca="false">IFERROR(+$H67-($Z67+$AA67*$G67),"-")</f>
        <v>-</v>
      </c>
      <c r="CW67" s="144" t="str">
        <f aca="false">IFERROR(+$H67-($AB67+$AC67*$G67),"-")</f>
        <v>-</v>
      </c>
    </row>
    <row r="68" s="156" customFormat="true" ht="12.75" hidden="false" customHeight="true" outlineLevel="0" collapsed="false">
      <c r="A68" s="1"/>
      <c r="B68" s="145" t="s">
        <v>130</v>
      </c>
      <c r="C68" s="146" t="s">
        <v>144</v>
      </c>
      <c r="D68" s="147" t="e">
        <f aca="false">VLOOKUP($C68,#REF!,5,0)</f>
        <v>#VALUE!</v>
      </c>
      <c r="E68" s="148" t="e">
        <f aca="false">VLOOKUP($C68,#REF!,6,0)</f>
        <v>#VALUE!</v>
      </c>
      <c r="F68" s="146" t="e">
        <f aca="false">VLOOKUP($C68,#REF!,7,0)</f>
        <v>#VALUE!</v>
      </c>
      <c r="G68" s="146" t="e">
        <f aca="false">VLOOKUP($C68,#REF!,8,0)</f>
        <v>#VALUE!</v>
      </c>
      <c r="H68" s="149" t="e">
        <f aca="false">VLOOKUP($C68,#REF!,9,0)</f>
        <v>#VALUE!</v>
      </c>
      <c r="I68" s="137"/>
      <c r="J68" s="150" t="e">
        <f aca="false">VLOOKUP($C68,#REF!,10,0)</f>
        <v>#VALUE!</v>
      </c>
      <c r="K68" s="151" t="e">
        <f aca="false">VLOOKUP($C68,#REF!,11,0)</f>
        <v>#VALUE!</v>
      </c>
      <c r="L68" s="140"/>
      <c r="M68" s="150" t="e">
        <f aca="false">VLOOKUP($C68,#REF!,12,0)</f>
        <v>#VALUE!</v>
      </c>
      <c r="N68" s="152" t="e">
        <f aca="false">VLOOKUP($C68,#REF!,13,0)</f>
        <v>#VALUE!</v>
      </c>
      <c r="O68" s="150" t="e">
        <f aca="false">VLOOKUP($C68,#REF!,14,0)</f>
        <v>#VALUE!</v>
      </c>
      <c r="P68" s="152" t="e">
        <f aca="false">VLOOKUP($C68,#REF!,15,0)</f>
        <v>#VALUE!</v>
      </c>
      <c r="Q68" s="150" t="e">
        <f aca="false">VLOOKUP($C68,#REF!,16,0)</f>
        <v>#VALUE!</v>
      </c>
      <c r="R68" s="151" t="e">
        <f aca="false">VLOOKUP($C68,#REF!,17,0)</f>
        <v>#VALUE!</v>
      </c>
      <c r="S68" s="152" t="e">
        <f aca="false">VLOOKUP($C68,#REF!,18,0)</f>
        <v>#VALUE!</v>
      </c>
      <c r="T68" s="151" t="e">
        <f aca="false">VLOOKUP($C68,#REF!,19,0)</f>
        <v>#VALUE!</v>
      </c>
      <c r="U68" s="140"/>
      <c r="V68" s="150" t="e">
        <f aca="false">VLOOKUP($C68,#REF!,20,0)</f>
        <v>#VALUE!</v>
      </c>
      <c r="W68" s="152" t="e">
        <f aca="false">VLOOKUP($C68,#REF!,21,0)</f>
        <v>#VALUE!</v>
      </c>
      <c r="X68" s="150" t="e">
        <f aca="false">VLOOKUP($C68,#REF!,22,0)</f>
        <v>#VALUE!</v>
      </c>
      <c r="Y68" s="152" t="e">
        <f aca="false">VLOOKUP($C68,#REF!,23,0)</f>
        <v>#VALUE!</v>
      </c>
      <c r="Z68" s="150" t="e">
        <f aca="false">VLOOKUP($C68,#REF!,24,0)</f>
        <v>#VALUE!</v>
      </c>
      <c r="AA68" s="151" t="e">
        <f aca="false">VLOOKUP($C68,#REF!,25,0)</f>
        <v>#VALUE!</v>
      </c>
      <c r="AB68" s="152" t="e">
        <f aca="false">VLOOKUP($C68,#REF!,26,0)</f>
        <v>#VALUE!</v>
      </c>
      <c r="AC68" s="151" t="e">
        <f aca="false">VLOOKUP($C68,#REF!,27,0)</f>
        <v>#VALUE!</v>
      </c>
      <c r="AD68" s="1"/>
      <c r="AE68" s="150" t="e">
        <f aca="false">IF(M68="-","-","0,5 GB")</f>
        <v>#VALUE!</v>
      </c>
      <c r="AF68" s="153" t="s">
        <v>92</v>
      </c>
      <c r="AG68" s="153" t="s">
        <v>93</v>
      </c>
      <c r="AH68" s="151" t="s">
        <v>94</v>
      </c>
      <c r="AI68" s="1"/>
      <c r="AJ68" s="150" t="s">
        <v>95</v>
      </c>
      <c r="AK68" s="153" t="s">
        <v>96</v>
      </c>
      <c r="AL68" s="153" t="s">
        <v>97</v>
      </c>
      <c r="AM68" s="153" t="s">
        <v>98</v>
      </c>
      <c r="AN68" s="153" t="s">
        <v>98</v>
      </c>
      <c r="AO68" s="151" t="s">
        <v>92</v>
      </c>
      <c r="AP68" s="1"/>
      <c r="AQ68" s="154" t="n">
        <v>1</v>
      </c>
      <c r="AR68" s="137"/>
      <c r="AS68" s="150" t="n">
        <v>0</v>
      </c>
      <c r="AT68" s="151" t="n">
        <v>0</v>
      </c>
      <c r="AU68" s="140"/>
      <c r="AV68" s="150" t="n">
        <f aca="false">IFERROR(ROUND($D68-M68-AW68,0),0)</f>
        <v>0</v>
      </c>
      <c r="AW68" s="151" t="n">
        <f aca="false">IFERROR(N68*$G68,0)</f>
        <v>0</v>
      </c>
      <c r="AX68" s="150" t="n">
        <f aca="false">IFERROR(ROUND($D68-O68-AY68,0),0)</f>
        <v>0</v>
      </c>
      <c r="AY68" s="151" t="n">
        <f aca="false">IFERROR(P68*$G68,0)</f>
        <v>0</v>
      </c>
      <c r="AZ68" s="150" t="n">
        <f aca="false">IFERROR(ROUND($D68-Q68-BA68,0),0)</f>
        <v>0</v>
      </c>
      <c r="BA68" s="151" t="n">
        <f aca="false">IFERROR(R68*$G68,0)</f>
        <v>0</v>
      </c>
      <c r="BB68" s="152" t="n">
        <f aca="false">IFERROR(ROUND($D68-S68-BC68,0),0)</f>
        <v>0</v>
      </c>
      <c r="BC68" s="151" t="n">
        <f aca="false">IFERROR(T68*$G68,0)</f>
        <v>0</v>
      </c>
      <c r="BD68" s="140"/>
      <c r="BE68" s="150" t="n">
        <f aca="false">IFERROR(ROUND($D68-V68-BF68,0),0)</f>
        <v>0</v>
      </c>
      <c r="BF68" s="151" t="n">
        <f aca="false">IFERROR(W68*$G68,0)</f>
        <v>0</v>
      </c>
      <c r="BG68" s="150" t="n">
        <f aca="false">IFERROR(ROUND($D68-X68-BH68,0),0)</f>
        <v>0</v>
      </c>
      <c r="BH68" s="151" t="n">
        <f aca="false">IFERROR(Y68*$G68,0)</f>
        <v>0</v>
      </c>
      <c r="BI68" s="152" t="n">
        <f aca="false">IFERROR(ROUND($D68-Z68-BJ68,0),0)</f>
        <v>0</v>
      </c>
      <c r="BJ68" s="151" t="n">
        <f aca="false">IFERROR(AA68*$G68,0)</f>
        <v>0</v>
      </c>
      <c r="BK68" s="152" t="n">
        <f aca="false">IFERROR(ROUND($D68-AB68-BL68,0),0)</f>
        <v>0</v>
      </c>
      <c r="BL68" s="151" t="n">
        <f aca="false">IFERROR(AC68*$G68,0)</f>
        <v>0</v>
      </c>
      <c r="BM68" s="1"/>
      <c r="BN68" s="154" t="n">
        <v>0</v>
      </c>
      <c r="BO68" s="155"/>
      <c r="BP68" s="150" t="n">
        <v>0</v>
      </c>
      <c r="BQ68" s="151" t="n">
        <v>0</v>
      </c>
      <c r="BR68" s="152"/>
      <c r="BS68" s="150" t="n">
        <v>0</v>
      </c>
      <c r="BT68" s="151" t="n">
        <v>0</v>
      </c>
      <c r="BU68" s="150" t="n">
        <v>0</v>
      </c>
      <c r="BV68" s="151" t="n">
        <v>0</v>
      </c>
      <c r="BW68" s="150" t="n">
        <v>0</v>
      </c>
      <c r="BX68" s="151" t="n">
        <v>0</v>
      </c>
      <c r="BY68" s="150" t="n">
        <v>0</v>
      </c>
      <c r="BZ68" s="151" t="n">
        <v>0</v>
      </c>
      <c r="CA68" s="152"/>
      <c r="CB68" s="150" t="n">
        <v>0</v>
      </c>
      <c r="CC68" s="151" t="n">
        <v>0</v>
      </c>
      <c r="CD68" s="150" t="n">
        <v>0</v>
      </c>
      <c r="CE68" s="151" t="n">
        <v>0</v>
      </c>
      <c r="CF68" s="150" t="n">
        <v>0</v>
      </c>
      <c r="CG68" s="151" t="n">
        <v>0</v>
      </c>
      <c r="CH68" s="150" t="n">
        <v>0</v>
      </c>
      <c r="CI68" s="151" t="n">
        <v>0</v>
      </c>
      <c r="CJ68" s="1"/>
      <c r="CK68" s="149"/>
      <c r="CL68" s="137"/>
      <c r="CM68" s="154" t="str">
        <f aca="false">IFERROR(+$H68-($J68+$K68*$G68),"-")</f>
        <v>-</v>
      </c>
      <c r="CN68" s="137"/>
      <c r="CO68" s="154" t="str">
        <f aca="false">IFERROR(+$H68-($M68+$N68*$G68),"-")</f>
        <v>-</v>
      </c>
      <c r="CP68" s="154" t="str">
        <f aca="false">IFERROR(+$H68-($O68+$P68*$G68),"-")</f>
        <v>-</v>
      </c>
      <c r="CQ68" s="154" t="str">
        <f aca="false">IFERROR(+$H68-($Q68+$R68*$G68),"-")</f>
        <v>-</v>
      </c>
      <c r="CR68" s="154" t="str">
        <f aca="false">IFERROR(+$H68-($Q68+$R68*$G68),"-")</f>
        <v>-</v>
      </c>
      <c r="CS68" s="137"/>
      <c r="CT68" s="154" t="str">
        <f aca="false">IFERROR(+$H68-($V68+$W68*$G68),"-")</f>
        <v>-</v>
      </c>
      <c r="CU68" s="154" t="str">
        <f aca="false">IFERROR(+$H68-($X68+$Y68*$G68),"-")</f>
        <v>-</v>
      </c>
      <c r="CV68" s="154" t="str">
        <f aca="false">IFERROR(+$H68-($Z68+$AA68*$G68),"-")</f>
        <v>-</v>
      </c>
      <c r="CW68" s="154" t="str">
        <f aca="false">IFERROR(+$H68-($AB68+$AC68*$G68),"-")</f>
        <v>-</v>
      </c>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row>
    <row r="69" s="1" customFormat="true" ht="12.75" hidden="false" customHeight="true" outlineLevel="0" collapsed="false">
      <c r="B69" s="134" t="s">
        <v>130</v>
      </c>
      <c r="C69" s="135" t="s">
        <v>145</v>
      </c>
      <c r="D69" s="136" t="e">
        <f aca="false">VLOOKUP($C69,#REF!,5,0)</f>
        <v>#VALUE!</v>
      </c>
      <c r="E69" s="157" t="e">
        <f aca="false">VLOOKUP($C69,#REF!,6,0)</f>
        <v>#VALUE!</v>
      </c>
      <c r="F69" s="135" t="e">
        <f aca="false">VLOOKUP($C69,#REF!,7,0)</f>
        <v>#VALUE!</v>
      </c>
      <c r="G69" s="135" t="e">
        <f aca="false">VLOOKUP($C69,#REF!,8,0)</f>
        <v>#VALUE!</v>
      </c>
      <c r="H69" s="158" t="e">
        <f aca="false">VLOOKUP($C69,#REF!,9,0)</f>
        <v>#VALUE!</v>
      </c>
      <c r="I69" s="137"/>
      <c r="J69" s="138" t="e">
        <f aca="false">VLOOKUP($C69,#REF!,10,0)</f>
        <v>#VALUE!</v>
      </c>
      <c r="K69" s="139" t="e">
        <f aca="false">VLOOKUP($C69,#REF!,11,0)</f>
        <v>#VALUE!</v>
      </c>
      <c r="L69" s="140"/>
      <c r="M69" s="138" t="e">
        <f aca="false">VLOOKUP($C69,#REF!,12,0)</f>
        <v>#VALUE!</v>
      </c>
      <c r="N69" s="140" t="e">
        <f aca="false">VLOOKUP($C69,#REF!,13,0)</f>
        <v>#VALUE!</v>
      </c>
      <c r="O69" s="138" t="e">
        <f aca="false">VLOOKUP($C69,#REF!,14,0)</f>
        <v>#VALUE!</v>
      </c>
      <c r="P69" s="140" t="e">
        <f aca="false">VLOOKUP($C69,#REF!,15,0)</f>
        <v>#VALUE!</v>
      </c>
      <c r="Q69" s="138" t="e">
        <f aca="false">VLOOKUP($C69,#REF!,16,0)</f>
        <v>#VALUE!</v>
      </c>
      <c r="R69" s="139" t="e">
        <f aca="false">VLOOKUP($C69,#REF!,17,0)</f>
        <v>#VALUE!</v>
      </c>
      <c r="S69" s="140" t="e">
        <f aca="false">VLOOKUP($C69,#REF!,18,0)</f>
        <v>#VALUE!</v>
      </c>
      <c r="T69" s="139" t="e">
        <f aca="false">VLOOKUP($C69,#REF!,19,0)</f>
        <v>#VALUE!</v>
      </c>
      <c r="U69" s="140"/>
      <c r="V69" s="138" t="e">
        <f aca="false">VLOOKUP($C69,#REF!,20,0)</f>
        <v>#VALUE!</v>
      </c>
      <c r="W69" s="140" t="e">
        <f aca="false">VLOOKUP($C69,#REF!,21,0)</f>
        <v>#VALUE!</v>
      </c>
      <c r="X69" s="138" t="e">
        <f aca="false">VLOOKUP($C69,#REF!,22,0)</f>
        <v>#VALUE!</v>
      </c>
      <c r="Y69" s="140" t="e">
        <f aca="false">VLOOKUP($C69,#REF!,23,0)</f>
        <v>#VALUE!</v>
      </c>
      <c r="Z69" s="138" t="e">
        <f aca="false">VLOOKUP($C69,#REF!,24,0)</f>
        <v>#VALUE!</v>
      </c>
      <c r="AA69" s="139" t="e">
        <f aca="false">VLOOKUP($C69,#REF!,25,0)</f>
        <v>#VALUE!</v>
      </c>
      <c r="AB69" s="140" t="e">
        <f aca="false">VLOOKUP($C69,#REF!,26,0)</f>
        <v>#VALUE!</v>
      </c>
      <c r="AC69" s="139" t="e">
        <f aca="false">VLOOKUP($C69,#REF!,27,0)</f>
        <v>#VALUE!</v>
      </c>
      <c r="AE69" s="138" t="e">
        <f aca="false">IF(M69="-","-","0,5 GB")</f>
        <v>#VALUE!</v>
      </c>
      <c r="AF69" s="141" t="s">
        <v>92</v>
      </c>
      <c r="AG69" s="141" t="s">
        <v>93</v>
      </c>
      <c r="AH69" s="139" t="s">
        <v>94</v>
      </c>
      <c r="AJ69" s="138" t="s">
        <v>95</v>
      </c>
      <c r="AK69" s="141" t="s">
        <v>96</v>
      </c>
      <c r="AL69" s="141" t="s">
        <v>97</v>
      </c>
      <c r="AM69" s="141" t="s">
        <v>98</v>
      </c>
      <c r="AN69" s="141" t="s">
        <v>98</v>
      </c>
      <c r="AO69" s="139" t="s">
        <v>92</v>
      </c>
      <c r="AQ69" s="142" t="n">
        <v>0</v>
      </c>
      <c r="AR69" s="137"/>
      <c r="AS69" s="138" t="n">
        <v>0</v>
      </c>
      <c r="AT69" s="139" t="n">
        <v>0</v>
      </c>
      <c r="AU69" s="140"/>
      <c r="AV69" s="138" t="n">
        <f aca="false">IFERROR(ROUND($D69-M69-AW69,0),0)</f>
        <v>0</v>
      </c>
      <c r="AW69" s="139" t="n">
        <f aca="false">IFERROR(N69*$G69,0)</f>
        <v>0</v>
      </c>
      <c r="AX69" s="138" t="n">
        <f aca="false">IFERROR(ROUND($D69-O69-AY69,0),0)</f>
        <v>0</v>
      </c>
      <c r="AY69" s="139" t="n">
        <f aca="false">IFERROR(P69*$G69,0)</f>
        <v>0</v>
      </c>
      <c r="AZ69" s="138" t="n">
        <f aca="false">IFERROR(ROUND($D69-Q69-BA69,0),0)</f>
        <v>0</v>
      </c>
      <c r="BA69" s="139" t="n">
        <f aca="false">IFERROR(R69*$G69,0)</f>
        <v>0</v>
      </c>
      <c r="BB69" s="140" t="n">
        <f aca="false">IFERROR(ROUND($D69-S69-BC69,0),0)</f>
        <v>0</v>
      </c>
      <c r="BC69" s="139" t="n">
        <f aca="false">IFERROR(T69*$G69,0)</f>
        <v>0</v>
      </c>
      <c r="BD69" s="140"/>
      <c r="BE69" s="138" t="n">
        <f aca="false">IFERROR(ROUND($D69-V69-BF69,0),0)</f>
        <v>0</v>
      </c>
      <c r="BF69" s="139" t="n">
        <f aca="false">IFERROR(W69*$G69,0)</f>
        <v>0</v>
      </c>
      <c r="BG69" s="138" t="n">
        <f aca="false">IFERROR(ROUND($D69-X69-BH69,0),0)</f>
        <v>0</v>
      </c>
      <c r="BH69" s="139" t="n">
        <f aca="false">IFERROR(Y69*$G69,0)</f>
        <v>0</v>
      </c>
      <c r="BI69" s="140" t="n">
        <f aca="false">IFERROR(ROUND($D69-Z69-BJ69,0),0)</f>
        <v>0</v>
      </c>
      <c r="BJ69" s="139" t="n">
        <f aca="false">IFERROR(AA69*$G69,0)</f>
        <v>0</v>
      </c>
      <c r="BK69" s="140" t="n">
        <f aca="false">IFERROR(ROUND($D69-AB69-BL69,0),0)</f>
        <v>0</v>
      </c>
      <c r="BL69" s="139" t="n">
        <f aca="false">IFERROR(AC69*$G69,0)</f>
        <v>0</v>
      </c>
      <c r="BN69" s="142" t="n">
        <v>0</v>
      </c>
      <c r="BO69" s="137"/>
      <c r="BP69" s="138" t="n">
        <v>0</v>
      </c>
      <c r="BQ69" s="139" t="n">
        <v>0</v>
      </c>
      <c r="BR69" s="140"/>
      <c r="BS69" s="138" t="n">
        <v>0</v>
      </c>
      <c r="BT69" s="139" t="n">
        <v>0</v>
      </c>
      <c r="BU69" s="138" t="n">
        <v>0</v>
      </c>
      <c r="BV69" s="139" t="n">
        <v>0</v>
      </c>
      <c r="BW69" s="138" t="n">
        <v>0</v>
      </c>
      <c r="BX69" s="139" t="n">
        <v>0</v>
      </c>
      <c r="BY69" s="138" t="n">
        <v>0</v>
      </c>
      <c r="BZ69" s="139" t="n">
        <v>0</v>
      </c>
      <c r="CA69" s="140"/>
      <c r="CB69" s="138" t="n">
        <v>0</v>
      </c>
      <c r="CC69" s="139" t="n">
        <v>0</v>
      </c>
      <c r="CD69" s="138" t="n">
        <v>0</v>
      </c>
      <c r="CE69" s="139" t="n">
        <v>0</v>
      </c>
      <c r="CF69" s="138" t="n">
        <v>0</v>
      </c>
      <c r="CG69" s="139" t="n">
        <v>0</v>
      </c>
      <c r="CH69" s="138" t="n">
        <v>0</v>
      </c>
      <c r="CI69" s="139" t="n">
        <v>0</v>
      </c>
      <c r="CK69" s="143"/>
      <c r="CL69" s="137"/>
      <c r="CM69" s="144" t="str">
        <f aca="false">IFERROR(+$H69-($J69+$K69*$G69),"-")</f>
        <v>-</v>
      </c>
      <c r="CN69" s="137"/>
      <c r="CO69" s="144" t="str">
        <f aca="false">IFERROR(+$H69-($M69+$N69*$G69),"-")</f>
        <v>-</v>
      </c>
      <c r="CP69" s="144" t="str">
        <f aca="false">IFERROR(+$H69-($O69+$P69*$G69),"-")</f>
        <v>-</v>
      </c>
      <c r="CQ69" s="144" t="str">
        <f aca="false">IFERROR(+$H69-($Q69+$R69*$G69),"-")</f>
        <v>-</v>
      </c>
      <c r="CR69" s="144" t="str">
        <f aca="false">IFERROR(+$H69-($Q69+$R69*$G69),"-")</f>
        <v>-</v>
      </c>
      <c r="CS69" s="137"/>
      <c r="CT69" s="144" t="str">
        <f aca="false">IFERROR(+$H69-($V69+$W69*$G69),"-")</f>
        <v>-</v>
      </c>
      <c r="CU69" s="144" t="str">
        <f aca="false">IFERROR(+$H69-($X69+$Y69*$G69),"-")</f>
        <v>-</v>
      </c>
      <c r="CV69" s="144" t="str">
        <f aca="false">IFERROR(+$H69-($Z69+$AA69*$G69),"-")</f>
        <v>-</v>
      </c>
      <c r="CW69" s="144" t="str">
        <f aca="false">IFERROR(+$H69-($AB69+$AC69*$G69),"-")</f>
        <v>-</v>
      </c>
    </row>
    <row r="70" s="156" customFormat="true" ht="12.75" hidden="false" customHeight="true" outlineLevel="0" collapsed="false">
      <c r="A70" s="1"/>
      <c r="B70" s="145" t="s">
        <v>130</v>
      </c>
      <c r="C70" s="146" t="s">
        <v>146</v>
      </c>
      <c r="D70" s="147" t="e">
        <f aca="false">VLOOKUP($C70,#REF!,5,0)</f>
        <v>#VALUE!</v>
      </c>
      <c r="E70" s="148" t="e">
        <f aca="false">VLOOKUP($C70,#REF!,6,0)</f>
        <v>#VALUE!</v>
      </c>
      <c r="F70" s="146" t="e">
        <f aca="false">VLOOKUP($C70,#REF!,7,0)</f>
        <v>#VALUE!</v>
      </c>
      <c r="G70" s="146" t="e">
        <f aca="false">VLOOKUP($C70,#REF!,8,0)</f>
        <v>#VALUE!</v>
      </c>
      <c r="H70" s="149" t="e">
        <f aca="false">VLOOKUP($C70,#REF!,9,0)</f>
        <v>#VALUE!</v>
      </c>
      <c r="I70" s="137"/>
      <c r="J70" s="150" t="e">
        <f aca="false">VLOOKUP($C70,#REF!,10,0)</f>
        <v>#VALUE!</v>
      </c>
      <c r="K70" s="151" t="e">
        <f aca="false">VLOOKUP($C70,#REF!,11,0)</f>
        <v>#VALUE!</v>
      </c>
      <c r="L70" s="140"/>
      <c r="M70" s="150" t="e">
        <f aca="false">VLOOKUP($C70,#REF!,12,0)</f>
        <v>#VALUE!</v>
      </c>
      <c r="N70" s="152" t="e">
        <f aca="false">VLOOKUP($C70,#REF!,13,0)</f>
        <v>#VALUE!</v>
      </c>
      <c r="O70" s="150" t="e">
        <f aca="false">VLOOKUP($C70,#REF!,14,0)</f>
        <v>#VALUE!</v>
      </c>
      <c r="P70" s="152" t="e">
        <f aca="false">VLOOKUP($C70,#REF!,15,0)</f>
        <v>#VALUE!</v>
      </c>
      <c r="Q70" s="150" t="e">
        <f aca="false">VLOOKUP($C70,#REF!,16,0)</f>
        <v>#VALUE!</v>
      </c>
      <c r="R70" s="151" t="e">
        <f aca="false">VLOOKUP($C70,#REF!,17,0)</f>
        <v>#VALUE!</v>
      </c>
      <c r="S70" s="152" t="e">
        <f aca="false">VLOOKUP($C70,#REF!,18,0)</f>
        <v>#VALUE!</v>
      </c>
      <c r="T70" s="151" t="e">
        <f aca="false">VLOOKUP($C70,#REF!,19,0)</f>
        <v>#VALUE!</v>
      </c>
      <c r="U70" s="140"/>
      <c r="V70" s="150" t="e">
        <f aca="false">VLOOKUP($C70,#REF!,20,0)</f>
        <v>#VALUE!</v>
      </c>
      <c r="W70" s="152" t="e">
        <f aca="false">VLOOKUP($C70,#REF!,21,0)</f>
        <v>#VALUE!</v>
      </c>
      <c r="X70" s="150" t="e">
        <f aca="false">VLOOKUP($C70,#REF!,22,0)</f>
        <v>#VALUE!</v>
      </c>
      <c r="Y70" s="152" t="e">
        <f aca="false">VLOOKUP($C70,#REF!,23,0)</f>
        <v>#VALUE!</v>
      </c>
      <c r="Z70" s="150" t="e">
        <f aca="false">VLOOKUP($C70,#REF!,24,0)</f>
        <v>#VALUE!</v>
      </c>
      <c r="AA70" s="151" t="e">
        <f aca="false">VLOOKUP($C70,#REF!,25,0)</f>
        <v>#VALUE!</v>
      </c>
      <c r="AB70" s="152" t="e">
        <f aca="false">VLOOKUP($C70,#REF!,26,0)</f>
        <v>#VALUE!</v>
      </c>
      <c r="AC70" s="151" t="e">
        <f aca="false">VLOOKUP($C70,#REF!,27,0)</f>
        <v>#VALUE!</v>
      </c>
      <c r="AD70" s="1"/>
      <c r="AE70" s="150" t="e">
        <f aca="false">IF(M70="-","-","0,5 GB")</f>
        <v>#VALUE!</v>
      </c>
      <c r="AF70" s="153" t="s">
        <v>92</v>
      </c>
      <c r="AG70" s="153" t="s">
        <v>93</v>
      </c>
      <c r="AH70" s="151" t="s">
        <v>94</v>
      </c>
      <c r="AI70" s="1"/>
      <c r="AJ70" s="150" t="s">
        <v>95</v>
      </c>
      <c r="AK70" s="153" t="s">
        <v>96</v>
      </c>
      <c r="AL70" s="153" t="s">
        <v>97</v>
      </c>
      <c r="AM70" s="153" t="s">
        <v>98</v>
      </c>
      <c r="AN70" s="153" t="s">
        <v>98</v>
      </c>
      <c r="AO70" s="151" t="s">
        <v>92</v>
      </c>
      <c r="AP70" s="1"/>
      <c r="AQ70" s="154" t="n">
        <v>-1</v>
      </c>
      <c r="AR70" s="137"/>
      <c r="AS70" s="150" t="n">
        <v>0</v>
      </c>
      <c r="AT70" s="151" t="n">
        <v>0</v>
      </c>
      <c r="AU70" s="140"/>
      <c r="AV70" s="150" t="n">
        <f aca="false">IFERROR(ROUND($D70-M70-AW70,0),0)</f>
        <v>0</v>
      </c>
      <c r="AW70" s="151" t="n">
        <f aca="false">IFERROR(N70*$G70,0)</f>
        <v>0</v>
      </c>
      <c r="AX70" s="150" t="n">
        <f aca="false">IFERROR(ROUND($D70-O70-AY70,0),0)</f>
        <v>0</v>
      </c>
      <c r="AY70" s="151" t="n">
        <f aca="false">IFERROR(P70*$G70,0)</f>
        <v>0</v>
      </c>
      <c r="AZ70" s="150" t="n">
        <f aca="false">IFERROR(ROUND($D70-Q70-BA70,0),0)</f>
        <v>0</v>
      </c>
      <c r="BA70" s="151" t="n">
        <f aca="false">IFERROR(R70*$G70,0)</f>
        <v>0</v>
      </c>
      <c r="BB70" s="152" t="n">
        <f aca="false">IFERROR(ROUND($D70-S70-BC70,0),0)</f>
        <v>0</v>
      </c>
      <c r="BC70" s="151" t="n">
        <f aca="false">IFERROR(T70*$G70,0)</f>
        <v>0</v>
      </c>
      <c r="BD70" s="140"/>
      <c r="BE70" s="150" t="n">
        <f aca="false">IFERROR(ROUND($D70-V70-BF70,0),0)</f>
        <v>0</v>
      </c>
      <c r="BF70" s="151" t="n">
        <f aca="false">IFERROR(W70*$G70,0)</f>
        <v>0</v>
      </c>
      <c r="BG70" s="150" t="n">
        <f aca="false">IFERROR(ROUND($D70-X70-BH70,0),0)</f>
        <v>0</v>
      </c>
      <c r="BH70" s="151" t="n">
        <f aca="false">IFERROR(Y70*$G70,0)</f>
        <v>0</v>
      </c>
      <c r="BI70" s="152" t="n">
        <f aca="false">IFERROR(ROUND($D70-Z70-BJ70,0),0)</f>
        <v>0</v>
      </c>
      <c r="BJ70" s="151" t="n">
        <f aca="false">IFERROR(AA70*$G70,0)</f>
        <v>0</v>
      </c>
      <c r="BK70" s="152" t="n">
        <f aca="false">IFERROR(ROUND($D70-AB70-BL70,0),0)</f>
        <v>0</v>
      </c>
      <c r="BL70" s="151" t="n">
        <f aca="false">IFERROR(AC70*$G70,0)</f>
        <v>0</v>
      </c>
      <c r="BM70" s="1"/>
      <c r="BN70" s="154" t="n">
        <v>0</v>
      </c>
      <c r="BO70" s="155"/>
      <c r="BP70" s="150" t="n">
        <v>0</v>
      </c>
      <c r="BQ70" s="151" t="n">
        <v>0</v>
      </c>
      <c r="BR70" s="152"/>
      <c r="BS70" s="150" t="n">
        <v>0</v>
      </c>
      <c r="BT70" s="151" t="n">
        <v>0</v>
      </c>
      <c r="BU70" s="150" t="n">
        <v>0</v>
      </c>
      <c r="BV70" s="151" t="n">
        <v>0</v>
      </c>
      <c r="BW70" s="150" t="n">
        <v>0</v>
      </c>
      <c r="BX70" s="151" t="n">
        <v>0</v>
      </c>
      <c r="BY70" s="150" t="n">
        <v>0</v>
      </c>
      <c r="BZ70" s="151" t="n">
        <v>0</v>
      </c>
      <c r="CA70" s="152"/>
      <c r="CB70" s="150" t="n">
        <v>0</v>
      </c>
      <c r="CC70" s="151" t="n">
        <v>0</v>
      </c>
      <c r="CD70" s="150" t="n">
        <v>0</v>
      </c>
      <c r="CE70" s="151" t="n">
        <v>0</v>
      </c>
      <c r="CF70" s="150" t="n">
        <v>0</v>
      </c>
      <c r="CG70" s="151" t="n">
        <v>0</v>
      </c>
      <c r="CH70" s="150" t="n">
        <v>0</v>
      </c>
      <c r="CI70" s="151" t="n">
        <v>0</v>
      </c>
      <c r="CJ70" s="1"/>
      <c r="CK70" s="149"/>
      <c r="CL70" s="137"/>
      <c r="CM70" s="154" t="str">
        <f aca="false">IFERROR(+$H70-($J70+$K70*$G70),"-")</f>
        <v>-</v>
      </c>
      <c r="CN70" s="137"/>
      <c r="CO70" s="154" t="str">
        <f aca="false">IFERROR(+$H70-($M70+$N70*$G70),"-")</f>
        <v>-</v>
      </c>
      <c r="CP70" s="154" t="str">
        <f aca="false">IFERROR(+$H70-($O70+$P70*$G70),"-")</f>
        <v>-</v>
      </c>
      <c r="CQ70" s="154" t="str">
        <f aca="false">IFERROR(+$H70-($Q70+$R70*$G70),"-")</f>
        <v>-</v>
      </c>
      <c r="CR70" s="154" t="str">
        <f aca="false">IFERROR(+$H70-($Q70+$R70*$G70),"-")</f>
        <v>-</v>
      </c>
      <c r="CS70" s="137"/>
      <c r="CT70" s="154" t="str">
        <f aca="false">IFERROR(+$H70-($V70+$W70*$G70),"-")</f>
        <v>-</v>
      </c>
      <c r="CU70" s="154" t="str">
        <f aca="false">IFERROR(+$H70-($X70+$Y70*$G70),"-")</f>
        <v>-</v>
      </c>
      <c r="CV70" s="154" t="str">
        <f aca="false">IFERROR(+$H70-($Z70+$AA70*$G70),"-")</f>
        <v>-</v>
      </c>
      <c r="CW70" s="154" t="str">
        <f aca="false">IFERROR(+$H70-($AB70+$AC70*$G70),"-")</f>
        <v>-</v>
      </c>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row>
    <row r="71" s="1" customFormat="true" ht="12.75" hidden="false" customHeight="true" outlineLevel="0" collapsed="false">
      <c r="B71" s="134" t="s">
        <v>130</v>
      </c>
      <c r="C71" s="135" t="s">
        <v>147</v>
      </c>
      <c r="D71" s="136" t="e">
        <f aca="false">VLOOKUP($C71,#REF!,5,0)</f>
        <v>#VALUE!</v>
      </c>
      <c r="E71" s="157" t="e">
        <f aca="false">VLOOKUP($C71,#REF!,6,0)</f>
        <v>#VALUE!</v>
      </c>
      <c r="F71" s="135" t="e">
        <f aca="false">VLOOKUP($C71,#REF!,7,0)</f>
        <v>#VALUE!</v>
      </c>
      <c r="G71" s="135" t="e">
        <f aca="false">VLOOKUP($C71,#REF!,8,0)</f>
        <v>#VALUE!</v>
      </c>
      <c r="H71" s="158" t="e">
        <f aca="false">VLOOKUP($C71,#REF!,9,0)</f>
        <v>#VALUE!</v>
      </c>
      <c r="I71" s="137"/>
      <c r="J71" s="138" t="e">
        <f aca="false">VLOOKUP($C71,#REF!,10,0)</f>
        <v>#VALUE!</v>
      </c>
      <c r="K71" s="139" t="e">
        <f aca="false">VLOOKUP($C71,#REF!,11,0)</f>
        <v>#VALUE!</v>
      </c>
      <c r="L71" s="140"/>
      <c r="M71" s="138" t="e">
        <f aca="false">VLOOKUP($C71,#REF!,12,0)</f>
        <v>#VALUE!</v>
      </c>
      <c r="N71" s="140" t="e">
        <f aca="false">VLOOKUP($C71,#REF!,13,0)</f>
        <v>#VALUE!</v>
      </c>
      <c r="O71" s="138" t="e">
        <f aca="false">VLOOKUP($C71,#REF!,14,0)</f>
        <v>#VALUE!</v>
      </c>
      <c r="P71" s="140" t="e">
        <f aca="false">VLOOKUP($C71,#REF!,15,0)</f>
        <v>#VALUE!</v>
      </c>
      <c r="Q71" s="138" t="e">
        <f aca="false">VLOOKUP($C71,#REF!,16,0)</f>
        <v>#VALUE!</v>
      </c>
      <c r="R71" s="139" t="e">
        <f aca="false">VLOOKUP($C71,#REF!,17,0)</f>
        <v>#VALUE!</v>
      </c>
      <c r="S71" s="140" t="e">
        <f aca="false">VLOOKUP($C71,#REF!,18,0)</f>
        <v>#VALUE!</v>
      </c>
      <c r="T71" s="139" t="e">
        <f aca="false">VLOOKUP($C71,#REF!,19,0)</f>
        <v>#VALUE!</v>
      </c>
      <c r="U71" s="140"/>
      <c r="V71" s="138" t="e">
        <f aca="false">VLOOKUP($C71,#REF!,20,0)</f>
        <v>#VALUE!</v>
      </c>
      <c r="W71" s="140" t="e">
        <f aca="false">VLOOKUP($C71,#REF!,21,0)</f>
        <v>#VALUE!</v>
      </c>
      <c r="X71" s="138" t="e">
        <f aca="false">VLOOKUP($C71,#REF!,22,0)</f>
        <v>#VALUE!</v>
      </c>
      <c r="Y71" s="140" t="e">
        <f aca="false">VLOOKUP($C71,#REF!,23,0)</f>
        <v>#VALUE!</v>
      </c>
      <c r="Z71" s="138" t="e">
        <f aca="false">VLOOKUP($C71,#REF!,24,0)</f>
        <v>#VALUE!</v>
      </c>
      <c r="AA71" s="139" t="e">
        <f aca="false">VLOOKUP($C71,#REF!,25,0)</f>
        <v>#VALUE!</v>
      </c>
      <c r="AB71" s="140" t="e">
        <f aca="false">VLOOKUP($C71,#REF!,26,0)</f>
        <v>#VALUE!</v>
      </c>
      <c r="AC71" s="139" t="e">
        <f aca="false">VLOOKUP($C71,#REF!,27,0)</f>
        <v>#VALUE!</v>
      </c>
      <c r="AE71" s="138" t="e">
        <f aca="false">IF(M71="-","-","0,5 GB")</f>
        <v>#VALUE!</v>
      </c>
      <c r="AF71" s="141" t="s">
        <v>92</v>
      </c>
      <c r="AG71" s="141" t="s">
        <v>93</v>
      </c>
      <c r="AH71" s="139" t="s">
        <v>94</v>
      </c>
      <c r="AJ71" s="138" t="s">
        <v>95</v>
      </c>
      <c r="AK71" s="141" t="s">
        <v>96</v>
      </c>
      <c r="AL71" s="141" t="s">
        <v>97</v>
      </c>
      <c r="AM71" s="141" t="s">
        <v>98</v>
      </c>
      <c r="AN71" s="141" t="s">
        <v>98</v>
      </c>
      <c r="AO71" s="139" t="s">
        <v>92</v>
      </c>
      <c r="AQ71" s="142" t="n">
        <v>2</v>
      </c>
      <c r="AR71" s="137"/>
      <c r="AS71" s="138" t="n">
        <v>0</v>
      </c>
      <c r="AT71" s="139" t="n">
        <v>0</v>
      </c>
      <c r="AU71" s="140"/>
      <c r="AV71" s="138" t="n">
        <f aca="false">IFERROR(ROUND($D71-M71-AW71,0),0)</f>
        <v>0</v>
      </c>
      <c r="AW71" s="139" t="n">
        <f aca="false">IFERROR(N71*$G71,0)</f>
        <v>0</v>
      </c>
      <c r="AX71" s="138" t="n">
        <f aca="false">IFERROR(ROUND($D71-O71-AY71,0),0)</f>
        <v>0</v>
      </c>
      <c r="AY71" s="139" t="n">
        <f aca="false">IFERROR(P71*$G71,0)</f>
        <v>0</v>
      </c>
      <c r="AZ71" s="138" t="n">
        <f aca="false">IFERROR(ROUND($D71-Q71-BA71,0),0)</f>
        <v>0</v>
      </c>
      <c r="BA71" s="139" t="n">
        <f aca="false">IFERROR(R71*$G71,0)</f>
        <v>0</v>
      </c>
      <c r="BB71" s="140" t="n">
        <f aca="false">IFERROR(ROUND($D71-S71-BC71,0),0)</f>
        <v>0</v>
      </c>
      <c r="BC71" s="139" t="n">
        <f aca="false">IFERROR(T71*$G71,0)</f>
        <v>0</v>
      </c>
      <c r="BD71" s="140"/>
      <c r="BE71" s="138" t="n">
        <f aca="false">IFERROR(ROUND($D71-V71-BF71,0),0)</f>
        <v>0</v>
      </c>
      <c r="BF71" s="139" t="n">
        <f aca="false">IFERROR(W71*$G71,0)</f>
        <v>0</v>
      </c>
      <c r="BG71" s="138" t="n">
        <f aca="false">IFERROR(ROUND($D71-X71-BH71,0),0)</f>
        <v>0</v>
      </c>
      <c r="BH71" s="139" t="n">
        <f aca="false">IFERROR(Y71*$G71,0)</f>
        <v>0</v>
      </c>
      <c r="BI71" s="140" t="n">
        <f aca="false">IFERROR(ROUND($D71-Z71-BJ71,0),0)</f>
        <v>0</v>
      </c>
      <c r="BJ71" s="139" t="n">
        <f aca="false">IFERROR(AA71*$G71,0)</f>
        <v>0</v>
      </c>
      <c r="BK71" s="140" t="n">
        <f aca="false">IFERROR(ROUND($D71-AB71-BL71,0),0)</f>
        <v>0</v>
      </c>
      <c r="BL71" s="139" t="n">
        <f aca="false">IFERROR(AC71*$G71,0)</f>
        <v>0</v>
      </c>
      <c r="BN71" s="142" t="e">
        <f aca="false">#N/A</f>
        <v>#N/A</v>
      </c>
      <c r="BO71" s="137"/>
      <c r="BP71" s="138" t="e">
        <f aca="false">#N/A</f>
        <v>#N/A</v>
      </c>
      <c r="BQ71" s="139" t="e">
        <f aca="false">#N/A</f>
        <v>#N/A</v>
      </c>
      <c r="BR71" s="140"/>
      <c r="BS71" s="138" t="e">
        <f aca="false">#N/A</f>
        <v>#N/A</v>
      </c>
      <c r="BT71" s="139" t="e">
        <f aca="false">#N/A</f>
        <v>#N/A</v>
      </c>
      <c r="BU71" s="138" t="e">
        <f aca="false">#N/A</f>
        <v>#N/A</v>
      </c>
      <c r="BV71" s="139" t="e">
        <f aca="false">#N/A</f>
        <v>#N/A</v>
      </c>
      <c r="BW71" s="138" t="e">
        <f aca="false">#N/A</f>
        <v>#N/A</v>
      </c>
      <c r="BX71" s="139" t="e">
        <f aca="false">#N/A</f>
        <v>#N/A</v>
      </c>
      <c r="BY71" s="138" t="e">
        <f aca="false">#N/A</f>
        <v>#N/A</v>
      </c>
      <c r="BZ71" s="139" t="e">
        <f aca="false">#N/A</f>
        <v>#N/A</v>
      </c>
      <c r="CA71" s="140"/>
      <c r="CB71" s="138" t="e">
        <f aca="false">#N/A</f>
        <v>#N/A</v>
      </c>
      <c r="CC71" s="139" t="e">
        <f aca="false">#N/A</f>
        <v>#N/A</v>
      </c>
      <c r="CD71" s="138" t="e">
        <f aca="false">#N/A</f>
        <v>#N/A</v>
      </c>
      <c r="CE71" s="139" t="e">
        <f aca="false">#N/A</f>
        <v>#N/A</v>
      </c>
      <c r="CF71" s="138" t="e">
        <f aca="false">#N/A</f>
        <v>#N/A</v>
      </c>
      <c r="CG71" s="139" t="e">
        <f aca="false">#N/A</f>
        <v>#N/A</v>
      </c>
      <c r="CH71" s="138" t="e">
        <f aca="false">#N/A</f>
        <v>#N/A</v>
      </c>
      <c r="CI71" s="139" t="e">
        <f aca="false">#N/A</f>
        <v>#N/A</v>
      </c>
      <c r="CK71" s="143"/>
      <c r="CL71" s="137"/>
      <c r="CM71" s="144" t="str">
        <f aca="false">IFERROR(+$H71-($J71+$K71*$G71),"-")</f>
        <v>-</v>
      </c>
      <c r="CN71" s="137"/>
      <c r="CO71" s="144" t="str">
        <f aca="false">IFERROR(+$H71-($M71+$N71*$G71),"-")</f>
        <v>-</v>
      </c>
      <c r="CP71" s="144" t="str">
        <f aca="false">IFERROR(+$H71-($O71+$P71*$G71),"-")</f>
        <v>-</v>
      </c>
      <c r="CQ71" s="144" t="str">
        <f aca="false">IFERROR(+$H71-($Q71+$R71*$G71),"-")</f>
        <v>-</v>
      </c>
      <c r="CR71" s="144" t="str">
        <f aca="false">IFERROR(+$H71-($Q71+$R71*$G71),"-")</f>
        <v>-</v>
      </c>
      <c r="CS71" s="137"/>
      <c r="CT71" s="144" t="str">
        <f aca="false">IFERROR(+$H71-($V71+$W71*$G71),"-")</f>
        <v>-</v>
      </c>
      <c r="CU71" s="144" t="str">
        <f aca="false">IFERROR(+$H71-($X71+$Y71*$G71),"-")</f>
        <v>-</v>
      </c>
      <c r="CV71" s="144" t="str">
        <f aca="false">IFERROR(+$H71-($Z71+$AA71*$G71),"-")</f>
        <v>-</v>
      </c>
      <c r="CW71" s="144" t="str">
        <f aca="false">IFERROR(+$H71-($AB71+$AC71*$G71),"-")</f>
        <v>-</v>
      </c>
    </row>
    <row r="72" s="156" customFormat="true" ht="12.75" hidden="false" customHeight="true" outlineLevel="0" collapsed="false">
      <c r="A72" s="1"/>
      <c r="B72" s="145" t="s">
        <v>130</v>
      </c>
      <c r="C72" s="146" t="s">
        <v>148</v>
      </c>
      <c r="D72" s="147" t="e">
        <f aca="false">VLOOKUP($C72,#REF!,5,0)</f>
        <v>#VALUE!</v>
      </c>
      <c r="E72" s="148" t="e">
        <f aca="false">VLOOKUP($C72,#REF!,6,0)</f>
        <v>#VALUE!</v>
      </c>
      <c r="F72" s="146" t="e">
        <f aca="false">VLOOKUP($C72,#REF!,7,0)</f>
        <v>#VALUE!</v>
      </c>
      <c r="G72" s="146" t="e">
        <f aca="false">VLOOKUP($C72,#REF!,8,0)</f>
        <v>#VALUE!</v>
      </c>
      <c r="H72" s="149" t="e">
        <f aca="false">VLOOKUP($C72,#REF!,9,0)</f>
        <v>#VALUE!</v>
      </c>
      <c r="I72" s="137"/>
      <c r="J72" s="150" t="e">
        <f aca="false">VLOOKUP($C72,#REF!,10,0)</f>
        <v>#VALUE!</v>
      </c>
      <c r="K72" s="151" t="e">
        <f aca="false">VLOOKUP($C72,#REF!,11,0)</f>
        <v>#VALUE!</v>
      </c>
      <c r="L72" s="140"/>
      <c r="M72" s="150" t="e">
        <f aca="false">VLOOKUP($C72,#REF!,12,0)</f>
        <v>#VALUE!</v>
      </c>
      <c r="N72" s="152" t="e">
        <f aca="false">VLOOKUP($C72,#REF!,13,0)</f>
        <v>#VALUE!</v>
      </c>
      <c r="O72" s="150" t="e">
        <f aca="false">VLOOKUP($C72,#REF!,14,0)</f>
        <v>#VALUE!</v>
      </c>
      <c r="P72" s="152" t="e">
        <f aca="false">VLOOKUP($C72,#REF!,15,0)</f>
        <v>#VALUE!</v>
      </c>
      <c r="Q72" s="150" t="e">
        <f aca="false">VLOOKUP($C72,#REF!,16,0)</f>
        <v>#VALUE!</v>
      </c>
      <c r="R72" s="151" t="e">
        <f aca="false">VLOOKUP($C72,#REF!,17,0)</f>
        <v>#VALUE!</v>
      </c>
      <c r="S72" s="152" t="e">
        <f aca="false">VLOOKUP($C72,#REF!,18,0)</f>
        <v>#VALUE!</v>
      </c>
      <c r="T72" s="151" t="e">
        <f aca="false">VLOOKUP($C72,#REF!,19,0)</f>
        <v>#VALUE!</v>
      </c>
      <c r="U72" s="140"/>
      <c r="V72" s="150" t="e">
        <f aca="false">VLOOKUP($C72,#REF!,20,0)</f>
        <v>#VALUE!</v>
      </c>
      <c r="W72" s="152" t="e">
        <f aca="false">VLOOKUP($C72,#REF!,21,0)</f>
        <v>#VALUE!</v>
      </c>
      <c r="X72" s="150" t="e">
        <f aca="false">VLOOKUP($C72,#REF!,22,0)</f>
        <v>#VALUE!</v>
      </c>
      <c r="Y72" s="152" t="e">
        <f aca="false">VLOOKUP($C72,#REF!,23,0)</f>
        <v>#VALUE!</v>
      </c>
      <c r="Z72" s="150" t="e">
        <f aca="false">VLOOKUP($C72,#REF!,24,0)</f>
        <v>#VALUE!</v>
      </c>
      <c r="AA72" s="151" t="e">
        <f aca="false">VLOOKUP($C72,#REF!,25,0)</f>
        <v>#VALUE!</v>
      </c>
      <c r="AB72" s="152" t="e">
        <f aca="false">VLOOKUP($C72,#REF!,26,0)</f>
        <v>#VALUE!</v>
      </c>
      <c r="AC72" s="151" t="e">
        <f aca="false">VLOOKUP($C72,#REF!,27,0)</f>
        <v>#VALUE!</v>
      </c>
      <c r="AD72" s="1"/>
      <c r="AE72" s="150" t="e">
        <f aca="false">IF(M72="-","-","0,5 GB")</f>
        <v>#VALUE!</v>
      </c>
      <c r="AF72" s="153" t="s">
        <v>92</v>
      </c>
      <c r="AG72" s="153" t="s">
        <v>93</v>
      </c>
      <c r="AH72" s="151" t="s">
        <v>94</v>
      </c>
      <c r="AI72" s="1"/>
      <c r="AJ72" s="150" t="s">
        <v>95</v>
      </c>
      <c r="AK72" s="153" t="s">
        <v>96</v>
      </c>
      <c r="AL72" s="153" t="s">
        <v>97</v>
      </c>
      <c r="AM72" s="153" t="s">
        <v>98</v>
      </c>
      <c r="AN72" s="153" t="s">
        <v>98</v>
      </c>
      <c r="AO72" s="151" t="s">
        <v>92</v>
      </c>
      <c r="AP72" s="1"/>
      <c r="AQ72" s="154" t="n">
        <v>-1</v>
      </c>
      <c r="AR72" s="137"/>
      <c r="AS72" s="150" t="n">
        <v>0</v>
      </c>
      <c r="AT72" s="151" t="n">
        <v>0</v>
      </c>
      <c r="AU72" s="140"/>
      <c r="AV72" s="150" t="n">
        <f aca="false">IFERROR(ROUND($D72-M72-AW72,0),0)</f>
        <v>0</v>
      </c>
      <c r="AW72" s="151" t="n">
        <f aca="false">IFERROR(N72*$G72,0)</f>
        <v>0</v>
      </c>
      <c r="AX72" s="150" t="n">
        <f aca="false">IFERROR(ROUND($D72-O72-AY72,0),0)</f>
        <v>0</v>
      </c>
      <c r="AY72" s="151" t="n">
        <f aca="false">IFERROR(P72*$G72,0)</f>
        <v>0</v>
      </c>
      <c r="AZ72" s="150" t="n">
        <f aca="false">IFERROR(ROUND($D72-Q72-BA72,0),0)</f>
        <v>0</v>
      </c>
      <c r="BA72" s="151" t="n">
        <f aca="false">IFERROR(R72*$G72,0)</f>
        <v>0</v>
      </c>
      <c r="BB72" s="152" t="n">
        <f aca="false">IFERROR(ROUND($D72-S72-BC72,0),0)</f>
        <v>0</v>
      </c>
      <c r="BC72" s="151" t="n">
        <f aca="false">IFERROR(T72*$G72,0)</f>
        <v>0</v>
      </c>
      <c r="BD72" s="140"/>
      <c r="BE72" s="150" t="n">
        <f aca="false">IFERROR(ROUND($D72-V72-BF72,0),0)</f>
        <v>0</v>
      </c>
      <c r="BF72" s="151" t="n">
        <f aca="false">IFERROR(W72*$G72,0)</f>
        <v>0</v>
      </c>
      <c r="BG72" s="150" t="n">
        <f aca="false">IFERROR(ROUND($D72-X72-BH72,0),0)</f>
        <v>0</v>
      </c>
      <c r="BH72" s="151" t="n">
        <f aca="false">IFERROR(Y72*$G72,0)</f>
        <v>0</v>
      </c>
      <c r="BI72" s="152" t="n">
        <f aca="false">IFERROR(ROUND($D72-Z72-BJ72,0),0)</f>
        <v>0</v>
      </c>
      <c r="BJ72" s="151" t="n">
        <f aca="false">IFERROR(AA72*$G72,0)</f>
        <v>0</v>
      </c>
      <c r="BK72" s="152" t="n">
        <f aca="false">IFERROR(ROUND($D72-AB72-BL72,0),0)</f>
        <v>0</v>
      </c>
      <c r="BL72" s="151" t="n">
        <f aca="false">IFERROR(AC72*$G72,0)</f>
        <v>0</v>
      </c>
      <c r="BM72" s="1"/>
      <c r="BN72" s="154" t="n">
        <v>0</v>
      </c>
      <c r="BO72" s="155"/>
      <c r="BP72" s="150" t="n">
        <v>0</v>
      </c>
      <c r="BQ72" s="151" t="n">
        <v>0</v>
      </c>
      <c r="BR72" s="152"/>
      <c r="BS72" s="150" t="n">
        <v>0</v>
      </c>
      <c r="BT72" s="151" t="n">
        <v>0</v>
      </c>
      <c r="BU72" s="150" t="n">
        <v>0</v>
      </c>
      <c r="BV72" s="151" t="n">
        <v>0</v>
      </c>
      <c r="BW72" s="150" t="n">
        <v>0</v>
      </c>
      <c r="BX72" s="151" t="n">
        <v>0</v>
      </c>
      <c r="BY72" s="150" t="n">
        <v>0</v>
      </c>
      <c r="BZ72" s="151" t="n">
        <v>0</v>
      </c>
      <c r="CA72" s="152"/>
      <c r="CB72" s="150" t="n">
        <v>0</v>
      </c>
      <c r="CC72" s="151" t="n">
        <v>0</v>
      </c>
      <c r="CD72" s="150" t="n">
        <v>0</v>
      </c>
      <c r="CE72" s="151" t="n">
        <v>0</v>
      </c>
      <c r="CF72" s="150" t="n">
        <v>0</v>
      </c>
      <c r="CG72" s="151" t="n">
        <v>0</v>
      </c>
      <c r="CH72" s="150" t="n">
        <v>0</v>
      </c>
      <c r="CI72" s="151" t="n">
        <v>0</v>
      </c>
      <c r="CJ72" s="1"/>
      <c r="CK72" s="149"/>
      <c r="CL72" s="137"/>
      <c r="CM72" s="154" t="str">
        <f aca="false">IFERROR(+$H72-($J72+$K72*$G72),"-")</f>
        <v>-</v>
      </c>
      <c r="CN72" s="137"/>
      <c r="CO72" s="154" t="str">
        <f aca="false">IFERROR(+$H72-($M72+$N72*$G72),"-")</f>
        <v>-</v>
      </c>
      <c r="CP72" s="154" t="str">
        <f aca="false">IFERROR(+$H72-($O72+$P72*$G72),"-")</f>
        <v>-</v>
      </c>
      <c r="CQ72" s="154" t="str">
        <f aca="false">IFERROR(+$H72-($Q72+$R72*$G72),"-")</f>
        <v>-</v>
      </c>
      <c r="CR72" s="154" t="str">
        <f aca="false">IFERROR(+$H72-($Q72+$R72*$G72),"-")</f>
        <v>-</v>
      </c>
      <c r="CS72" s="137"/>
      <c r="CT72" s="154" t="str">
        <f aca="false">IFERROR(+$H72-($V72+$W72*$G72),"-")</f>
        <v>-</v>
      </c>
      <c r="CU72" s="154" t="str">
        <f aca="false">IFERROR(+$H72-($X72+$Y72*$G72),"-")</f>
        <v>-</v>
      </c>
      <c r="CV72" s="154" t="str">
        <f aca="false">IFERROR(+$H72-($Z72+$AA72*$G72),"-")</f>
        <v>-</v>
      </c>
      <c r="CW72" s="154" t="str">
        <f aca="false">IFERROR(+$H72-($AB72+$AC72*$G72),"-")</f>
        <v>-</v>
      </c>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row>
    <row r="73" s="1" customFormat="true" ht="12.75" hidden="false" customHeight="true" outlineLevel="0" collapsed="false">
      <c r="B73" s="134" t="s">
        <v>130</v>
      </c>
      <c r="C73" s="135" t="s">
        <v>149</v>
      </c>
      <c r="D73" s="136" t="e">
        <f aca="false">VLOOKUP($C73,#REF!,5,0)</f>
        <v>#VALUE!</v>
      </c>
      <c r="E73" s="157" t="e">
        <f aca="false">VLOOKUP($C73,#REF!,6,0)</f>
        <v>#VALUE!</v>
      </c>
      <c r="F73" s="135" t="e">
        <f aca="false">VLOOKUP($C73,#REF!,7,0)</f>
        <v>#VALUE!</v>
      </c>
      <c r="G73" s="135" t="e">
        <f aca="false">VLOOKUP($C73,#REF!,8,0)</f>
        <v>#VALUE!</v>
      </c>
      <c r="H73" s="158" t="e">
        <f aca="false">VLOOKUP($C73,#REF!,9,0)</f>
        <v>#VALUE!</v>
      </c>
      <c r="I73" s="137"/>
      <c r="J73" s="138" t="e">
        <f aca="false">VLOOKUP($C73,#REF!,10,0)</f>
        <v>#VALUE!</v>
      </c>
      <c r="K73" s="139" t="e">
        <f aca="false">VLOOKUP($C73,#REF!,11,0)</f>
        <v>#VALUE!</v>
      </c>
      <c r="L73" s="140"/>
      <c r="M73" s="138" t="e">
        <f aca="false">VLOOKUP($C73,#REF!,12,0)</f>
        <v>#VALUE!</v>
      </c>
      <c r="N73" s="140" t="e">
        <f aca="false">VLOOKUP($C73,#REF!,13,0)</f>
        <v>#VALUE!</v>
      </c>
      <c r="O73" s="138" t="e">
        <f aca="false">VLOOKUP($C73,#REF!,14,0)</f>
        <v>#VALUE!</v>
      </c>
      <c r="P73" s="140" t="e">
        <f aca="false">VLOOKUP($C73,#REF!,15,0)</f>
        <v>#VALUE!</v>
      </c>
      <c r="Q73" s="138" t="e">
        <f aca="false">VLOOKUP($C73,#REF!,16,0)</f>
        <v>#VALUE!</v>
      </c>
      <c r="R73" s="139" t="e">
        <f aca="false">VLOOKUP($C73,#REF!,17,0)</f>
        <v>#VALUE!</v>
      </c>
      <c r="S73" s="140" t="e">
        <f aca="false">VLOOKUP($C73,#REF!,18,0)</f>
        <v>#VALUE!</v>
      </c>
      <c r="T73" s="139" t="e">
        <f aca="false">VLOOKUP($C73,#REF!,19,0)</f>
        <v>#VALUE!</v>
      </c>
      <c r="U73" s="140"/>
      <c r="V73" s="138" t="e">
        <f aca="false">VLOOKUP($C73,#REF!,20,0)</f>
        <v>#VALUE!</v>
      </c>
      <c r="W73" s="140" t="e">
        <f aca="false">VLOOKUP($C73,#REF!,21,0)</f>
        <v>#VALUE!</v>
      </c>
      <c r="X73" s="138" t="e">
        <f aca="false">VLOOKUP($C73,#REF!,22,0)</f>
        <v>#VALUE!</v>
      </c>
      <c r="Y73" s="140" t="e">
        <f aca="false">VLOOKUP($C73,#REF!,23,0)</f>
        <v>#VALUE!</v>
      </c>
      <c r="Z73" s="138" t="e">
        <f aca="false">VLOOKUP($C73,#REF!,24,0)</f>
        <v>#VALUE!</v>
      </c>
      <c r="AA73" s="139" t="e">
        <f aca="false">VLOOKUP($C73,#REF!,25,0)</f>
        <v>#VALUE!</v>
      </c>
      <c r="AB73" s="140" t="e">
        <f aca="false">VLOOKUP($C73,#REF!,26,0)</f>
        <v>#VALUE!</v>
      </c>
      <c r="AC73" s="139" t="e">
        <f aca="false">VLOOKUP($C73,#REF!,27,0)</f>
        <v>#VALUE!</v>
      </c>
      <c r="AE73" s="138" t="e">
        <f aca="false">IF(M73="-","-","0,5 GB")</f>
        <v>#VALUE!</v>
      </c>
      <c r="AF73" s="141" t="s">
        <v>92</v>
      </c>
      <c r="AG73" s="141" t="s">
        <v>93</v>
      </c>
      <c r="AH73" s="139" t="s">
        <v>94</v>
      </c>
      <c r="AJ73" s="138" t="s">
        <v>95</v>
      </c>
      <c r="AK73" s="141" t="s">
        <v>96</v>
      </c>
      <c r="AL73" s="141" t="s">
        <v>97</v>
      </c>
      <c r="AM73" s="141" t="s">
        <v>98</v>
      </c>
      <c r="AN73" s="141" t="s">
        <v>98</v>
      </c>
      <c r="AO73" s="139" t="s">
        <v>92</v>
      </c>
      <c r="AQ73" s="142" t="n">
        <v>0</v>
      </c>
      <c r="AR73" s="137"/>
      <c r="AS73" s="138" t="n">
        <v>0</v>
      </c>
      <c r="AT73" s="139" t="n">
        <v>0</v>
      </c>
      <c r="AU73" s="140"/>
      <c r="AV73" s="138" t="n">
        <f aca="false">IFERROR(ROUND($D73-M73-AW73,0),0)</f>
        <v>0</v>
      </c>
      <c r="AW73" s="139" t="n">
        <f aca="false">IFERROR(N73*$G73,0)</f>
        <v>0</v>
      </c>
      <c r="AX73" s="138" t="n">
        <f aca="false">IFERROR(ROUND($D73-O73-AY73,0),0)</f>
        <v>0</v>
      </c>
      <c r="AY73" s="139" t="n">
        <f aca="false">IFERROR(P73*$G73,0)</f>
        <v>0</v>
      </c>
      <c r="AZ73" s="138" t="n">
        <f aca="false">IFERROR(ROUND($D73-Q73-BA73,0),0)</f>
        <v>0</v>
      </c>
      <c r="BA73" s="139" t="n">
        <f aca="false">IFERROR(R73*$G73,0)</f>
        <v>0</v>
      </c>
      <c r="BB73" s="140" t="n">
        <f aca="false">IFERROR(ROUND($D73-S73-BC73,0),0)</f>
        <v>0</v>
      </c>
      <c r="BC73" s="139" t="n">
        <f aca="false">IFERROR(T73*$G73,0)</f>
        <v>0</v>
      </c>
      <c r="BD73" s="140"/>
      <c r="BE73" s="138" t="n">
        <f aca="false">IFERROR(ROUND($D73-V73-BF73,0),0)</f>
        <v>0</v>
      </c>
      <c r="BF73" s="139" t="n">
        <f aca="false">IFERROR(W73*$G73,0)</f>
        <v>0</v>
      </c>
      <c r="BG73" s="138" t="n">
        <f aca="false">IFERROR(ROUND($D73-X73-BH73,0),0)</f>
        <v>0</v>
      </c>
      <c r="BH73" s="139" t="n">
        <f aca="false">IFERROR(Y73*$G73,0)</f>
        <v>0</v>
      </c>
      <c r="BI73" s="140" t="n">
        <f aca="false">IFERROR(ROUND($D73-Z73-BJ73,0),0)</f>
        <v>0</v>
      </c>
      <c r="BJ73" s="139" t="n">
        <f aca="false">IFERROR(AA73*$G73,0)</f>
        <v>0</v>
      </c>
      <c r="BK73" s="140" t="n">
        <f aca="false">IFERROR(ROUND($D73-AB73-BL73,0),0)</f>
        <v>0</v>
      </c>
      <c r="BL73" s="139" t="n">
        <f aca="false">IFERROR(AC73*$G73,0)</f>
        <v>0</v>
      </c>
      <c r="BN73" s="142" t="n">
        <v>0</v>
      </c>
      <c r="BO73" s="137"/>
      <c r="BP73" s="138" t="n">
        <v>0</v>
      </c>
      <c r="BQ73" s="139" t="n">
        <v>0</v>
      </c>
      <c r="BR73" s="140"/>
      <c r="BS73" s="138" t="n">
        <v>0</v>
      </c>
      <c r="BT73" s="139" t="n">
        <v>0</v>
      </c>
      <c r="BU73" s="138" t="n">
        <v>0</v>
      </c>
      <c r="BV73" s="139" t="n">
        <v>0</v>
      </c>
      <c r="BW73" s="138" t="n">
        <v>0</v>
      </c>
      <c r="BX73" s="139" t="n">
        <v>0</v>
      </c>
      <c r="BY73" s="138" t="n">
        <v>0</v>
      </c>
      <c r="BZ73" s="139" t="n">
        <v>0</v>
      </c>
      <c r="CA73" s="140"/>
      <c r="CB73" s="138" t="n">
        <v>0</v>
      </c>
      <c r="CC73" s="139" t="n">
        <v>0</v>
      </c>
      <c r="CD73" s="138" t="n">
        <v>0</v>
      </c>
      <c r="CE73" s="139" t="n">
        <v>0</v>
      </c>
      <c r="CF73" s="138" t="n">
        <v>0</v>
      </c>
      <c r="CG73" s="139" t="n">
        <v>0</v>
      </c>
      <c r="CH73" s="138" t="n">
        <v>0</v>
      </c>
      <c r="CI73" s="139" t="n">
        <v>0</v>
      </c>
      <c r="CK73" s="143"/>
      <c r="CL73" s="137"/>
      <c r="CM73" s="144" t="str">
        <f aca="false">IFERROR(+$H73-($J73+$K73*$G73),"-")</f>
        <v>-</v>
      </c>
      <c r="CN73" s="137"/>
      <c r="CO73" s="144" t="str">
        <f aca="false">IFERROR(+$H73-($M73+$N73*$G73),"-")</f>
        <v>-</v>
      </c>
      <c r="CP73" s="144" t="str">
        <f aca="false">IFERROR(+$H73-($O73+$P73*$G73),"-")</f>
        <v>-</v>
      </c>
      <c r="CQ73" s="144" t="str">
        <f aca="false">IFERROR(+$H73-($Q73+$R73*$G73),"-")</f>
        <v>-</v>
      </c>
      <c r="CR73" s="144" t="str">
        <f aca="false">IFERROR(+$H73-($Q73+$R73*$G73),"-")</f>
        <v>-</v>
      </c>
      <c r="CS73" s="137"/>
      <c r="CT73" s="144" t="str">
        <f aca="false">IFERROR(+$H73-($V73+$W73*$G73),"-")</f>
        <v>-</v>
      </c>
      <c r="CU73" s="144" t="str">
        <f aca="false">IFERROR(+$H73-($X73+$Y73*$G73),"-")</f>
        <v>-</v>
      </c>
      <c r="CV73" s="144" t="str">
        <f aca="false">IFERROR(+$H73-($Z73+$AA73*$G73),"-")</f>
        <v>-</v>
      </c>
      <c r="CW73" s="144" t="str">
        <f aca="false">IFERROR(+$H73-($AB73+$AC73*$G73),"-")</f>
        <v>-</v>
      </c>
    </row>
    <row r="74" s="156" customFormat="true" ht="12.75" hidden="false" customHeight="true" outlineLevel="0" collapsed="false">
      <c r="A74" s="1"/>
      <c r="B74" s="145" t="s">
        <v>130</v>
      </c>
      <c r="C74" s="146" t="s">
        <v>150</v>
      </c>
      <c r="D74" s="147" t="e">
        <f aca="false">VLOOKUP($C74,#REF!,5,0)</f>
        <v>#VALUE!</v>
      </c>
      <c r="E74" s="148" t="e">
        <f aca="false">VLOOKUP($C74,#REF!,6,0)</f>
        <v>#VALUE!</v>
      </c>
      <c r="F74" s="146" t="e">
        <f aca="false">VLOOKUP($C74,#REF!,7,0)</f>
        <v>#VALUE!</v>
      </c>
      <c r="G74" s="146" t="e">
        <f aca="false">VLOOKUP($C74,#REF!,8,0)</f>
        <v>#VALUE!</v>
      </c>
      <c r="H74" s="149" t="e">
        <f aca="false">VLOOKUP($C74,#REF!,9,0)</f>
        <v>#VALUE!</v>
      </c>
      <c r="I74" s="137"/>
      <c r="J74" s="150" t="e">
        <f aca="false">VLOOKUP($C74,#REF!,10,0)</f>
        <v>#VALUE!</v>
      </c>
      <c r="K74" s="151" t="e">
        <f aca="false">VLOOKUP($C74,#REF!,11,0)</f>
        <v>#VALUE!</v>
      </c>
      <c r="L74" s="140"/>
      <c r="M74" s="150" t="e">
        <f aca="false">VLOOKUP($C74,#REF!,12,0)</f>
        <v>#VALUE!</v>
      </c>
      <c r="N74" s="152" t="e">
        <f aca="false">VLOOKUP($C74,#REF!,13,0)</f>
        <v>#VALUE!</v>
      </c>
      <c r="O74" s="150" t="e">
        <f aca="false">VLOOKUP($C74,#REF!,14,0)</f>
        <v>#VALUE!</v>
      </c>
      <c r="P74" s="152" t="e">
        <f aca="false">VLOOKUP($C74,#REF!,15,0)</f>
        <v>#VALUE!</v>
      </c>
      <c r="Q74" s="150" t="e">
        <f aca="false">VLOOKUP($C74,#REF!,16,0)</f>
        <v>#VALUE!</v>
      </c>
      <c r="R74" s="151" t="e">
        <f aca="false">VLOOKUP($C74,#REF!,17,0)</f>
        <v>#VALUE!</v>
      </c>
      <c r="S74" s="152" t="e">
        <f aca="false">VLOOKUP($C74,#REF!,18,0)</f>
        <v>#VALUE!</v>
      </c>
      <c r="T74" s="151" t="e">
        <f aca="false">VLOOKUP($C74,#REF!,19,0)</f>
        <v>#VALUE!</v>
      </c>
      <c r="U74" s="140"/>
      <c r="V74" s="150" t="e">
        <f aca="false">VLOOKUP($C74,#REF!,20,0)</f>
        <v>#VALUE!</v>
      </c>
      <c r="W74" s="152" t="e">
        <f aca="false">VLOOKUP($C74,#REF!,21,0)</f>
        <v>#VALUE!</v>
      </c>
      <c r="X74" s="150" t="e">
        <f aca="false">VLOOKUP($C74,#REF!,22,0)</f>
        <v>#VALUE!</v>
      </c>
      <c r="Y74" s="152" t="e">
        <f aca="false">VLOOKUP($C74,#REF!,23,0)</f>
        <v>#VALUE!</v>
      </c>
      <c r="Z74" s="150" t="e">
        <f aca="false">VLOOKUP($C74,#REF!,24,0)</f>
        <v>#VALUE!</v>
      </c>
      <c r="AA74" s="151" t="e">
        <f aca="false">VLOOKUP($C74,#REF!,25,0)</f>
        <v>#VALUE!</v>
      </c>
      <c r="AB74" s="152" t="e">
        <f aca="false">VLOOKUP($C74,#REF!,26,0)</f>
        <v>#VALUE!</v>
      </c>
      <c r="AC74" s="151" t="e">
        <f aca="false">VLOOKUP($C74,#REF!,27,0)</f>
        <v>#VALUE!</v>
      </c>
      <c r="AD74" s="1"/>
      <c r="AE74" s="150" t="e">
        <f aca="false">IF(M74="-","-","0,5 GB")</f>
        <v>#VALUE!</v>
      </c>
      <c r="AF74" s="153" t="s">
        <v>92</v>
      </c>
      <c r="AG74" s="153" t="s">
        <v>93</v>
      </c>
      <c r="AH74" s="151" t="s">
        <v>94</v>
      </c>
      <c r="AI74" s="1"/>
      <c r="AJ74" s="150" t="s">
        <v>95</v>
      </c>
      <c r="AK74" s="153" t="s">
        <v>96</v>
      </c>
      <c r="AL74" s="153" t="s">
        <v>97</v>
      </c>
      <c r="AM74" s="153" t="s">
        <v>98</v>
      </c>
      <c r="AN74" s="153" t="s">
        <v>98</v>
      </c>
      <c r="AO74" s="151" t="s">
        <v>92</v>
      </c>
      <c r="AP74" s="1"/>
      <c r="AQ74" s="154" t="n">
        <v>2</v>
      </c>
      <c r="AR74" s="137"/>
      <c r="AS74" s="150" t="n">
        <v>0</v>
      </c>
      <c r="AT74" s="151" t="n">
        <v>0</v>
      </c>
      <c r="AU74" s="140"/>
      <c r="AV74" s="150" t="n">
        <f aca="false">IFERROR(ROUND($D74-M74-AW74,0),0)</f>
        <v>0</v>
      </c>
      <c r="AW74" s="151" t="n">
        <f aca="false">IFERROR(N74*$G74,0)</f>
        <v>0</v>
      </c>
      <c r="AX74" s="150" t="n">
        <f aca="false">IFERROR(ROUND($D74-O74-AY74,0),0)</f>
        <v>0</v>
      </c>
      <c r="AY74" s="151" t="n">
        <f aca="false">IFERROR(P74*$G74,0)</f>
        <v>0</v>
      </c>
      <c r="AZ74" s="150" t="n">
        <f aca="false">IFERROR(ROUND($D74-Q74-BA74,0),0)</f>
        <v>0</v>
      </c>
      <c r="BA74" s="151" t="n">
        <f aca="false">IFERROR(R74*$G74,0)</f>
        <v>0</v>
      </c>
      <c r="BB74" s="152" t="n">
        <f aca="false">IFERROR(ROUND($D74-S74-BC74,0),0)</f>
        <v>0</v>
      </c>
      <c r="BC74" s="151" t="n">
        <f aca="false">IFERROR(T74*$G74,0)</f>
        <v>0</v>
      </c>
      <c r="BD74" s="140"/>
      <c r="BE74" s="150" t="n">
        <f aca="false">IFERROR(ROUND($D74-V74-BF74,0),0)</f>
        <v>0</v>
      </c>
      <c r="BF74" s="151" t="n">
        <f aca="false">IFERROR(W74*$G74,0)</f>
        <v>0</v>
      </c>
      <c r="BG74" s="150" t="n">
        <f aca="false">IFERROR(ROUND($D74-X74-BH74,0),0)</f>
        <v>0</v>
      </c>
      <c r="BH74" s="151" t="n">
        <f aca="false">IFERROR(Y74*$G74,0)</f>
        <v>0</v>
      </c>
      <c r="BI74" s="152" t="n">
        <f aca="false">IFERROR(ROUND($D74-Z74-BJ74,0),0)</f>
        <v>0</v>
      </c>
      <c r="BJ74" s="151" t="n">
        <f aca="false">IFERROR(AA74*$G74,0)</f>
        <v>0</v>
      </c>
      <c r="BK74" s="152" t="n">
        <f aca="false">IFERROR(ROUND($D74-AB74-BL74,0),0)</f>
        <v>0</v>
      </c>
      <c r="BL74" s="151" t="n">
        <f aca="false">IFERROR(AC74*$G74,0)</f>
        <v>0</v>
      </c>
      <c r="BM74" s="1"/>
      <c r="BN74" s="154" t="n">
        <v>0</v>
      </c>
      <c r="BO74" s="155"/>
      <c r="BP74" s="150" t="n">
        <v>0</v>
      </c>
      <c r="BQ74" s="151" t="n">
        <v>0</v>
      </c>
      <c r="BR74" s="152"/>
      <c r="BS74" s="150" t="n">
        <v>0</v>
      </c>
      <c r="BT74" s="151" t="n">
        <v>0</v>
      </c>
      <c r="BU74" s="150" t="n">
        <v>0</v>
      </c>
      <c r="BV74" s="151" t="n">
        <v>0</v>
      </c>
      <c r="BW74" s="150" t="n">
        <v>0</v>
      </c>
      <c r="BX74" s="151" t="n">
        <v>0</v>
      </c>
      <c r="BY74" s="150" t="n">
        <v>0</v>
      </c>
      <c r="BZ74" s="151" t="n">
        <v>0</v>
      </c>
      <c r="CA74" s="152"/>
      <c r="CB74" s="150" t="n">
        <v>0</v>
      </c>
      <c r="CC74" s="151" t="n">
        <v>0</v>
      </c>
      <c r="CD74" s="150" t="n">
        <v>0</v>
      </c>
      <c r="CE74" s="151" t="n">
        <v>0</v>
      </c>
      <c r="CF74" s="150" t="n">
        <v>0</v>
      </c>
      <c r="CG74" s="151" t="n">
        <v>0</v>
      </c>
      <c r="CH74" s="150" t="n">
        <v>0</v>
      </c>
      <c r="CI74" s="151" t="n">
        <v>0</v>
      </c>
      <c r="CJ74" s="1"/>
      <c r="CK74" s="149"/>
      <c r="CL74" s="137"/>
      <c r="CM74" s="154" t="str">
        <f aca="false">IFERROR(+$H74-($J74+$K74*$G74),"-")</f>
        <v>-</v>
      </c>
      <c r="CN74" s="137"/>
      <c r="CO74" s="154" t="str">
        <f aca="false">IFERROR(+$H74-($M74+$N74*$G74),"-")</f>
        <v>-</v>
      </c>
      <c r="CP74" s="154" t="str">
        <f aca="false">IFERROR(+$H74-($O74+$P74*$G74),"-")</f>
        <v>-</v>
      </c>
      <c r="CQ74" s="154" t="str">
        <f aca="false">IFERROR(+$H74-($Q74+$R74*$G74),"-")</f>
        <v>-</v>
      </c>
      <c r="CR74" s="154" t="str">
        <f aca="false">IFERROR(+$H74-($Q74+$R74*$G74),"-")</f>
        <v>-</v>
      </c>
      <c r="CS74" s="137"/>
      <c r="CT74" s="154" t="str">
        <f aca="false">IFERROR(+$H74-($V74+$W74*$G74),"-")</f>
        <v>-</v>
      </c>
      <c r="CU74" s="154" t="str">
        <f aca="false">IFERROR(+$H74-($X74+$Y74*$G74),"-")</f>
        <v>-</v>
      </c>
      <c r="CV74" s="154" t="str">
        <f aca="false">IFERROR(+$H74-($Z74+$AA74*$G74),"-")</f>
        <v>-</v>
      </c>
      <c r="CW74" s="154" t="str">
        <f aca="false">IFERROR(+$H74-($AB74+$AC74*$G74),"-")</f>
        <v>-</v>
      </c>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row>
    <row r="75" s="1" customFormat="true" ht="12.75" hidden="false" customHeight="true" outlineLevel="0" collapsed="false">
      <c r="B75" s="134" t="s">
        <v>130</v>
      </c>
      <c r="C75" s="135" t="s">
        <v>151</v>
      </c>
      <c r="D75" s="136" t="e">
        <f aca="false">VLOOKUP($C75,#REF!,5,0)</f>
        <v>#VALUE!</v>
      </c>
      <c r="E75" s="157" t="e">
        <f aca="false">VLOOKUP($C75,#REF!,6,0)</f>
        <v>#VALUE!</v>
      </c>
      <c r="F75" s="135" t="e">
        <f aca="false">VLOOKUP($C75,#REF!,7,0)</f>
        <v>#VALUE!</v>
      </c>
      <c r="G75" s="135" t="e">
        <f aca="false">VLOOKUP($C75,#REF!,8,0)</f>
        <v>#VALUE!</v>
      </c>
      <c r="H75" s="158" t="e">
        <f aca="false">VLOOKUP($C75,#REF!,9,0)</f>
        <v>#VALUE!</v>
      </c>
      <c r="I75" s="137"/>
      <c r="J75" s="138" t="e">
        <f aca="false">VLOOKUP($C75,#REF!,10,0)</f>
        <v>#VALUE!</v>
      </c>
      <c r="K75" s="139" t="e">
        <f aca="false">VLOOKUP($C75,#REF!,11,0)</f>
        <v>#VALUE!</v>
      </c>
      <c r="L75" s="140"/>
      <c r="M75" s="138" t="e">
        <f aca="false">VLOOKUP($C75,#REF!,12,0)</f>
        <v>#VALUE!</v>
      </c>
      <c r="N75" s="140" t="e">
        <f aca="false">VLOOKUP($C75,#REF!,13,0)</f>
        <v>#VALUE!</v>
      </c>
      <c r="O75" s="138" t="e">
        <f aca="false">VLOOKUP($C75,#REF!,14,0)</f>
        <v>#VALUE!</v>
      </c>
      <c r="P75" s="140" t="e">
        <f aca="false">VLOOKUP($C75,#REF!,15,0)</f>
        <v>#VALUE!</v>
      </c>
      <c r="Q75" s="138" t="e">
        <f aca="false">VLOOKUP($C75,#REF!,16,0)</f>
        <v>#VALUE!</v>
      </c>
      <c r="R75" s="139" t="e">
        <f aca="false">VLOOKUP($C75,#REF!,17,0)</f>
        <v>#VALUE!</v>
      </c>
      <c r="S75" s="140" t="e">
        <f aca="false">VLOOKUP($C75,#REF!,18,0)</f>
        <v>#VALUE!</v>
      </c>
      <c r="T75" s="139" t="e">
        <f aca="false">VLOOKUP($C75,#REF!,19,0)</f>
        <v>#VALUE!</v>
      </c>
      <c r="U75" s="140"/>
      <c r="V75" s="138" t="e">
        <f aca="false">VLOOKUP($C75,#REF!,20,0)</f>
        <v>#VALUE!</v>
      </c>
      <c r="W75" s="140" t="e">
        <f aca="false">VLOOKUP($C75,#REF!,21,0)</f>
        <v>#VALUE!</v>
      </c>
      <c r="X75" s="138" t="e">
        <f aca="false">VLOOKUP($C75,#REF!,22,0)</f>
        <v>#VALUE!</v>
      </c>
      <c r="Y75" s="140" t="e">
        <f aca="false">VLOOKUP($C75,#REF!,23,0)</f>
        <v>#VALUE!</v>
      </c>
      <c r="Z75" s="138" t="e">
        <f aca="false">VLOOKUP($C75,#REF!,24,0)</f>
        <v>#VALUE!</v>
      </c>
      <c r="AA75" s="139" t="e">
        <f aca="false">VLOOKUP($C75,#REF!,25,0)</f>
        <v>#VALUE!</v>
      </c>
      <c r="AB75" s="140" t="e">
        <f aca="false">VLOOKUP($C75,#REF!,26,0)</f>
        <v>#VALUE!</v>
      </c>
      <c r="AC75" s="139" t="e">
        <f aca="false">VLOOKUP($C75,#REF!,27,0)</f>
        <v>#VALUE!</v>
      </c>
      <c r="AE75" s="138" t="e">
        <f aca="false">IF(M75="-","-","0,5 GB")</f>
        <v>#VALUE!</v>
      </c>
      <c r="AF75" s="141" t="s">
        <v>92</v>
      </c>
      <c r="AG75" s="141" t="s">
        <v>93</v>
      </c>
      <c r="AH75" s="139" t="s">
        <v>94</v>
      </c>
      <c r="AJ75" s="138" t="s">
        <v>95</v>
      </c>
      <c r="AK75" s="141" t="s">
        <v>96</v>
      </c>
      <c r="AL75" s="141" t="s">
        <v>97</v>
      </c>
      <c r="AM75" s="141" t="s">
        <v>98</v>
      </c>
      <c r="AN75" s="141" t="s">
        <v>98</v>
      </c>
      <c r="AO75" s="139" t="s">
        <v>92</v>
      </c>
      <c r="AQ75" s="142" t="n">
        <v>0</v>
      </c>
      <c r="AR75" s="137"/>
      <c r="AS75" s="138" t="n">
        <v>0</v>
      </c>
      <c r="AT75" s="139" t="n">
        <v>0</v>
      </c>
      <c r="AU75" s="140"/>
      <c r="AV75" s="138" t="n">
        <f aca="false">IFERROR(ROUND($D75-M75-AW75,0),0)</f>
        <v>0</v>
      </c>
      <c r="AW75" s="139" t="n">
        <f aca="false">IFERROR(N75*$G75,0)</f>
        <v>0</v>
      </c>
      <c r="AX75" s="138" t="n">
        <f aca="false">IFERROR(ROUND($D75-O75-AY75,0),0)</f>
        <v>0</v>
      </c>
      <c r="AY75" s="139" t="n">
        <f aca="false">IFERROR(P75*$G75,0)</f>
        <v>0</v>
      </c>
      <c r="AZ75" s="138" t="n">
        <f aca="false">IFERROR(ROUND($D75-Q75-BA75,0),0)</f>
        <v>0</v>
      </c>
      <c r="BA75" s="139" t="n">
        <f aca="false">IFERROR(R75*$G75,0)</f>
        <v>0</v>
      </c>
      <c r="BB75" s="140" t="n">
        <f aca="false">IFERROR(ROUND($D75-S75-BC75,0),0)</f>
        <v>0</v>
      </c>
      <c r="BC75" s="139" t="n">
        <f aca="false">IFERROR(T75*$G75,0)</f>
        <v>0</v>
      </c>
      <c r="BD75" s="140"/>
      <c r="BE75" s="138" t="n">
        <f aca="false">IFERROR(ROUND($D75-V75-BF75,0),0)</f>
        <v>0</v>
      </c>
      <c r="BF75" s="139" t="n">
        <f aca="false">IFERROR(W75*$G75,0)</f>
        <v>0</v>
      </c>
      <c r="BG75" s="138" t="n">
        <f aca="false">IFERROR(ROUND($D75-X75-BH75,0),0)</f>
        <v>0</v>
      </c>
      <c r="BH75" s="139" t="n">
        <f aca="false">IFERROR(Y75*$G75,0)</f>
        <v>0</v>
      </c>
      <c r="BI75" s="140" t="n">
        <f aca="false">IFERROR(ROUND($D75-Z75-BJ75,0),0)</f>
        <v>0</v>
      </c>
      <c r="BJ75" s="139" t="n">
        <f aca="false">IFERROR(AA75*$G75,0)</f>
        <v>0</v>
      </c>
      <c r="BK75" s="140" t="n">
        <f aca="false">IFERROR(ROUND($D75-AB75-BL75,0),0)</f>
        <v>0</v>
      </c>
      <c r="BL75" s="139" t="n">
        <f aca="false">IFERROR(AC75*$G75,0)</f>
        <v>0</v>
      </c>
      <c r="BN75" s="142" t="n">
        <v>0</v>
      </c>
      <c r="BO75" s="137"/>
      <c r="BP75" s="138" t="n">
        <v>0</v>
      </c>
      <c r="BQ75" s="139" t="n">
        <v>0</v>
      </c>
      <c r="BR75" s="140"/>
      <c r="BS75" s="138" t="n">
        <v>0</v>
      </c>
      <c r="BT75" s="139" t="n">
        <v>0</v>
      </c>
      <c r="BU75" s="138" t="n">
        <v>0</v>
      </c>
      <c r="BV75" s="139" t="n">
        <v>0</v>
      </c>
      <c r="BW75" s="138" t="n">
        <v>0</v>
      </c>
      <c r="BX75" s="139" t="n">
        <v>0</v>
      </c>
      <c r="BY75" s="138" t="n">
        <v>0</v>
      </c>
      <c r="BZ75" s="139" t="n">
        <v>0</v>
      </c>
      <c r="CA75" s="140"/>
      <c r="CB75" s="138" t="n">
        <v>0</v>
      </c>
      <c r="CC75" s="139" t="n">
        <v>0</v>
      </c>
      <c r="CD75" s="138" t="n">
        <v>0</v>
      </c>
      <c r="CE75" s="139" t="n">
        <v>0</v>
      </c>
      <c r="CF75" s="138" t="n">
        <v>0</v>
      </c>
      <c r="CG75" s="139" t="n">
        <v>0</v>
      </c>
      <c r="CH75" s="138" t="n">
        <v>0</v>
      </c>
      <c r="CI75" s="139" t="n">
        <v>0</v>
      </c>
      <c r="CK75" s="143"/>
      <c r="CL75" s="137"/>
      <c r="CM75" s="144" t="str">
        <f aca="false">IFERROR(+$H75-($J75+$K75*$G75),"-")</f>
        <v>-</v>
      </c>
      <c r="CN75" s="137"/>
      <c r="CO75" s="144" t="str">
        <f aca="false">IFERROR(+$H75-($M75+$N75*$G75),"-")</f>
        <v>-</v>
      </c>
      <c r="CP75" s="144" t="str">
        <f aca="false">IFERROR(+$H75-($O75+$P75*$G75),"-")</f>
        <v>-</v>
      </c>
      <c r="CQ75" s="144" t="str">
        <f aca="false">IFERROR(+$H75-($Q75+$R75*$G75),"-")</f>
        <v>-</v>
      </c>
      <c r="CR75" s="144" t="str">
        <f aca="false">IFERROR(+$H75-($Q75+$R75*$G75),"-")</f>
        <v>-</v>
      </c>
      <c r="CS75" s="137"/>
      <c r="CT75" s="144" t="str">
        <f aca="false">IFERROR(+$H75-($V75+$W75*$G75),"-")</f>
        <v>-</v>
      </c>
      <c r="CU75" s="144" t="str">
        <f aca="false">IFERROR(+$H75-($X75+$Y75*$G75),"-")</f>
        <v>-</v>
      </c>
      <c r="CV75" s="144" t="str">
        <f aca="false">IFERROR(+$H75-($Z75+$AA75*$G75),"-")</f>
        <v>-</v>
      </c>
      <c r="CW75" s="144" t="str">
        <f aca="false">IFERROR(+$H75-($AB75+$AC75*$G75),"-")</f>
        <v>-</v>
      </c>
    </row>
    <row r="76" s="156" customFormat="true" ht="12.75" hidden="false" customHeight="true" outlineLevel="0" collapsed="false">
      <c r="A76" s="1"/>
      <c r="B76" s="145" t="s">
        <v>130</v>
      </c>
      <c r="C76" s="146" t="s">
        <v>152</v>
      </c>
      <c r="D76" s="147" t="e">
        <f aca="false">VLOOKUP($C76,#REF!,5,0)</f>
        <v>#VALUE!</v>
      </c>
      <c r="E76" s="148" t="e">
        <f aca="false">VLOOKUP($C76,#REF!,6,0)</f>
        <v>#VALUE!</v>
      </c>
      <c r="F76" s="146" t="e">
        <f aca="false">VLOOKUP($C76,#REF!,7,0)</f>
        <v>#VALUE!</v>
      </c>
      <c r="G76" s="146" t="e">
        <f aca="false">VLOOKUP($C76,#REF!,8,0)</f>
        <v>#VALUE!</v>
      </c>
      <c r="H76" s="149" t="e">
        <f aca="false">VLOOKUP($C76,#REF!,9,0)</f>
        <v>#VALUE!</v>
      </c>
      <c r="I76" s="137"/>
      <c r="J76" s="150" t="e">
        <f aca="false">VLOOKUP($C76,#REF!,10,0)</f>
        <v>#VALUE!</v>
      </c>
      <c r="K76" s="151" t="e">
        <f aca="false">VLOOKUP($C76,#REF!,11,0)</f>
        <v>#VALUE!</v>
      </c>
      <c r="L76" s="140"/>
      <c r="M76" s="150" t="e">
        <f aca="false">VLOOKUP($C76,#REF!,12,0)</f>
        <v>#VALUE!</v>
      </c>
      <c r="N76" s="152" t="e">
        <f aca="false">VLOOKUP($C76,#REF!,13,0)</f>
        <v>#VALUE!</v>
      </c>
      <c r="O76" s="150" t="e">
        <f aca="false">VLOOKUP($C76,#REF!,14,0)</f>
        <v>#VALUE!</v>
      </c>
      <c r="P76" s="152" t="e">
        <f aca="false">VLOOKUP($C76,#REF!,15,0)</f>
        <v>#VALUE!</v>
      </c>
      <c r="Q76" s="150" t="e">
        <f aca="false">VLOOKUP($C76,#REF!,16,0)</f>
        <v>#VALUE!</v>
      </c>
      <c r="R76" s="151" t="e">
        <f aca="false">VLOOKUP($C76,#REF!,17,0)</f>
        <v>#VALUE!</v>
      </c>
      <c r="S76" s="152" t="e">
        <f aca="false">VLOOKUP($C76,#REF!,18,0)</f>
        <v>#VALUE!</v>
      </c>
      <c r="T76" s="151" t="e">
        <f aca="false">VLOOKUP($C76,#REF!,19,0)</f>
        <v>#VALUE!</v>
      </c>
      <c r="U76" s="140"/>
      <c r="V76" s="150" t="e">
        <f aca="false">VLOOKUP($C76,#REF!,20,0)</f>
        <v>#VALUE!</v>
      </c>
      <c r="W76" s="152" t="e">
        <f aca="false">VLOOKUP($C76,#REF!,21,0)</f>
        <v>#VALUE!</v>
      </c>
      <c r="X76" s="150" t="e">
        <f aca="false">VLOOKUP($C76,#REF!,22,0)</f>
        <v>#VALUE!</v>
      </c>
      <c r="Y76" s="152" t="e">
        <f aca="false">VLOOKUP($C76,#REF!,23,0)</f>
        <v>#VALUE!</v>
      </c>
      <c r="Z76" s="150" t="e">
        <f aca="false">VLOOKUP($C76,#REF!,24,0)</f>
        <v>#VALUE!</v>
      </c>
      <c r="AA76" s="151" t="e">
        <f aca="false">VLOOKUP($C76,#REF!,25,0)</f>
        <v>#VALUE!</v>
      </c>
      <c r="AB76" s="152" t="e">
        <f aca="false">VLOOKUP($C76,#REF!,26,0)</f>
        <v>#VALUE!</v>
      </c>
      <c r="AC76" s="151" t="e">
        <f aca="false">VLOOKUP($C76,#REF!,27,0)</f>
        <v>#VALUE!</v>
      </c>
      <c r="AD76" s="1"/>
      <c r="AE76" s="150" t="e">
        <f aca="false">IF(M76="-","-","0,5 GB")</f>
        <v>#VALUE!</v>
      </c>
      <c r="AF76" s="153" t="s">
        <v>92</v>
      </c>
      <c r="AG76" s="153" t="s">
        <v>93</v>
      </c>
      <c r="AH76" s="151" t="s">
        <v>94</v>
      </c>
      <c r="AI76" s="1"/>
      <c r="AJ76" s="150" t="s">
        <v>95</v>
      </c>
      <c r="AK76" s="153" t="s">
        <v>96</v>
      </c>
      <c r="AL76" s="153" t="s">
        <v>97</v>
      </c>
      <c r="AM76" s="153" t="s">
        <v>98</v>
      </c>
      <c r="AN76" s="153" t="s">
        <v>98</v>
      </c>
      <c r="AO76" s="151" t="s">
        <v>92</v>
      </c>
      <c r="AP76" s="1"/>
      <c r="AQ76" s="154" t="n">
        <v>-8</v>
      </c>
      <c r="AR76" s="137"/>
      <c r="AS76" s="150" t="n">
        <v>0</v>
      </c>
      <c r="AT76" s="151" t="n">
        <v>0</v>
      </c>
      <c r="AU76" s="140"/>
      <c r="AV76" s="150" t="n">
        <f aca="false">IFERROR(ROUND($D76-M76-AW76,0),0)</f>
        <v>0</v>
      </c>
      <c r="AW76" s="151" t="n">
        <f aca="false">IFERROR(N76*$G76,0)</f>
        <v>0</v>
      </c>
      <c r="AX76" s="150" t="n">
        <f aca="false">IFERROR(ROUND($D76-O76-AY76,0),0)</f>
        <v>0</v>
      </c>
      <c r="AY76" s="151" t="n">
        <f aca="false">IFERROR(P76*$G76,0)</f>
        <v>0</v>
      </c>
      <c r="AZ76" s="150" t="n">
        <f aca="false">IFERROR(ROUND($D76-Q76-BA76,0),0)</f>
        <v>0</v>
      </c>
      <c r="BA76" s="151" t="n">
        <f aca="false">IFERROR(R76*$G76,0)</f>
        <v>0</v>
      </c>
      <c r="BB76" s="152" t="n">
        <f aca="false">IFERROR(ROUND($D76-S76-BC76,0),0)</f>
        <v>0</v>
      </c>
      <c r="BC76" s="151" t="n">
        <f aca="false">IFERROR(T76*$G76,0)</f>
        <v>0</v>
      </c>
      <c r="BD76" s="140"/>
      <c r="BE76" s="150" t="n">
        <f aca="false">IFERROR(ROUND($D76-V76-BF76,0),0)</f>
        <v>0</v>
      </c>
      <c r="BF76" s="151" t="n">
        <f aca="false">IFERROR(W76*$G76,0)</f>
        <v>0</v>
      </c>
      <c r="BG76" s="150" t="n">
        <f aca="false">IFERROR(ROUND($D76-X76-BH76,0),0)</f>
        <v>0</v>
      </c>
      <c r="BH76" s="151" t="n">
        <f aca="false">IFERROR(Y76*$G76,0)</f>
        <v>0</v>
      </c>
      <c r="BI76" s="152" t="n">
        <f aca="false">IFERROR(ROUND($D76-Z76-BJ76,0),0)</f>
        <v>0</v>
      </c>
      <c r="BJ76" s="151" t="n">
        <f aca="false">IFERROR(AA76*$G76,0)</f>
        <v>0</v>
      </c>
      <c r="BK76" s="152" t="n">
        <f aca="false">IFERROR(ROUND($D76-AB76-BL76,0),0)</f>
        <v>0</v>
      </c>
      <c r="BL76" s="151" t="n">
        <f aca="false">IFERROR(AC76*$G76,0)</f>
        <v>0</v>
      </c>
      <c r="BM76" s="1"/>
      <c r="BN76" s="154" t="n">
        <v>0</v>
      </c>
      <c r="BO76" s="155"/>
      <c r="BP76" s="150" t="n">
        <v>0</v>
      </c>
      <c r="BQ76" s="151" t="n">
        <v>0</v>
      </c>
      <c r="BR76" s="152"/>
      <c r="BS76" s="150" t="n">
        <v>0</v>
      </c>
      <c r="BT76" s="151" t="n">
        <v>0</v>
      </c>
      <c r="BU76" s="150" t="n">
        <v>0</v>
      </c>
      <c r="BV76" s="151" t="n">
        <v>0</v>
      </c>
      <c r="BW76" s="150" t="n">
        <v>0</v>
      </c>
      <c r="BX76" s="151" t="n">
        <v>0</v>
      </c>
      <c r="BY76" s="150" t="n">
        <v>0</v>
      </c>
      <c r="BZ76" s="151" t="n">
        <v>0</v>
      </c>
      <c r="CA76" s="152"/>
      <c r="CB76" s="150" t="n">
        <v>0</v>
      </c>
      <c r="CC76" s="151" t="n">
        <v>0</v>
      </c>
      <c r="CD76" s="150" t="n">
        <v>0</v>
      </c>
      <c r="CE76" s="151" t="n">
        <v>0</v>
      </c>
      <c r="CF76" s="150" t="n">
        <v>0</v>
      </c>
      <c r="CG76" s="151" t="n">
        <v>0</v>
      </c>
      <c r="CH76" s="150" t="n">
        <v>0</v>
      </c>
      <c r="CI76" s="151" t="n">
        <v>0</v>
      </c>
      <c r="CJ76" s="1"/>
      <c r="CK76" s="149"/>
      <c r="CL76" s="137"/>
      <c r="CM76" s="154" t="str">
        <f aca="false">IFERROR(+$H76-($J76+$K76*$G76),"-")</f>
        <v>-</v>
      </c>
      <c r="CN76" s="137"/>
      <c r="CO76" s="154" t="str">
        <f aca="false">IFERROR(+$H76-($M76+$N76*$G76),"-")</f>
        <v>-</v>
      </c>
      <c r="CP76" s="154" t="str">
        <f aca="false">IFERROR(+$H76-($O76+$P76*$G76),"-")</f>
        <v>-</v>
      </c>
      <c r="CQ76" s="154" t="str">
        <f aca="false">IFERROR(+$H76-($Q76+$R76*$G76),"-")</f>
        <v>-</v>
      </c>
      <c r="CR76" s="154" t="str">
        <f aca="false">IFERROR(+$H76-($Q76+$R76*$G76),"-")</f>
        <v>-</v>
      </c>
      <c r="CS76" s="137"/>
      <c r="CT76" s="154" t="str">
        <f aca="false">IFERROR(+$H76-($V76+$W76*$G76),"-")</f>
        <v>-</v>
      </c>
      <c r="CU76" s="154" t="str">
        <f aca="false">IFERROR(+$H76-($X76+$Y76*$G76),"-")</f>
        <v>-</v>
      </c>
      <c r="CV76" s="154" t="str">
        <f aca="false">IFERROR(+$H76-($Z76+$AA76*$G76),"-")</f>
        <v>-</v>
      </c>
      <c r="CW76" s="154" t="str">
        <f aca="false">IFERROR(+$H76-($AB76+$AC76*$G76),"-")</f>
        <v>-</v>
      </c>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row>
    <row r="77" s="1" customFormat="true" ht="12.75" hidden="false" customHeight="true" outlineLevel="0" collapsed="false">
      <c r="B77" s="134" t="s">
        <v>112</v>
      </c>
      <c r="C77" s="135" t="s">
        <v>153</v>
      </c>
      <c r="D77" s="136" t="e">
        <f aca="false">VLOOKUP($C77,#REF!,5,0)</f>
        <v>#VALUE!</v>
      </c>
      <c r="E77" s="157" t="e">
        <f aca="false">VLOOKUP($C77,#REF!,6,0)</f>
        <v>#VALUE!</v>
      </c>
      <c r="F77" s="135" t="e">
        <f aca="false">VLOOKUP($C77,#REF!,7,0)</f>
        <v>#VALUE!</v>
      </c>
      <c r="G77" s="135" t="e">
        <f aca="false">VLOOKUP($C77,#REF!,8,0)</f>
        <v>#VALUE!</v>
      </c>
      <c r="H77" s="158" t="e">
        <f aca="false">VLOOKUP($C77,#REF!,9,0)</f>
        <v>#VALUE!</v>
      </c>
      <c r="I77" s="137"/>
      <c r="J77" s="138" t="e">
        <f aca="false">VLOOKUP($C77,#REF!,10,0)</f>
        <v>#VALUE!</v>
      </c>
      <c r="K77" s="139" t="e">
        <f aca="false">VLOOKUP($C77,#REF!,11,0)</f>
        <v>#VALUE!</v>
      </c>
      <c r="L77" s="140"/>
      <c r="M77" s="138" t="e">
        <f aca="false">VLOOKUP($C77,#REF!,12,0)</f>
        <v>#VALUE!</v>
      </c>
      <c r="N77" s="140" t="e">
        <f aca="false">VLOOKUP($C77,#REF!,13,0)</f>
        <v>#VALUE!</v>
      </c>
      <c r="O77" s="138" t="e">
        <f aca="false">VLOOKUP($C77,#REF!,14,0)</f>
        <v>#VALUE!</v>
      </c>
      <c r="P77" s="140" t="e">
        <f aca="false">VLOOKUP($C77,#REF!,15,0)</f>
        <v>#VALUE!</v>
      </c>
      <c r="Q77" s="138" t="e">
        <f aca="false">VLOOKUP($C77,#REF!,16,0)</f>
        <v>#VALUE!</v>
      </c>
      <c r="R77" s="139" t="e">
        <f aca="false">VLOOKUP($C77,#REF!,17,0)</f>
        <v>#VALUE!</v>
      </c>
      <c r="S77" s="140" t="e">
        <f aca="false">VLOOKUP($C77,#REF!,18,0)</f>
        <v>#VALUE!</v>
      </c>
      <c r="T77" s="139" t="e">
        <f aca="false">VLOOKUP($C77,#REF!,19,0)</f>
        <v>#VALUE!</v>
      </c>
      <c r="U77" s="140"/>
      <c r="V77" s="138" t="e">
        <f aca="false">VLOOKUP($C77,#REF!,20,0)</f>
        <v>#VALUE!</v>
      </c>
      <c r="W77" s="140" t="e">
        <f aca="false">VLOOKUP($C77,#REF!,21,0)</f>
        <v>#VALUE!</v>
      </c>
      <c r="X77" s="138" t="e">
        <f aca="false">VLOOKUP($C77,#REF!,22,0)</f>
        <v>#VALUE!</v>
      </c>
      <c r="Y77" s="140" t="e">
        <f aca="false">VLOOKUP($C77,#REF!,23,0)</f>
        <v>#VALUE!</v>
      </c>
      <c r="Z77" s="138" t="e">
        <f aca="false">VLOOKUP($C77,#REF!,24,0)</f>
        <v>#VALUE!</v>
      </c>
      <c r="AA77" s="139" t="e">
        <f aca="false">VLOOKUP($C77,#REF!,25,0)</f>
        <v>#VALUE!</v>
      </c>
      <c r="AB77" s="140" t="e">
        <f aca="false">VLOOKUP($C77,#REF!,26,0)</f>
        <v>#VALUE!</v>
      </c>
      <c r="AC77" s="139" t="e">
        <f aca="false">VLOOKUP($C77,#REF!,27,0)</f>
        <v>#VALUE!</v>
      </c>
      <c r="AE77" s="138" t="e">
        <f aca="false">IF(M77="-","-","0,5 GB")</f>
        <v>#VALUE!</v>
      </c>
      <c r="AF77" s="141" t="s">
        <v>92</v>
      </c>
      <c r="AG77" s="141" t="s">
        <v>93</v>
      </c>
      <c r="AH77" s="139" t="s">
        <v>94</v>
      </c>
      <c r="AJ77" s="138" t="s">
        <v>95</v>
      </c>
      <c r="AK77" s="141" t="s">
        <v>96</v>
      </c>
      <c r="AL77" s="141" t="s">
        <v>97</v>
      </c>
      <c r="AM77" s="141" t="s">
        <v>98</v>
      </c>
      <c r="AN77" s="141" t="s">
        <v>98</v>
      </c>
      <c r="AO77" s="139" t="s">
        <v>92</v>
      </c>
      <c r="AQ77" s="142" t="n">
        <v>0</v>
      </c>
      <c r="AR77" s="137"/>
      <c r="AS77" s="138" t="n">
        <v>0</v>
      </c>
      <c r="AT77" s="139" t="n">
        <v>0</v>
      </c>
      <c r="AU77" s="140"/>
      <c r="AV77" s="138" t="n">
        <f aca="false">IFERROR(ROUND($D77-M77-AW77,0),0)</f>
        <v>0</v>
      </c>
      <c r="AW77" s="139" t="n">
        <f aca="false">IFERROR(N77*$G77,0)</f>
        <v>0</v>
      </c>
      <c r="AX77" s="138" t="n">
        <f aca="false">IFERROR(ROUND($D77-O77-AY77,0),0)</f>
        <v>0</v>
      </c>
      <c r="AY77" s="139" t="n">
        <f aca="false">IFERROR(P77*$G77,0)</f>
        <v>0</v>
      </c>
      <c r="AZ77" s="138" t="n">
        <f aca="false">IFERROR(ROUND($D77-Q77-BA77,0),0)</f>
        <v>0</v>
      </c>
      <c r="BA77" s="139" t="n">
        <f aca="false">IFERROR(R77*$G77,0)</f>
        <v>0</v>
      </c>
      <c r="BB77" s="140" t="n">
        <f aca="false">IFERROR(ROUND($D77-S77-BC77,0),0)</f>
        <v>0</v>
      </c>
      <c r="BC77" s="139" t="n">
        <f aca="false">IFERROR(T77*$G77,0)</f>
        <v>0</v>
      </c>
      <c r="BD77" s="140"/>
      <c r="BE77" s="138" t="n">
        <f aca="false">IFERROR(ROUND($D77-V77-BF77,0),0)</f>
        <v>0</v>
      </c>
      <c r="BF77" s="139" t="n">
        <f aca="false">IFERROR(W77*$G77,0)</f>
        <v>0</v>
      </c>
      <c r="BG77" s="138" t="n">
        <f aca="false">IFERROR(ROUND($D77-X77-BH77,0),0)</f>
        <v>0</v>
      </c>
      <c r="BH77" s="139" t="n">
        <f aca="false">IFERROR(Y77*$G77,0)</f>
        <v>0</v>
      </c>
      <c r="BI77" s="140" t="n">
        <f aca="false">IFERROR(ROUND($D77-Z77-BJ77,0),0)</f>
        <v>0</v>
      </c>
      <c r="BJ77" s="139" t="n">
        <f aca="false">IFERROR(AA77*$G77,0)</f>
        <v>0</v>
      </c>
      <c r="BK77" s="140" t="n">
        <f aca="false">IFERROR(ROUND($D77-AB77-BL77,0),0)</f>
        <v>0</v>
      </c>
      <c r="BL77" s="139" t="n">
        <f aca="false">IFERROR(AC77*$G77,0)</f>
        <v>0</v>
      </c>
      <c r="BN77" s="142" t="n">
        <v>0</v>
      </c>
      <c r="BO77" s="137"/>
      <c r="BP77" s="138" t="n">
        <v>0</v>
      </c>
      <c r="BQ77" s="139" t="n">
        <v>0</v>
      </c>
      <c r="BR77" s="140"/>
      <c r="BS77" s="138" t="n">
        <v>0</v>
      </c>
      <c r="BT77" s="139" t="n">
        <v>0</v>
      </c>
      <c r="BU77" s="138" t="n">
        <v>0</v>
      </c>
      <c r="BV77" s="139" t="n">
        <v>0</v>
      </c>
      <c r="BW77" s="138" t="n">
        <v>0</v>
      </c>
      <c r="BX77" s="139" t="n">
        <v>0</v>
      </c>
      <c r="BY77" s="138" t="n">
        <v>0</v>
      </c>
      <c r="BZ77" s="139" t="n">
        <v>0</v>
      </c>
      <c r="CA77" s="140"/>
      <c r="CB77" s="138" t="n">
        <v>0</v>
      </c>
      <c r="CC77" s="139" t="n">
        <v>0</v>
      </c>
      <c r="CD77" s="138" t="n">
        <v>0</v>
      </c>
      <c r="CE77" s="139" t="n">
        <v>0</v>
      </c>
      <c r="CF77" s="138" t="n">
        <v>0</v>
      </c>
      <c r="CG77" s="139" t="n">
        <v>0</v>
      </c>
      <c r="CH77" s="138" t="n">
        <v>0</v>
      </c>
      <c r="CI77" s="139" t="n">
        <v>0</v>
      </c>
      <c r="CK77" s="143"/>
      <c r="CL77" s="137"/>
      <c r="CM77" s="144" t="str">
        <f aca="false">IFERROR(+$H77-($J77+$K77*$G77),"-")</f>
        <v>-</v>
      </c>
      <c r="CN77" s="137"/>
      <c r="CO77" s="144" t="str">
        <f aca="false">IFERROR(+$H77-($M77+$N77*$G77),"-")</f>
        <v>-</v>
      </c>
      <c r="CP77" s="144" t="str">
        <f aca="false">IFERROR(+$H77-($O77+$P77*$G77),"-")</f>
        <v>-</v>
      </c>
      <c r="CQ77" s="144" t="str">
        <f aca="false">IFERROR(+$H77-($Q77+$R77*$G77),"-")</f>
        <v>-</v>
      </c>
      <c r="CR77" s="144" t="str">
        <f aca="false">IFERROR(+$H77-($Q77+$R77*$G77),"-")</f>
        <v>-</v>
      </c>
      <c r="CS77" s="137"/>
      <c r="CT77" s="144" t="str">
        <f aca="false">IFERROR(+$H77-($V77+$W77*$G77),"-")</f>
        <v>-</v>
      </c>
      <c r="CU77" s="144" t="str">
        <f aca="false">IFERROR(+$H77-($X77+$Y77*$G77),"-")</f>
        <v>-</v>
      </c>
      <c r="CV77" s="144" t="str">
        <f aca="false">IFERROR(+$H77-($Z77+$AA77*$G77),"-")</f>
        <v>-</v>
      </c>
      <c r="CW77" s="144" t="str">
        <f aca="false">IFERROR(+$H77-($AB77+$AC77*$G77),"-")</f>
        <v>-</v>
      </c>
    </row>
    <row r="78" s="156" customFormat="true" ht="12.75" hidden="false" customHeight="true" outlineLevel="0" collapsed="false">
      <c r="A78" s="1"/>
      <c r="B78" s="145" t="s">
        <v>112</v>
      </c>
      <c r="C78" s="146" t="s">
        <v>154</v>
      </c>
      <c r="D78" s="147" t="e">
        <f aca="false">VLOOKUP($C78,#REF!,5,0)</f>
        <v>#VALUE!</v>
      </c>
      <c r="E78" s="148" t="e">
        <f aca="false">VLOOKUP($C78,#REF!,6,0)</f>
        <v>#VALUE!</v>
      </c>
      <c r="F78" s="146" t="e">
        <f aca="false">VLOOKUP($C78,#REF!,7,0)</f>
        <v>#VALUE!</v>
      </c>
      <c r="G78" s="146" t="e">
        <f aca="false">VLOOKUP($C78,#REF!,8,0)</f>
        <v>#VALUE!</v>
      </c>
      <c r="H78" s="149" t="e">
        <f aca="false">VLOOKUP($C78,#REF!,9,0)</f>
        <v>#VALUE!</v>
      </c>
      <c r="I78" s="137"/>
      <c r="J78" s="150" t="e">
        <f aca="false">VLOOKUP($C78,#REF!,10,0)</f>
        <v>#VALUE!</v>
      </c>
      <c r="K78" s="151" t="e">
        <f aca="false">VLOOKUP($C78,#REF!,11,0)</f>
        <v>#VALUE!</v>
      </c>
      <c r="L78" s="140"/>
      <c r="M78" s="150" t="e">
        <f aca="false">VLOOKUP($C78,#REF!,12,0)</f>
        <v>#VALUE!</v>
      </c>
      <c r="N78" s="152" t="e">
        <f aca="false">VLOOKUP($C78,#REF!,13,0)</f>
        <v>#VALUE!</v>
      </c>
      <c r="O78" s="150" t="e">
        <f aca="false">VLOOKUP($C78,#REF!,14,0)</f>
        <v>#VALUE!</v>
      </c>
      <c r="P78" s="152" t="e">
        <f aca="false">VLOOKUP($C78,#REF!,15,0)</f>
        <v>#VALUE!</v>
      </c>
      <c r="Q78" s="150" t="e">
        <f aca="false">VLOOKUP($C78,#REF!,16,0)</f>
        <v>#VALUE!</v>
      </c>
      <c r="R78" s="151" t="e">
        <f aca="false">VLOOKUP($C78,#REF!,17,0)</f>
        <v>#VALUE!</v>
      </c>
      <c r="S78" s="152" t="e">
        <f aca="false">VLOOKUP($C78,#REF!,18,0)</f>
        <v>#VALUE!</v>
      </c>
      <c r="T78" s="151" t="e">
        <f aca="false">VLOOKUP($C78,#REF!,19,0)</f>
        <v>#VALUE!</v>
      </c>
      <c r="U78" s="140"/>
      <c r="V78" s="150" t="e">
        <f aca="false">VLOOKUP($C78,#REF!,20,0)</f>
        <v>#VALUE!</v>
      </c>
      <c r="W78" s="152" t="e">
        <f aca="false">VLOOKUP($C78,#REF!,21,0)</f>
        <v>#VALUE!</v>
      </c>
      <c r="X78" s="150" t="e">
        <f aca="false">VLOOKUP($C78,#REF!,22,0)</f>
        <v>#VALUE!</v>
      </c>
      <c r="Y78" s="152" t="e">
        <f aca="false">VLOOKUP($C78,#REF!,23,0)</f>
        <v>#VALUE!</v>
      </c>
      <c r="Z78" s="150" t="e">
        <f aca="false">VLOOKUP($C78,#REF!,24,0)</f>
        <v>#VALUE!</v>
      </c>
      <c r="AA78" s="151" t="e">
        <f aca="false">VLOOKUP($C78,#REF!,25,0)</f>
        <v>#VALUE!</v>
      </c>
      <c r="AB78" s="152" t="e">
        <f aca="false">VLOOKUP($C78,#REF!,26,0)</f>
        <v>#VALUE!</v>
      </c>
      <c r="AC78" s="151" t="e">
        <f aca="false">VLOOKUP($C78,#REF!,27,0)</f>
        <v>#VALUE!</v>
      </c>
      <c r="AD78" s="1"/>
      <c r="AE78" s="150" t="e">
        <f aca="false">IF(M78="-","-","0,5 GB")</f>
        <v>#VALUE!</v>
      </c>
      <c r="AF78" s="153" t="s">
        <v>92</v>
      </c>
      <c r="AG78" s="153" t="s">
        <v>93</v>
      </c>
      <c r="AH78" s="151" t="s">
        <v>94</v>
      </c>
      <c r="AI78" s="1"/>
      <c r="AJ78" s="150" t="s">
        <v>95</v>
      </c>
      <c r="AK78" s="153" t="s">
        <v>96</v>
      </c>
      <c r="AL78" s="153" t="s">
        <v>97</v>
      </c>
      <c r="AM78" s="153" t="s">
        <v>98</v>
      </c>
      <c r="AN78" s="153" t="s">
        <v>98</v>
      </c>
      <c r="AO78" s="151" t="s">
        <v>92</v>
      </c>
      <c r="AP78" s="1"/>
      <c r="AQ78" s="154" t="n">
        <v>0</v>
      </c>
      <c r="AR78" s="137"/>
      <c r="AS78" s="150" t="n">
        <v>0</v>
      </c>
      <c r="AT78" s="151" t="n">
        <v>0</v>
      </c>
      <c r="AU78" s="140"/>
      <c r="AV78" s="150" t="n">
        <f aca="false">IFERROR(ROUND($D78-M78-AW78,0),0)</f>
        <v>0</v>
      </c>
      <c r="AW78" s="151" t="n">
        <f aca="false">IFERROR(N78*$G78,0)</f>
        <v>0</v>
      </c>
      <c r="AX78" s="150" t="n">
        <f aca="false">IFERROR(ROUND($D78-O78-AY78,0),0)</f>
        <v>0</v>
      </c>
      <c r="AY78" s="151" t="n">
        <f aca="false">IFERROR(P78*$G78,0)</f>
        <v>0</v>
      </c>
      <c r="AZ78" s="150" t="n">
        <f aca="false">IFERROR(ROUND($D78-Q78-BA78,0),0)</f>
        <v>0</v>
      </c>
      <c r="BA78" s="151" t="n">
        <f aca="false">IFERROR(R78*$G78,0)</f>
        <v>0</v>
      </c>
      <c r="BB78" s="152" t="n">
        <f aca="false">IFERROR(ROUND($D78-S78-BC78,0),0)</f>
        <v>0</v>
      </c>
      <c r="BC78" s="151" t="n">
        <f aca="false">IFERROR(T78*$G78,0)</f>
        <v>0</v>
      </c>
      <c r="BD78" s="140"/>
      <c r="BE78" s="150" t="n">
        <f aca="false">IFERROR(ROUND($D78-V78-BF78,0),0)</f>
        <v>0</v>
      </c>
      <c r="BF78" s="151" t="n">
        <f aca="false">IFERROR(W78*$G78,0)</f>
        <v>0</v>
      </c>
      <c r="BG78" s="150" t="n">
        <f aca="false">IFERROR(ROUND($D78-X78-BH78,0),0)</f>
        <v>0</v>
      </c>
      <c r="BH78" s="151" t="n">
        <f aca="false">IFERROR(Y78*$G78,0)</f>
        <v>0</v>
      </c>
      <c r="BI78" s="152" t="n">
        <f aca="false">IFERROR(ROUND($D78-Z78-BJ78,0),0)</f>
        <v>0</v>
      </c>
      <c r="BJ78" s="151" t="n">
        <f aca="false">IFERROR(AA78*$G78,0)</f>
        <v>0</v>
      </c>
      <c r="BK78" s="152" t="n">
        <f aca="false">IFERROR(ROUND($D78-AB78-BL78,0),0)</f>
        <v>0</v>
      </c>
      <c r="BL78" s="151" t="n">
        <f aca="false">IFERROR(AC78*$G78,0)</f>
        <v>0</v>
      </c>
      <c r="BM78" s="1"/>
      <c r="BN78" s="154" t="e">
        <f aca="false">#N/A</f>
        <v>#N/A</v>
      </c>
      <c r="BO78" s="155"/>
      <c r="BP78" s="150" t="e">
        <f aca="false">#N/A</f>
        <v>#N/A</v>
      </c>
      <c r="BQ78" s="151" t="e">
        <f aca="false">#N/A</f>
        <v>#N/A</v>
      </c>
      <c r="BR78" s="152"/>
      <c r="BS78" s="150" t="e">
        <f aca="false">#N/A</f>
        <v>#N/A</v>
      </c>
      <c r="BT78" s="151" t="e">
        <f aca="false">#N/A</f>
        <v>#N/A</v>
      </c>
      <c r="BU78" s="150" t="e">
        <f aca="false">#N/A</f>
        <v>#N/A</v>
      </c>
      <c r="BV78" s="151" t="e">
        <f aca="false">#N/A</f>
        <v>#N/A</v>
      </c>
      <c r="BW78" s="150" t="e">
        <f aca="false">#N/A</f>
        <v>#N/A</v>
      </c>
      <c r="BX78" s="151" t="e">
        <f aca="false">#N/A</f>
        <v>#N/A</v>
      </c>
      <c r="BY78" s="150" t="e">
        <f aca="false">#N/A</f>
        <v>#N/A</v>
      </c>
      <c r="BZ78" s="151" t="e">
        <f aca="false">#N/A</f>
        <v>#N/A</v>
      </c>
      <c r="CA78" s="152"/>
      <c r="CB78" s="150" t="e">
        <f aca="false">#N/A</f>
        <v>#N/A</v>
      </c>
      <c r="CC78" s="151" t="e">
        <f aca="false">#N/A</f>
        <v>#N/A</v>
      </c>
      <c r="CD78" s="150" t="e">
        <f aca="false">#N/A</f>
        <v>#N/A</v>
      </c>
      <c r="CE78" s="151" t="e">
        <f aca="false">#N/A</f>
        <v>#N/A</v>
      </c>
      <c r="CF78" s="150" t="e">
        <f aca="false">#N/A</f>
        <v>#N/A</v>
      </c>
      <c r="CG78" s="151" t="e">
        <f aca="false">#N/A</f>
        <v>#N/A</v>
      </c>
      <c r="CH78" s="150" t="e">
        <f aca="false">#N/A</f>
        <v>#N/A</v>
      </c>
      <c r="CI78" s="151" t="e">
        <f aca="false">#N/A</f>
        <v>#N/A</v>
      </c>
      <c r="CJ78" s="1"/>
      <c r="CK78" s="149"/>
      <c r="CL78" s="137"/>
      <c r="CM78" s="154" t="str">
        <f aca="false">IFERROR(+$H78-($J78+$K78*$G78),"-")</f>
        <v>-</v>
      </c>
      <c r="CN78" s="137"/>
      <c r="CO78" s="154" t="str">
        <f aca="false">IFERROR(+$H78-($M78+$N78*$G78),"-")</f>
        <v>-</v>
      </c>
      <c r="CP78" s="154" t="str">
        <f aca="false">IFERROR(+$H78-($O78+$P78*$G78),"-")</f>
        <v>-</v>
      </c>
      <c r="CQ78" s="154" t="str">
        <f aca="false">IFERROR(+$H78-($Q78+$R78*$G78),"-")</f>
        <v>-</v>
      </c>
      <c r="CR78" s="154" t="str">
        <f aca="false">IFERROR(+$H78-($Q78+$R78*$G78),"-")</f>
        <v>-</v>
      </c>
      <c r="CS78" s="137"/>
      <c r="CT78" s="154" t="str">
        <f aca="false">IFERROR(+$H78-($V78+$W78*$G78),"-")</f>
        <v>-</v>
      </c>
      <c r="CU78" s="154" t="str">
        <f aca="false">IFERROR(+$H78-($X78+$Y78*$G78),"-")</f>
        <v>-</v>
      </c>
      <c r="CV78" s="154" t="str">
        <f aca="false">IFERROR(+$H78-($Z78+$AA78*$G78),"-")</f>
        <v>-</v>
      </c>
      <c r="CW78" s="154" t="str">
        <f aca="false">IFERROR(+$H78-($AB78+$AC78*$G78),"-")</f>
        <v>-</v>
      </c>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row>
    <row r="79" s="1" customFormat="true" ht="12.75" hidden="false" customHeight="true" outlineLevel="0" collapsed="false">
      <c r="B79" s="134" t="s">
        <v>112</v>
      </c>
      <c r="C79" s="135" t="s">
        <v>155</v>
      </c>
      <c r="D79" s="136" t="e">
        <f aca="false">VLOOKUP($C79,#REF!,5,0)</f>
        <v>#VALUE!</v>
      </c>
      <c r="E79" s="157" t="e">
        <f aca="false">VLOOKUP($C79,#REF!,6,0)</f>
        <v>#VALUE!</v>
      </c>
      <c r="F79" s="135" t="e">
        <f aca="false">VLOOKUP($C79,#REF!,7,0)</f>
        <v>#VALUE!</v>
      </c>
      <c r="G79" s="135" t="e">
        <f aca="false">VLOOKUP($C79,#REF!,8,0)</f>
        <v>#VALUE!</v>
      </c>
      <c r="H79" s="158" t="e">
        <f aca="false">VLOOKUP($C79,#REF!,9,0)</f>
        <v>#VALUE!</v>
      </c>
      <c r="I79" s="137"/>
      <c r="J79" s="138" t="e">
        <f aca="false">VLOOKUP($C79,#REF!,10,0)</f>
        <v>#VALUE!</v>
      </c>
      <c r="K79" s="139" t="e">
        <f aca="false">VLOOKUP($C79,#REF!,11,0)</f>
        <v>#VALUE!</v>
      </c>
      <c r="L79" s="140"/>
      <c r="M79" s="138" t="e">
        <f aca="false">VLOOKUP($C79,#REF!,12,0)</f>
        <v>#VALUE!</v>
      </c>
      <c r="N79" s="140" t="e">
        <f aca="false">VLOOKUP($C79,#REF!,13,0)</f>
        <v>#VALUE!</v>
      </c>
      <c r="O79" s="138" t="e">
        <f aca="false">VLOOKUP($C79,#REF!,14,0)</f>
        <v>#VALUE!</v>
      </c>
      <c r="P79" s="140" t="e">
        <f aca="false">VLOOKUP($C79,#REF!,15,0)</f>
        <v>#VALUE!</v>
      </c>
      <c r="Q79" s="138" t="e">
        <f aca="false">VLOOKUP($C79,#REF!,16,0)</f>
        <v>#VALUE!</v>
      </c>
      <c r="R79" s="139" t="e">
        <f aca="false">VLOOKUP($C79,#REF!,17,0)</f>
        <v>#VALUE!</v>
      </c>
      <c r="S79" s="140" t="e">
        <f aca="false">VLOOKUP($C79,#REF!,18,0)</f>
        <v>#VALUE!</v>
      </c>
      <c r="T79" s="139" t="e">
        <f aca="false">VLOOKUP($C79,#REF!,19,0)</f>
        <v>#VALUE!</v>
      </c>
      <c r="U79" s="140"/>
      <c r="V79" s="138" t="e">
        <f aca="false">VLOOKUP($C79,#REF!,20,0)</f>
        <v>#VALUE!</v>
      </c>
      <c r="W79" s="140" t="e">
        <f aca="false">VLOOKUP($C79,#REF!,21,0)</f>
        <v>#VALUE!</v>
      </c>
      <c r="X79" s="138" t="e">
        <f aca="false">VLOOKUP($C79,#REF!,22,0)</f>
        <v>#VALUE!</v>
      </c>
      <c r="Y79" s="140" t="e">
        <f aca="false">VLOOKUP($C79,#REF!,23,0)</f>
        <v>#VALUE!</v>
      </c>
      <c r="Z79" s="138" t="e">
        <f aca="false">VLOOKUP($C79,#REF!,24,0)</f>
        <v>#VALUE!</v>
      </c>
      <c r="AA79" s="139" t="e">
        <f aca="false">VLOOKUP($C79,#REF!,25,0)</f>
        <v>#VALUE!</v>
      </c>
      <c r="AB79" s="140" t="e">
        <f aca="false">VLOOKUP($C79,#REF!,26,0)</f>
        <v>#VALUE!</v>
      </c>
      <c r="AC79" s="139" t="e">
        <f aca="false">VLOOKUP($C79,#REF!,27,0)</f>
        <v>#VALUE!</v>
      </c>
      <c r="AE79" s="138" t="e">
        <f aca="false">IF(M79="-","-","0,5 GB")</f>
        <v>#VALUE!</v>
      </c>
      <c r="AF79" s="141" t="s">
        <v>92</v>
      </c>
      <c r="AG79" s="141" t="s">
        <v>93</v>
      </c>
      <c r="AH79" s="139" t="s">
        <v>94</v>
      </c>
      <c r="AJ79" s="138" t="s">
        <v>95</v>
      </c>
      <c r="AK79" s="141" t="s">
        <v>96</v>
      </c>
      <c r="AL79" s="141" t="s">
        <v>97</v>
      </c>
      <c r="AM79" s="141" t="s">
        <v>98</v>
      </c>
      <c r="AN79" s="141" t="s">
        <v>98</v>
      </c>
      <c r="AO79" s="139" t="s">
        <v>92</v>
      </c>
      <c r="AQ79" s="142" t="n">
        <v>0</v>
      </c>
      <c r="AR79" s="137"/>
      <c r="AS79" s="138" t="n">
        <v>0</v>
      </c>
      <c r="AT79" s="139" t="n">
        <v>0</v>
      </c>
      <c r="AU79" s="140"/>
      <c r="AV79" s="138" t="n">
        <f aca="false">IFERROR(ROUND($D79-M79-AW79,0),0)</f>
        <v>0</v>
      </c>
      <c r="AW79" s="139" t="n">
        <f aca="false">IFERROR(N79*$G79,0)</f>
        <v>0</v>
      </c>
      <c r="AX79" s="138" t="n">
        <f aca="false">IFERROR(ROUND($D79-O79-AY79,0),0)</f>
        <v>0</v>
      </c>
      <c r="AY79" s="139" t="n">
        <f aca="false">IFERROR(P79*$G79,0)</f>
        <v>0</v>
      </c>
      <c r="AZ79" s="138" t="n">
        <f aca="false">IFERROR(ROUND($D79-Q79-BA79,0),0)</f>
        <v>0</v>
      </c>
      <c r="BA79" s="139" t="n">
        <f aca="false">IFERROR(R79*$G79,0)</f>
        <v>0</v>
      </c>
      <c r="BB79" s="140" t="n">
        <f aca="false">IFERROR(ROUND($D79-S79-BC79,0),0)</f>
        <v>0</v>
      </c>
      <c r="BC79" s="139" t="n">
        <f aca="false">IFERROR(T79*$G79,0)</f>
        <v>0</v>
      </c>
      <c r="BD79" s="140"/>
      <c r="BE79" s="138" t="n">
        <f aca="false">IFERROR(ROUND($D79-V79-BF79,0),0)</f>
        <v>0</v>
      </c>
      <c r="BF79" s="139" t="n">
        <f aca="false">IFERROR(W79*$G79,0)</f>
        <v>0</v>
      </c>
      <c r="BG79" s="138" t="n">
        <f aca="false">IFERROR(ROUND($D79-X79-BH79,0),0)</f>
        <v>0</v>
      </c>
      <c r="BH79" s="139" t="n">
        <f aca="false">IFERROR(Y79*$G79,0)</f>
        <v>0</v>
      </c>
      <c r="BI79" s="140" t="n">
        <f aca="false">IFERROR(ROUND($D79-Z79-BJ79,0),0)</f>
        <v>0</v>
      </c>
      <c r="BJ79" s="139" t="n">
        <f aca="false">IFERROR(AA79*$G79,0)</f>
        <v>0</v>
      </c>
      <c r="BK79" s="140" t="n">
        <f aca="false">IFERROR(ROUND($D79-AB79-BL79,0),0)</f>
        <v>0</v>
      </c>
      <c r="BL79" s="139" t="n">
        <f aca="false">IFERROR(AC79*$G79,0)</f>
        <v>0</v>
      </c>
      <c r="BN79" s="142" t="n">
        <v>0</v>
      </c>
      <c r="BO79" s="137"/>
      <c r="BP79" s="138" t="n">
        <v>0</v>
      </c>
      <c r="BQ79" s="139" t="n">
        <v>0</v>
      </c>
      <c r="BR79" s="140"/>
      <c r="BS79" s="138" t="n">
        <v>0</v>
      </c>
      <c r="BT79" s="139" t="n">
        <v>0</v>
      </c>
      <c r="BU79" s="138" t="n">
        <v>0</v>
      </c>
      <c r="BV79" s="139" t="n">
        <v>0</v>
      </c>
      <c r="BW79" s="138" t="n">
        <v>0</v>
      </c>
      <c r="BX79" s="139" t="n">
        <v>0</v>
      </c>
      <c r="BY79" s="138" t="n">
        <v>0</v>
      </c>
      <c r="BZ79" s="139" t="n">
        <v>0</v>
      </c>
      <c r="CA79" s="140"/>
      <c r="CB79" s="138" t="n">
        <v>0</v>
      </c>
      <c r="CC79" s="139" t="n">
        <v>0</v>
      </c>
      <c r="CD79" s="138" t="n">
        <v>0</v>
      </c>
      <c r="CE79" s="139" t="n">
        <v>0</v>
      </c>
      <c r="CF79" s="138" t="n">
        <v>0</v>
      </c>
      <c r="CG79" s="139" t="n">
        <v>0</v>
      </c>
      <c r="CH79" s="138" t="n">
        <v>0</v>
      </c>
      <c r="CI79" s="139" t="n">
        <v>0</v>
      </c>
      <c r="CK79" s="143"/>
      <c r="CL79" s="137"/>
      <c r="CM79" s="144" t="str">
        <f aca="false">IFERROR(+$H79-($J79+$K79*$G79),"-")</f>
        <v>-</v>
      </c>
      <c r="CN79" s="137"/>
      <c r="CO79" s="144" t="str">
        <f aca="false">IFERROR(+$H79-($M79+$N79*$G79),"-")</f>
        <v>-</v>
      </c>
      <c r="CP79" s="144" t="str">
        <f aca="false">IFERROR(+$H79-($O79+$P79*$G79),"-")</f>
        <v>-</v>
      </c>
      <c r="CQ79" s="144" t="str">
        <f aca="false">IFERROR(+$H79-($Q79+$R79*$G79),"-")</f>
        <v>-</v>
      </c>
      <c r="CR79" s="144" t="str">
        <f aca="false">IFERROR(+$H79-($Q79+$R79*$G79),"-")</f>
        <v>-</v>
      </c>
      <c r="CS79" s="137"/>
      <c r="CT79" s="144" t="str">
        <f aca="false">IFERROR(+$H79-($V79+$W79*$G79),"-")</f>
        <v>-</v>
      </c>
      <c r="CU79" s="144" t="str">
        <f aca="false">IFERROR(+$H79-($X79+$Y79*$G79),"-")</f>
        <v>-</v>
      </c>
      <c r="CV79" s="144" t="str">
        <f aca="false">IFERROR(+$H79-($Z79+$AA79*$G79),"-")</f>
        <v>-</v>
      </c>
      <c r="CW79" s="144" t="str">
        <f aca="false">IFERROR(+$H79-($AB79+$AC79*$G79),"-")</f>
        <v>-</v>
      </c>
    </row>
    <row r="80" s="156" customFormat="true" ht="12.75" hidden="false" customHeight="true" outlineLevel="0" collapsed="false">
      <c r="A80" s="1"/>
      <c r="B80" s="145" t="s">
        <v>112</v>
      </c>
      <c r="C80" s="146" t="s">
        <v>156</v>
      </c>
      <c r="D80" s="147" t="e">
        <f aca="false">VLOOKUP($C80,#REF!,5,0)</f>
        <v>#VALUE!</v>
      </c>
      <c r="E80" s="148" t="e">
        <f aca="false">VLOOKUP($C80,#REF!,6,0)</f>
        <v>#VALUE!</v>
      </c>
      <c r="F80" s="146" t="e">
        <f aca="false">VLOOKUP($C80,#REF!,7,0)</f>
        <v>#VALUE!</v>
      </c>
      <c r="G80" s="146" t="e">
        <f aca="false">VLOOKUP($C80,#REF!,8,0)</f>
        <v>#VALUE!</v>
      </c>
      <c r="H80" s="149" t="e">
        <f aca="false">VLOOKUP($C80,#REF!,9,0)</f>
        <v>#VALUE!</v>
      </c>
      <c r="I80" s="137"/>
      <c r="J80" s="150" t="e">
        <f aca="false">VLOOKUP($C80,#REF!,10,0)</f>
        <v>#VALUE!</v>
      </c>
      <c r="K80" s="151" t="e">
        <f aca="false">VLOOKUP($C80,#REF!,11,0)</f>
        <v>#VALUE!</v>
      </c>
      <c r="L80" s="140"/>
      <c r="M80" s="150" t="e">
        <f aca="false">VLOOKUP($C80,#REF!,12,0)</f>
        <v>#VALUE!</v>
      </c>
      <c r="N80" s="152" t="e">
        <f aca="false">VLOOKUP($C80,#REF!,13,0)</f>
        <v>#VALUE!</v>
      </c>
      <c r="O80" s="150" t="e">
        <f aca="false">VLOOKUP($C80,#REF!,14,0)</f>
        <v>#VALUE!</v>
      </c>
      <c r="P80" s="152" t="e">
        <f aca="false">VLOOKUP($C80,#REF!,15,0)</f>
        <v>#VALUE!</v>
      </c>
      <c r="Q80" s="150" t="e">
        <f aca="false">VLOOKUP($C80,#REF!,16,0)</f>
        <v>#VALUE!</v>
      </c>
      <c r="R80" s="151" t="e">
        <f aca="false">VLOOKUP($C80,#REF!,17,0)</f>
        <v>#VALUE!</v>
      </c>
      <c r="S80" s="152" t="e">
        <f aca="false">VLOOKUP($C80,#REF!,18,0)</f>
        <v>#VALUE!</v>
      </c>
      <c r="T80" s="151" t="e">
        <f aca="false">VLOOKUP($C80,#REF!,19,0)</f>
        <v>#VALUE!</v>
      </c>
      <c r="U80" s="140"/>
      <c r="V80" s="150" t="e">
        <f aca="false">VLOOKUP($C80,#REF!,20,0)</f>
        <v>#VALUE!</v>
      </c>
      <c r="W80" s="152" t="e">
        <f aca="false">VLOOKUP($C80,#REF!,21,0)</f>
        <v>#VALUE!</v>
      </c>
      <c r="X80" s="150" t="e">
        <f aca="false">VLOOKUP($C80,#REF!,22,0)</f>
        <v>#VALUE!</v>
      </c>
      <c r="Y80" s="152" t="e">
        <f aca="false">VLOOKUP($C80,#REF!,23,0)</f>
        <v>#VALUE!</v>
      </c>
      <c r="Z80" s="150" t="e">
        <f aca="false">VLOOKUP($C80,#REF!,24,0)</f>
        <v>#VALUE!</v>
      </c>
      <c r="AA80" s="151" t="e">
        <f aca="false">VLOOKUP($C80,#REF!,25,0)</f>
        <v>#VALUE!</v>
      </c>
      <c r="AB80" s="152" t="e">
        <f aca="false">VLOOKUP($C80,#REF!,26,0)</f>
        <v>#VALUE!</v>
      </c>
      <c r="AC80" s="151" t="e">
        <f aca="false">VLOOKUP($C80,#REF!,27,0)</f>
        <v>#VALUE!</v>
      </c>
      <c r="AD80" s="1"/>
      <c r="AE80" s="150" t="e">
        <f aca="false">IF(M80="-","-","0,5 GB")</f>
        <v>#VALUE!</v>
      </c>
      <c r="AF80" s="153" t="s">
        <v>92</v>
      </c>
      <c r="AG80" s="153" t="s">
        <v>93</v>
      </c>
      <c r="AH80" s="151" t="s">
        <v>94</v>
      </c>
      <c r="AI80" s="1"/>
      <c r="AJ80" s="150" t="s">
        <v>95</v>
      </c>
      <c r="AK80" s="153" t="s">
        <v>96</v>
      </c>
      <c r="AL80" s="153" t="s">
        <v>97</v>
      </c>
      <c r="AM80" s="153" t="s">
        <v>98</v>
      </c>
      <c r="AN80" s="153" t="s">
        <v>98</v>
      </c>
      <c r="AO80" s="151" t="s">
        <v>92</v>
      </c>
      <c r="AP80" s="1"/>
      <c r="AQ80" s="154" t="n">
        <v>1</v>
      </c>
      <c r="AR80" s="137"/>
      <c r="AS80" s="150" t="n">
        <v>0</v>
      </c>
      <c r="AT80" s="151" t="n">
        <v>0</v>
      </c>
      <c r="AU80" s="140"/>
      <c r="AV80" s="150" t="n">
        <f aca="false">IFERROR(ROUND($D80-M80-AW80,0),0)</f>
        <v>0</v>
      </c>
      <c r="AW80" s="151" t="n">
        <f aca="false">IFERROR(N80*$G80,0)</f>
        <v>0</v>
      </c>
      <c r="AX80" s="150" t="n">
        <f aca="false">IFERROR(ROUND($D80-O80-AY80,0),0)</f>
        <v>0</v>
      </c>
      <c r="AY80" s="151" t="n">
        <f aca="false">IFERROR(P80*$G80,0)</f>
        <v>0</v>
      </c>
      <c r="AZ80" s="150" t="n">
        <f aca="false">IFERROR(ROUND($D80-Q80-BA80,0),0)</f>
        <v>0</v>
      </c>
      <c r="BA80" s="151" t="n">
        <f aca="false">IFERROR(R80*$G80,0)</f>
        <v>0</v>
      </c>
      <c r="BB80" s="152" t="n">
        <f aca="false">IFERROR(ROUND($D80-S80-BC80,0),0)</f>
        <v>0</v>
      </c>
      <c r="BC80" s="151" t="n">
        <f aca="false">IFERROR(T80*$G80,0)</f>
        <v>0</v>
      </c>
      <c r="BD80" s="140"/>
      <c r="BE80" s="150" t="n">
        <f aca="false">IFERROR(ROUND($D80-V80-BF80,0),0)</f>
        <v>0</v>
      </c>
      <c r="BF80" s="151" t="n">
        <f aca="false">IFERROR(W80*$G80,0)</f>
        <v>0</v>
      </c>
      <c r="BG80" s="150" t="n">
        <f aca="false">IFERROR(ROUND($D80-X80-BH80,0),0)</f>
        <v>0</v>
      </c>
      <c r="BH80" s="151" t="n">
        <f aca="false">IFERROR(Y80*$G80,0)</f>
        <v>0</v>
      </c>
      <c r="BI80" s="152" t="n">
        <f aca="false">IFERROR(ROUND($D80-Z80-BJ80,0),0)</f>
        <v>0</v>
      </c>
      <c r="BJ80" s="151" t="n">
        <f aca="false">IFERROR(AA80*$G80,0)</f>
        <v>0</v>
      </c>
      <c r="BK80" s="152" t="n">
        <f aca="false">IFERROR(ROUND($D80-AB80-BL80,0),0)</f>
        <v>0</v>
      </c>
      <c r="BL80" s="151" t="n">
        <f aca="false">IFERROR(AC80*$G80,0)</f>
        <v>0</v>
      </c>
      <c r="BM80" s="1"/>
      <c r="BN80" s="154" t="n">
        <v>0</v>
      </c>
      <c r="BO80" s="155"/>
      <c r="BP80" s="150" t="n">
        <v>0</v>
      </c>
      <c r="BQ80" s="151" t="n">
        <v>0</v>
      </c>
      <c r="BR80" s="152"/>
      <c r="BS80" s="150" t="n">
        <v>0</v>
      </c>
      <c r="BT80" s="151" t="n">
        <v>0</v>
      </c>
      <c r="BU80" s="150" t="n">
        <v>0</v>
      </c>
      <c r="BV80" s="151" t="n">
        <v>0</v>
      </c>
      <c r="BW80" s="150" t="n">
        <v>0</v>
      </c>
      <c r="BX80" s="151" t="n">
        <v>0</v>
      </c>
      <c r="BY80" s="150" t="n">
        <v>0</v>
      </c>
      <c r="BZ80" s="151" t="n">
        <v>0</v>
      </c>
      <c r="CA80" s="152"/>
      <c r="CB80" s="150" t="n">
        <v>0</v>
      </c>
      <c r="CC80" s="151" t="n">
        <v>0</v>
      </c>
      <c r="CD80" s="150" t="n">
        <v>0</v>
      </c>
      <c r="CE80" s="151" t="n">
        <v>0</v>
      </c>
      <c r="CF80" s="150" t="n">
        <v>0</v>
      </c>
      <c r="CG80" s="151" t="n">
        <v>0</v>
      </c>
      <c r="CH80" s="150" t="n">
        <v>0</v>
      </c>
      <c r="CI80" s="151" t="n">
        <v>0</v>
      </c>
      <c r="CJ80" s="1"/>
      <c r="CK80" s="149"/>
      <c r="CL80" s="137"/>
      <c r="CM80" s="154" t="str">
        <f aca="false">IFERROR(+$H80-($J80+$K80*$G80),"-")</f>
        <v>-</v>
      </c>
      <c r="CN80" s="137"/>
      <c r="CO80" s="154" t="str">
        <f aca="false">IFERROR(+$H80-($M80+$N80*$G80),"-")</f>
        <v>-</v>
      </c>
      <c r="CP80" s="154" t="str">
        <f aca="false">IFERROR(+$H80-($O80+$P80*$G80),"-")</f>
        <v>-</v>
      </c>
      <c r="CQ80" s="154" t="str">
        <f aca="false">IFERROR(+$H80-($Q80+$R80*$G80),"-")</f>
        <v>-</v>
      </c>
      <c r="CR80" s="154" t="str">
        <f aca="false">IFERROR(+$H80-($Q80+$R80*$G80),"-")</f>
        <v>-</v>
      </c>
      <c r="CS80" s="137"/>
      <c r="CT80" s="154" t="str">
        <f aca="false">IFERROR(+$H80-($V80+$W80*$G80),"-")</f>
        <v>-</v>
      </c>
      <c r="CU80" s="154" t="str">
        <f aca="false">IFERROR(+$H80-($X80+$Y80*$G80),"-")</f>
        <v>-</v>
      </c>
      <c r="CV80" s="154" t="str">
        <f aca="false">IFERROR(+$H80-($Z80+$AA80*$G80),"-")</f>
        <v>-</v>
      </c>
      <c r="CW80" s="154" t="str">
        <f aca="false">IFERROR(+$H80-($AB80+$AC80*$G80),"-")</f>
        <v>-</v>
      </c>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row>
    <row r="81" s="1" customFormat="true" ht="12.75" hidden="false" customHeight="true" outlineLevel="0" collapsed="false">
      <c r="B81" s="134" t="s">
        <v>112</v>
      </c>
      <c r="C81" s="135" t="s">
        <v>157</v>
      </c>
      <c r="D81" s="136" t="e">
        <f aca="false">VLOOKUP($C81,#REF!,5,0)</f>
        <v>#VALUE!</v>
      </c>
      <c r="E81" s="157" t="e">
        <f aca="false">VLOOKUP($C81,#REF!,6,0)</f>
        <v>#VALUE!</v>
      </c>
      <c r="F81" s="135" t="e">
        <f aca="false">VLOOKUP($C81,#REF!,7,0)</f>
        <v>#VALUE!</v>
      </c>
      <c r="G81" s="135" t="e">
        <f aca="false">VLOOKUP($C81,#REF!,8,0)</f>
        <v>#VALUE!</v>
      </c>
      <c r="H81" s="158" t="e">
        <f aca="false">VLOOKUP($C81,#REF!,9,0)</f>
        <v>#VALUE!</v>
      </c>
      <c r="I81" s="137"/>
      <c r="J81" s="138" t="e">
        <f aca="false">VLOOKUP($C81,#REF!,10,0)</f>
        <v>#VALUE!</v>
      </c>
      <c r="K81" s="139" t="e">
        <f aca="false">VLOOKUP($C81,#REF!,11,0)</f>
        <v>#VALUE!</v>
      </c>
      <c r="L81" s="140"/>
      <c r="M81" s="138" t="e">
        <f aca="false">VLOOKUP($C81,#REF!,12,0)</f>
        <v>#VALUE!</v>
      </c>
      <c r="N81" s="140" t="e">
        <f aca="false">VLOOKUP($C81,#REF!,13,0)</f>
        <v>#VALUE!</v>
      </c>
      <c r="O81" s="138" t="e">
        <f aca="false">VLOOKUP($C81,#REF!,14,0)</f>
        <v>#VALUE!</v>
      </c>
      <c r="P81" s="140" t="e">
        <f aca="false">VLOOKUP($C81,#REF!,15,0)</f>
        <v>#VALUE!</v>
      </c>
      <c r="Q81" s="138" t="e">
        <f aca="false">VLOOKUP($C81,#REF!,16,0)</f>
        <v>#VALUE!</v>
      </c>
      <c r="R81" s="139" t="e">
        <f aca="false">VLOOKUP($C81,#REF!,17,0)</f>
        <v>#VALUE!</v>
      </c>
      <c r="S81" s="140" t="e">
        <f aca="false">VLOOKUP($C81,#REF!,18,0)</f>
        <v>#VALUE!</v>
      </c>
      <c r="T81" s="139" t="e">
        <f aca="false">VLOOKUP($C81,#REF!,19,0)</f>
        <v>#VALUE!</v>
      </c>
      <c r="U81" s="140"/>
      <c r="V81" s="138" t="e">
        <f aca="false">VLOOKUP($C81,#REF!,20,0)</f>
        <v>#VALUE!</v>
      </c>
      <c r="W81" s="140" t="e">
        <f aca="false">VLOOKUP($C81,#REF!,21,0)</f>
        <v>#VALUE!</v>
      </c>
      <c r="X81" s="138" t="e">
        <f aca="false">VLOOKUP($C81,#REF!,22,0)</f>
        <v>#VALUE!</v>
      </c>
      <c r="Y81" s="140" t="e">
        <f aca="false">VLOOKUP($C81,#REF!,23,0)</f>
        <v>#VALUE!</v>
      </c>
      <c r="Z81" s="138" t="e">
        <f aca="false">VLOOKUP($C81,#REF!,24,0)</f>
        <v>#VALUE!</v>
      </c>
      <c r="AA81" s="139" t="e">
        <f aca="false">VLOOKUP($C81,#REF!,25,0)</f>
        <v>#VALUE!</v>
      </c>
      <c r="AB81" s="140" t="e">
        <f aca="false">VLOOKUP($C81,#REF!,26,0)</f>
        <v>#VALUE!</v>
      </c>
      <c r="AC81" s="139" t="e">
        <f aca="false">VLOOKUP($C81,#REF!,27,0)</f>
        <v>#VALUE!</v>
      </c>
      <c r="AE81" s="138" t="e">
        <f aca="false">IF(M81="-","-","0,5 GB")</f>
        <v>#VALUE!</v>
      </c>
      <c r="AF81" s="141" t="s">
        <v>92</v>
      </c>
      <c r="AG81" s="141" t="s">
        <v>93</v>
      </c>
      <c r="AH81" s="139" t="s">
        <v>94</v>
      </c>
      <c r="AJ81" s="138" t="s">
        <v>95</v>
      </c>
      <c r="AK81" s="141" t="s">
        <v>96</v>
      </c>
      <c r="AL81" s="141" t="s">
        <v>97</v>
      </c>
      <c r="AM81" s="141" t="s">
        <v>98</v>
      </c>
      <c r="AN81" s="141" t="s">
        <v>98</v>
      </c>
      <c r="AO81" s="139" t="s">
        <v>92</v>
      </c>
      <c r="AQ81" s="142" t="n">
        <v>0</v>
      </c>
      <c r="AR81" s="137"/>
      <c r="AS81" s="138" t="n">
        <v>0</v>
      </c>
      <c r="AT81" s="139" t="n">
        <v>0</v>
      </c>
      <c r="AU81" s="140"/>
      <c r="AV81" s="138" t="n">
        <f aca="false">IFERROR(ROUND($D81-M81-AW81,0),0)</f>
        <v>0</v>
      </c>
      <c r="AW81" s="139" t="n">
        <f aca="false">IFERROR(N81*$G81,0)</f>
        <v>0</v>
      </c>
      <c r="AX81" s="138" t="n">
        <f aca="false">IFERROR(ROUND($D81-O81-AY81,0),0)</f>
        <v>0</v>
      </c>
      <c r="AY81" s="139" t="n">
        <f aca="false">IFERROR(P81*$G81,0)</f>
        <v>0</v>
      </c>
      <c r="AZ81" s="138" t="n">
        <f aca="false">IFERROR(ROUND($D81-Q81-BA81,0),0)</f>
        <v>0</v>
      </c>
      <c r="BA81" s="139" t="n">
        <f aca="false">IFERROR(R81*$G81,0)</f>
        <v>0</v>
      </c>
      <c r="BB81" s="140" t="n">
        <f aca="false">IFERROR(ROUND($D81-S81-BC81,0),0)</f>
        <v>0</v>
      </c>
      <c r="BC81" s="139" t="n">
        <f aca="false">IFERROR(T81*$G81,0)</f>
        <v>0</v>
      </c>
      <c r="BD81" s="140"/>
      <c r="BE81" s="138" t="n">
        <f aca="false">IFERROR(ROUND($D81-V81-BF81,0),0)</f>
        <v>0</v>
      </c>
      <c r="BF81" s="139" t="n">
        <f aca="false">IFERROR(W81*$G81,0)</f>
        <v>0</v>
      </c>
      <c r="BG81" s="138" t="n">
        <f aca="false">IFERROR(ROUND($D81-X81-BH81,0),0)</f>
        <v>0</v>
      </c>
      <c r="BH81" s="139" t="n">
        <f aca="false">IFERROR(Y81*$G81,0)</f>
        <v>0</v>
      </c>
      <c r="BI81" s="140" t="n">
        <f aca="false">IFERROR(ROUND($D81-Z81-BJ81,0),0)</f>
        <v>0</v>
      </c>
      <c r="BJ81" s="139" t="n">
        <f aca="false">IFERROR(AA81*$G81,0)</f>
        <v>0</v>
      </c>
      <c r="BK81" s="140" t="n">
        <f aca="false">IFERROR(ROUND($D81-AB81-BL81,0),0)</f>
        <v>0</v>
      </c>
      <c r="BL81" s="139" t="n">
        <f aca="false">IFERROR(AC81*$G81,0)</f>
        <v>0</v>
      </c>
      <c r="BN81" s="142" t="n">
        <v>0</v>
      </c>
      <c r="BO81" s="137"/>
      <c r="BP81" s="138" t="n">
        <v>0</v>
      </c>
      <c r="BQ81" s="139" t="n">
        <v>0</v>
      </c>
      <c r="BR81" s="140"/>
      <c r="BS81" s="138" t="n">
        <v>0</v>
      </c>
      <c r="BT81" s="139" t="n">
        <v>0</v>
      </c>
      <c r="BU81" s="138" t="n">
        <v>0</v>
      </c>
      <c r="BV81" s="139" t="n">
        <v>0</v>
      </c>
      <c r="BW81" s="138" t="n">
        <v>0</v>
      </c>
      <c r="BX81" s="139" t="n">
        <v>0</v>
      </c>
      <c r="BY81" s="138" t="n">
        <v>0</v>
      </c>
      <c r="BZ81" s="139" t="n">
        <v>0</v>
      </c>
      <c r="CA81" s="140"/>
      <c r="CB81" s="138" t="n">
        <v>0</v>
      </c>
      <c r="CC81" s="139" t="n">
        <v>0</v>
      </c>
      <c r="CD81" s="138" t="n">
        <v>0</v>
      </c>
      <c r="CE81" s="139" t="n">
        <v>0</v>
      </c>
      <c r="CF81" s="138" t="n">
        <v>0</v>
      </c>
      <c r="CG81" s="139" t="n">
        <v>0</v>
      </c>
      <c r="CH81" s="138" t="n">
        <v>0</v>
      </c>
      <c r="CI81" s="139" t="n">
        <v>0</v>
      </c>
      <c r="CK81" s="143"/>
      <c r="CL81" s="137"/>
      <c r="CM81" s="144" t="str">
        <f aca="false">IFERROR(+$H81-($J81+$K81*$G81),"-")</f>
        <v>-</v>
      </c>
      <c r="CN81" s="137"/>
      <c r="CO81" s="144" t="str">
        <f aca="false">IFERROR(+$H81-($M81+$N81*$G81),"-")</f>
        <v>-</v>
      </c>
      <c r="CP81" s="144" t="str">
        <f aca="false">IFERROR(+$H81-($O81+$P81*$G81),"-")</f>
        <v>-</v>
      </c>
      <c r="CQ81" s="144" t="str">
        <f aca="false">IFERROR(+$H81-($Q81+$R81*$G81),"-")</f>
        <v>-</v>
      </c>
      <c r="CR81" s="144" t="str">
        <f aca="false">IFERROR(+$H81-($Q81+$R81*$G81),"-")</f>
        <v>-</v>
      </c>
      <c r="CS81" s="137"/>
      <c r="CT81" s="144" t="str">
        <f aca="false">IFERROR(+$H81-($V81+$W81*$G81),"-")</f>
        <v>-</v>
      </c>
      <c r="CU81" s="144" t="str">
        <f aca="false">IFERROR(+$H81-($X81+$Y81*$G81),"-")</f>
        <v>-</v>
      </c>
      <c r="CV81" s="144" t="str">
        <f aca="false">IFERROR(+$H81-($Z81+$AA81*$G81),"-")</f>
        <v>-</v>
      </c>
      <c r="CW81" s="144" t="str">
        <f aca="false">IFERROR(+$H81-($AB81+$AC81*$G81),"-")</f>
        <v>-</v>
      </c>
    </row>
    <row r="82" s="156" customFormat="true" ht="12.75" hidden="false" customHeight="true" outlineLevel="0" collapsed="false">
      <c r="A82" s="1"/>
      <c r="B82" s="145" t="s">
        <v>112</v>
      </c>
      <c r="C82" s="146" t="s">
        <v>158</v>
      </c>
      <c r="D82" s="147" t="e">
        <f aca="false">VLOOKUP($C82,#REF!,5,0)</f>
        <v>#VALUE!</v>
      </c>
      <c r="E82" s="148" t="e">
        <f aca="false">VLOOKUP($C82,#REF!,6,0)</f>
        <v>#VALUE!</v>
      </c>
      <c r="F82" s="146" t="e">
        <f aca="false">VLOOKUP($C82,#REF!,7,0)</f>
        <v>#VALUE!</v>
      </c>
      <c r="G82" s="146" t="e">
        <f aca="false">VLOOKUP($C82,#REF!,8,0)</f>
        <v>#VALUE!</v>
      </c>
      <c r="H82" s="149" t="e">
        <f aca="false">VLOOKUP($C82,#REF!,9,0)</f>
        <v>#VALUE!</v>
      </c>
      <c r="I82" s="137"/>
      <c r="J82" s="150" t="e">
        <f aca="false">VLOOKUP($C82,#REF!,10,0)</f>
        <v>#VALUE!</v>
      </c>
      <c r="K82" s="151" t="e">
        <f aca="false">VLOOKUP($C82,#REF!,11,0)</f>
        <v>#VALUE!</v>
      </c>
      <c r="L82" s="140"/>
      <c r="M82" s="150" t="e">
        <f aca="false">VLOOKUP($C82,#REF!,12,0)</f>
        <v>#VALUE!</v>
      </c>
      <c r="N82" s="152" t="e">
        <f aca="false">VLOOKUP($C82,#REF!,13,0)</f>
        <v>#VALUE!</v>
      </c>
      <c r="O82" s="150" t="e">
        <f aca="false">VLOOKUP($C82,#REF!,14,0)</f>
        <v>#VALUE!</v>
      </c>
      <c r="P82" s="152" t="e">
        <f aca="false">VLOOKUP($C82,#REF!,15,0)</f>
        <v>#VALUE!</v>
      </c>
      <c r="Q82" s="150" t="e">
        <f aca="false">VLOOKUP($C82,#REF!,16,0)</f>
        <v>#VALUE!</v>
      </c>
      <c r="R82" s="151" t="e">
        <f aca="false">VLOOKUP($C82,#REF!,17,0)</f>
        <v>#VALUE!</v>
      </c>
      <c r="S82" s="152" t="e">
        <f aca="false">VLOOKUP($C82,#REF!,18,0)</f>
        <v>#VALUE!</v>
      </c>
      <c r="T82" s="151" t="e">
        <f aca="false">VLOOKUP($C82,#REF!,19,0)</f>
        <v>#VALUE!</v>
      </c>
      <c r="U82" s="140"/>
      <c r="V82" s="150" t="e">
        <f aca="false">VLOOKUP($C82,#REF!,20,0)</f>
        <v>#VALUE!</v>
      </c>
      <c r="W82" s="152" t="e">
        <f aca="false">VLOOKUP($C82,#REF!,21,0)</f>
        <v>#VALUE!</v>
      </c>
      <c r="X82" s="150" t="e">
        <f aca="false">VLOOKUP($C82,#REF!,22,0)</f>
        <v>#VALUE!</v>
      </c>
      <c r="Y82" s="152" t="e">
        <f aca="false">VLOOKUP($C82,#REF!,23,0)</f>
        <v>#VALUE!</v>
      </c>
      <c r="Z82" s="150" t="e">
        <f aca="false">VLOOKUP($C82,#REF!,24,0)</f>
        <v>#VALUE!</v>
      </c>
      <c r="AA82" s="151" t="e">
        <f aca="false">VLOOKUP($C82,#REF!,25,0)</f>
        <v>#VALUE!</v>
      </c>
      <c r="AB82" s="152" t="e">
        <f aca="false">VLOOKUP($C82,#REF!,26,0)</f>
        <v>#VALUE!</v>
      </c>
      <c r="AC82" s="151" t="e">
        <f aca="false">VLOOKUP($C82,#REF!,27,0)</f>
        <v>#VALUE!</v>
      </c>
      <c r="AD82" s="1"/>
      <c r="AE82" s="150" t="e">
        <f aca="false">IF(M82="-","-","0,5 GB")</f>
        <v>#VALUE!</v>
      </c>
      <c r="AF82" s="153" t="s">
        <v>92</v>
      </c>
      <c r="AG82" s="153" t="s">
        <v>93</v>
      </c>
      <c r="AH82" s="151" t="s">
        <v>94</v>
      </c>
      <c r="AI82" s="1"/>
      <c r="AJ82" s="150" t="s">
        <v>95</v>
      </c>
      <c r="AK82" s="153" t="s">
        <v>96</v>
      </c>
      <c r="AL82" s="153" t="s">
        <v>97</v>
      </c>
      <c r="AM82" s="153" t="s">
        <v>98</v>
      </c>
      <c r="AN82" s="153" t="s">
        <v>98</v>
      </c>
      <c r="AO82" s="151" t="s">
        <v>92</v>
      </c>
      <c r="AP82" s="1"/>
      <c r="AQ82" s="154" t="n">
        <v>0</v>
      </c>
      <c r="AR82" s="137"/>
      <c r="AS82" s="150" t="n">
        <v>0</v>
      </c>
      <c r="AT82" s="151" t="n">
        <v>0</v>
      </c>
      <c r="AU82" s="140"/>
      <c r="AV82" s="150" t="n">
        <f aca="false">IFERROR(ROUND($D82-M82-AW82,0),0)</f>
        <v>0</v>
      </c>
      <c r="AW82" s="151" t="n">
        <f aca="false">IFERROR(N82*$G82,0)</f>
        <v>0</v>
      </c>
      <c r="AX82" s="150" t="n">
        <f aca="false">IFERROR(ROUND($D82-O82-AY82,0),0)</f>
        <v>0</v>
      </c>
      <c r="AY82" s="151" t="n">
        <f aca="false">IFERROR(P82*$G82,0)</f>
        <v>0</v>
      </c>
      <c r="AZ82" s="150" t="n">
        <f aca="false">IFERROR(ROUND($D82-Q82-BA82,0),0)</f>
        <v>0</v>
      </c>
      <c r="BA82" s="151" t="n">
        <f aca="false">IFERROR(R82*$G82,0)</f>
        <v>0</v>
      </c>
      <c r="BB82" s="152" t="n">
        <f aca="false">IFERROR(ROUND($D82-S82-BC82,0),0)</f>
        <v>0</v>
      </c>
      <c r="BC82" s="151" t="n">
        <f aca="false">IFERROR(T82*$G82,0)</f>
        <v>0</v>
      </c>
      <c r="BD82" s="140"/>
      <c r="BE82" s="150" t="n">
        <f aca="false">IFERROR(ROUND($D82-V82-BF82,0),0)</f>
        <v>0</v>
      </c>
      <c r="BF82" s="151" t="n">
        <f aca="false">IFERROR(W82*$G82,0)</f>
        <v>0</v>
      </c>
      <c r="BG82" s="150" t="n">
        <f aca="false">IFERROR(ROUND($D82-X82-BH82,0),0)</f>
        <v>0</v>
      </c>
      <c r="BH82" s="151" t="n">
        <f aca="false">IFERROR(Y82*$G82,0)</f>
        <v>0</v>
      </c>
      <c r="BI82" s="152" t="n">
        <f aca="false">IFERROR(ROUND($D82-Z82-BJ82,0),0)</f>
        <v>0</v>
      </c>
      <c r="BJ82" s="151" t="n">
        <f aca="false">IFERROR(AA82*$G82,0)</f>
        <v>0</v>
      </c>
      <c r="BK82" s="152" t="n">
        <f aca="false">IFERROR(ROUND($D82-AB82-BL82,0),0)</f>
        <v>0</v>
      </c>
      <c r="BL82" s="151" t="n">
        <f aca="false">IFERROR(AC82*$G82,0)</f>
        <v>0</v>
      </c>
      <c r="BM82" s="1"/>
      <c r="BN82" s="154" t="n">
        <v>0</v>
      </c>
      <c r="BO82" s="155"/>
      <c r="BP82" s="150" t="n">
        <v>0</v>
      </c>
      <c r="BQ82" s="151" t="n">
        <v>0</v>
      </c>
      <c r="BR82" s="152"/>
      <c r="BS82" s="150" t="n">
        <v>0</v>
      </c>
      <c r="BT82" s="151" t="n">
        <v>0</v>
      </c>
      <c r="BU82" s="150" t="n">
        <v>0</v>
      </c>
      <c r="BV82" s="151" t="n">
        <v>0</v>
      </c>
      <c r="BW82" s="150" t="n">
        <v>0</v>
      </c>
      <c r="BX82" s="151" t="n">
        <v>0</v>
      </c>
      <c r="BY82" s="150" t="n">
        <v>0</v>
      </c>
      <c r="BZ82" s="151" t="n">
        <v>0</v>
      </c>
      <c r="CA82" s="152"/>
      <c r="CB82" s="150" t="n">
        <v>0</v>
      </c>
      <c r="CC82" s="151" t="n">
        <v>0</v>
      </c>
      <c r="CD82" s="150" t="n">
        <v>0</v>
      </c>
      <c r="CE82" s="151" t="n">
        <v>0</v>
      </c>
      <c r="CF82" s="150" t="n">
        <v>0</v>
      </c>
      <c r="CG82" s="151" t="n">
        <v>0</v>
      </c>
      <c r="CH82" s="150" t="n">
        <v>0</v>
      </c>
      <c r="CI82" s="151" t="n">
        <v>0</v>
      </c>
      <c r="CJ82" s="1"/>
      <c r="CK82" s="149"/>
      <c r="CL82" s="137"/>
      <c r="CM82" s="154" t="str">
        <f aca="false">IFERROR(+$H82-($J82+$K82*$G82),"-")</f>
        <v>-</v>
      </c>
      <c r="CN82" s="137"/>
      <c r="CO82" s="154" t="str">
        <f aca="false">IFERROR(+$H82-($M82+$N82*$G82),"-")</f>
        <v>-</v>
      </c>
      <c r="CP82" s="154" t="str">
        <f aca="false">IFERROR(+$H82-($O82+$P82*$G82),"-")</f>
        <v>-</v>
      </c>
      <c r="CQ82" s="154" t="str">
        <f aca="false">IFERROR(+$H82-($Q82+$R82*$G82),"-")</f>
        <v>-</v>
      </c>
      <c r="CR82" s="154" t="str">
        <f aca="false">IFERROR(+$H82-($Q82+$R82*$G82),"-")</f>
        <v>-</v>
      </c>
      <c r="CS82" s="137"/>
      <c r="CT82" s="154" t="str">
        <f aca="false">IFERROR(+$H82-($V82+$W82*$G82),"-")</f>
        <v>-</v>
      </c>
      <c r="CU82" s="154" t="str">
        <f aca="false">IFERROR(+$H82-($X82+$Y82*$G82),"-")</f>
        <v>-</v>
      </c>
      <c r="CV82" s="154" t="str">
        <f aca="false">IFERROR(+$H82-($Z82+$AA82*$G82),"-")</f>
        <v>-</v>
      </c>
      <c r="CW82" s="154" t="str">
        <f aca="false">IFERROR(+$H82-($AB82+$AC82*$G82),"-")</f>
        <v>-</v>
      </c>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row>
    <row r="83" s="1" customFormat="true" ht="12.75" hidden="false" customHeight="true" outlineLevel="0" collapsed="false">
      <c r="B83" s="134" t="s">
        <v>112</v>
      </c>
      <c r="C83" s="135" t="s">
        <v>159</v>
      </c>
      <c r="D83" s="136" t="e">
        <f aca="false">VLOOKUP($C83,#REF!,5,0)</f>
        <v>#VALUE!</v>
      </c>
      <c r="E83" s="157" t="e">
        <f aca="false">VLOOKUP($C83,#REF!,6,0)</f>
        <v>#VALUE!</v>
      </c>
      <c r="F83" s="135" t="e">
        <f aca="false">VLOOKUP($C83,#REF!,7,0)</f>
        <v>#VALUE!</v>
      </c>
      <c r="G83" s="135" t="e">
        <f aca="false">VLOOKUP($C83,#REF!,8,0)</f>
        <v>#VALUE!</v>
      </c>
      <c r="H83" s="158" t="e">
        <f aca="false">VLOOKUP($C83,#REF!,9,0)</f>
        <v>#VALUE!</v>
      </c>
      <c r="I83" s="137"/>
      <c r="J83" s="138" t="e">
        <f aca="false">VLOOKUP($C83,#REF!,10,0)</f>
        <v>#VALUE!</v>
      </c>
      <c r="K83" s="139" t="e">
        <f aca="false">VLOOKUP($C83,#REF!,11,0)</f>
        <v>#VALUE!</v>
      </c>
      <c r="L83" s="140"/>
      <c r="M83" s="138" t="e">
        <f aca="false">VLOOKUP($C83,#REF!,12,0)</f>
        <v>#VALUE!</v>
      </c>
      <c r="N83" s="140" t="e">
        <f aca="false">VLOOKUP($C83,#REF!,13,0)</f>
        <v>#VALUE!</v>
      </c>
      <c r="O83" s="138" t="e">
        <f aca="false">VLOOKUP($C83,#REF!,14,0)</f>
        <v>#VALUE!</v>
      </c>
      <c r="P83" s="140" t="e">
        <f aca="false">VLOOKUP($C83,#REF!,15,0)</f>
        <v>#VALUE!</v>
      </c>
      <c r="Q83" s="138" t="e">
        <f aca="false">VLOOKUP($C83,#REF!,16,0)</f>
        <v>#VALUE!</v>
      </c>
      <c r="R83" s="139" t="e">
        <f aca="false">VLOOKUP($C83,#REF!,17,0)</f>
        <v>#VALUE!</v>
      </c>
      <c r="S83" s="140" t="e">
        <f aca="false">VLOOKUP($C83,#REF!,18,0)</f>
        <v>#VALUE!</v>
      </c>
      <c r="T83" s="139" t="e">
        <f aca="false">VLOOKUP($C83,#REF!,19,0)</f>
        <v>#VALUE!</v>
      </c>
      <c r="U83" s="140"/>
      <c r="V83" s="138" t="e">
        <f aca="false">VLOOKUP($C83,#REF!,20,0)</f>
        <v>#VALUE!</v>
      </c>
      <c r="W83" s="140" t="e">
        <f aca="false">VLOOKUP($C83,#REF!,21,0)</f>
        <v>#VALUE!</v>
      </c>
      <c r="X83" s="138" t="e">
        <f aca="false">VLOOKUP($C83,#REF!,22,0)</f>
        <v>#VALUE!</v>
      </c>
      <c r="Y83" s="140" t="e">
        <f aca="false">VLOOKUP($C83,#REF!,23,0)</f>
        <v>#VALUE!</v>
      </c>
      <c r="Z83" s="138" t="e">
        <f aca="false">VLOOKUP($C83,#REF!,24,0)</f>
        <v>#VALUE!</v>
      </c>
      <c r="AA83" s="139" t="e">
        <f aca="false">VLOOKUP($C83,#REF!,25,0)</f>
        <v>#VALUE!</v>
      </c>
      <c r="AB83" s="140" t="e">
        <f aca="false">VLOOKUP($C83,#REF!,26,0)</f>
        <v>#VALUE!</v>
      </c>
      <c r="AC83" s="139" t="e">
        <f aca="false">VLOOKUP($C83,#REF!,27,0)</f>
        <v>#VALUE!</v>
      </c>
      <c r="AE83" s="138" t="e">
        <f aca="false">IF(M83="-","-","0,5 GB")</f>
        <v>#VALUE!</v>
      </c>
      <c r="AF83" s="141" t="s">
        <v>92</v>
      </c>
      <c r="AG83" s="141" t="s">
        <v>93</v>
      </c>
      <c r="AH83" s="139" t="s">
        <v>94</v>
      </c>
      <c r="AJ83" s="138" t="s">
        <v>95</v>
      </c>
      <c r="AK83" s="141" t="s">
        <v>96</v>
      </c>
      <c r="AL83" s="141" t="s">
        <v>97</v>
      </c>
      <c r="AM83" s="141" t="s">
        <v>98</v>
      </c>
      <c r="AN83" s="141" t="s">
        <v>98</v>
      </c>
      <c r="AO83" s="139" t="s">
        <v>92</v>
      </c>
      <c r="AQ83" s="142" t="n">
        <v>-1</v>
      </c>
      <c r="AR83" s="137"/>
      <c r="AS83" s="138" t="n">
        <v>0</v>
      </c>
      <c r="AT83" s="139" t="n">
        <v>0</v>
      </c>
      <c r="AU83" s="140"/>
      <c r="AV83" s="138" t="n">
        <f aca="false">IFERROR(ROUND($D83-M83-AW83,0),0)</f>
        <v>0</v>
      </c>
      <c r="AW83" s="139" t="n">
        <f aca="false">IFERROR(N83*$G83,0)</f>
        <v>0</v>
      </c>
      <c r="AX83" s="138" t="n">
        <f aca="false">IFERROR(ROUND($D83-O83-AY83,0),0)</f>
        <v>0</v>
      </c>
      <c r="AY83" s="139" t="n">
        <f aca="false">IFERROR(P83*$G83,0)</f>
        <v>0</v>
      </c>
      <c r="AZ83" s="138" t="n">
        <f aca="false">IFERROR(ROUND($D83-Q83-BA83,0),0)</f>
        <v>0</v>
      </c>
      <c r="BA83" s="139" t="n">
        <f aca="false">IFERROR(R83*$G83,0)</f>
        <v>0</v>
      </c>
      <c r="BB83" s="140" t="n">
        <f aca="false">IFERROR(ROUND($D83-S83-BC83,0),0)</f>
        <v>0</v>
      </c>
      <c r="BC83" s="139" t="n">
        <f aca="false">IFERROR(T83*$G83,0)</f>
        <v>0</v>
      </c>
      <c r="BD83" s="140"/>
      <c r="BE83" s="138" t="n">
        <f aca="false">IFERROR(ROUND($D83-V83-BF83,0),0)</f>
        <v>0</v>
      </c>
      <c r="BF83" s="139" t="n">
        <f aca="false">IFERROR(W83*$G83,0)</f>
        <v>0</v>
      </c>
      <c r="BG83" s="138" t="n">
        <f aca="false">IFERROR(ROUND($D83-X83-BH83,0),0)</f>
        <v>0</v>
      </c>
      <c r="BH83" s="139" t="n">
        <f aca="false">IFERROR(Y83*$G83,0)</f>
        <v>0</v>
      </c>
      <c r="BI83" s="140" t="n">
        <f aca="false">IFERROR(ROUND($D83-Z83-BJ83,0),0)</f>
        <v>0</v>
      </c>
      <c r="BJ83" s="139" t="n">
        <f aca="false">IFERROR(AA83*$G83,0)</f>
        <v>0</v>
      </c>
      <c r="BK83" s="140" t="n">
        <f aca="false">IFERROR(ROUND($D83-AB83-BL83,0),0)</f>
        <v>0</v>
      </c>
      <c r="BL83" s="139" t="n">
        <f aca="false">IFERROR(AC83*$G83,0)</f>
        <v>0</v>
      </c>
      <c r="BN83" s="142" t="n">
        <v>0</v>
      </c>
      <c r="BO83" s="137"/>
      <c r="BP83" s="138" t="n">
        <v>0</v>
      </c>
      <c r="BQ83" s="139" t="n">
        <v>0</v>
      </c>
      <c r="BR83" s="140"/>
      <c r="BS83" s="138" t="n">
        <v>0</v>
      </c>
      <c r="BT83" s="139" t="n">
        <v>0</v>
      </c>
      <c r="BU83" s="138" t="n">
        <v>0</v>
      </c>
      <c r="BV83" s="139" t="n">
        <v>0</v>
      </c>
      <c r="BW83" s="138" t="n">
        <v>0</v>
      </c>
      <c r="BX83" s="139" t="n">
        <v>0</v>
      </c>
      <c r="BY83" s="138" t="n">
        <v>0</v>
      </c>
      <c r="BZ83" s="139" t="n">
        <v>0</v>
      </c>
      <c r="CA83" s="140"/>
      <c r="CB83" s="138" t="n">
        <v>0</v>
      </c>
      <c r="CC83" s="139" t="n">
        <v>0</v>
      </c>
      <c r="CD83" s="138" t="n">
        <v>0</v>
      </c>
      <c r="CE83" s="139" t="n">
        <v>0</v>
      </c>
      <c r="CF83" s="138" t="n">
        <v>0</v>
      </c>
      <c r="CG83" s="139" t="n">
        <v>0</v>
      </c>
      <c r="CH83" s="138" t="n">
        <v>0</v>
      </c>
      <c r="CI83" s="139" t="n">
        <v>0</v>
      </c>
      <c r="CK83" s="143"/>
      <c r="CL83" s="137"/>
      <c r="CM83" s="144" t="str">
        <f aca="false">IFERROR(+$H83-($J83+$K83*$G83),"-")</f>
        <v>-</v>
      </c>
      <c r="CN83" s="137"/>
      <c r="CO83" s="144" t="str">
        <f aca="false">IFERROR(+$H83-($M83+$N83*$G83),"-")</f>
        <v>-</v>
      </c>
      <c r="CP83" s="144" t="str">
        <f aca="false">IFERROR(+$H83-($O83+$P83*$G83),"-")</f>
        <v>-</v>
      </c>
      <c r="CQ83" s="144" t="str">
        <f aca="false">IFERROR(+$H83-($Q83+$R83*$G83),"-")</f>
        <v>-</v>
      </c>
      <c r="CR83" s="144" t="str">
        <f aca="false">IFERROR(+$H83-($Q83+$R83*$G83),"-")</f>
        <v>-</v>
      </c>
      <c r="CS83" s="137"/>
      <c r="CT83" s="144" t="str">
        <f aca="false">IFERROR(+$H83-($V83+$W83*$G83),"-")</f>
        <v>-</v>
      </c>
      <c r="CU83" s="144" t="str">
        <f aca="false">IFERROR(+$H83-($X83+$Y83*$G83),"-")</f>
        <v>-</v>
      </c>
      <c r="CV83" s="144" t="str">
        <f aca="false">IFERROR(+$H83-($Z83+$AA83*$G83),"-")</f>
        <v>-</v>
      </c>
      <c r="CW83" s="144" t="str">
        <f aca="false">IFERROR(+$H83-($AB83+$AC83*$G83),"-")</f>
        <v>-</v>
      </c>
    </row>
    <row r="84" s="156" customFormat="true" ht="12.75" hidden="false" customHeight="true" outlineLevel="0" collapsed="false">
      <c r="A84" s="1"/>
      <c r="B84" s="145" t="s">
        <v>112</v>
      </c>
      <c r="C84" s="146" t="s">
        <v>160</v>
      </c>
      <c r="D84" s="147" t="e">
        <f aca="false">VLOOKUP($C84,#REF!,5,0)</f>
        <v>#VALUE!</v>
      </c>
      <c r="E84" s="148" t="e">
        <f aca="false">VLOOKUP($C84,#REF!,6,0)</f>
        <v>#VALUE!</v>
      </c>
      <c r="F84" s="146" t="e">
        <f aca="false">VLOOKUP($C84,#REF!,7,0)</f>
        <v>#VALUE!</v>
      </c>
      <c r="G84" s="146" t="e">
        <f aca="false">VLOOKUP($C84,#REF!,8,0)</f>
        <v>#VALUE!</v>
      </c>
      <c r="H84" s="149" t="e">
        <f aca="false">VLOOKUP($C84,#REF!,9,0)</f>
        <v>#VALUE!</v>
      </c>
      <c r="I84" s="137"/>
      <c r="J84" s="150" t="e">
        <f aca="false">VLOOKUP($C84,#REF!,10,0)</f>
        <v>#VALUE!</v>
      </c>
      <c r="K84" s="151" t="e">
        <f aca="false">VLOOKUP($C84,#REF!,11,0)</f>
        <v>#VALUE!</v>
      </c>
      <c r="L84" s="140"/>
      <c r="M84" s="150" t="e">
        <f aca="false">VLOOKUP($C84,#REF!,12,0)</f>
        <v>#VALUE!</v>
      </c>
      <c r="N84" s="152" t="e">
        <f aca="false">VLOOKUP($C84,#REF!,13,0)</f>
        <v>#VALUE!</v>
      </c>
      <c r="O84" s="150" t="e">
        <f aca="false">VLOOKUP($C84,#REF!,14,0)</f>
        <v>#VALUE!</v>
      </c>
      <c r="P84" s="152" t="e">
        <f aca="false">VLOOKUP($C84,#REF!,15,0)</f>
        <v>#VALUE!</v>
      </c>
      <c r="Q84" s="150" t="e">
        <f aca="false">VLOOKUP($C84,#REF!,16,0)</f>
        <v>#VALUE!</v>
      </c>
      <c r="R84" s="151" t="e">
        <f aca="false">VLOOKUP($C84,#REF!,17,0)</f>
        <v>#VALUE!</v>
      </c>
      <c r="S84" s="152" t="e">
        <f aca="false">VLOOKUP($C84,#REF!,18,0)</f>
        <v>#VALUE!</v>
      </c>
      <c r="T84" s="151" t="e">
        <f aca="false">VLOOKUP($C84,#REF!,19,0)</f>
        <v>#VALUE!</v>
      </c>
      <c r="U84" s="140"/>
      <c r="V84" s="150" t="e">
        <f aca="false">VLOOKUP($C84,#REF!,20,0)</f>
        <v>#VALUE!</v>
      </c>
      <c r="W84" s="152" t="e">
        <f aca="false">VLOOKUP($C84,#REF!,21,0)</f>
        <v>#VALUE!</v>
      </c>
      <c r="X84" s="150" t="e">
        <f aca="false">VLOOKUP($C84,#REF!,22,0)</f>
        <v>#VALUE!</v>
      </c>
      <c r="Y84" s="152" t="e">
        <f aca="false">VLOOKUP($C84,#REF!,23,0)</f>
        <v>#VALUE!</v>
      </c>
      <c r="Z84" s="150" t="e">
        <f aca="false">VLOOKUP($C84,#REF!,24,0)</f>
        <v>#VALUE!</v>
      </c>
      <c r="AA84" s="151" t="e">
        <f aca="false">VLOOKUP($C84,#REF!,25,0)</f>
        <v>#VALUE!</v>
      </c>
      <c r="AB84" s="152" t="e">
        <f aca="false">VLOOKUP($C84,#REF!,26,0)</f>
        <v>#VALUE!</v>
      </c>
      <c r="AC84" s="151" t="e">
        <f aca="false">VLOOKUP($C84,#REF!,27,0)</f>
        <v>#VALUE!</v>
      </c>
      <c r="AD84" s="1"/>
      <c r="AE84" s="150" t="e">
        <f aca="false">IF(M84="-","-","0,5 GB")</f>
        <v>#VALUE!</v>
      </c>
      <c r="AF84" s="153" t="s">
        <v>92</v>
      </c>
      <c r="AG84" s="153" t="s">
        <v>93</v>
      </c>
      <c r="AH84" s="151" t="s">
        <v>94</v>
      </c>
      <c r="AI84" s="1"/>
      <c r="AJ84" s="150" t="s">
        <v>95</v>
      </c>
      <c r="AK84" s="153" t="s">
        <v>96</v>
      </c>
      <c r="AL84" s="153" t="s">
        <v>97</v>
      </c>
      <c r="AM84" s="153" t="s">
        <v>98</v>
      </c>
      <c r="AN84" s="153" t="s">
        <v>98</v>
      </c>
      <c r="AO84" s="151" t="s">
        <v>92</v>
      </c>
      <c r="AP84" s="1"/>
      <c r="AQ84" s="154" t="n">
        <v>206</v>
      </c>
      <c r="AR84" s="137"/>
      <c r="AS84" s="150" t="n">
        <v>0</v>
      </c>
      <c r="AT84" s="151" t="n">
        <v>0</v>
      </c>
      <c r="AU84" s="140"/>
      <c r="AV84" s="150" t="n">
        <f aca="false">IFERROR(ROUND($D84-M84-AW84,0),0)</f>
        <v>0</v>
      </c>
      <c r="AW84" s="151" t="n">
        <f aca="false">IFERROR(N84*$G84,0)</f>
        <v>0</v>
      </c>
      <c r="AX84" s="150" t="n">
        <f aca="false">IFERROR(ROUND($D84-O84-AY84,0),0)</f>
        <v>0</v>
      </c>
      <c r="AY84" s="151" t="n">
        <f aca="false">IFERROR(P84*$G84,0)</f>
        <v>0</v>
      </c>
      <c r="AZ84" s="150" t="n">
        <f aca="false">IFERROR(ROUND($D84-Q84-BA84,0),0)</f>
        <v>0</v>
      </c>
      <c r="BA84" s="151" t="n">
        <f aca="false">IFERROR(R84*$G84,0)</f>
        <v>0</v>
      </c>
      <c r="BB84" s="152" t="n">
        <f aca="false">IFERROR(ROUND($D84-S84-BC84,0),0)</f>
        <v>0</v>
      </c>
      <c r="BC84" s="151" t="n">
        <f aca="false">IFERROR(T84*$G84,0)</f>
        <v>0</v>
      </c>
      <c r="BD84" s="140"/>
      <c r="BE84" s="150" t="n">
        <f aca="false">IFERROR(ROUND($D84-V84-BF84,0),0)</f>
        <v>0</v>
      </c>
      <c r="BF84" s="151" t="n">
        <f aca="false">IFERROR(W84*$G84,0)</f>
        <v>0</v>
      </c>
      <c r="BG84" s="150" t="n">
        <f aca="false">IFERROR(ROUND($D84-X84-BH84,0),0)</f>
        <v>0</v>
      </c>
      <c r="BH84" s="151" t="n">
        <f aca="false">IFERROR(Y84*$G84,0)</f>
        <v>0</v>
      </c>
      <c r="BI84" s="152" t="n">
        <f aca="false">IFERROR(ROUND($D84-Z84-BJ84,0),0)</f>
        <v>0</v>
      </c>
      <c r="BJ84" s="151" t="n">
        <f aca="false">IFERROR(AA84*$G84,0)</f>
        <v>0</v>
      </c>
      <c r="BK84" s="152" t="n">
        <f aca="false">IFERROR(ROUND($D84-AB84-BL84,0),0)</f>
        <v>0</v>
      </c>
      <c r="BL84" s="151" t="n">
        <f aca="false">IFERROR(AC84*$G84,0)</f>
        <v>0</v>
      </c>
      <c r="BM84" s="1"/>
      <c r="BN84" s="154" t="n">
        <v>0</v>
      </c>
      <c r="BO84" s="155"/>
      <c r="BP84" s="150" t="n">
        <v>0</v>
      </c>
      <c r="BQ84" s="151" t="n">
        <v>0</v>
      </c>
      <c r="BR84" s="152"/>
      <c r="BS84" s="150" t="n">
        <v>0</v>
      </c>
      <c r="BT84" s="151" t="n">
        <v>0</v>
      </c>
      <c r="BU84" s="150" t="n">
        <v>0</v>
      </c>
      <c r="BV84" s="151" t="n">
        <v>0</v>
      </c>
      <c r="BW84" s="150" t="n">
        <v>0</v>
      </c>
      <c r="BX84" s="151" t="n">
        <v>0</v>
      </c>
      <c r="BY84" s="150" t="n">
        <v>0</v>
      </c>
      <c r="BZ84" s="151" t="n">
        <v>0</v>
      </c>
      <c r="CA84" s="152"/>
      <c r="CB84" s="150" t="n">
        <v>0</v>
      </c>
      <c r="CC84" s="151" t="n">
        <v>0</v>
      </c>
      <c r="CD84" s="150" t="n">
        <v>0</v>
      </c>
      <c r="CE84" s="151" t="n">
        <v>0</v>
      </c>
      <c r="CF84" s="150" t="n">
        <v>0</v>
      </c>
      <c r="CG84" s="151" t="n">
        <v>0</v>
      </c>
      <c r="CH84" s="150" t="n">
        <v>0</v>
      </c>
      <c r="CI84" s="151" t="n">
        <v>0</v>
      </c>
      <c r="CJ84" s="1"/>
      <c r="CK84" s="149"/>
      <c r="CL84" s="137"/>
      <c r="CM84" s="154" t="str">
        <f aca="false">IFERROR(+$H84-($J84+$K84*$G84),"-")</f>
        <v>-</v>
      </c>
      <c r="CN84" s="137"/>
      <c r="CO84" s="154" t="str">
        <f aca="false">IFERROR(+$H84-($M84+$N84*$G84),"-")</f>
        <v>-</v>
      </c>
      <c r="CP84" s="154" t="str">
        <f aca="false">IFERROR(+$H84-($O84+$P84*$G84),"-")</f>
        <v>-</v>
      </c>
      <c r="CQ84" s="154" t="str">
        <f aca="false">IFERROR(+$H84-($Q84+$R84*$G84),"-")</f>
        <v>-</v>
      </c>
      <c r="CR84" s="154" t="str">
        <f aca="false">IFERROR(+$H84-($Q84+$R84*$G84),"-")</f>
        <v>-</v>
      </c>
      <c r="CS84" s="137"/>
      <c r="CT84" s="154" t="str">
        <f aca="false">IFERROR(+$H84-($V84+$W84*$G84),"-")</f>
        <v>-</v>
      </c>
      <c r="CU84" s="154" t="str">
        <f aca="false">IFERROR(+$H84-($X84+$Y84*$G84),"-")</f>
        <v>-</v>
      </c>
      <c r="CV84" s="154" t="str">
        <f aca="false">IFERROR(+$H84-($Z84+$AA84*$G84),"-")</f>
        <v>-</v>
      </c>
      <c r="CW84" s="154" t="str">
        <f aca="false">IFERROR(+$H84-($AB84+$AC84*$G84),"-")</f>
        <v>-</v>
      </c>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row>
    <row r="85" s="1" customFormat="true" ht="12.75" hidden="false" customHeight="true" outlineLevel="0" collapsed="false">
      <c r="B85" s="134" t="s">
        <v>112</v>
      </c>
      <c r="C85" s="135" t="s">
        <v>161</v>
      </c>
      <c r="D85" s="136" t="e">
        <f aca="false">VLOOKUP($C85,#REF!,5,0)</f>
        <v>#VALUE!</v>
      </c>
      <c r="E85" s="157" t="e">
        <f aca="false">VLOOKUP($C85,#REF!,6,0)</f>
        <v>#VALUE!</v>
      </c>
      <c r="F85" s="135" t="e">
        <f aca="false">VLOOKUP($C85,#REF!,7,0)</f>
        <v>#VALUE!</v>
      </c>
      <c r="G85" s="135" t="e">
        <f aca="false">VLOOKUP($C85,#REF!,8,0)</f>
        <v>#VALUE!</v>
      </c>
      <c r="H85" s="158" t="e">
        <f aca="false">VLOOKUP($C85,#REF!,9,0)</f>
        <v>#VALUE!</v>
      </c>
      <c r="I85" s="137"/>
      <c r="J85" s="138" t="e">
        <f aca="false">VLOOKUP($C85,#REF!,10,0)</f>
        <v>#VALUE!</v>
      </c>
      <c r="K85" s="139" t="e">
        <f aca="false">VLOOKUP($C85,#REF!,11,0)</f>
        <v>#VALUE!</v>
      </c>
      <c r="L85" s="140"/>
      <c r="M85" s="138" t="e">
        <f aca="false">VLOOKUP($C85,#REF!,12,0)</f>
        <v>#VALUE!</v>
      </c>
      <c r="N85" s="140" t="e">
        <f aca="false">VLOOKUP($C85,#REF!,13,0)</f>
        <v>#VALUE!</v>
      </c>
      <c r="O85" s="138" t="e">
        <f aca="false">VLOOKUP($C85,#REF!,14,0)</f>
        <v>#VALUE!</v>
      </c>
      <c r="P85" s="140" t="e">
        <f aca="false">VLOOKUP($C85,#REF!,15,0)</f>
        <v>#VALUE!</v>
      </c>
      <c r="Q85" s="138" t="e">
        <f aca="false">VLOOKUP($C85,#REF!,16,0)</f>
        <v>#VALUE!</v>
      </c>
      <c r="R85" s="139" t="e">
        <f aca="false">VLOOKUP($C85,#REF!,17,0)</f>
        <v>#VALUE!</v>
      </c>
      <c r="S85" s="140" t="e">
        <f aca="false">VLOOKUP($C85,#REF!,18,0)</f>
        <v>#VALUE!</v>
      </c>
      <c r="T85" s="139" t="e">
        <f aca="false">VLOOKUP($C85,#REF!,19,0)</f>
        <v>#VALUE!</v>
      </c>
      <c r="U85" s="140"/>
      <c r="V85" s="138" t="e">
        <f aca="false">VLOOKUP($C85,#REF!,20,0)</f>
        <v>#VALUE!</v>
      </c>
      <c r="W85" s="140" t="e">
        <f aca="false">VLOOKUP($C85,#REF!,21,0)</f>
        <v>#VALUE!</v>
      </c>
      <c r="X85" s="138" t="e">
        <f aca="false">VLOOKUP($C85,#REF!,22,0)</f>
        <v>#VALUE!</v>
      </c>
      <c r="Y85" s="140" t="e">
        <f aca="false">VLOOKUP($C85,#REF!,23,0)</f>
        <v>#VALUE!</v>
      </c>
      <c r="Z85" s="138" t="e">
        <f aca="false">VLOOKUP($C85,#REF!,24,0)</f>
        <v>#VALUE!</v>
      </c>
      <c r="AA85" s="139" t="e">
        <f aca="false">VLOOKUP($C85,#REF!,25,0)</f>
        <v>#VALUE!</v>
      </c>
      <c r="AB85" s="140" t="e">
        <f aca="false">VLOOKUP($C85,#REF!,26,0)</f>
        <v>#VALUE!</v>
      </c>
      <c r="AC85" s="139" t="e">
        <f aca="false">VLOOKUP($C85,#REF!,27,0)</f>
        <v>#VALUE!</v>
      </c>
      <c r="AE85" s="138" t="e">
        <f aca="false">IF(M85="-","-","0,5 GB")</f>
        <v>#VALUE!</v>
      </c>
      <c r="AF85" s="141" t="s">
        <v>92</v>
      </c>
      <c r="AG85" s="141" t="s">
        <v>93</v>
      </c>
      <c r="AH85" s="139" t="s">
        <v>94</v>
      </c>
      <c r="AJ85" s="138" t="s">
        <v>95</v>
      </c>
      <c r="AK85" s="141" t="s">
        <v>96</v>
      </c>
      <c r="AL85" s="141" t="s">
        <v>97</v>
      </c>
      <c r="AM85" s="141" t="s">
        <v>98</v>
      </c>
      <c r="AN85" s="141" t="s">
        <v>98</v>
      </c>
      <c r="AO85" s="139" t="s">
        <v>92</v>
      </c>
      <c r="AQ85" s="142" t="n">
        <v>1</v>
      </c>
      <c r="AR85" s="137"/>
      <c r="AS85" s="138" t="n">
        <v>0</v>
      </c>
      <c r="AT85" s="139" t="n">
        <v>0</v>
      </c>
      <c r="AU85" s="140"/>
      <c r="AV85" s="138" t="n">
        <f aca="false">IFERROR(ROUND($D85-M85-AW85,0),0)</f>
        <v>0</v>
      </c>
      <c r="AW85" s="139" t="n">
        <f aca="false">IFERROR(N85*$G85,0)</f>
        <v>0</v>
      </c>
      <c r="AX85" s="138" t="n">
        <f aca="false">IFERROR(ROUND($D85-O85-AY85,0),0)</f>
        <v>0</v>
      </c>
      <c r="AY85" s="139" t="n">
        <f aca="false">IFERROR(P85*$G85,0)</f>
        <v>0</v>
      </c>
      <c r="AZ85" s="138" t="n">
        <f aca="false">IFERROR(ROUND($D85-Q85-BA85,0),0)</f>
        <v>0</v>
      </c>
      <c r="BA85" s="139" t="n">
        <f aca="false">IFERROR(R85*$G85,0)</f>
        <v>0</v>
      </c>
      <c r="BB85" s="140" t="n">
        <f aca="false">IFERROR(ROUND($D85-S85-BC85,0),0)</f>
        <v>0</v>
      </c>
      <c r="BC85" s="139" t="n">
        <f aca="false">IFERROR(T85*$G85,0)</f>
        <v>0</v>
      </c>
      <c r="BD85" s="140"/>
      <c r="BE85" s="138" t="n">
        <f aca="false">IFERROR(ROUND($D85-V85-BF85,0),0)</f>
        <v>0</v>
      </c>
      <c r="BF85" s="139" t="n">
        <f aca="false">IFERROR(W85*$G85,0)</f>
        <v>0</v>
      </c>
      <c r="BG85" s="138" t="n">
        <f aca="false">IFERROR(ROUND($D85-X85-BH85,0),0)</f>
        <v>0</v>
      </c>
      <c r="BH85" s="139" t="n">
        <f aca="false">IFERROR(Y85*$G85,0)</f>
        <v>0</v>
      </c>
      <c r="BI85" s="140" t="n">
        <f aca="false">IFERROR(ROUND($D85-Z85-BJ85,0),0)</f>
        <v>0</v>
      </c>
      <c r="BJ85" s="139" t="n">
        <f aca="false">IFERROR(AA85*$G85,0)</f>
        <v>0</v>
      </c>
      <c r="BK85" s="140" t="n">
        <f aca="false">IFERROR(ROUND($D85-AB85-BL85,0),0)</f>
        <v>0</v>
      </c>
      <c r="BL85" s="139" t="n">
        <f aca="false">IFERROR(AC85*$G85,0)</f>
        <v>0</v>
      </c>
      <c r="BN85" s="142" t="n">
        <v>0</v>
      </c>
      <c r="BO85" s="137"/>
      <c r="BP85" s="138" t="n">
        <v>0</v>
      </c>
      <c r="BQ85" s="139" t="n">
        <v>0</v>
      </c>
      <c r="BR85" s="140"/>
      <c r="BS85" s="138" t="n">
        <v>0</v>
      </c>
      <c r="BT85" s="139" t="n">
        <v>0</v>
      </c>
      <c r="BU85" s="138" t="n">
        <v>0</v>
      </c>
      <c r="BV85" s="139" t="n">
        <v>0</v>
      </c>
      <c r="BW85" s="138" t="n">
        <v>0</v>
      </c>
      <c r="BX85" s="139" t="n">
        <v>0</v>
      </c>
      <c r="BY85" s="138" t="n">
        <v>0</v>
      </c>
      <c r="BZ85" s="139" t="n">
        <v>0</v>
      </c>
      <c r="CA85" s="140"/>
      <c r="CB85" s="138" t="n">
        <v>0</v>
      </c>
      <c r="CC85" s="139" t="n">
        <v>0</v>
      </c>
      <c r="CD85" s="138" t="n">
        <v>0</v>
      </c>
      <c r="CE85" s="139" t="n">
        <v>0</v>
      </c>
      <c r="CF85" s="138" t="n">
        <v>0</v>
      </c>
      <c r="CG85" s="139" t="n">
        <v>0</v>
      </c>
      <c r="CH85" s="138" t="n">
        <v>0</v>
      </c>
      <c r="CI85" s="139" t="n">
        <v>0</v>
      </c>
      <c r="CK85" s="143"/>
      <c r="CL85" s="137"/>
      <c r="CM85" s="144" t="str">
        <f aca="false">IFERROR(+$H85-($J85+$K85*$G85),"-")</f>
        <v>-</v>
      </c>
      <c r="CN85" s="137"/>
      <c r="CO85" s="144" t="str">
        <f aca="false">IFERROR(+$H85-($M85+$N85*$G85),"-")</f>
        <v>-</v>
      </c>
      <c r="CP85" s="144" t="str">
        <f aca="false">IFERROR(+$H85-($O85+$P85*$G85),"-")</f>
        <v>-</v>
      </c>
      <c r="CQ85" s="144" t="str">
        <f aca="false">IFERROR(+$H85-($Q85+$R85*$G85),"-")</f>
        <v>-</v>
      </c>
      <c r="CR85" s="144" t="str">
        <f aca="false">IFERROR(+$H85-($Q85+$R85*$G85),"-")</f>
        <v>-</v>
      </c>
      <c r="CS85" s="137"/>
      <c r="CT85" s="144" t="str">
        <f aca="false">IFERROR(+$H85-($V85+$W85*$G85),"-")</f>
        <v>-</v>
      </c>
      <c r="CU85" s="144" t="str">
        <f aca="false">IFERROR(+$H85-($X85+$Y85*$G85),"-")</f>
        <v>-</v>
      </c>
      <c r="CV85" s="144" t="str">
        <f aca="false">IFERROR(+$H85-($Z85+$AA85*$G85),"-")</f>
        <v>-</v>
      </c>
      <c r="CW85" s="144" t="str">
        <f aca="false">IFERROR(+$H85-($AB85+$AC85*$G85),"-")</f>
        <v>-</v>
      </c>
    </row>
    <row r="86" s="156" customFormat="true" ht="12.75" hidden="false" customHeight="true" outlineLevel="0" collapsed="false">
      <c r="A86" s="1"/>
      <c r="B86" s="145" t="s">
        <v>112</v>
      </c>
      <c r="C86" s="146" t="s">
        <v>162</v>
      </c>
      <c r="D86" s="147" t="e">
        <f aca="false">VLOOKUP($C86,#REF!,5,0)</f>
        <v>#VALUE!</v>
      </c>
      <c r="E86" s="148" t="e">
        <f aca="false">VLOOKUP($C86,#REF!,6,0)</f>
        <v>#VALUE!</v>
      </c>
      <c r="F86" s="146" t="e">
        <f aca="false">VLOOKUP($C86,#REF!,7,0)</f>
        <v>#VALUE!</v>
      </c>
      <c r="G86" s="146" t="e">
        <f aca="false">VLOOKUP($C86,#REF!,8,0)</f>
        <v>#VALUE!</v>
      </c>
      <c r="H86" s="149" t="e">
        <f aca="false">VLOOKUP($C86,#REF!,9,0)</f>
        <v>#VALUE!</v>
      </c>
      <c r="I86" s="137"/>
      <c r="J86" s="150" t="e">
        <f aca="false">VLOOKUP($C86,#REF!,10,0)</f>
        <v>#VALUE!</v>
      </c>
      <c r="K86" s="151" t="e">
        <f aca="false">VLOOKUP($C86,#REF!,11,0)</f>
        <v>#VALUE!</v>
      </c>
      <c r="L86" s="140"/>
      <c r="M86" s="150" t="e">
        <f aca="false">VLOOKUP($C86,#REF!,12,0)</f>
        <v>#VALUE!</v>
      </c>
      <c r="N86" s="152" t="e">
        <f aca="false">VLOOKUP($C86,#REF!,13,0)</f>
        <v>#VALUE!</v>
      </c>
      <c r="O86" s="150" t="e">
        <f aca="false">VLOOKUP($C86,#REF!,14,0)</f>
        <v>#VALUE!</v>
      </c>
      <c r="P86" s="152" t="e">
        <f aca="false">VLOOKUP($C86,#REF!,15,0)</f>
        <v>#VALUE!</v>
      </c>
      <c r="Q86" s="150" t="e">
        <f aca="false">VLOOKUP($C86,#REF!,16,0)</f>
        <v>#VALUE!</v>
      </c>
      <c r="R86" s="151" t="e">
        <f aca="false">VLOOKUP($C86,#REF!,17,0)</f>
        <v>#VALUE!</v>
      </c>
      <c r="S86" s="152" t="e">
        <f aca="false">VLOOKUP($C86,#REF!,18,0)</f>
        <v>#VALUE!</v>
      </c>
      <c r="T86" s="151" t="e">
        <f aca="false">VLOOKUP($C86,#REF!,19,0)</f>
        <v>#VALUE!</v>
      </c>
      <c r="U86" s="140"/>
      <c r="V86" s="150" t="e">
        <f aca="false">VLOOKUP($C86,#REF!,20,0)</f>
        <v>#VALUE!</v>
      </c>
      <c r="W86" s="152" t="e">
        <f aca="false">VLOOKUP($C86,#REF!,21,0)</f>
        <v>#VALUE!</v>
      </c>
      <c r="X86" s="150" t="e">
        <f aca="false">VLOOKUP($C86,#REF!,22,0)</f>
        <v>#VALUE!</v>
      </c>
      <c r="Y86" s="152" t="e">
        <f aca="false">VLOOKUP($C86,#REF!,23,0)</f>
        <v>#VALUE!</v>
      </c>
      <c r="Z86" s="150" t="e">
        <f aca="false">VLOOKUP($C86,#REF!,24,0)</f>
        <v>#VALUE!</v>
      </c>
      <c r="AA86" s="151" t="e">
        <f aca="false">VLOOKUP($C86,#REF!,25,0)</f>
        <v>#VALUE!</v>
      </c>
      <c r="AB86" s="152" t="e">
        <f aca="false">VLOOKUP($C86,#REF!,26,0)</f>
        <v>#VALUE!</v>
      </c>
      <c r="AC86" s="151" t="e">
        <f aca="false">VLOOKUP($C86,#REF!,27,0)</f>
        <v>#VALUE!</v>
      </c>
      <c r="AD86" s="1"/>
      <c r="AE86" s="150" t="e">
        <f aca="false">IF(M86="-","-","0,5 GB")</f>
        <v>#VALUE!</v>
      </c>
      <c r="AF86" s="153" t="s">
        <v>92</v>
      </c>
      <c r="AG86" s="153" t="s">
        <v>93</v>
      </c>
      <c r="AH86" s="151" t="s">
        <v>94</v>
      </c>
      <c r="AI86" s="1"/>
      <c r="AJ86" s="150" t="s">
        <v>95</v>
      </c>
      <c r="AK86" s="153" t="s">
        <v>96</v>
      </c>
      <c r="AL86" s="153" t="s">
        <v>97</v>
      </c>
      <c r="AM86" s="153" t="s">
        <v>98</v>
      </c>
      <c r="AN86" s="153" t="s">
        <v>98</v>
      </c>
      <c r="AO86" s="151" t="s">
        <v>92</v>
      </c>
      <c r="AP86" s="1"/>
      <c r="AQ86" s="154" t="n">
        <v>1</v>
      </c>
      <c r="AR86" s="137"/>
      <c r="AS86" s="150" t="n">
        <v>0</v>
      </c>
      <c r="AT86" s="151" t="n">
        <v>0</v>
      </c>
      <c r="AU86" s="140"/>
      <c r="AV86" s="150" t="n">
        <f aca="false">IFERROR(ROUND($D86-M86-AW86,0),0)</f>
        <v>0</v>
      </c>
      <c r="AW86" s="151" t="n">
        <f aca="false">IFERROR(N86*$G86,0)</f>
        <v>0</v>
      </c>
      <c r="AX86" s="150" t="n">
        <f aca="false">IFERROR(ROUND($D86-O86-AY86,0),0)</f>
        <v>0</v>
      </c>
      <c r="AY86" s="151" t="n">
        <f aca="false">IFERROR(P86*$G86,0)</f>
        <v>0</v>
      </c>
      <c r="AZ86" s="150" t="n">
        <f aca="false">IFERROR(ROUND($D86-Q86-BA86,0),0)</f>
        <v>0</v>
      </c>
      <c r="BA86" s="151" t="n">
        <f aca="false">IFERROR(R86*$G86,0)</f>
        <v>0</v>
      </c>
      <c r="BB86" s="152" t="n">
        <f aca="false">IFERROR(ROUND($D86-S86-BC86,0),0)</f>
        <v>0</v>
      </c>
      <c r="BC86" s="151" t="n">
        <f aca="false">IFERROR(T86*$G86,0)</f>
        <v>0</v>
      </c>
      <c r="BD86" s="140"/>
      <c r="BE86" s="150" t="n">
        <f aca="false">IFERROR(ROUND($D86-V86-BF86,0),0)</f>
        <v>0</v>
      </c>
      <c r="BF86" s="151" t="n">
        <f aca="false">IFERROR(W86*$G86,0)</f>
        <v>0</v>
      </c>
      <c r="BG86" s="150" t="n">
        <f aca="false">IFERROR(ROUND($D86-X86-BH86,0),0)</f>
        <v>0</v>
      </c>
      <c r="BH86" s="151" t="n">
        <f aca="false">IFERROR(Y86*$G86,0)</f>
        <v>0</v>
      </c>
      <c r="BI86" s="152" t="n">
        <f aca="false">IFERROR(ROUND($D86-Z86-BJ86,0),0)</f>
        <v>0</v>
      </c>
      <c r="BJ86" s="151" t="n">
        <f aca="false">IFERROR(AA86*$G86,0)</f>
        <v>0</v>
      </c>
      <c r="BK86" s="152" t="n">
        <f aca="false">IFERROR(ROUND($D86-AB86-BL86,0),0)</f>
        <v>0</v>
      </c>
      <c r="BL86" s="151" t="n">
        <f aca="false">IFERROR(AC86*$G86,0)</f>
        <v>0</v>
      </c>
      <c r="BM86" s="1"/>
      <c r="BN86" s="154" t="n">
        <v>0</v>
      </c>
      <c r="BO86" s="155"/>
      <c r="BP86" s="150" t="n">
        <v>0</v>
      </c>
      <c r="BQ86" s="151" t="n">
        <v>0</v>
      </c>
      <c r="BR86" s="152"/>
      <c r="BS86" s="150" t="n">
        <v>0</v>
      </c>
      <c r="BT86" s="151" t="n">
        <v>0</v>
      </c>
      <c r="BU86" s="150" t="n">
        <v>0</v>
      </c>
      <c r="BV86" s="151" t="n">
        <v>0</v>
      </c>
      <c r="BW86" s="150" t="n">
        <v>0</v>
      </c>
      <c r="BX86" s="151" t="n">
        <v>0</v>
      </c>
      <c r="BY86" s="150" t="n">
        <v>0</v>
      </c>
      <c r="BZ86" s="151" t="n">
        <v>0</v>
      </c>
      <c r="CA86" s="152"/>
      <c r="CB86" s="150" t="n">
        <v>0</v>
      </c>
      <c r="CC86" s="151" t="n">
        <v>0</v>
      </c>
      <c r="CD86" s="150" t="n">
        <v>0</v>
      </c>
      <c r="CE86" s="151" t="n">
        <v>0</v>
      </c>
      <c r="CF86" s="150" t="n">
        <v>0</v>
      </c>
      <c r="CG86" s="151" t="n">
        <v>0</v>
      </c>
      <c r="CH86" s="150" t="n">
        <v>0</v>
      </c>
      <c r="CI86" s="151" t="n">
        <v>0</v>
      </c>
      <c r="CJ86" s="1"/>
      <c r="CK86" s="149"/>
      <c r="CL86" s="137"/>
      <c r="CM86" s="154" t="str">
        <f aca="false">IFERROR(+$H86-($J86+$K86*$G86),"-")</f>
        <v>-</v>
      </c>
      <c r="CN86" s="137"/>
      <c r="CO86" s="154" t="str">
        <f aca="false">IFERROR(+$H86-($M86+$N86*$G86),"-")</f>
        <v>-</v>
      </c>
      <c r="CP86" s="154" t="str">
        <f aca="false">IFERROR(+$H86-($O86+$P86*$G86),"-")</f>
        <v>-</v>
      </c>
      <c r="CQ86" s="154" t="str">
        <f aca="false">IFERROR(+$H86-($Q86+$R86*$G86),"-")</f>
        <v>-</v>
      </c>
      <c r="CR86" s="154" t="str">
        <f aca="false">IFERROR(+$H86-($Q86+$R86*$G86),"-")</f>
        <v>-</v>
      </c>
      <c r="CS86" s="137"/>
      <c r="CT86" s="154" t="str">
        <f aca="false">IFERROR(+$H86-($V86+$W86*$G86),"-")</f>
        <v>-</v>
      </c>
      <c r="CU86" s="154" t="str">
        <f aca="false">IFERROR(+$H86-($X86+$Y86*$G86),"-")</f>
        <v>-</v>
      </c>
      <c r="CV86" s="154" t="str">
        <f aca="false">IFERROR(+$H86-($Z86+$AA86*$G86),"-")</f>
        <v>-</v>
      </c>
      <c r="CW86" s="154" t="str">
        <f aca="false">IFERROR(+$H86-($AB86+$AC86*$G86),"-")</f>
        <v>-</v>
      </c>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row>
    <row r="87" s="1" customFormat="true" ht="12.75" hidden="false" customHeight="true" outlineLevel="0" collapsed="false">
      <c r="B87" s="134" t="s">
        <v>112</v>
      </c>
      <c r="C87" s="135" t="s">
        <v>163</v>
      </c>
      <c r="D87" s="136" t="e">
        <f aca="false">VLOOKUP($C87,#REF!,5,0)</f>
        <v>#VALUE!</v>
      </c>
      <c r="E87" s="157" t="e">
        <f aca="false">VLOOKUP($C87,#REF!,6,0)</f>
        <v>#VALUE!</v>
      </c>
      <c r="F87" s="135" t="e">
        <f aca="false">VLOOKUP($C87,#REF!,7,0)</f>
        <v>#VALUE!</v>
      </c>
      <c r="G87" s="135" t="e">
        <f aca="false">VLOOKUP($C87,#REF!,8,0)</f>
        <v>#VALUE!</v>
      </c>
      <c r="H87" s="158" t="e">
        <f aca="false">VLOOKUP($C87,#REF!,9,0)</f>
        <v>#VALUE!</v>
      </c>
      <c r="I87" s="137"/>
      <c r="J87" s="138" t="e">
        <f aca="false">VLOOKUP($C87,#REF!,10,0)</f>
        <v>#VALUE!</v>
      </c>
      <c r="K87" s="139" t="e">
        <f aca="false">VLOOKUP($C87,#REF!,11,0)</f>
        <v>#VALUE!</v>
      </c>
      <c r="L87" s="140"/>
      <c r="M87" s="138" t="e">
        <f aca="false">VLOOKUP($C87,#REF!,12,0)</f>
        <v>#VALUE!</v>
      </c>
      <c r="N87" s="140" t="e">
        <f aca="false">VLOOKUP($C87,#REF!,13,0)</f>
        <v>#VALUE!</v>
      </c>
      <c r="O87" s="138" t="e">
        <f aca="false">VLOOKUP($C87,#REF!,14,0)</f>
        <v>#VALUE!</v>
      </c>
      <c r="P87" s="140" t="e">
        <f aca="false">VLOOKUP($C87,#REF!,15,0)</f>
        <v>#VALUE!</v>
      </c>
      <c r="Q87" s="138" t="e">
        <f aca="false">VLOOKUP($C87,#REF!,16,0)</f>
        <v>#VALUE!</v>
      </c>
      <c r="R87" s="139" t="e">
        <f aca="false">VLOOKUP($C87,#REF!,17,0)</f>
        <v>#VALUE!</v>
      </c>
      <c r="S87" s="140" t="e">
        <f aca="false">VLOOKUP($C87,#REF!,18,0)</f>
        <v>#VALUE!</v>
      </c>
      <c r="T87" s="139" t="e">
        <f aca="false">VLOOKUP($C87,#REF!,19,0)</f>
        <v>#VALUE!</v>
      </c>
      <c r="U87" s="140"/>
      <c r="V87" s="138" t="e">
        <f aca="false">VLOOKUP($C87,#REF!,20,0)</f>
        <v>#VALUE!</v>
      </c>
      <c r="W87" s="140" t="e">
        <f aca="false">VLOOKUP($C87,#REF!,21,0)</f>
        <v>#VALUE!</v>
      </c>
      <c r="X87" s="138" t="e">
        <f aca="false">VLOOKUP($C87,#REF!,22,0)</f>
        <v>#VALUE!</v>
      </c>
      <c r="Y87" s="140" t="e">
        <f aca="false">VLOOKUP($C87,#REF!,23,0)</f>
        <v>#VALUE!</v>
      </c>
      <c r="Z87" s="138" t="e">
        <f aca="false">VLOOKUP($C87,#REF!,24,0)</f>
        <v>#VALUE!</v>
      </c>
      <c r="AA87" s="139" t="e">
        <f aca="false">VLOOKUP($C87,#REF!,25,0)</f>
        <v>#VALUE!</v>
      </c>
      <c r="AB87" s="140" t="e">
        <f aca="false">VLOOKUP($C87,#REF!,26,0)</f>
        <v>#VALUE!</v>
      </c>
      <c r="AC87" s="139" t="e">
        <f aca="false">VLOOKUP($C87,#REF!,27,0)</f>
        <v>#VALUE!</v>
      </c>
      <c r="AE87" s="138" t="e">
        <f aca="false">IF(M87="-","-","0,5 GB")</f>
        <v>#VALUE!</v>
      </c>
      <c r="AF87" s="141" t="s">
        <v>92</v>
      </c>
      <c r="AG87" s="141" t="s">
        <v>93</v>
      </c>
      <c r="AH87" s="139" t="s">
        <v>94</v>
      </c>
      <c r="AJ87" s="138" t="s">
        <v>95</v>
      </c>
      <c r="AK87" s="141" t="s">
        <v>96</v>
      </c>
      <c r="AL87" s="141" t="s">
        <v>97</v>
      </c>
      <c r="AM87" s="141" t="s">
        <v>98</v>
      </c>
      <c r="AN87" s="141" t="s">
        <v>98</v>
      </c>
      <c r="AO87" s="139" t="s">
        <v>92</v>
      </c>
      <c r="AQ87" s="142" t="n">
        <v>48</v>
      </c>
      <c r="AR87" s="137"/>
      <c r="AS87" s="138" t="n">
        <v>0</v>
      </c>
      <c r="AT87" s="139" t="n">
        <v>0</v>
      </c>
      <c r="AU87" s="140"/>
      <c r="AV87" s="138" t="n">
        <f aca="false">IFERROR(ROUND($D87-M87-AW87,0),0)</f>
        <v>0</v>
      </c>
      <c r="AW87" s="139" t="n">
        <f aca="false">IFERROR(N87*$G87,0)</f>
        <v>0</v>
      </c>
      <c r="AX87" s="138" t="n">
        <f aca="false">IFERROR(ROUND($D87-O87-AY87,0),0)</f>
        <v>0</v>
      </c>
      <c r="AY87" s="139" t="n">
        <f aca="false">IFERROR(P87*$G87,0)</f>
        <v>0</v>
      </c>
      <c r="AZ87" s="138" t="n">
        <f aca="false">IFERROR(ROUND($D87-Q87-BA87,0),0)</f>
        <v>0</v>
      </c>
      <c r="BA87" s="139" t="n">
        <f aca="false">IFERROR(R87*$G87,0)</f>
        <v>0</v>
      </c>
      <c r="BB87" s="140" t="n">
        <f aca="false">IFERROR(ROUND($D87-S87-BC87,0),0)</f>
        <v>0</v>
      </c>
      <c r="BC87" s="139" t="n">
        <f aca="false">IFERROR(T87*$G87,0)</f>
        <v>0</v>
      </c>
      <c r="BD87" s="140"/>
      <c r="BE87" s="138" t="n">
        <f aca="false">IFERROR(ROUND($D87-V87-BF87,0),0)</f>
        <v>0</v>
      </c>
      <c r="BF87" s="139" t="n">
        <f aca="false">IFERROR(W87*$G87,0)</f>
        <v>0</v>
      </c>
      <c r="BG87" s="138" t="n">
        <f aca="false">IFERROR(ROUND($D87-X87-BH87,0),0)</f>
        <v>0</v>
      </c>
      <c r="BH87" s="139" t="n">
        <f aca="false">IFERROR(Y87*$G87,0)</f>
        <v>0</v>
      </c>
      <c r="BI87" s="140" t="n">
        <f aca="false">IFERROR(ROUND($D87-Z87-BJ87,0),0)</f>
        <v>0</v>
      </c>
      <c r="BJ87" s="139" t="n">
        <f aca="false">IFERROR(AA87*$G87,0)</f>
        <v>0</v>
      </c>
      <c r="BK87" s="140" t="n">
        <f aca="false">IFERROR(ROUND($D87-AB87-BL87,0),0)</f>
        <v>0</v>
      </c>
      <c r="BL87" s="139" t="n">
        <f aca="false">IFERROR(AC87*$G87,0)</f>
        <v>0</v>
      </c>
      <c r="BN87" s="142" t="e">
        <f aca="false">#N/A</f>
        <v>#N/A</v>
      </c>
      <c r="BO87" s="137"/>
      <c r="BP87" s="138" t="e">
        <f aca="false">#N/A</f>
        <v>#N/A</v>
      </c>
      <c r="BQ87" s="139" t="e">
        <f aca="false">#N/A</f>
        <v>#N/A</v>
      </c>
      <c r="BR87" s="140"/>
      <c r="BS87" s="138" t="e">
        <f aca="false">#N/A</f>
        <v>#N/A</v>
      </c>
      <c r="BT87" s="139" t="e">
        <f aca="false">#N/A</f>
        <v>#N/A</v>
      </c>
      <c r="BU87" s="138" t="e">
        <f aca="false">#N/A</f>
        <v>#N/A</v>
      </c>
      <c r="BV87" s="139" t="e">
        <f aca="false">#N/A</f>
        <v>#N/A</v>
      </c>
      <c r="BW87" s="138" t="e">
        <f aca="false">#N/A</f>
        <v>#N/A</v>
      </c>
      <c r="BX87" s="139" t="e">
        <f aca="false">#N/A</f>
        <v>#N/A</v>
      </c>
      <c r="BY87" s="138" t="e">
        <f aca="false">#N/A</f>
        <v>#N/A</v>
      </c>
      <c r="BZ87" s="139" t="e">
        <f aca="false">#N/A</f>
        <v>#N/A</v>
      </c>
      <c r="CA87" s="140"/>
      <c r="CB87" s="138" t="e">
        <f aca="false">#N/A</f>
        <v>#N/A</v>
      </c>
      <c r="CC87" s="139" t="e">
        <f aca="false">#N/A</f>
        <v>#N/A</v>
      </c>
      <c r="CD87" s="138" t="e">
        <f aca="false">#N/A</f>
        <v>#N/A</v>
      </c>
      <c r="CE87" s="139" t="e">
        <f aca="false">#N/A</f>
        <v>#N/A</v>
      </c>
      <c r="CF87" s="138" t="e">
        <f aca="false">#N/A</f>
        <v>#N/A</v>
      </c>
      <c r="CG87" s="139" t="e">
        <f aca="false">#N/A</f>
        <v>#N/A</v>
      </c>
      <c r="CH87" s="138" t="e">
        <f aca="false">#N/A</f>
        <v>#N/A</v>
      </c>
      <c r="CI87" s="139" t="e">
        <f aca="false">#N/A</f>
        <v>#N/A</v>
      </c>
      <c r="CK87" s="143"/>
      <c r="CL87" s="137"/>
      <c r="CM87" s="144" t="str">
        <f aca="false">IFERROR(+$H87-($J87+$K87*$G87),"-")</f>
        <v>-</v>
      </c>
      <c r="CN87" s="137"/>
      <c r="CO87" s="144" t="str">
        <f aca="false">IFERROR(+$H87-($M87+$N87*$G87),"-")</f>
        <v>-</v>
      </c>
      <c r="CP87" s="144" t="str">
        <f aca="false">IFERROR(+$H87-($O87+$P87*$G87),"-")</f>
        <v>-</v>
      </c>
      <c r="CQ87" s="144" t="str">
        <f aca="false">IFERROR(+$H87-($Q87+$R87*$G87),"-")</f>
        <v>-</v>
      </c>
      <c r="CR87" s="144" t="str">
        <f aca="false">IFERROR(+$H87-($Q87+$R87*$G87),"-")</f>
        <v>-</v>
      </c>
      <c r="CS87" s="137"/>
      <c r="CT87" s="144" t="str">
        <f aca="false">IFERROR(+$H87-($V87+$W87*$G87),"-")</f>
        <v>-</v>
      </c>
      <c r="CU87" s="144" t="str">
        <f aca="false">IFERROR(+$H87-($X87+$Y87*$G87),"-")</f>
        <v>-</v>
      </c>
      <c r="CV87" s="144" t="str">
        <f aca="false">IFERROR(+$H87-($Z87+$AA87*$G87),"-")</f>
        <v>-</v>
      </c>
      <c r="CW87" s="144" t="str">
        <f aca="false">IFERROR(+$H87-($AB87+$AC87*$G87),"-")</f>
        <v>-</v>
      </c>
    </row>
    <row r="88" s="156" customFormat="true" ht="12.75" hidden="false" customHeight="true" outlineLevel="0" collapsed="false">
      <c r="A88" s="1"/>
      <c r="B88" s="145" t="s">
        <v>112</v>
      </c>
      <c r="C88" s="146" t="s">
        <v>164</v>
      </c>
      <c r="D88" s="147" t="e">
        <f aca="false">VLOOKUP($C88,#REF!,5,0)</f>
        <v>#VALUE!</v>
      </c>
      <c r="E88" s="148" t="e">
        <f aca="false">VLOOKUP($C88,#REF!,6,0)</f>
        <v>#VALUE!</v>
      </c>
      <c r="F88" s="146" t="e">
        <f aca="false">VLOOKUP($C88,#REF!,7,0)</f>
        <v>#VALUE!</v>
      </c>
      <c r="G88" s="146" t="e">
        <f aca="false">VLOOKUP($C88,#REF!,8,0)</f>
        <v>#VALUE!</v>
      </c>
      <c r="H88" s="149" t="e">
        <f aca="false">VLOOKUP($C88,#REF!,9,0)</f>
        <v>#VALUE!</v>
      </c>
      <c r="I88" s="137"/>
      <c r="J88" s="150" t="e">
        <f aca="false">VLOOKUP($C88,#REF!,10,0)</f>
        <v>#VALUE!</v>
      </c>
      <c r="K88" s="151" t="e">
        <f aca="false">VLOOKUP($C88,#REF!,11,0)</f>
        <v>#VALUE!</v>
      </c>
      <c r="L88" s="140"/>
      <c r="M88" s="150" t="e">
        <f aca="false">VLOOKUP($C88,#REF!,12,0)</f>
        <v>#VALUE!</v>
      </c>
      <c r="N88" s="152" t="e">
        <f aca="false">VLOOKUP($C88,#REF!,13,0)</f>
        <v>#VALUE!</v>
      </c>
      <c r="O88" s="150" t="e">
        <f aca="false">VLOOKUP($C88,#REF!,14,0)</f>
        <v>#VALUE!</v>
      </c>
      <c r="P88" s="152" t="e">
        <f aca="false">VLOOKUP($C88,#REF!,15,0)</f>
        <v>#VALUE!</v>
      </c>
      <c r="Q88" s="150" t="e">
        <f aca="false">VLOOKUP($C88,#REF!,16,0)</f>
        <v>#VALUE!</v>
      </c>
      <c r="R88" s="151" t="e">
        <f aca="false">VLOOKUP($C88,#REF!,17,0)</f>
        <v>#VALUE!</v>
      </c>
      <c r="S88" s="152" t="e">
        <f aca="false">VLOOKUP($C88,#REF!,18,0)</f>
        <v>#VALUE!</v>
      </c>
      <c r="T88" s="151" t="e">
        <f aca="false">VLOOKUP($C88,#REF!,19,0)</f>
        <v>#VALUE!</v>
      </c>
      <c r="U88" s="140"/>
      <c r="V88" s="150" t="e">
        <f aca="false">VLOOKUP($C88,#REF!,20,0)</f>
        <v>#VALUE!</v>
      </c>
      <c r="W88" s="152" t="e">
        <f aca="false">VLOOKUP($C88,#REF!,21,0)</f>
        <v>#VALUE!</v>
      </c>
      <c r="X88" s="150" t="e">
        <f aca="false">VLOOKUP($C88,#REF!,22,0)</f>
        <v>#VALUE!</v>
      </c>
      <c r="Y88" s="152" t="e">
        <f aca="false">VLOOKUP($C88,#REF!,23,0)</f>
        <v>#VALUE!</v>
      </c>
      <c r="Z88" s="150" t="e">
        <f aca="false">VLOOKUP($C88,#REF!,24,0)</f>
        <v>#VALUE!</v>
      </c>
      <c r="AA88" s="151" t="e">
        <f aca="false">VLOOKUP($C88,#REF!,25,0)</f>
        <v>#VALUE!</v>
      </c>
      <c r="AB88" s="152" t="e">
        <f aca="false">VLOOKUP($C88,#REF!,26,0)</f>
        <v>#VALUE!</v>
      </c>
      <c r="AC88" s="151" t="e">
        <f aca="false">VLOOKUP($C88,#REF!,27,0)</f>
        <v>#VALUE!</v>
      </c>
      <c r="AD88" s="1"/>
      <c r="AE88" s="150" t="e">
        <f aca="false">IF(M88="-","-","0,5 GB")</f>
        <v>#VALUE!</v>
      </c>
      <c r="AF88" s="153" t="s">
        <v>92</v>
      </c>
      <c r="AG88" s="153" t="s">
        <v>93</v>
      </c>
      <c r="AH88" s="151" t="s">
        <v>94</v>
      </c>
      <c r="AI88" s="1"/>
      <c r="AJ88" s="150" t="s">
        <v>95</v>
      </c>
      <c r="AK88" s="153" t="s">
        <v>96</v>
      </c>
      <c r="AL88" s="153" t="s">
        <v>97</v>
      </c>
      <c r="AM88" s="153" t="s">
        <v>98</v>
      </c>
      <c r="AN88" s="153" t="s">
        <v>98</v>
      </c>
      <c r="AO88" s="151" t="s">
        <v>92</v>
      </c>
      <c r="AP88" s="1"/>
      <c r="AQ88" s="154" t="n">
        <v>0</v>
      </c>
      <c r="AR88" s="137"/>
      <c r="AS88" s="150" t="n">
        <v>0</v>
      </c>
      <c r="AT88" s="151" t="n">
        <v>0</v>
      </c>
      <c r="AU88" s="140"/>
      <c r="AV88" s="150" t="n">
        <f aca="false">IFERROR(ROUND($D88-M88-AW88,0),0)</f>
        <v>0</v>
      </c>
      <c r="AW88" s="151" t="n">
        <f aca="false">IFERROR(N88*$G88,0)</f>
        <v>0</v>
      </c>
      <c r="AX88" s="150" t="n">
        <f aca="false">IFERROR(ROUND($D88-O88-AY88,0),0)</f>
        <v>0</v>
      </c>
      <c r="AY88" s="151" t="n">
        <f aca="false">IFERROR(P88*$G88,0)</f>
        <v>0</v>
      </c>
      <c r="AZ88" s="150" t="n">
        <f aca="false">IFERROR(ROUND($D88-Q88-BA88,0),0)</f>
        <v>0</v>
      </c>
      <c r="BA88" s="151" t="n">
        <f aca="false">IFERROR(R88*$G88,0)</f>
        <v>0</v>
      </c>
      <c r="BB88" s="152" t="n">
        <f aca="false">IFERROR(ROUND($D88-S88-BC88,0),0)</f>
        <v>0</v>
      </c>
      <c r="BC88" s="151" t="n">
        <f aca="false">IFERROR(T88*$G88,0)</f>
        <v>0</v>
      </c>
      <c r="BD88" s="140"/>
      <c r="BE88" s="150" t="n">
        <f aca="false">IFERROR(ROUND($D88-V88-BF88,0),0)</f>
        <v>0</v>
      </c>
      <c r="BF88" s="151" t="n">
        <f aca="false">IFERROR(W88*$G88,0)</f>
        <v>0</v>
      </c>
      <c r="BG88" s="150" t="n">
        <f aca="false">IFERROR(ROUND($D88-X88-BH88,0),0)</f>
        <v>0</v>
      </c>
      <c r="BH88" s="151" t="n">
        <f aca="false">IFERROR(Y88*$G88,0)</f>
        <v>0</v>
      </c>
      <c r="BI88" s="152" t="n">
        <f aca="false">IFERROR(ROUND($D88-Z88-BJ88,0),0)</f>
        <v>0</v>
      </c>
      <c r="BJ88" s="151" t="n">
        <f aca="false">IFERROR(AA88*$G88,0)</f>
        <v>0</v>
      </c>
      <c r="BK88" s="152" t="n">
        <f aca="false">IFERROR(ROUND($D88-AB88-BL88,0),0)</f>
        <v>0</v>
      </c>
      <c r="BL88" s="151" t="n">
        <f aca="false">IFERROR(AC88*$G88,0)</f>
        <v>0</v>
      </c>
      <c r="BM88" s="1"/>
      <c r="BN88" s="154" t="n">
        <v>0</v>
      </c>
      <c r="BO88" s="155"/>
      <c r="BP88" s="150" t="n">
        <v>0</v>
      </c>
      <c r="BQ88" s="151" t="n">
        <v>0</v>
      </c>
      <c r="BR88" s="152"/>
      <c r="BS88" s="150" t="n">
        <v>0</v>
      </c>
      <c r="BT88" s="151" t="n">
        <v>0</v>
      </c>
      <c r="BU88" s="150" t="n">
        <v>0</v>
      </c>
      <c r="BV88" s="151" t="n">
        <v>0</v>
      </c>
      <c r="BW88" s="150" t="n">
        <v>-40</v>
      </c>
      <c r="BX88" s="151" t="n">
        <v>-6</v>
      </c>
      <c r="BY88" s="150" t="n">
        <v>-40</v>
      </c>
      <c r="BZ88" s="151" t="n">
        <v>-6</v>
      </c>
      <c r="CA88" s="152"/>
      <c r="CB88" s="150" t="n">
        <v>0</v>
      </c>
      <c r="CC88" s="151" t="n">
        <v>0</v>
      </c>
      <c r="CD88" s="150" t="n">
        <v>0</v>
      </c>
      <c r="CE88" s="151" t="n">
        <v>0</v>
      </c>
      <c r="CF88" s="150" t="n">
        <v>0</v>
      </c>
      <c r="CG88" s="151" t="n">
        <v>-8</v>
      </c>
      <c r="CH88" s="150" t="n">
        <v>0</v>
      </c>
      <c r="CI88" s="151" t="n">
        <v>-8</v>
      </c>
      <c r="CJ88" s="1"/>
      <c r="CK88" s="149"/>
      <c r="CL88" s="137"/>
      <c r="CM88" s="154" t="str">
        <f aca="false">IFERROR(+$H88-($J88+$K88*$G88),"-")</f>
        <v>-</v>
      </c>
      <c r="CN88" s="137"/>
      <c r="CO88" s="154" t="str">
        <f aca="false">IFERROR(+$H88-($M88+$N88*$G88),"-")</f>
        <v>-</v>
      </c>
      <c r="CP88" s="154" t="str">
        <f aca="false">IFERROR(+$H88-($O88+$P88*$G88),"-")</f>
        <v>-</v>
      </c>
      <c r="CQ88" s="154" t="str">
        <f aca="false">IFERROR(+$H88-($Q88+$R88*$G88),"-")</f>
        <v>-</v>
      </c>
      <c r="CR88" s="154" t="str">
        <f aca="false">IFERROR(+$H88-($Q88+$R88*$G88),"-")</f>
        <v>-</v>
      </c>
      <c r="CS88" s="137"/>
      <c r="CT88" s="154" t="str">
        <f aca="false">IFERROR(+$H88-($V88+$W88*$G88),"-")</f>
        <v>-</v>
      </c>
      <c r="CU88" s="154" t="str">
        <f aca="false">IFERROR(+$H88-($X88+$Y88*$G88),"-")</f>
        <v>-</v>
      </c>
      <c r="CV88" s="154" t="str">
        <f aca="false">IFERROR(+$H88-($Z88+$AA88*$G88),"-")</f>
        <v>-</v>
      </c>
      <c r="CW88" s="154" t="str">
        <f aca="false">IFERROR(+$H88-($AB88+$AC88*$G88),"-")</f>
        <v>-</v>
      </c>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row>
    <row r="89" s="1" customFormat="true" ht="12.75" hidden="false" customHeight="true" outlineLevel="0" collapsed="false">
      <c r="B89" s="134" t="s">
        <v>112</v>
      </c>
      <c r="C89" s="135" t="s">
        <v>165</v>
      </c>
      <c r="D89" s="136" t="e">
        <f aca="false">VLOOKUP($C89,#REF!,5,0)</f>
        <v>#VALUE!</v>
      </c>
      <c r="E89" s="157" t="e">
        <f aca="false">VLOOKUP($C89,#REF!,6,0)</f>
        <v>#VALUE!</v>
      </c>
      <c r="F89" s="135" t="e">
        <f aca="false">VLOOKUP($C89,#REF!,7,0)</f>
        <v>#VALUE!</v>
      </c>
      <c r="G89" s="135" t="e">
        <f aca="false">VLOOKUP($C89,#REF!,8,0)</f>
        <v>#VALUE!</v>
      </c>
      <c r="H89" s="158" t="e">
        <f aca="false">VLOOKUP($C89,#REF!,9,0)</f>
        <v>#VALUE!</v>
      </c>
      <c r="I89" s="137"/>
      <c r="J89" s="138" t="e">
        <f aca="false">VLOOKUP($C89,#REF!,10,0)</f>
        <v>#VALUE!</v>
      </c>
      <c r="K89" s="139" t="e">
        <f aca="false">VLOOKUP($C89,#REF!,11,0)</f>
        <v>#VALUE!</v>
      </c>
      <c r="L89" s="140"/>
      <c r="M89" s="138" t="e">
        <f aca="false">VLOOKUP($C89,#REF!,12,0)</f>
        <v>#VALUE!</v>
      </c>
      <c r="N89" s="140" t="e">
        <f aca="false">VLOOKUP($C89,#REF!,13,0)</f>
        <v>#VALUE!</v>
      </c>
      <c r="O89" s="138" t="e">
        <f aca="false">VLOOKUP($C89,#REF!,14,0)</f>
        <v>#VALUE!</v>
      </c>
      <c r="P89" s="140" t="e">
        <f aca="false">VLOOKUP($C89,#REF!,15,0)</f>
        <v>#VALUE!</v>
      </c>
      <c r="Q89" s="138" t="e">
        <f aca="false">VLOOKUP($C89,#REF!,16,0)</f>
        <v>#VALUE!</v>
      </c>
      <c r="R89" s="139" t="e">
        <f aca="false">VLOOKUP($C89,#REF!,17,0)</f>
        <v>#VALUE!</v>
      </c>
      <c r="S89" s="140" t="e">
        <f aca="false">VLOOKUP($C89,#REF!,18,0)</f>
        <v>#VALUE!</v>
      </c>
      <c r="T89" s="139" t="e">
        <f aca="false">VLOOKUP($C89,#REF!,19,0)</f>
        <v>#VALUE!</v>
      </c>
      <c r="U89" s="140"/>
      <c r="V89" s="138" t="e">
        <f aca="false">VLOOKUP($C89,#REF!,20,0)</f>
        <v>#VALUE!</v>
      </c>
      <c r="W89" s="140" t="e">
        <f aca="false">VLOOKUP($C89,#REF!,21,0)</f>
        <v>#VALUE!</v>
      </c>
      <c r="X89" s="138" t="e">
        <f aca="false">VLOOKUP($C89,#REF!,22,0)</f>
        <v>#VALUE!</v>
      </c>
      <c r="Y89" s="140" t="e">
        <f aca="false">VLOOKUP($C89,#REF!,23,0)</f>
        <v>#VALUE!</v>
      </c>
      <c r="Z89" s="138" t="e">
        <f aca="false">VLOOKUP($C89,#REF!,24,0)</f>
        <v>#VALUE!</v>
      </c>
      <c r="AA89" s="139" t="e">
        <f aca="false">VLOOKUP($C89,#REF!,25,0)</f>
        <v>#VALUE!</v>
      </c>
      <c r="AB89" s="140" t="e">
        <f aca="false">VLOOKUP($C89,#REF!,26,0)</f>
        <v>#VALUE!</v>
      </c>
      <c r="AC89" s="139" t="e">
        <f aca="false">VLOOKUP($C89,#REF!,27,0)</f>
        <v>#VALUE!</v>
      </c>
      <c r="AE89" s="138" t="e">
        <f aca="false">IF(M89="-","-","0,5 GB")</f>
        <v>#VALUE!</v>
      </c>
      <c r="AF89" s="141" t="s">
        <v>92</v>
      </c>
      <c r="AG89" s="141" t="s">
        <v>93</v>
      </c>
      <c r="AH89" s="139" t="s">
        <v>94</v>
      </c>
      <c r="AJ89" s="138" t="s">
        <v>95</v>
      </c>
      <c r="AK89" s="141" t="s">
        <v>96</v>
      </c>
      <c r="AL89" s="141" t="s">
        <v>97</v>
      </c>
      <c r="AM89" s="141" t="s">
        <v>98</v>
      </c>
      <c r="AN89" s="141" t="s">
        <v>98</v>
      </c>
      <c r="AO89" s="139" t="s">
        <v>92</v>
      </c>
      <c r="AQ89" s="142" t="n">
        <v>-9</v>
      </c>
      <c r="AR89" s="137"/>
      <c r="AS89" s="138" t="n">
        <v>0</v>
      </c>
      <c r="AT89" s="139" t="n">
        <v>0</v>
      </c>
      <c r="AU89" s="140"/>
      <c r="AV89" s="138" t="n">
        <f aca="false">IFERROR(ROUND($D89-M89-AW89,0),0)</f>
        <v>0</v>
      </c>
      <c r="AW89" s="139" t="n">
        <f aca="false">IFERROR(N89*$G89,0)</f>
        <v>0</v>
      </c>
      <c r="AX89" s="138" t="n">
        <f aca="false">IFERROR(ROUND($D89-O89-AY89,0),0)</f>
        <v>0</v>
      </c>
      <c r="AY89" s="139" t="n">
        <f aca="false">IFERROR(P89*$G89,0)</f>
        <v>0</v>
      </c>
      <c r="AZ89" s="138" t="n">
        <f aca="false">IFERROR(ROUND($D89-Q89-BA89,0),0)</f>
        <v>0</v>
      </c>
      <c r="BA89" s="139" t="n">
        <f aca="false">IFERROR(R89*$G89,0)</f>
        <v>0</v>
      </c>
      <c r="BB89" s="140" t="n">
        <f aca="false">IFERROR(ROUND($D89-S89-BC89,0),0)</f>
        <v>0</v>
      </c>
      <c r="BC89" s="139" t="n">
        <f aca="false">IFERROR(T89*$G89,0)</f>
        <v>0</v>
      </c>
      <c r="BD89" s="140"/>
      <c r="BE89" s="138" t="n">
        <f aca="false">IFERROR(ROUND($D89-V89-BF89,0),0)</f>
        <v>0</v>
      </c>
      <c r="BF89" s="139" t="n">
        <f aca="false">IFERROR(W89*$G89,0)</f>
        <v>0</v>
      </c>
      <c r="BG89" s="138" t="n">
        <f aca="false">IFERROR(ROUND($D89-X89-BH89,0),0)</f>
        <v>0</v>
      </c>
      <c r="BH89" s="139" t="n">
        <f aca="false">IFERROR(Y89*$G89,0)</f>
        <v>0</v>
      </c>
      <c r="BI89" s="140" t="n">
        <f aca="false">IFERROR(ROUND($D89-Z89-BJ89,0),0)</f>
        <v>0</v>
      </c>
      <c r="BJ89" s="139" t="n">
        <f aca="false">IFERROR(AA89*$G89,0)</f>
        <v>0</v>
      </c>
      <c r="BK89" s="140" t="n">
        <f aca="false">IFERROR(ROUND($D89-AB89-BL89,0),0)</f>
        <v>0</v>
      </c>
      <c r="BL89" s="139" t="n">
        <f aca="false">IFERROR(AC89*$G89,0)</f>
        <v>0</v>
      </c>
      <c r="BN89" s="142" t="n">
        <v>-8.26999999999998</v>
      </c>
      <c r="BO89" s="137"/>
      <c r="BP89" s="138" t="n">
        <v>-8.26999999999998</v>
      </c>
      <c r="BQ89" s="139" t="n">
        <v>0</v>
      </c>
      <c r="BR89" s="140"/>
      <c r="BS89" s="138" t="n">
        <v>0</v>
      </c>
      <c r="BT89" s="139" t="n">
        <v>0</v>
      </c>
      <c r="BU89" s="138" t="n">
        <v>0</v>
      </c>
      <c r="BV89" s="139" t="n">
        <v>0</v>
      </c>
      <c r="BW89" s="138" t="n">
        <v>0</v>
      </c>
      <c r="BX89" s="139" t="n">
        <v>0</v>
      </c>
      <c r="BY89" s="138" t="n">
        <v>0</v>
      </c>
      <c r="BZ89" s="139" t="n">
        <v>0</v>
      </c>
      <c r="CA89" s="140"/>
      <c r="CB89" s="138" t="n">
        <v>0</v>
      </c>
      <c r="CC89" s="139" t="n">
        <v>0</v>
      </c>
      <c r="CD89" s="138" t="n">
        <v>0</v>
      </c>
      <c r="CE89" s="139" t="n">
        <v>0</v>
      </c>
      <c r="CF89" s="138" t="n">
        <v>0</v>
      </c>
      <c r="CG89" s="139" t="n">
        <v>0</v>
      </c>
      <c r="CH89" s="138" t="n">
        <v>0</v>
      </c>
      <c r="CI89" s="139" t="n">
        <v>0</v>
      </c>
      <c r="CK89" s="143"/>
      <c r="CL89" s="137"/>
      <c r="CM89" s="144" t="str">
        <f aca="false">IFERROR(+$H89-($J89+$K89*$G89),"-")</f>
        <v>-</v>
      </c>
      <c r="CN89" s="137"/>
      <c r="CO89" s="144" t="str">
        <f aca="false">IFERROR(+$H89-($M89+$N89*$G89),"-")</f>
        <v>-</v>
      </c>
      <c r="CP89" s="144" t="str">
        <f aca="false">IFERROR(+$H89-($O89+$P89*$G89),"-")</f>
        <v>-</v>
      </c>
      <c r="CQ89" s="144" t="str">
        <f aca="false">IFERROR(+$H89-($Q89+$R89*$G89),"-")</f>
        <v>-</v>
      </c>
      <c r="CR89" s="144" t="str">
        <f aca="false">IFERROR(+$H89-($Q89+$R89*$G89),"-")</f>
        <v>-</v>
      </c>
      <c r="CS89" s="137"/>
      <c r="CT89" s="144" t="str">
        <f aca="false">IFERROR(+$H89-($V89+$W89*$G89),"-")</f>
        <v>-</v>
      </c>
      <c r="CU89" s="144" t="str">
        <f aca="false">IFERROR(+$H89-($X89+$Y89*$G89),"-")</f>
        <v>-</v>
      </c>
      <c r="CV89" s="144" t="str">
        <f aca="false">IFERROR(+$H89-($Z89+$AA89*$G89),"-")</f>
        <v>-</v>
      </c>
      <c r="CW89" s="144" t="str">
        <f aca="false">IFERROR(+$H89-($AB89+$AC89*$G89),"-")</f>
        <v>-</v>
      </c>
    </row>
    <row r="90" s="156" customFormat="true" ht="12.75" hidden="false" customHeight="true" outlineLevel="0" collapsed="false">
      <c r="A90" s="1"/>
      <c r="B90" s="145" t="s">
        <v>112</v>
      </c>
      <c r="C90" s="146" t="s">
        <v>166</v>
      </c>
      <c r="D90" s="147" t="e">
        <f aca="false">VLOOKUP($C90,#REF!,5,0)</f>
        <v>#VALUE!</v>
      </c>
      <c r="E90" s="148" t="e">
        <f aca="false">VLOOKUP($C90,#REF!,6,0)</f>
        <v>#VALUE!</v>
      </c>
      <c r="F90" s="146" t="e">
        <f aca="false">VLOOKUP($C90,#REF!,7,0)</f>
        <v>#VALUE!</v>
      </c>
      <c r="G90" s="146" t="e">
        <f aca="false">VLOOKUP($C90,#REF!,8,0)</f>
        <v>#VALUE!</v>
      </c>
      <c r="H90" s="149" t="e">
        <f aca="false">VLOOKUP($C90,#REF!,9,0)</f>
        <v>#VALUE!</v>
      </c>
      <c r="I90" s="137"/>
      <c r="J90" s="150" t="e">
        <f aca="false">VLOOKUP($C90,#REF!,10,0)</f>
        <v>#VALUE!</v>
      </c>
      <c r="K90" s="151" t="e">
        <f aca="false">VLOOKUP($C90,#REF!,11,0)</f>
        <v>#VALUE!</v>
      </c>
      <c r="L90" s="140"/>
      <c r="M90" s="150" t="e">
        <f aca="false">VLOOKUP($C90,#REF!,12,0)</f>
        <v>#VALUE!</v>
      </c>
      <c r="N90" s="152" t="e">
        <f aca="false">VLOOKUP($C90,#REF!,13,0)</f>
        <v>#VALUE!</v>
      </c>
      <c r="O90" s="150" t="e">
        <f aca="false">VLOOKUP($C90,#REF!,14,0)</f>
        <v>#VALUE!</v>
      </c>
      <c r="P90" s="152" t="e">
        <f aca="false">VLOOKUP($C90,#REF!,15,0)</f>
        <v>#VALUE!</v>
      </c>
      <c r="Q90" s="150" t="e">
        <f aca="false">VLOOKUP($C90,#REF!,16,0)</f>
        <v>#VALUE!</v>
      </c>
      <c r="R90" s="151" t="e">
        <f aca="false">VLOOKUP($C90,#REF!,17,0)</f>
        <v>#VALUE!</v>
      </c>
      <c r="S90" s="152" t="e">
        <f aca="false">VLOOKUP($C90,#REF!,18,0)</f>
        <v>#VALUE!</v>
      </c>
      <c r="T90" s="151" t="e">
        <f aca="false">VLOOKUP($C90,#REF!,19,0)</f>
        <v>#VALUE!</v>
      </c>
      <c r="U90" s="140"/>
      <c r="V90" s="150" t="e">
        <f aca="false">VLOOKUP($C90,#REF!,20,0)</f>
        <v>#VALUE!</v>
      </c>
      <c r="W90" s="152" t="e">
        <f aca="false">VLOOKUP($C90,#REF!,21,0)</f>
        <v>#VALUE!</v>
      </c>
      <c r="X90" s="150" t="e">
        <f aca="false">VLOOKUP($C90,#REF!,22,0)</f>
        <v>#VALUE!</v>
      </c>
      <c r="Y90" s="152" t="e">
        <f aca="false">VLOOKUP($C90,#REF!,23,0)</f>
        <v>#VALUE!</v>
      </c>
      <c r="Z90" s="150" t="e">
        <f aca="false">VLOOKUP($C90,#REF!,24,0)</f>
        <v>#VALUE!</v>
      </c>
      <c r="AA90" s="151" t="e">
        <f aca="false">VLOOKUP($C90,#REF!,25,0)</f>
        <v>#VALUE!</v>
      </c>
      <c r="AB90" s="152" t="e">
        <f aca="false">VLOOKUP($C90,#REF!,26,0)</f>
        <v>#VALUE!</v>
      </c>
      <c r="AC90" s="151" t="e">
        <f aca="false">VLOOKUP($C90,#REF!,27,0)</f>
        <v>#VALUE!</v>
      </c>
      <c r="AD90" s="1"/>
      <c r="AE90" s="150" t="e">
        <f aca="false">IF(M90="-","-","0,5 GB")</f>
        <v>#VALUE!</v>
      </c>
      <c r="AF90" s="153" t="s">
        <v>92</v>
      </c>
      <c r="AG90" s="153" t="s">
        <v>93</v>
      </c>
      <c r="AH90" s="151" t="s">
        <v>94</v>
      </c>
      <c r="AI90" s="1"/>
      <c r="AJ90" s="150" t="s">
        <v>95</v>
      </c>
      <c r="AK90" s="153" t="s">
        <v>96</v>
      </c>
      <c r="AL90" s="153" t="s">
        <v>97</v>
      </c>
      <c r="AM90" s="153" t="s">
        <v>98</v>
      </c>
      <c r="AN90" s="153" t="s">
        <v>98</v>
      </c>
      <c r="AO90" s="151" t="s">
        <v>92</v>
      </c>
      <c r="AP90" s="1"/>
      <c r="AQ90" s="154" t="n">
        <v>-1</v>
      </c>
      <c r="AR90" s="137"/>
      <c r="AS90" s="150" t="n">
        <v>0</v>
      </c>
      <c r="AT90" s="151" t="n">
        <v>0</v>
      </c>
      <c r="AU90" s="140"/>
      <c r="AV90" s="150" t="n">
        <f aca="false">IFERROR(ROUND($D90-M90-AW90,0),0)</f>
        <v>0</v>
      </c>
      <c r="AW90" s="151" t="n">
        <f aca="false">IFERROR(N90*$G90,0)</f>
        <v>0</v>
      </c>
      <c r="AX90" s="150" t="n">
        <f aca="false">IFERROR(ROUND($D90-O90-AY90,0),0)</f>
        <v>0</v>
      </c>
      <c r="AY90" s="151" t="n">
        <f aca="false">IFERROR(P90*$G90,0)</f>
        <v>0</v>
      </c>
      <c r="AZ90" s="150" t="n">
        <f aca="false">IFERROR(ROUND($D90-Q90-BA90,0),0)</f>
        <v>0</v>
      </c>
      <c r="BA90" s="151" t="n">
        <f aca="false">IFERROR(R90*$G90,0)</f>
        <v>0</v>
      </c>
      <c r="BB90" s="152" t="n">
        <f aca="false">IFERROR(ROUND($D90-S90-BC90,0),0)</f>
        <v>0</v>
      </c>
      <c r="BC90" s="151" t="n">
        <f aca="false">IFERROR(T90*$G90,0)</f>
        <v>0</v>
      </c>
      <c r="BD90" s="140"/>
      <c r="BE90" s="150" t="n">
        <f aca="false">IFERROR(ROUND($D90-V90-BF90,0),0)</f>
        <v>0</v>
      </c>
      <c r="BF90" s="151" t="n">
        <f aca="false">IFERROR(W90*$G90,0)</f>
        <v>0</v>
      </c>
      <c r="BG90" s="150" t="n">
        <f aca="false">IFERROR(ROUND($D90-X90-BH90,0),0)</f>
        <v>0</v>
      </c>
      <c r="BH90" s="151" t="n">
        <f aca="false">IFERROR(Y90*$G90,0)</f>
        <v>0</v>
      </c>
      <c r="BI90" s="152" t="n">
        <f aca="false">IFERROR(ROUND($D90-Z90-BJ90,0),0)</f>
        <v>0</v>
      </c>
      <c r="BJ90" s="151" t="n">
        <f aca="false">IFERROR(AA90*$G90,0)</f>
        <v>0</v>
      </c>
      <c r="BK90" s="152" t="n">
        <f aca="false">IFERROR(ROUND($D90-AB90-BL90,0),0)</f>
        <v>0</v>
      </c>
      <c r="BL90" s="151" t="n">
        <f aca="false">IFERROR(AC90*$G90,0)</f>
        <v>0</v>
      </c>
      <c r="BM90" s="1"/>
      <c r="BN90" s="154" t="n">
        <v>0</v>
      </c>
      <c r="BO90" s="155"/>
      <c r="BP90" s="150" t="n">
        <v>0</v>
      </c>
      <c r="BQ90" s="151" t="n">
        <v>0</v>
      </c>
      <c r="BR90" s="152"/>
      <c r="BS90" s="150" t="n">
        <v>0</v>
      </c>
      <c r="BT90" s="151" t="n">
        <v>0</v>
      </c>
      <c r="BU90" s="150" t="n">
        <v>0</v>
      </c>
      <c r="BV90" s="151" t="n">
        <v>0</v>
      </c>
      <c r="BW90" s="150" t="n">
        <v>0</v>
      </c>
      <c r="BX90" s="151" t="n">
        <v>0</v>
      </c>
      <c r="BY90" s="150" t="n">
        <v>0</v>
      </c>
      <c r="BZ90" s="151" t="n">
        <v>0</v>
      </c>
      <c r="CA90" s="152"/>
      <c r="CB90" s="150" t="n">
        <v>0</v>
      </c>
      <c r="CC90" s="151" t="n">
        <v>0</v>
      </c>
      <c r="CD90" s="150" t="n">
        <v>0</v>
      </c>
      <c r="CE90" s="151" t="n">
        <v>0</v>
      </c>
      <c r="CF90" s="150" t="n">
        <v>0</v>
      </c>
      <c r="CG90" s="151" t="n">
        <v>0</v>
      </c>
      <c r="CH90" s="150" t="n">
        <v>0</v>
      </c>
      <c r="CI90" s="151" t="n">
        <v>0</v>
      </c>
      <c r="CJ90" s="1"/>
      <c r="CK90" s="149"/>
      <c r="CL90" s="137"/>
      <c r="CM90" s="154" t="str">
        <f aca="false">IFERROR(+$H90-($J90+$K90*$G90),"-")</f>
        <v>-</v>
      </c>
      <c r="CN90" s="137"/>
      <c r="CO90" s="154" t="str">
        <f aca="false">IFERROR(+$H90-($M90+$N90*$G90),"-")</f>
        <v>-</v>
      </c>
      <c r="CP90" s="154" t="str">
        <f aca="false">IFERROR(+$H90-($O90+$P90*$G90),"-")</f>
        <v>-</v>
      </c>
      <c r="CQ90" s="154" t="str">
        <f aca="false">IFERROR(+$H90-($Q90+$R90*$G90),"-")</f>
        <v>-</v>
      </c>
      <c r="CR90" s="154" t="str">
        <f aca="false">IFERROR(+$H90-($Q90+$R90*$G90),"-")</f>
        <v>-</v>
      </c>
      <c r="CS90" s="137"/>
      <c r="CT90" s="154" t="str">
        <f aca="false">IFERROR(+$H90-($V90+$W90*$G90),"-")</f>
        <v>-</v>
      </c>
      <c r="CU90" s="154" t="str">
        <f aca="false">IFERROR(+$H90-($X90+$Y90*$G90),"-")</f>
        <v>-</v>
      </c>
      <c r="CV90" s="154" t="str">
        <f aca="false">IFERROR(+$H90-($Z90+$AA90*$G90),"-")</f>
        <v>-</v>
      </c>
      <c r="CW90" s="154" t="str">
        <f aca="false">IFERROR(+$H90-($AB90+$AC90*$G90),"-")</f>
        <v>-</v>
      </c>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row>
    <row r="91" s="1" customFormat="true" ht="12.75" hidden="false" customHeight="true" outlineLevel="0" collapsed="false">
      <c r="B91" s="134" t="s">
        <v>112</v>
      </c>
      <c r="C91" s="135" t="s">
        <v>167</v>
      </c>
      <c r="D91" s="136" t="e">
        <f aca="false">VLOOKUP($C91,#REF!,5,0)</f>
        <v>#VALUE!</v>
      </c>
      <c r="E91" s="157" t="e">
        <f aca="false">VLOOKUP($C91,#REF!,6,0)</f>
        <v>#VALUE!</v>
      </c>
      <c r="F91" s="135" t="e">
        <f aca="false">VLOOKUP($C91,#REF!,7,0)</f>
        <v>#VALUE!</v>
      </c>
      <c r="G91" s="135" t="e">
        <f aca="false">VLOOKUP($C91,#REF!,8,0)</f>
        <v>#VALUE!</v>
      </c>
      <c r="H91" s="158" t="e">
        <f aca="false">VLOOKUP($C91,#REF!,9,0)</f>
        <v>#VALUE!</v>
      </c>
      <c r="I91" s="137"/>
      <c r="J91" s="138" t="e">
        <f aca="false">VLOOKUP($C91,#REF!,10,0)</f>
        <v>#VALUE!</v>
      </c>
      <c r="K91" s="139" t="e">
        <f aca="false">VLOOKUP($C91,#REF!,11,0)</f>
        <v>#VALUE!</v>
      </c>
      <c r="L91" s="140"/>
      <c r="M91" s="138" t="e">
        <f aca="false">VLOOKUP($C91,#REF!,12,0)</f>
        <v>#VALUE!</v>
      </c>
      <c r="N91" s="140" t="e">
        <f aca="false">VLOOKUP($C91,#REF!,13,0)</f>
        <v>#VALUE!</v>
      </c>
      <c r="O91" s="138" t="e">
        <f aca="false">VLOOKUP($C91,#REF!,14,0)</f>
        <v>#VALUE!</v>
      </c>
      <c r="P91" s="140" t="e">
        <f aca="false">VLOOKUP($C91,#REF!,15,0)</f>
        <v>#VALUE!</v>
      </c>
      <c r="Q91" s="138" t="e">
        <f aca="false">VLOOKUP($C91,#REF!,16,0)</f>
        <v>#VALUE!</v>
      </c>
      <c r="R91" s="139" t="e">
        <f aca="false">VLOOKUP($C91,#REF!,17,0)</f>
        <v>#VALUE!</v>
      </c>
      <c r="S91" s="140" t="e">
        <f aca="false">VLOOKUP($C91,#REF!,18,0)</f>
        <v>#VALUE!</v>
      </c>
      <c r="T91" s="139" t="e">
        <f aca="false">VLOOKUP($C91,#REF!,19,0)</f>
        <v>#VALUE!</v>
      </c>
      <c r="U91" s="140"/>
      <c r="V91" s="138" t="e">
        <f aca="false">VLOOKUP($C91,#REF!,20,0)</f>
        <v>#VALUE!</v>
      </c>
      <c r="W91" s="140" t="e">
        <f aca="false">VLOOKUP($C91,#REF!,21,0)</f>
        <v>#VALUE!</v>
      </c>
      <c r="X91" s="138" t="e">
        <f aca="false">VLOOKUP($C91,#REF!,22,0)</f>
        <v>#VALUE!</v>
      </c>
      <c r="Y91" s="140" t="e">
        <f aca="false">VLOOKUP($C91,#REF!,23,0)</f>
        <v>#VALUE!</v>
      </c>
      <c r="Z91" s="138" t="e">
        <f aca="false">VLOOKUP($C91,#REF!,24,0)</f>
        <v>#VALUE!</v>
      </c>
      <c r="AA91" s="139" t="e">
        <f aca="false">VLOOKUP($C91,#REF!,25,0)</f>
        <v>#VALUE!</v>
      </c>
      <c r="AB91" s="140" t="e">
        <f aca="false">VLOOKUP($C91,#REF!,26,0)</f>
        <v>#VALUE!</v>
      </c>
      <c r="AC91" s="139" t="e">
        <f aca="false">VLOOKUP($C91,#REF!,27,0)</f>
        <v>#VALUE!</v>
      </c>
      <c r="AE91" s="138" t="e">
        <f aca="false">IF(M91="-","-","0,5 GB")</f>
        <v>#VALUE!</v>
      </c>
      <c r="AF91" s="141" t="s">
        <v>92</v>
      </c>
      <c r="AG91" s="141" t="s">
        <v>93</v>
      </c>
      <c r="AH91" s="139" t="s">
        <v>94</v>
      </c>
      <c r="AJ91" s="138" t="s">
        <v>95</v>
      </c>
      <c r="AK91" s="141" t="s">
        <v>96</v>
      </c>
      <c r="AL91" s="141" t="s">
        <v>97</v>
      </c>
      <c r="AM91" s="141" t="s">
        <v>98</v>
      </c>
      <c r="AN91" s="141" t="s">
        <v>98</v>
      </c>
      <c r="AO91" s="139" t="s">
        <v>92</v>
      </c>
      <c r="AQ91" s="142"/>
      <c r="AR91" s="137"/>
      <c r="AS91" s="138" t="n">
        <v>0</v>
      </c>
      <c r="AT91" s="139" t="n">
        <v>0</v>
      </c>
      <c r="AU91" s="140"/>
      <c r="AV91" s="138" t="n">
        <f aca="false">IFERROR(ROUND($D91-M91-AW91,0),0)</f>
        <v>0</v>
      </c>
      <c r="AW91" s="139" t="n">
        <f aca="false">IFERROR(N91*$G91,0)</f>
        <v>0</v>
      </c>
      <c r="AX91" s="138" t="n">
        <f aca="false">IFERROR(ROUND($D91-O91-AY91,0),0)</f>
        <v>0</v>
      </c>
      <c r="AY91" s="139" t="n">
        <f aca="false">IFERROR(P91*$G91,0)</f>
        <v>0</v>
      </c>
      <c r="AZ91" s="138" t="n">
        <f aca="false">IFERROR(ROUND($D91-Q91-BA91,0),0)</f>
        <v>0</v>
      </c>
      <c r="BA91" s="139" t="n">
        <f aca="false">IFERROR(R91*$G91,0)</f>
        <v>0</v>
      </c>
      <c r="BB91" s="140" t="n">
        <f aca="false">IFERROR(ROUND($D91-S91-BC91,0),0)</f>
        <v>0</v>
      </c>
      <c r="BC91" s="139" t="n">
        <f aca="false">IFERROR(T91*$G91,0)</f>
        <v>0</v>
      </c>
      <c r="BD91" s="140"/>
      <c r="BE91" s="138" t="n">
        <f aca="false">IFERROR(ROUND($D91-V91-BF91,0),0)</f>
        <v>0</v>
      </c>
      <c r="BF91" s="139" t="n">
        <f aca="false">IFERROR(W91*$G91,0)</f>
        <v>0</v>
      </c>
      <c r="BG91" s="138" t="n">
        <f aca="false">IFERROR(ROUND($D91-X91-BH91,0),0)</f>
        <v>0</v>
      </c>
      <c r="BH91" s="139" t="n">
        <f aca="false">IFERROR(Y91*$G91,0)</f>
        <v>0</v>
      </c>
      <c r="BI91" s="140" t="n">
        <f aca="false">IFERROR(ROUND($D91-Z91-BJ91,0),0)</f>
        <v>0</v>
      </c>
      <c r="BJ91" s="139" t="n">
        <f aca="false">IFERROR(AA91*$G91,0)</f>
        <v>0</v>
      </c>
      <c r="BK91" s="140" t="n">
        <f aca="false">IFERROR(ROUND($D91-AB91-BL91,0),0)</f>
        <v>0</v>
      </c>
      <c r="BL91" s="139" t="n">
        <f aca="false">IFERROR(AC91*$G91,0)</f>
        <v>0</v>
      </c>
      <c r="BN91" s="142"/>
      <c r="BO91" s="137"/>
      <c r="BP91" s="138"/>
      <c r="BQ91" s="139"/>
      <c r="BR91" s="140"/>
      <c r="BS91" s="138"/>
      <c r="BT91" s="139"/>
      <c r="BU91" s="138"/>
      <c r="BV91" s="139"/>
      <c r="BW91" s="138"/>
      <c r="BX91" s="139"/>
      <c r="BY91" s="138"/>
      <c r="BZ91" s="139"/>
      <c r="CA91" s="140"/>
      <c r="CB91" s="138"/>
      <c r="CC91" s="139"/>
      <c r="CD91" s="138"/>
      <c r="CE91" s="139"/>
      <c r="CF91" s="138"/>
      <c r="CG91" s="139"/>
      <c r="CH91" s="138"/>
      <c r="CI91" s="139"/>
      <c r="CK91" s="143"/>
      <c r="CL91" s="137"/>
      <c r="CM91" s="144" t="str">
        <f aca="false">IFERROR(+$H91-($J91+$K91*$G91),"-")</f>
        <v>-</v>
      </c>
      <c r="CN91" s="137"/>
      <c r="CO91" s="144" t="str">
        <f aca="false">IFERROR(+$H91-($M91+$N91*$G91),"-")</f>
        <v>-</v>
      </c>
      <c r="CP91" s="144" t="str">
        <f aca="false">IFERROR(+$H91-($O91+$P91*$G91),"-")</f>
        <v>-</v>
      </c>
      <c r="CQ91" s="144" t="str">
        <f aca="false">IFERROR(+$H91-($Q91+$R91*$G91),"-")</f>
        <v>-</v>
      </c>
      <c r="CR91" s="144" t="str">
        <f aca="false">IFERROR(+$H91-($Q91+$R91*$G91),"-")</f>
        <v>-</v>
      </c>
      <c r="CS91" s="137"/>
      <c r="CT91" s="144" t="str">
        <f aca="false">IFERROR(+$H91-($V91+$W91*$G91),"-")</f>
        <v>-</v>
      </c>
      <c r="CU91" s="144" t="str">
        <f aca="false">IFERROR(+$H91-($X91+$Y91*$G91),"-")</f>
        <v>-</v>
      </c>
      <c r="CV91" s="144" t="str">
        <f aca="false">IFERROR(+$H91-($Z91+$AA91*$G91),"-")</f>
        <v>-</v>
      </c>
      <c r="CW91" s="144" t="str">
        <f aca="false">IFERROR(+$H91-($AB91+$AC91*$G91),"-")</f>
        <v>-</v>
      </c>
    </row>
    <row r="92" s="156" customFormat="true" ht="12.75" hidden="false" customHeight="true" outlineLevel="0" collapsed="false">
      <c r="A92" s="1"/>
      <c r="B92" s="145" t="s">
        <v>112</v>
      </c>
      <c r="C92" s="146" t="s">
        <v>168</v>
      </c>
      <c r="D92" s="147" t="e">
        <f aca="false">VLOOKUP($C92,#REF!,5,0)</f>
        <v>#VALUE!</v>
      </c>
      <c r="E92" s="148" t="e">
        <f aca="false">VLOOKUP($C92,#REF!,6,0)</f>
        <v>#VALUE!</v>
      </c>
      <c r="F92" s="146" t="e">
        <f aca="false">VLOOKUP($C92,#REF!,7,0)</f>
        <v>#VALUE!</v>
      </c>
      <c r="G92" s="146" t="e">
        <f aca="false">VLOOKUP($C92,#REF!,8,0)</f>
        <v>#VALUE!</v>
      </c>
      <c r="H92" s="149" t="e">
        <f aca="false">VLOOKUP($C92,#REF!,9,0)</f>
        <v>#VALUE!</v>
      </c>
      <c r="I92" s="137"/>
      <c r="J92" s="150" t="e">
        <f aca="false">VLOOKUP($C92,#REF!,10,0)</f>
        <v>#VALUE!</v>
      </c>
      <c r="K92" s="151" t="e">
        <f aca="false">VLOOKUP($C92,#REF!,11,0)</f>
        <v>#VALUE!</v>
      </c>
      <c r="L92" s="140"/>
      <c r="M92" s="150" t="e">
        <f aca="false">VLOOKUP($C92,#REF!,12,0)</f>
        <v>#VALUE!</v>
      </c>
      <c r="N92" s="152" t="e">
        <f aca="false">VLOOKUP($C92,#REF!,13,0)</f>
        <v>#VALUE!</v>
      </c>
      <c r="O92" s="150" t="e">
        <f aca="false">VLOOKUP($C92,#REF!,14,0)</f>
        <v>#VALUE!</v>
      </c>
      <c r="P92" s="152" t="e">
        <f aca="false">VLOOKUP($C92,#REF!,15,0)</f>
        <v>#VALUE!</v>
      </c>
      <c r="Q92" s="150" t="e">
        <f aca="false">VLOOKUP($C92,#REF!,16,0)</f>
        <v>#VALUE!</v>
      </c>
      <c r="R92" s="151" t="e">
        <f aca="false">VLOOKUP($C92,#REF!,17,0)</f>
        <v>#VALUE!</v>
      </c>
      <c r="S92" s="152" t="e">
        <f aca="false">VLOOKUP($C92,#REF!,18,0)</f>
        <v>#VALUE!</v>
      </c>
      <c r="T92" s="151" t="e">
        <f aca="false">VLOOKUP($C92,#REF!,19,0)</f>
        <v>#VALUE!</v>
      </c>
      <c r="U92" s="140"/>
      <c r="V92" s="150" t="e">
        <f aca="false">VLOOKUP($C92,#REF!,20,0)</f>
        <v>#VALUE!</v>
      </c>
      <c r="W92" s="152" t="e">
        <f aca="false">VLOOKUP($C92,#REF!,21,0)</f>
        <v>#VALUE!</v>
      </c>
      <c r="X92" s="150" t="e">
        <f aca="false">VLOOKUP($C92,#REF!,22,0)</f>
        <v>#VALUE!</v>
      </c>
      <c r="Y92" s="152" t="e">
        <f aca="false">VLOOKUP($C92,#REF!,23,0)</f>
        <v>#VALUE!</v>
      </c>
      <c r="Z92" s="150" t="e">
        <f aca="false">VLOOKUP($C92,#REF!,24,0)</f>
        <v>#VALUE!</v>
      </c>
      <c r="AA92" s="151" t="e">
        <f aca="false">VLOOKUP($C92,#REF!,25,0)</f>
        <v>#VALUE!</v>
      </c>
      <c r="AB92" s="152" t="e">
        <f aca="false">VLOOKUP($C92,#REF!,26,0)</f>
        <v>#VALUE!</v>
      </c>
      <c r="AC92" s="151" t="e">
        <f aca="false">VLOOKUP($C92,#REF!,27,0)</f>
        <v>#VALUE!</v>
      </c>
      <c r="AD92" s="1"/>
      <c r="AE92" s="150" t="e">
        <f aca="false">IF(M92="-","-","0,5 GB")</f>
        <v>#VALUE!</v>
      </c>
      <c r="AF92" s="153" t="s">
        <v>92</v>
      </c>
      <c r="AG92" s="153" t="s">
        <v>93</v>
      </c>
      <c r="AH92" s="151" t="s">
        <v>94</v>
      </c>
      <c r="AI92" s="1"/>
      <c r="AJ92" s="150" t="s">
        <v>95</v>
      </c>
      <c r="AK92" s="153" t="s">
        <v>96</v>
      </c>
      <c r="AL92" s="153" t="s">
        <v>97</v>
      </c>
      <c r="AM92" s="153" t="s">
        <v>98</v>
      </c>
      <c r="AN92" s="153" t="s">
        <v>98</v>
      </c>
      <c r="AO92" s="151" t="s">
        <v>92</v>
      </c>
      <c r="AP92" s="1"/>
      <c r="AQ92" s="154" t="n">
        <v>74</v>
      </c>
      <c r="AR92" s="137"/>
      <c r="AS92" s="150" t="n">
        <v>0</v>
      </c>
      <c r="AT92" s="151" t="n">
        <v>0</v>
      </c>
      <c r="AU92" s="140"/>
      <c r="AV92" s="150" t="n">
        <f aca="false">IFERROR(ROUND($D92-M92-AW92,0),0)</f>
        <v>0</v>
      </c>
      <c r="AW92" s="151" t="n">
        <f aca="false">IFERROR(N92*$G92,0)</f>
        <v>0</v>
      </c>
      <c r="AX92" s="150" t="n">
        <f aca="false">IFERROR(ROUND($D92-O92-AY92,0),0)</f>
        <v>0</v>
      </c>
      <c r="AY92" s="151" t="n">
        <f aca="false">IFERROR(P92*$G92,0)</f>
        <v>0</v>
      </c>
      <c r="AZ92" s="150" t="n">
        <f aca="false">IFERROR(ROUND($D92-Q92-BA92,0),0)</f>
        <v>0</v>
      </c>
      <c r="BA92" s="151" t="n">
        <f aca="false">IFERROR(R92*$G92,0)</f>
        <v>0</v>
      </c>
      <c r="BB92" s="152" t="n">
        <f aca="false">IFERROR(ROUND($D92-S92-BC92,0),0)</f>
        <v>0</v>
      </c>
      <c r="BC92" s="151" t="n">
        <f aca="false">IFERROR(T92*$G92,0)</f>
        <v>0</v>
      </c>
      <c r="BD92" s="140"/>
      <c r="BE92" s="150" t="n">
        <f aca="false">IFERROR(ROUND($D92-V92-BF92,0),0)</f>
        <v>0</v>
      </c>
      <c r="BF92" s="151" t="n">
        <f aca="false">IFERROR(W92*$G92,0)</f>
        <v>0</v>
      </c>
      <c r="BG92" s="150" t="n">
        <f aca="false">IFERROR(ROUND($D92-X92-BH92,0),0)</f>
        <v>0</v>
      </c>
      <c r="BH92" s="151" t="n">
        <f aca="false">IFERROR(Y92*$G92,0)</f>
        <v>0</v>
      </c>
      <c r="BI92" s="152" t="n">
        <f aca="false">IFERROR(ROUND($D92-Z92-BJ92,0),0)</f>
        <v>0</v>
      </c>
      <c r="BJ92" s="151" t="n">
        <f aca="false">IFERROR(AA92*$G92,0)</f>
        <v>0</v>
      </c>
      <c r="BK92" s="152" t="n">
        <f aca="false">IFERROR(ROUND($D92-AB92-BL92,0),0)</f>
        <v>0</v>
      </c>
      <c r="BL92" s="151" t="n">
        <f aca="false">IFERROR(AC92*$G92,0)</f>
        <v>0</v>
      </c>
      <c r="BM92" s="1"/>
      <c r="BN92" s="154" t="n">
        <v>-24.79</v>
      </c>
      <c r="BO92" s="155"/>
      <c r="BP92" s="150" t="n">
        <v>-24.79</v>
      </c>
      <c r="BQ92" s="151" t="n">
        <v>0</v>
      </c>
      <c r="BR92" s="152"/>
      <c r="BS92" s="150" t="n">
        <v>0</v>
      </c>
      <c r="BT92" s="151" t="n">
        <v>0</v>
      </c>
      <c r="BU92" s="150" t="n">
        <v>-39</v>
      </c>
      <c r="BV92" s="151" t="n">
        <v>-1</v>
      </c>
      <c r="BW92" s="150" t="n">
        <v>0</v>
      </c>
      <c r="BX92" s="151" t="n">
        <v>-2</v>
      </c>
      <c r="BY92" s="150" t="n">
        <v>0</v>
      </c>
      <c r="BZ92" s="151" t="n">
        <v>-2</v>
      </c>
      <c r="CA92" s="152"/>
      <c r="CB92" s="150" t="n">
        <v>0</v>
      </c>
      <c r="CC92" s="151" t="n">
        <v>0</v>
      </c>
      <c r="CD92" s="150" t="n">
        <v>-39</v>
      </c>
      <c r="CE92" s="151" t="n">
        <v>-1</v>
      </c>
      <c r="CF92" s="150" t="n">
        <v>0</v>
      </c>
      <c r="CG92" s="151" t="n">
        <v>-2</v>
      </c>
      <c r="CH92" s="150" t="n">
        <v>0</v>
      </c>
      <c r="CI92" s="151" t="n">
        <v>-2</v>
      </c>
      <c r="CJ92" s="1"/>
      <c r="CK92" s="149"/>
      <c r="CL92" s="137"/>
      <c r="CM92" s="154" t="str">
        <f aca="false">IFERROR(+$H92-($J92+$K92*$G92),"-")</f>
        <v>-</v>
      </c>
      <c r="CN92" s="137"/>
      <c r="CO92" s="154" t="str">
        <f aca="false">IFERROR(+$H92-($M92+$N92*$G92),"-")</f>
        <v>-</v>
      </c>
      <c r="CP92" s="154" t="str">
        <f aca="false">IFERROR(+$H92-($O92+$P92*$G92),"-")</f>
        <v>-</v>
      </c>
      <c r="CQ92" s="154" t="str">
        <f aca="false">IFERROR(+$H92-($Q92+$R92*$G92),"-")</f>
        <v>-</v>
      </c>
      <c r="CR92" s="154" t="str">
        <f aca="false">IFERROR(+$H92-($Q92+$R92*$G92),"-")</f>
        <v>-</v>
      </c>
      <c r="CS92" s="137"/>
      <c r="CT92" s="154" t="str">
        <f aca="false">IFERROR(+$H92-($V92+$W92*$G92),"-")</f>
        <v>-</v>
      </c>
      <c r="CU92" s="154" t="str">
        <f aca="false">IFERROR(+$H92-($X92+$Y92*$G92),"-")</f>
        <v>-</v>
      </c>
      <c r="CV92" s="154" t="str">
        <f aca="false">IFERROR(+$H92-($Z92+$AA92*$G92),"-")</f>
        <v>-</v>
      </c>
      <c r="CW92" s="154" t="str">
        <f aca="false">IFERROR(+$H92-($AB92+$AC92*$G92),"-")</f>
        <v>-</v>
      </c>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row>
    <row r="93" s="1" customFormat="true" ht="12.75" hidden="false" customHeight="true" outlineLevel="0" collapsed="false">
      <c r="B93" s="134" t="s">
        <v>112</v>
      </c>
      <c r="C93" s="135" t="s">
        <v>169</v>
      </c>
      <c r="D93" s="136" t="e">
        <f aca="false">VLOOKUP($C93,#REF!,5,0)</f>
        <v>#VALUE!</v>
      </c>
      <c r="E93" s="157" t="e">
        <f aca="false">VLOOKUP($C93,#REF!,6,0)</f>
        <v>#VALUE!</v>
      </c>
      <c r="F93" s="135" t="e">
        <f aca="false">VLOOKUP($C93,#REF!,7,0)</f>
        <v>#VALUE!</v>
      </c>
      <c r="G93" s="135" t="e">
        <f aca="false">VLOOKUP($C93,#REF!,8,0)</f>
        <v>#VALUE!</v>
      </c>
      <c r="H93" s="158" t="e">
        <f aca="false">VLOOKUP($C93,#REF!,9,0)</f>
        <v>#VALUE!</v>
      </c>
      <c r="I93" s="137"/>
      <c r="J93" s="138" t="e">
        <f aca="false">VLOOKUP($C93,#REF!,10,0)</f>
        <v>#VALUE!</v>
      </c>
      <c r="K93" s="139" t="e">
        <f aca="false">VLOOKUP($C93,#REF!,11,0)</f>
        <v>#VALUE!</v>
      </c>
      <c r="L93" s="140"/>
      <c r="M93" s="138" t="e">
        <f aca="false">VLOOKUP($C93,#REF!,12,0)</f>
        <v>#VALUE!</v>
      </c>
      <c r="N93" s="140" t="e">
        <f aca="false">VLOOKUP($C93,#REF!,13,0)</f>
        <v>#VALUE!</v>
      </c>
      <c r="O93" s="138" t="e">
        <f aca="false">VLOOKUP($C93,#REF!,14,0)</f>
        <v>#VALUE!</v>
      </c>
      <c r="P93" s="140" t="e">
        <f aca="false">VLOOKUP($C93,#REF!,15,0)</f>
        <v>#VALUE!</v>
      </c>
      <c r="Q93" s="138" t="e">
        <f aca="false">VLOOKUP($C93,#REF!,16,0)</f>
        <v>#VALUE!</v>
      </c>
      <c r="R93" s="139" t="e">
        <f aca="false">VLOOKUP($C93,#REF!,17,0)</f>
        <v>#VALUE!</v>
      </c>
      <c r="S93" s="140" t="e">
        <f aca="false">VLOOKUP($C93,#REF!,18,0)</f>
        <v>#VALUE!</v>
      </c>
      <c r="T93" s="139" t="e">
        <f aca="false">VLOOKUP($C93,#REF!,19,0)</f>
        <v>#VALUE!</v>
      </c>
      <c r="U93" s="140"/>
      <c r="V93" s="138" t="e">
        <f aca="false">VLOOKUP($C93,#REF!,20,0)</f>
        <v>#VALUE!</v>
      </c>
      <c r="W93" s="140" t="e">
        <f aca="false">VLOOKUP($C93,#REF!,21,0)</f>
        <v>#VALUE!</v>
      </c>
      <c r="X93" s="138" t="e">
        <f aca="false">VLOOKUP($C93,#REF!,22,0)</f>
        <v>#VALUE!</v>
      </c>
      <c r="Y93" s="140" t="e">
        <f aca="false">VLOOKUP($C93,#REF!,23,0)</f>
        <v>#VALUE!</v>
      </c>
      <c r="Z93" s="138" t="e">
        <f aca="false">VLOOKUP($C93,#REF!,24,0)</f>
        <v>#VALUE!</v>
      </c>
      <c r="AA93" s="139" t="e">
        <f aca="false">VLOOKUP($C93,#REF!,25,0)</f>
        <v>#VALUE!</v>
      </c>
      <c r="AB93" s="140" t="e">
        <f aca="false">VLOOKUP($C93,#REF!,26,0)</f>
        <v>#VALUE!</v>
      </c>
      <c r="AC93" s="139" t="e">
        <f aca="false">VLOOKUP($C93,#REF!,27,0)</f>
        <v>#VALUE!</v>
      </c>
      <c r="AE93" s="138" t="e">
        <f aca="false">IF(M93="-","-","0,5 GB")</f>
        <v>#VALUE!</v>
      </c>
      <c r="AF93" s="141" t="s">
        <v>92</v>
      </c>
      <c r="AG93" s="141" t="s">
        <v>93</v>
      </c>
      <c r="AH93" s="139" t="s">
        <v>94</v>
      </c>
      <c r="AJ93" s="138" t="s">
        <v>95</v>
      </c>
      <c r="AK93" s="141" t="s">
        <v>96</v>
      </c>
      <c r="AL93" s="141" t="s">
        <v>97</v>
      </c>
      <c r="AM93" s="141" t="s">
        <v>98</v>
      </c>
      <c r="AN93" s="141" t="s">
        <v>98</v>
      </c>
      <c r="AO93" s="139" t="s">
        <v>92</v>
      </c>
      <c r="AQ93" s="142" t="n">
        <v>9</v>
      </c>
      <c r="AR93" s="137"/>
      <c r="AS93" s="138" t="n">
        <v>0</v>
      </c>
      <c r="AT93" s="139" t="n">
        <v>0</v>
      </c>
      <c r="AU93" s="140"/>
      <c r="AV93" s="138" t="n">
        <f aca="false">IFERROR(ROUND($D93-M93-AW93,0),0)</f>
        <v>0</v>
      </c>
      <c r="AW93" s="139" t="n">
        <f aca="false">IFERROR(N93*$G93,0)</f>
        <v>0</v>
      </c>
      <c r="AX93" s="138" t="n">
        <f aca="false">IFERROR(ROUND($D93-O93-AY93,0),0)</f>
        <v>0</v>
      </c>
      <c r="AY93" s="139" t="n">
        <f aca="false">IFERROR(P93*$G93,0)</f>
        <v>0</v>
      </c>
      <c r="AZ93" s="138" t="n">
        <f aca="false">IFERROR(ROUND($D93-Q93-BA93,0),0)</f>
        <v>0</v>
      </c>
      <c r="BA93" s="139" t="n">
        <f aca="false">IFERROR(R93*$G93,0)</f>
        <v>0</v>
      </c>
      <c r="BB93" s="140" t="n">
        <f aca="false">IFERROR(ROUND($D93-S93-BC93,0),0)</f>
        <v>0</v>
      </c>
      <c r="BC93" s="139" t="n">
        <f aca="false">IFERROR(T93*$G93,0)</f>
        <v>0</v>
      </c>
      <c r="BD93" s="140"/>
      <c r="BE93" s="138" t="n">
        <f aca="false">IFERROR(ROUND($D93-V93-BF93,0),0)</f>
        <v>0</v>
      </c>
      <c r="BF93" s="139" t="n">
        <f aca="false">IFERROR(W93*$G93,0)</f>
        <v>0</v>
      </c>
      <c r="BG93" s="138" t="n">
        <f aca="false">IFERROR(ROUND($D93-X93-BH93,0),0)</f>
        <v>0</v>
      </c>
      <c r="BH93" s="139" t="n">
        <f aca="false">IFERROR(Y93*$G93,0)</f>
        <v>0</v>
      </c>
      <c r="BI93" s="140" t="n">
        <f aca="false">IFERROR(ROUND($D93-Z93-BJ93,0),0)</f>
        <v>0</v>
      </c>
      <c r="BJ93" s="139" t="n">
        <f aca="false">IFERROR(AA93*$G93,0)</f>
        <v>0</v>
      </c>
      <c r="BK93" s="140" t="n">
        <f aca="false">IFERROR(ROUND($D93-AB93-BL93,0),0)</f>
        <v>0</v>
      </c>
      <c r="BL93" s="139" t="n">
        <f aca="false">IFERROR(AC93*$G93,0)</f>
        <v>0</v>
      </c>
      <c r="BN93" s="142" t="e">
        <f aca="false">#N/A</f>
        <v>#N/A</v>
      </c>
      <c r="BO93" s="137"/>
      <c r="BP93" s="138" t="e">
        <f aca="false">#N/A</f>
        <v>#N/A</v>
      </c>
      <c r="BQ93" s="139" t="e">
        <f aca="false">#N/A</f>
        <v>#N/A</v>
      </c>
      <c r="BR93" s="140"/>
      <c r="BS93" s="138" t="e">
        <f aca="false">#N/A</f>
        <v>#N/A</v>
      </c>
      <c r="BT93" s="139" t="e">
        <f aca="false">#N/A</f>
        <v>#N/A</v>
      </c>
      <c r="BU93" s="138" t="e">
        <f aca="false">#N/A</f>
        <v>#N/A</v>
      </c>
      <c r="BV93" s="139" t="e">
        <f aca="false">#N/A</f>
        <v>#N/A</v>
      </c>
      <c r="BW93" s="138" t="e">
        <f aca="false">#N/A</f>
        <v>#N/A</v>
      </c>
      <c r="BX93" s="139" t="e">
        <f aca="false">#N/A</f>
        <v>#N/A</v>
      </c>
      <c r="BY93" s="138" t="e">
        <f aca="false">#N/A</f>
        <v>#N/A</v>
      </c>
      <c r="BZ93" s="139" t="e">
        <f aca="false">#N/A</f>
        <v>#N/A</v>
      </c>
      <c r="CA93" s="140"/>
      <c r="CB93" s="138" t="e">
        <f aca="false">#N/A</f>
        <v>#N/A</v>
      </c>
      <c r="CC93" s="139" t="e">
        <f aca="false">#N/A</f>
        <v>#N/A</v>
      </c>
      <c r="CD93" s="138" t="e">
        <f aca="false">#N/A</f>
        <v>#N/A</v>
      </c>
      <c r="CE93" s="139" t="e">
        <f aca="false">#N/A</f>
        <v>#N/A</v>
      </c>
      <c r="CF93" s="138" t="e">
        <f aca="false">#N/A</f>
        <v>#N/A</v>
      </c>
      <c r="CG93" s="139" t="e">
        <f aca="false">#N/A</f>
        <v>#N/A</v>
      </c>
      <c r="CH93" s="138" t="e">
        <f aca="false">#N/A</f>
        <v>#N/A</v>
      </c>
      <c r="CI93" s="139" t="e">
        <f aca="false">#N/A</f>
        <v>#N/A</v>
      </c>
      <c r="CK93" s="143"/>
      <c r="CL93" s="137"/>
      <c r="CM93" s="144" t="str">
        <f aca="false">IFERROR(+$H93-($J93+$K93*$G93),"-")</f>
        <v>-</v>
      </c>
      <c r="CN93" s="137"/>
      <c r="CO93" s="144" t="str">
        <f aca="false">IFERROR(+$H93-($M93+$N93*$G93),"-")</f>
        <v>-</v>
      </c>
      <c r="CP93" s="144" t="str">
        <f aca="false">IFERROR(+$H93-($O93+$P93*$G93),"-")</f>
        <v>-</v>
      </c>
      <c r="CQ93" s="144" t="str">
        <f aca="false">IFERROR(+$H93-($Q93+$R93*$G93),"-")</f>
        <v>-</v>
      </c>
      <c r="CR93" s="144" t="str">
        <f aca="false">IFERROR(+$H93-($Q93+$R93*$G93),"-")</f>
        <v>-</v>
      </c>
      <c r="CS93" s="137"/>
      <c r="CT93" s="144" t="str">
        <f aca="false">IFERROR(+$H93-($V93+$W93*$G93),"-")</f>
        <v>-</v>
      </c>
      <c r="CU93" s="144" t="str">
        <f aca="false">IFERROR(+$H93-($X93+$Y93*$G93),"-")</f>
        <v>-</v>
      </c>
      <c r="CV93" s="144" t="str">
        <f aca="false">IFERROR(+$H93-($Z93+$AA93*$G93),"-")</f>
        <v>-</v>
      </c>
      <c r="CW93" s="144" t="str">
        <f aca="false">IFERROR(+$H93-($AB93+$AC93*$G93),"-")</f>
        <v>-</v>
      </c>
    </row>
    <row r="94" s="156" customFormat="true" ht="12.75" hidden="false" customHeight="true" outlineLevel="0" collapsed="false">
      <c r="A94" s="1"/>
      <c r="B94" s="145" t="s">
        <v>112</v>
      </c>
      <c r="C94" s="146" t="s">
        <v>170</v>
      </c>
      <c r="D94" s="147" t="e">
        <f aca="false">VLOOKUP($C94,#REF!,5,0)</f>
        <v>#VALUE!</v>
      </c>
      <c r="E94" s="148" t="e">
        <f aca="false">VLOOKUP($C94,#REF!,6,0)</f>
        <v>#VALUE!</v>
      </c>
      <c r="F94" s="146" t="e">
        <f aca="false">VLOOKUP($C94,#REF!,7,0)</f>
        <v>#VALUE!</v>
      </c>
      <c r="G94" s="146" t="e">
        <f aca="false">VLOOKUP($C94,#REF!,8,0)</f>
        <v>#VALUE!</v>
      </c>
      <c r="H94" s="149" t="e">
        <f aca="false">VLOOKUP($C94,#REF!,9,0)</f>
        <v>#VALUE!</v>
      </c>
      <c r="I94" s="137"/>
      <c r="J94" s="150" t="e">
        <f aca="false">VLOOKUP($C94,#REF!,10,0)</f>
        <v>#VALUE!</v>
      </c>
      <c r="K94" s="151" t="e">
        <f aca="false">VLOOKUP($C94,#REF!,11,0)</f>
        <v>#VALUE!</v>
      </c>
      <c r="L94" s="140"/>
      <c r="M94" s="150" t="e">
        <f aca="false">VLOOKUP($C94,#REF!,12,0)</f>
        <v>#VALUE!</v>
      </c>
      <c r="N94" s="152" t="e">
        <f aca="false">VLOOKUP($C94,#REF!,13,0)</f>
        <v>#VALUE!</v>
      </c>
      <c r="O94" s="150" t="e">
        <f aca="false">VLOOKUP($C94,#REF!,14,0)</f>
        <v>#VALUE!</v>
      </c>
      <c r="P94" s="152" t="e">
        <f aca="false">VLOOKUP($C94,#REF!,15,0)</f>
        <v>#VALUE!</v>
      </c>
      <c r="Q94" s="150" t="e">
        <f aca="false">VLOOKUP($C94,#REF!,16,0)</f>
        <v>#VALUE!</v>
      </c>
      <c r="R94" s="151" t="e">
        <f aca="false">VLOOKUP($C94,#REF!,17,0)</f>
        <v>#VALUE!</v>
      </c>
      <c r="S94" s="152" t="e">
        <f aca="false">VLOOKUP($C94,#REF!,18,0)</f>
        <v>#VALUE!</v>
      </c>
      <c r="T94" s="151" t="e">
        <f aca="false">VLOOKUP($C94,#REF!,19,0)</f>
        <v>#VALUE!</v>
      </c>
      <c r="U94" s="140"/>
      <c r="V94" s="150" t="e">
        <f aca="false">VLOOKUP($C94,#REF!,20,0)</f>
        <v>#VALUE!</v>
      </c>
      <c r="W94" s="152" t="e">
        <f aca="false">VLOOKUP($C94,#REF!,21,0)</f>
        <v>#VALUE!</v>
      </c>
      <c r="X94" s="150" t="e">
        <f aca="false">VLOOKUP($C94,#REF!,22,0)</f>
        <v>#VALUE!</v>
      </c>
      <c r="Y94" s="152" t="e">
        <f aca="false">VLOOKUP($C94,#REF!,23,0)</f>
        <v>#VALUE!</v>
      </c>
      <c r="Z94" s="150" t="e">
        <f aca="false">VLOOKUP($C94,#REF!,24,0)</f>
        <v>#VALUE!</v>
      </c>
      <c r="AA94" s="151" t="e">
        <f aca="false">VLOOKUP($C94,#REF!,25,0)</f>
        <v>#VALUE!</v>
      </c>
      <c r="AB94" s="152" t="e">
        <f aca="false">VLOOKUP($C94,#REF!,26,0)</f>
        <v>#VALUE!</v>
      </c>
      <c r="AC94" s="151" t="e">
        <f aca="false">VLOOKUP($C94,#REF!,27,0)</f>
        <v>#VALUE!</v>
      </c>
      <c r="AD94" s="1"/>
      <c r="AE94" s="150" t="e">
        <f aca="false">IF(M94="-","-","0,5 GB")</f>
        <v>#VALUE!</v>
      </c>
      <c r="AF94" s="153" t="s">
        <v>92</v>
      </c>
      <c r="AG94" s="153" t="s">
        <v>93</v>
      </c>
      <c r="AH94" s="151" t="s">
        <v>94</v>
      </c>
      <c r="AI94" s="1"/>
      <c r="AJ94" s="150" t="s">
        <v>95</v>
      </c>
      <c r="AK94" s="153" t="s">
        <v>96</v>
      </c>
      <c r="AL94" s="153" t="s">
        <v>97</v>
      </c>
      <c r="AM94" s="153" t="s">
        <v>98</v>
      </c>
      <c r="AN94" s="153" t="s">
        <v>98</v>
      </c>
      <c r="AO94" s="151" t="s">
        <v>92</v>
      </c>
      <c r="AP94" s="1"/>
      <c r="AQ94" s="154" t="n">
        <v>9</v>
      </c>
      <c r="AR94" s="137"/>
      <c r="AS94" s="150" t="n">
        <v>0</v>
      </c>
      <c r="AT94" s="151" t="n">
        <v>0</v>
      </c>
      <c r="AU94" s="140"/>
      <c r="AV94" s="150" t="n">
        <f aca="false">IFERROR(ROUND($D94-M94-AW94,0),0)</f>
        <v>0</v>
      </c>
      <c r="AW94" s="151" t="n">
        <f aca="false">IFERROR(N94*$G94,0)</f>
        <v>0</v>
      </c>
      <c r="AX94" s="150" t="n">
        <f aca="false">IFERROR(ROUND($D94-O94-AY94,0),0)</f>
        <v>0</v>
      </c>
      <c r="AY94" s="151" t="n">
        <f aca="false">IFERROR(P94*$G94,0)</f>
        <v>0</v>
      </c>
      <c r="AZ94" s="150" t="n">
        <f aca="false">IFERROR(ROUND($D94-Q94-BA94,0),0)</f>
        <v>0</v>
      </c>
      <c r="BA94" s="151" t="n">
        <f aca="false">IFERROR(R94*$G94,0)</f>
        <v>0</v>
      </c>
      <c r="BB94" s="152" t="n">
        <f aca="false">IFERROR(ROUND($D94-S94-BC94,0),0)</f>
        <v>0</v>
      </c>
      <c r="BC94" s="151" t="n">
        <f aca="false">IFERROR(T94*$G94,0)</f>
        <v>0</v>
      </c>
      <c r="BD94" s="140"/>
      <c r="BE94" s="150" t="n">
        <f aca="false">IFERROR(ROUND($D94-V94-BF94,0),0)</f>
        <v>0</v>
      </c>
      <c r="BF94" s="151" t="n">
        <f aca="false">IFERROR(W94*$G94,0)</f>
        <v>0</v>
      </c>
      <c r="BG94" s="150" t="n">
        <f aca="false">IFERROR(ROUND($D94-X94-BH94,0),0)</f>
        <v>0</v>
      </c>
      <c r="BH94" s="151" t="n">
        <f aca="false">IFERROR(Y94*$G94,0)</f>
        <v>0</v>
      </c>
      <c r="BI94" s="152" t="n">
        <f aca="false">IFERROR(ROUND($D94-Z94-BJ94,0),0)</f>
        <v>0</v>
      </c>
      <c r="BJ94" s="151" t="n">
        <f aca="false">IFERROR(AA94*$G94,0)</f>
        <v>0</v>
      </c>
      <c r="BK94" s="152" t="n">
        <f aca="false">IFERROR(ROUND($D94-AB94-BL94,0),0)</f>
        <v>0</v>
      </c>
      <c r="BL94" s="151" t="n">
        <f aca="false">IFERROR(AC94*$G94,0)</f>
        <v>0</v>
      </c>
      <c r="BM94" s="1"/>
      <c r="BN94" s="154" t="e">
        <f aca="false">#N/A</f>
        <v>#N/A</v>
      </c>
      <c r="BO94" s="155"/>
      <c r="BP94" s="150" t="e">
        <f aca="false">#N/A</f>
        <v>#N/A</v>
      </c>
      <c r="BQ94" s="151" t="e">
        <f aca="false">#N/A</f>
        <v>#N/A</v>
      </c>
      <c r="BR94" s="152"/>
      <c r="BS94" s="150" t="e">
        <f aca="false">#N/A</f>
        <v>#N/A</v>
      </c>
      <c r="BT94" s="151" t="e">
        <f aca="false">#N/A</f>
        <v>#N/A</v>
      </c>
      <c r="BU94" s="150" t="e">
        <f aca="false">#N/A</f>
        <v>#N/A</v>
      </c>
      <c r="BV94" s="151" t="e">
        <f aca="false">#N/A</f>
        <v>#N/A</v>
      </c>
      <c r="BW94" s="150" t="e">
        <f aca="false">#N/A</f>
        <v>#N/A</v>
      </c>
      <c r="BX94" s="151" t="e">
        <f aca="false">#N/A</f>
        <v>#N/A</v>
      </c>
      <c r="BY94" s="150" t="e">
        <f aca="false">#N/A</f>
        <v>#N/A</v>
      </c>
      <c r="BZ94" s="151" t="e">
        <f aca="false">#N/A</f>
        <v>#N/A</v>
      </c>
      <c r="CA94" s="152"/>
      <c r="CB94" s="150" t="e">
        <f aca="false">#N/A</f>
        <v>#N/A</v>
      </c>
      <c r="CC94" s="151" t="e">
        <f aca="false">#N/A</f>
        <v>#N/A</v>
      </c>
      <c r="CD94" s="150" t="e">
        <f aca="false">#N/A</f>
        <v>#N/A</v>
      </c>
      <c r="CE94" s="151" t="e">
        <f aca="false">#N/A</f>
        <v>#N/A</v>
      </c>
      <c r="CF94" s="150" t="e">
        <f aca="false">#N/A</f>
        <v>#N/A</v>
      </c>
      <c r="CG94" s="151" t="e">
        <f aca="false">#N/A</f>
        <v>#N/A</v>
      </c>
      <c r="CH94" s="150" t="e">
        <f aca="false">#N/A</f>
        <v>#N/A</v>
      </c>
      <c r="CI94" s="151" t="e">
        <f aca="false">#N/A</f>
        <v>#N/A</v>
      </c>
      <c r="CJ94" s="1"/>
      <c r="CK94" s="149"/>
      <c r="CL94" s="137"/>
      <c r="CM94" s="154" t="str">
        <f aca="false">IFERROR(+$H94-($J94+$K94*$G94),"-")</f>
        <v>-</v>
      </c>
      <c r="CN94" s="137"/>
      <c r="CO94" s="154" t="str">
        <f aca="false">IFERROR(+$H94-($M94+$N94*$G94),"-")</f>
        <v>-</v>
      </c>
      <c r="CP94" s="154" t="str">
        <f aca="false">IFERROR(+$H94-($O94+$P94*$G94),"-")</f>
        <v>-</v>
      </c>
      <c r="CQ94" s="154" t="str">
        <f aca="false">IFERROR(+$H94-($Q94+$R94*$G94),"-")</f>
        <v>-</v>
      </c>
      <c r="CR94" s="154" t="str">
        <f aca="false">IFERROR(+$H94-($Q94+$R94*$G94),"-")</f>
        <v>-</v>
      </c>
      <c r="CS94" s="137"/>
      <c r="CT94" s="154" t="str">
        <f aca="false">IFERROR(+$H94-($V94+$W94*$G94),"-")</f>
        <v>-</v>
      </c>
      <c r="CU94" s="154" t="str">
        <f aca="false">IFERROR(+$H94-($X94+$Y94*$G94),"-")</f>
        <v>-</v>
      </c>
      <c r="CV94" s="154" t="str">
        <f aca="false">IFERROR(+$H94-($Z94+$AA94*$G94),"-")</f>
        <v>-</v>
      </c>
      <c r="CW94" s="154" t="str">
        <f aca="false">IFERROR(+$H94-($AB94+$AC94*$G94),"-")</f>
        <v>-</v>
      </c>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row>
    <row r="95" s="1" customFormat="true" ht="12.75" hidden="false" customHeight="true" outlineLevel="0" collapsed="false">
      <c r="B95" s="134" t="s">
        <v>112</v>
      </c>
      <c r="C95" s="135" t="s">
        <v>171</v>
      </c>
      <c r="D95" s="136" t="e">
        <f aca="false">VLOOKUP($C95,#REF!,5,0)</f>
        <v>#VALUE!</v>
      </c>
      <c r="E95" s="157" t="e">
        <f aca="false">VLOOKUP($C95,#REF!,6,0)</f>
        <v>#VALUE!</v>
      </c>
      <c r="F95" s="135" t="e">
        <f aca="false">VLOOKUP($C95,#REF!,7,0)</f>
        <v>#VALUE!</v>
      </c>
      <c r="G95" s="135" t="e">
        <f aca="false">VLOOKUP($C95,#REF!,8,0)</f>
        <v>#VALUE!</v>
      </c>
      <c r="H95" s="158" t="e">
        <f aca="false">VLOOKUP($C95,#REF!,9,0)</f>
        <v>#VALUE!</v>
      </c>
      <c r="I95" s="137"/>
      <c r="J95" s="138" t="e">
        <f aca="false">VLOOKUP($C95,#REF!,10,0)</f>
        <v>#VALUE!</v>
      </c>
      <c r="K95" s="139" t="e">
        <f aca="false">VLOOKUP($C95,#REF!,11,0)</f>
        <v>#VALUE!</v>
      </c>
      <c r="L95" s="140"/>
      <c r="M95" s="138" t="e">
        <f aca="false">VLOOKUP($C95,#REF!,12,0)</f>
        <v>#VALUE!</v>
      </c>
      <c r="N95" s="140" t="e">
        <f aca="false">VLOOKUP($C95,#REF!,13,0)</f>
        <v>#VALUE!</v>
      </c>
      <c r="O95" s="138" t="e">
        <f aca="false">VLOOKUP($C95,#REF!,14,0)</f>
        <v>#VALUE!</v>
      </c>
      <c r="P95" s="140" t="e">
        <f aca="false">VLOOKUP($C95,#REF!,15,0)</f>
        <v>#VALUE!</v>
      </c>
      <c r="Q95" s="138" t="e">
        <f aca="false">VLOOKUP($C95,#REF!,16,0)</f>
        <v>#VALUE!</v>
      </c>
      <c r="R95" s="139" t="e">
        <f aca="false">VLOOKUP($C95,#REF!,17,0)</f>
        <v>#VALUE!</v>
      </c>
      <c r="S95" s="140" t="e">
        <f aca="false">VLOOKUP($C95,#REF!,18,0)</f>
        <v>#VALUE!</v>
      </c>
      <c r="T95" s="139" t="e">
        <f aca="false">VLOOKUP($C95,#REF!,19,0)</f>
        <v>#VALUE!</v>
      </c>
      <c r="U95" s="140"/>
      <c r="V95" s="138" t="e">
        <f aca="false">VLOOKUP($C95,#REF!,20,0)</f>
        <v>#VALUE!</v>
      </c>
      <c r="W95" s="140" t="e">
        <f aca="false">VLOOKUP($C95,#REF!,21,0)</f>
        <v>#VALUE!</v>
      </c>
      <c r="X95" s="138" t="e">
        <f aca="false">VLOOKUP($C95,#REF!,22,0)</f>
        <v>#VALUE!</v>
      </c>
      <c r="Y95" s="140" t="e">
        <f aca="false">VLOOKUP($C95,#REF!,23,0)</f>
        <v>#VALUE!</v>
      </c>
      <c r="Z95" s="138" t="e">
        <f aca="false">VLOOKUP($C95,#REF!,24,0)</f>
        <v>#VALUE!</v>
      </c>
      <c r="AA95" s="139" t="e">
        <f aca="false">VLOOKUP($C95,#REF!,25,0)</f>
        <v>#VALUE!</v>
      </c>
      <c r="AB95" s="140" t="e">
        <f aca="false">VLOOKUP($C95,#REF!,26,0)</f>
        <v>#VALUE!</v>
      </c>
      <c r="AC95" s="139" t="e">
        <f aca="false">VLOOKUP($C95,#REF!,27,0)</f>
        <v>#VALUE!</v>
      </c>
      <c r="AE95" s="138" t="e">
        <f aca="false">IF(M95="-","-","0,5 GB")</f>
        <v>#VALUE!</v>
      </c>
      <c r="AF95" s="141" t="s">
        <v>92</v>
      </c>
      <c r="AG95" s="141" t="s">
        <v>93</v>
      </c>
      <c r="AH95" s="139" t="s">
        <v>94</v>
      </c>
      <c r="AJ95" s="138" t="s">
        <v>95</v>
      </c>
      <c r="AK95" s="141" t="s">
        <v>96</v>
      </c>
      <c r="AL95" s="141" t="s">
        <v>97</v>
      </c>
      <c r="AM95" s="141" t="s">
        <v>98</v>
      </c>
      <c r="AN95" s="141" t="s">
        <v>98</v>
      </c>
      <c r="AO95" s="139" t="s">
        <v>92</v>
      </c>
      <c r="AQ95" s="142" t="n">
        <v>199</v>
      </c>
      <c r="AR95" s="137"/>
      <c r="AS95" s="138" t="n">
        <v>0</v>
      </c>
      <c r="AT95" s="139" t="n">
        <v>0</v>
      </c>
      <c r="AU95" s="140"/>
      <c r="AV95" s="138" t="n">
        <f aca="false">IFERROR(ROUND($D95-M95-AW95,0),0)</f>
        <v>0</v>
      </c>
      <c r="AW95" s="139" t="n">
        <f aca="false">IFERROR(N95*$G95,0)</f>
        <v>0</v>
      </c>
      <c r="AX95" s="138" t="n">
        <f aca="false">IFERROR(ROUND($D95-O95-AY95,0),0)</f>
        <v>0</v>
      </c>
      <c r="AY95" s="139" t="n">
        <f aca="false">IFERROR(P95*$G95,0)</f>
        <v>0</v>
      </c>
      <c r="AZ95" s="138" t="n">
        <f aca="false">IFERROR(ROUND($D95-Q95-BA95,0),0)</f>
        <v>0</v>
      </c>
      <c r="BA95" s="139" t="n">
        <f aca="false">IFERROR(R95*$G95,0)</f>
        <v>0</v>
      </c>
      <c r="BB95" s="140" t="n">
        <f aca="false">IFERROR(ROUND($D95-S95-BC95,0),0)</f>
        <v>0</v>
      </c>
      <c r="BC95" s="139" t="n">
        <f aca="false">IFERROR(T95*$G95,0)</f>
        <v>0</v>
      </c>
      <c r="BD95" s="140"/>
      <c r="BE95" s="138" t="n">
        <f aca="false">IFERROR(ROUND($D95-V95-BF95,0),0)</f>
        <v>0</v>
      </c>
      <c r="BF95" s="139" t="n">
        <f aca="false">IFERROR(W95*$G95,0)</f>
        <v>0</v>
      </c>
      <c r="BG95" s="138" t="n">
        <f aca="false">IFERROR(ROUND($D95-X95-BH95,0),0)</f>
        <v>0</v>
      </c>
      <c r="BH95" s="139" t="n">
        <f aca="false">IFERROR(Y95*$G95,0)</f>
        <v>0</v>
      </c>
      <c r="BI95" s="140" t="n">
        <f aca="false">IFERROR(ROUND($D95-Z95-BJ95,0),0)</f>
        <v>0</v>
      </c>
      <c r="BJ95" s="139" t="n">
        <f aca="false">IFERROR(AA95*$G95,0)</f>
        <v>0</v>
      </c>
      <c r="BK95" s="140" t="n">
        <f aca="false">IFERROR(ROUND($D95-AB95-BL95,0),0)</f>
        <v>0</v>
      </c>
      <c r="BL95" s="139" t="n">
        <f aca="false">IFERROR(AC95*$G95,0)</f>
        <v>0</v>
      </c>
      <c r="BN95" s="142" t="n">
        <v>0</v>
      </c>
      <c r="BO95" s="137"/>
      <c r="BP95" s="138" t="n">
        <v>0</v>
      </c>
      <c r="BQ95" s="139" t="n">
        <v>0</v>
      </c>
      <c r="BR95" s="140"/>
      <c r="BS95" s="138" t="n">
        <v>0</v>
      </c>
      <c r="BT95" s="139" t="n">
        <v>0</v>
      </c>
      <c r="BU95" s="138" t="n">
        <v>0</v>
      </c>
      <c r="BV95" s="139" t="n">
        <v>0</v>
      </c>
      <c r="BW95" s="138" t="n">
        <v>0</v>
      </c>
      <c r="BX95" s="139" t="n">
        <v>0</v>
      </c>
      <c r="BY95" s="138" t="n">
        <v>0</v>
      </c>
      <c r="BZ95" s="139" t="n">
        <v>0</v>
      </c>
      <c r="CA95" s="140"/>
      <c r="CB95" s="138" t="n">
        <v>0</v>
      </c>
      <c r="CC95" s="139" t="n">
        <v>0</v>
      </c>
      <c r="CD95" s="138" t="n">
        <v>0</v>
      </c>
      <c r="CE95" s="139" t="n">
        <v>0</v>
      </c>
      <c r="CF95" s="138" t="n">
        <v>0</v>
      </c>
      <c r="CG95" s="139" t="n">
        <v>0</v>
      </c>
      <c r="CH95" s="138" t="n">
        <v>0</v>
      </c>
      <c r="CI95" s="139" t="n">
        <v>0</v>
      </c>
      <c r="CK95" s="143"/>
      <c r="CL95" s="137"/>
      <c r="CM95" s="144" t="str">
        <f aca="false">IFERROR(+$H95-($J95+$K95*$G95),"-")</f>
        <v>-</v>
      </c>
      <c r="CN95" s="137"/>
      <c r="CO95" s="144" t="str">
        <f aca="false">IFERROR(+$H95-($M95+$N95*$G95),"-")</f>
        <v>-</v>
      </c>
      <c r="CP95" s="144" t="str">
        <f aca="false">IFERROR(+$H95-($O95+$P95*$G95),"-")</f>
        <v>-</v>
      </c>
      <c r="CQ95" s="144" t="str">
        <f aca="false">IFERROR(+$H95-($Q95+$R95*$G95),"-")</f>
        <v>-</v>
      </c>
      <c r="CR95" s="144" t="str">
        <f aca="false">IFERROR(+$H95-($Q95+$R95*$G95),"-")</f>
        <v>-</v>
      </c>
      <c r="CS95" s="137"/>
      <c r="CT95" s="144" t="str">
        <f aca="false">IFERROR(+$H95-($V95+$W95*$G95),"-")</f>
        <v>-</v>
      </c>
      <c r="CU95" s="144" t="str">
        <f aca="false">IFERROR(+$H95-($X95+$Y95*$G95),"-")</f>
        <v>-</v>
      </c>
      <c r="CV95" s="144" t="str">
        <f aca="false">IFERROR(+$H95-($Z95+$AA95*$G95),"-")</f>
        <v>-</v>
      </c>
      <c r="CW95" s="144" t="str">
        <f aca="false">IFERROR(+$H95-($AB95+$AC95*$G95),"-")</f>
        <v>-</v>
      </c>
    </row>
    <row r="96" s="156" customFormat="true" ht="12.75" hidden="false" customHeight="true" outlineLevel="0" collapsed="false">
      <c r="A96" s="1"/>
      <c r="B96" s="145" t="s">
        <v>112</v>
      </c>
      <c r="C96" s="146" t="s">
        <v>172</v>
      </c>
      <c r="D96" s="147" t="e">
        <f aca="false">VLOOKUP($C96,#REF!,5,0)</f>
        <v>#VALUE!</v>
      </c>
      <c r="E96" s="148" t="e">
        <f aca="false">VLOOKUP($C96,#REF!,6,0)</f>
        <v>#VALUE!</v>
      </c>
      <c r="F96" s="146" t="e">
        <f aca="false">VLOOKUP($C96,#REF!,7,0)</f>
        <v>#VALUE!</v>
      </c>
      <c r="G96" s="146" t="e">
        <f aca="false">VLOOKUP($C96,#REF!,8,0)</f>
        <v>#VALUE!</v>
      </c>
      <c r="H96" s="149" t="e">
        <f aca="false">VLOOKUP($C96,#REF!,9,0)</f>
        <v>#VALUE!</v>
      </c>
      <c r="I96" s="137"/>
      <c r="J96" s="150" t="e">
        <f aca="false">VLOOKUP($C96,#REF!,10,0)</f>
        <v>#VALUE!</v>
      </c>
      <c r="K96" s="151" t="e">
        <f aca="false">VLOOKUP($C96,#REF!,11,0)</f>
        <v>#VALUE!</v>
      </c>
      <c r="L96" s="140"/>
      <c r="M96" s="150" t="e">
        <f aca="false">VLOOKUP($C96,#REF!,12,0)</f>
        <v>#VALUE!</v>
      </c>
      <c r="N96" s="152" t="e">
        <f aca="false">VLOOKUP($C96,#REF!,13,0)</f>
        <v>#VALUE!</v>
      </c>
      <c r="O96" s="150" t="e">
        <f aca="false">VLOOKUP($C96,#REF!,14,0)</f>
        <v>#VALUE!</v>
      </c>
      <c r="P96" s="152" t="e">
        <f aca="false">VLOOKUP($C96,#REF!,15,0)</f>
        <v>#VALUE!</v>
      </c>
      <c r="Q96" s="150" t="e">
        <f aca="false">VLOOKUP($C96,#REF!,16,0)</f>
        <v>#VALUE!</v>
      </c>
      <c r="R96" s="151" t="e">
        <f aca="false">VLOOKUP($C96,#REF!,17,0)</f>
        <v>#VALUE!</v>
      </c>
      <c r="S96" s="152" t="e">
        <f aca="false">VLOOKUP($C96,#REF!,18,0)</f>
        <v>#VALUE!</v>
      </c>
      <c r="T96" s="151" t="e">
        <f aca="false">VLOOKUP($C96,#REF!,19,0)</f>
        <v>#VALUE!</v>
      </c>
      <c r="U96" s="140"/>
      <c r="V96" s="150" t="e">
        <f aca="false">VLOOKUP($C96,#REF!,20,0)</f>
        <v>#VALUE!</v>
      </c>
      <c r="W96" s="152" t="e">
        <f aca="false">VLOOKUP($C96,#REF!,21,0)</f>
        <v>#VALUE!</v>
      </c>
      <c r="X96" s="150" t="e">
        <f aca="false">VLOOKUP($C96,#REF!,22,0)</f>
        <v>#VALUE!</v>
      </c>
      <c r="Y96" s="152" t="e">
        <f aca="false">VLOOKUP($C96,#REF!,23,0)</f>
        <v>#VALUE!</v>
      </c>
      <c r="Z96" s="150" t="e">
        <f aca="false">VLOOKUP($C96,#REF!,24,0)</f>
        <v>#VALUE!</v>
      </c>
      <c r="AA96" s="151" t="e">
        <f aca="false">VLOOKUP($C96,#REF!,25,0)</f>
        <v>#VALUE!</v>
      </c>
      <c r="AB96" s="152" t="e">
        <f aca="false">VLOOKUP($C96,#REF!,26,0)</f>
        <v>#VALUE!</v>
      </c>
      <c r="AC96" s="151" t="e">
        <f aca="false">VLOOKUP($C96,#REF!,27,0)</f>
        <v>#VALUE!</v>
      </c>
      <c r="AD96" s="1"/>
      <c r="AE96" s="150" t="e">
        <f aca="false">IF(M96="-","-","0,5 GB")</f>
        <v>#VALUE!</v>
      </c>
      <c r="AF96" s="153" t="s">
        <v>92</v>
      </c>
      <c r="AG96" s="153" t="s">
        <v>93</v>
      </c>
      <c r="AH96" s="151" t="s">
        <v>94</v>
      </c>
      <c r="AI96" s="1"/>
      <c r="AJ96" s="150" t="s">
        <v>95</v>
      </c>
      <c r="AK96" s="153" t="s">
        <v>96</v>
      </c>
      <c r="AL96" s="153" t="s">
        <v>97</v>
      </c>
      <c r="AM96" s="153" t="s">
        <v>98</v>
      </c>
      <c r="AN96" s="153" t="s">
        <v>98</v>
      </c>
      <c r="AO96" s="151" t="s">
        <v>92</v>
      </c>
      <c r="AP96" s="1"/>
      <c r="AQ96" s="154" t="n">
        <v>74</v>
      </c>
      <c r="AR96" s="137"/>
      <c r="AS96" s="150" t="n">
        <v>0</v>
      </c>
      <c r="AT96" s="151" t="n">
        <v>0</v>
      </c>
      <c r="AU96" s="140"/>
      <c r="AV96" s="150" t="n">
        <f aca="false">IFERROR(ROUND($D96-M96-AW96,0),0)</f>
        <v>0</v>
      </c>
      <c r="AW96" s="151" t="n">
        <f aca="false">IFERROR(N96*$G96,0)</f>
        <v>0</v>
      </c>
      <c r="AX96" s="150" t="n">
        <f aca="false">IFERROR(ROUND($D96-O96-AY96,0),0)</f>
        <v>0</v>
      </c>
      <c r="AY96" s="151" t="n">
        <f aca="false">IFERROR(P96*$G96,0)</f>
        <v>0</v>
      </c>
      <c r="AZ96" s="150" t="n">
        <f aca="false">IFERROR(ROUND($D96-Q96-BA96,0),0)</f>
        <v>0</v>
      </c>
      <c r="BA96" s="151" t="n">
        <f aca="false">IFERROR(R96*$G96,0)</f>
        <v>0</v>
      </c>
      <c r="BB96" s="152" t="n">
        <f aca="false">IFERROR(ROUND($D96-S96-BC96,0),0)</f>
        <v>0</v>
      </c>
      <c r="BC96" s="151" t="n">
        <f aca="false">IFERROR(T96*$G96,0)</f>
        <v>0</v>
      </c>
      <c r="BD96" s="140"/>
      <c r="BE96" s="150" t="n">
        <f aca="false">IFERROR(ROUND($D96-V96-BF96,0),0)</f>
        <v>0</v>
      </c>
      <c r="BF96" s="151" t="n">
        <f aca="false">IFERROR(W96*$G96,0)</f>
        <v>0</v>
      </c>
      <c r="BG96" s="150" t="n">
        <f aca="false">IFERROR(ROUND($D96-X96-BH96,0),0)</f>
        <v>0</v>
      </c>
      <c r="BH96" s="151" t="n">
        <f aca="false">IFERROR(Y96*$G96,0)</f>
        <v>0</v>
      </c>
      <c r="BI96" s="152" t="n">
        <f aca="false">IFERROR(ROUND($D96-Z96-BJ96,0),0)</f>
        <v>0</v>
      </c>
      <c r="BJ96" s="151" t="n">
        <f aca="false">IFERROR(AA96*$G96,0)</f>
        <v>0</v>
      </c>
      <c r="BK96" s="152" t="n">
        <f aca="false">IFERROR(ROUND($D96-AB96-BL96,0),0)</f>
        <v>0</v>
      </c>
      <c r="BL96" s="151" t="n">
        <f aca="false">IFERROR(AC96*$G96,0)</f>
        <v>0</v>
      </c>
      <c r="BM96" s="1"/>
      <c r="BN96" s="154" t="n">
        <v>-16.53</v>
      </c>
      <c r="BO96" s="155"/>
      <c r="BP96" s="150" t="n">
        <v>-16.53</v>
      </c>
      <c r="BQ96" s="151" t="n">
        <v>0</v>
      </c>
      <c r="BR96" s="152"/>
      <c r="BS96" s="150" t="n">
        <v>0</v>
      </c>
      <c r="BT96" s="151" t="n">
        <v>0</v>
      </c>
      <c r="BU96" s="150" t="n">
        <v>0</v>
      </c>
      <c r="BV96" s="151" t="n">
        <v>0</v>
      </c>
      <c r="BW96" s="150" t="n">
        <v>0</v>
      </c>
      <c r="BX96" s="151" t="n">
        <v>0</v>
      </c>
      <c r="BY96" s="150" t="n">
        <v>0</v>
      </c>
      <c r="BZ96" s="151" t="n">
        <v>0</v>
      </c>
      <c r="CA96" s="152"/>
      <c r="CB96" s="150" t="n">
        <v>0</v>
      </c>
      <c r="CC96" s="151" t="n">
        <v>0</v>
      </c>
      <c r="CD96" s="150" t="n">
        <v>0</v>
      </c>
      <c r="CE96" s="151" t="n">
        <v>0</v>
      </c>
      <c r="CF96" s="150" t="n">
        <v>0</v>
      </c>
      <c r="CG96" s="151" t="n">
        <v>0</v>
      </c>
      <c r="CH96" s="150" t="n">
        <v>0</v>
      </c>
      <c r="CI96" s="151" t="n">
        <v>0</v>
      </c>
      <c r="CJ96" s="1"/>
      <c r="CK96" s="149"/>
      <c r="CL96" s="137"/>
      <c r="CM96" s="154" t="str">
        <f aca="false">IFERROR(+$H96-($J96+$K96*$G96),"-")</f>
        <v>-</v>
      </c>
      <c r="CN96" s="137"/>
      <c r="CO96" s="154" t="str">
        <f aca="false">IFERROR(+$H96-($M96+$N96*$G96),"-")</f>
        <v>-</v>
      </c>
      <c r="CP96" s="154" t="str">
        <f aca="false">IFERROR(+$H96-($O96+$P96*$G96),"-")</f>
        <v>-</v>
      </c>
      <c r="CQ96" s="154" t="str">
        <f aca="false">IFERROR(+$H96-($Q96+$R96*$G96),"-")</f>
        <v>-</v>
      </c>
      <c r="CR96" s="154" t="str">
        <f aca="false">IFERROR(+$H96-($Q96+$R96*$G96),"-")</f>
        <v>-</v>
      </c>
      <c r="CS96" s="137"/>
      <c r="CT96" s="154" t="str">
        <f aca="false">IFERROR(+$H96-($V96+$W96*$G96),"-")</f>
        <v>-</v>
      </c>
      <c r="CU96" s="154" t="str">
        <f aca="false">IFERROR(+$H96-($X96+$Y96*$G96),"-")</f>
        <v>-</v>
      </c>
      <c r="CV96" s="154" t="str">
        <f aca="false">IFERROR(+$H96-($Z96+$AA96*$G96),"-")</f>
        <v>-</v>
      </c>
      <c r="CW96" s="154" t="str">
        <f aca="false">IFERROR(+$H96-($AB96+$AC96*$G96),"-")</f>
        <v>-</v>
      </c>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row>
    <row r="97" s="1" customFormat="true" ht="12.75" hidden="false" customHeight="true" outlineLevel="0" collapsed="false">
      <c r="B97" s="134" t="s">
        <v>112</v>
      </c>
      <c r="C97" s="135" t="s">
        <v>173</v>
      </c>
      <c r="D97" s="136" t="e">
        <f aca="false">VLOOKUP($C97,#REF!,5,0)</f>
        <v>#VALUE!</v>
      </c>
      <c r="E97" s="157" t="e">
        <f aca="false">VLOOKUP($C97,#REF!,6,0)</f>
        <v>#VALUE!</v>
      </c>
      <c r="F97" s="135" t="e">
        <f aca="false">VLOOKUP($C97,#REF!,7,0)</f>
        <v>#VALUE!</v>
      </c>
      <c r="G97" s="135" t="e">
        <f aca="false">VLOOKUP($C97,#REF!,8,0)</f>
        <v>#VALUE!</v>
      </c>
      <c r="H97" s="158" t="e">
        <f aca="false">VLOOKUP($C97,#REF!,9,0)</f>
        <v>#VALUE!</v>
      </c>
      <c r="I97" s="137"/>
      <c r="J97" s="138" t="e">
        <f aca="false">VLOOKUP($C97,#REF!,10,0)</f>
        <v>#VALUE!</v>
      </c>
      <c r="K97" s="139" t="e">
        <f aca="false">VLOOKUP($C97,#REF!,11,0)</f>
        <v>#VALUE!</v>
      </c>
      <c r="L97" s="140"/>
      <c r="M97" s="138" t="e">
        <f aca="false">VLOOKUP($C97,#REF!,12,0)</f>
        <v>#VALUE!</v>
      </c>
      <c r="N97" s="140" t="e">
        <f aca="false">VLOOKUP($C97,#REF!,13,0)</f>
        <v>#VALUE!</v>
      </c>
      <c r="O97" s="138" t="e">
        <f aca="false">VLOOKUP($C97,#REF!,14,0)</f>
        <v>#VALUE!</v>
      </c>
      <c r="P97" s="140" t="e">
        <f aca="false">VLOOKUP($C97,#REF!,15,0)</f>
        <v>#VALUE!</v>
      </c>
      <c r="Q97" s="138" t="e">
        <f aca="false">VLOOKUP($C97,#REF!,16,0)</f>
        <v>#VALUE!</v>
      </c>
      <c r="R97" s="139" t="e">
        <f aca="false">VLOOKUP($C97,#REF!,17,0)</f>
        <v>#VALUE!</v>
      </c>
      <c r="S97" s="140" t="e">
        <f aca="false">VLOOKUP($C97,#REF!,18,0)</f>
        <v>#VALUE!</v>
      </c>
      <c r="T97" s="139" t="e">
        <f aca="false">VLOOKUP($C97,#REF!,19,0)</f>
        <v>#VALUE!</v>
      </c>
      <c r="U97" s="140"/>
      <c r="V97" s="138" t="e">
        <f aca="false">VLOOKUP($C97,#REF!,20,0)</f>
        <v>#VALUE!</v>
      </c>
      <c r="W97" s="140" t="e">
        <f aca="false">VLOOKUP($C97,#REF!,21,0)</f>
        <v>#VALUE!</v>
      </c>
      <c r="X97" s="138" t="e">
        <f aca="false">VLOOKUP($C97,#REF!,22,0)</f>
        <v>#VALUE!</v>
      </c>
      <c r="Y97" s="140" t="e">
        <f aca="false">VLOOKUP($C97,#REF!,23,0)</f>
        <v>#VALUE!</v>
      </c>
      <c r="Z97" s="138" t="e">
        <f aca="false">VLOOKUP($C97,#REF!,24,0)</f>
        <v>#VALUE!</v>
      </c>
      <c r="AA97" s="139" t="e">
        <f aca="false">VLOOKUP($C97,#REF!,25,0)</f>
        <v>#VALUE!</v>
      </c>
      <c r="AB97" s="140" t="e">
        <f aca="false">VLOOKUP($C97,#REF!,26,0)</f>
        <v>#VALUE!</v>
      </c>
      <c r="AC97" s="139" t="e">
        <f aca="false">VLOOKUP($C97,#REF!,27,0)</f>
        <v>#VALUE!</v>
      </c>
      <c r="AE97" s="138" t="e">
        <f aca="false">IF(M97="-","-","0,5 GB")</f>
        <v>#VALUE!</v>
      </c>
      <c r="AF97" s="141" t="s">
        <v>92</v>
      </c>
      <c r="AG97" s="141" t="s">
        <v>93</v>
      </c>
      <c r="AH97" s="139" t="s">
        <v>94</v>
      </c>
      <c r="AJ97" s="138" t="s">
        <v>95</v>
      </c>
      <c r="AK97" s="141" t="s">
        <v>96</v>
      </c>
      <c r="AL97" s="141" t="s">
        <v>97</v>
      </c>
      <c r="AM97" s="141" t="s">
        <v>98</v>
      </c>
      <c r="AN97" s="141" t="s">
        <v>98</v>
      </c>
      <c r="AO97" s="139" t="s">
        <v>92</v>
      </c>
      <c r="AQ97" s="142" t="n">
        <v>223</v>
      </c>
      <c r="AR97" s="137"/>
      <c r="AS97" s="138" t="n">
        <v>0</v>
      </c>
      <c r="AT97" s="139" t="n">
        <v>0</v>
      </c>
      <c r="AU97" s="140"/>
      <c r="AV97" s="138" t="n">
        <f aca="false">IFERROR(ROUND($D97-M97-AW97,0),0)</f>
        <v>0</v>
      </c>
      <c r="AW97" s="139" t="n">
        <f aca="false">IFERROR(N97*$G97,0)</f>
        <v>0</v>
      </c>
      <c r="AX97" s="138" t="n">
        <f aca="false">IFERROR(ROUND($D97-O97-AY97,0),0)</f>
        <v>0</v>
      </c>
      <c r="AY97" s="139" t="n">
        <f aca="false">IFERROR(P97*$G97,0)</f>
        <v>0</v>
      </c>
      <c r="AZ97" s="138" t="n">
        <f aca="false">IFERROR(ROUND($D97-Q97-BA97,0),0)</f>
        <v>0</v>
      </c>
      <c r="BA97" s="139" t="n">
        <f aca="false">IFERROR(R97*$G97,0)</f>
        <v>0</v>
      </c>
      <c r="BB97" s="140" t="n">
        <f aca="false">IFERROR(ROUND($D97-S97-BC97,0),0)</f>
        <v>0</v>
      </c>
      <c r="BC97" s="139" t="n">
        <f aca="false">IFERROR(T97*$G97,0)</f>
        <v>0</v>
      </c>
      <c r="BD97" s="140"/>
      <c r="BE97" s="138" t="n">
        <f aca="false">IFERROR(ROUND($D97-V97-BF97,0),0)</f>
        <v>0</v>
      </c>
      <c r="BF97" s="139" t="n">
        <f aca="false">IFERROR(W97*$G97,0)</f>
        <v>0</v>
      </c>
      <c r="BG97" s="138" t="n">
        <f aca="false">IFERROR(ROUND($D97-X97-BH97,0),0)</f>
        <v>0</v>
      </c>
      <c r="BH97" s="139" t="n">
        <f aca="false">IFERROR(Y97*$G97,0)</f>
        <v>0</v>
      </c>
      <c r="BI97" s="140" t="n">
        <f aca="false">IFERROR(ROUND($D97-Z97-BJ97,0),0)</f>
        <v>0</v>
      </c>
      <c r="BJ97" s="139" t="n">
        <f aca="false">IFERROR(AA97*$G97,0)</f>
        <v>0</v>
      </c>
      <c r="BK97" s="140" t="n">
        <f aca="false">IFERROR(ROUND($D97-AB97-BL97,0),0)</f>
        <v>0</v>
      </c>
      <c r="BL97" s="139" t="n">
        <f aca="false">IFERROR(AC97*$G97,0)</f>
        <v>0</v>
      </c>
      <c r="BN97" s="142" t="n">
        <v>-57.86</v>
      </c>
      <c r="BO97" s="137"/>
      <c r="BP97" s="138" t="n">
        <v>-57.86</v>
      </c>
      <c r="BQ97" s="139" t="n">
        <v>0</v>
      </c>
      <c r="BR97" s="140"/>
      <c r="BS97" s="138" t="n">
        <v>0</v>
      </c>
      <c r="BT97" s="139" t="n">
        <v>0</v>
      </c>
      <c r="BU97" s="138" t="n">
        <v>0</v>
      </c>
      <c r="BV97" s="139" t="n">
        <v>0</v>
      </c>
      <c r="BW97" s="138" t="n">
        <v>0</v>
      </c>
      <c r="BX97" s="139" t="n">
        <v>-1</v>
      </c>
      <c r="BY97" s="138" t="n">
        <v>0</v>
      </c>
      <c r="BZ97" s="139" t="n">
        <v>-1</v>
      </c>
      <c r="CA97" s="140"/>
      <c r="CB97" s="138" t="n">
        <v>0</v>
      </c>
      <c r="CC97" s="139" t="n">
        <v>0</v>
      </c>
      <c r="CD97" s="138" t="n">
        <v>0</v>
      </c>
      <c r="CE97" s="139" t="n">
        <v>0</v>
      </c>
      <c r="CF97" s="138" t="n">
        <v>0</v>
      </c>
      <c r="CG97" s="139" t="n">
        <v>-1</v>
      </c>
      <c r="CH97" s="138" t="n">
        <v>0</v>
      </c>
      <c r="CI97" s="139" t="n">
        <v>-1</v>
      </c>
      <c r="CK97" s="143"/>
      <c r="CL97" s="137"/>
      <c r="CM97" s="144" t="str">
        <f aca="false">IFERROR(+$H97-($J97+$K97*$G97),"-")</f>
        <v>-</v>
      </c>
      <c r="CN97" s="137"/>
      <c r="CO97" s="144" t="str">
        <f aca="false">IFERROR(+$H97-($M97+$N97*$G97),"-")</f>
        <v>-</v>
      </c>
      <c r="CP97" s="144" t="str">
        <f aca="false">IFERROR(+$H97-($O97+$P97*$G97),"-")</f>
        <v>-</v>
      </c>
      <c r="CQ97" s="144" t="str">
        <f aca="false">IFERROR(+$H97-($Q97+$R97*$G97),"-")</f>
        <v>-</v>
      </c>
      <c r="CR97" s="144" t="str">
        <f aca="false">IFERROR(+$H97-($Q97+$R97*$G97),"-")</f>
        <v>-</v>
      </c>
      <c r="CS97" s="137"/>
      <c r="CT97" s="144" t="str">
        <f aca="false">IFERROR(+$H97-($V97+$W97*$G97),"-")</f>
        <v>-</v>
      </c>
      <c r="CU97" s="144" t="str">
        <f aca="false">IFERROR(+$H97-($X97+$Y97*$G97),"-")</f>
        <v>-</v>
      </c>
      <c r="CV97" s="144" t="str">
        <f aca="false">IFERROR(+$H97-($Z97+$AA97*$G97),"-")</f>
        <v>-</v>
      </c>
      <c r="CW97" s="144" t="str">
        <f aca="false">IFERROR(+$H97-($AB97+$AC97*$G97),"-")</f>
        <v>-</v>
      </c>
    </row>
    <row r="98" s="156" customFormat="true" ht="12.75" hidden="false" customHeight="true" outlineLevel="0" collapsed="false">
      <c r="A98" s="1"/>
      <c r="B98" s="145" t="s">
        <v>112</v>
      </c>
      <c r="C98" s="146" t="s">
        <v>174</v>
      </c>
      <c r="D98" s="147" t="e">
        <f aca="false">VLOOKUP($C98,#REF!,5,0)</f>
        <v>#VALUE!</v>
      </c>
      <c r="E98" s="148" t="e">
        <f aca="false">VLOOKUP($C98,#REF!,6,0)</f>
        <v>#VALUE!</v>
      </c>
      <c r="F98" s="146" t="e">
        <f aca="false">VLOOKUP($C98,#REF!,7,0)</f>
        <v>#VALUE!</v>
      </c>
      <c r="G98" s="146" t="e">
        <f aca="false">VLOOKUP($C98,#REF!,8,0)</f>
        <v>#VALUE!</v>
      </c>
      <c r="H98" s="149" t="e">
        <f aca="false">VLOOKUP($C98,#REF!,9,0)</f>
        <v>#VALUE!</v>
      </c>
      <c r="I98" s="137"/>
      <c r="J98" s="150" t="e">
        <f aca="false">VLOOKUP($C98,#REF!,10,0)</f>
        <v>#VALUE!</v>
      </c>
      <c r="K98" s="151" t="e">
        <f aca="false">VLOOKUP($C98,#REF!,11,0)</f>
        <v>#VALUE!</v>
      </c>
      <c r="L98" s="140"/>
      <c r="M98" s="150" t="e">
        <f aca="false">VLOOKUP($C98,#REF!,12,0)</f>
        <v>#VALUE!</v>
      </c>
      <c r="N98" s="152" t="e">
        <f aca="false">VLOOKUP($C98,#REF!,13,0)</f>
        <v>#VALUE!</v>
      </c>
      <c r="O98" s="150" t="e">
        <f aca="false">VLOOKUP($C98,#REF!,14,0)</f>
        <v>#VALUE!</v>
      </c>
      <c r="P98" s="152" t="e">
        <f aca="false">VLOOKUP($C98,#REF!,15,0)</f>
        <v>#VALUE!</v>
      </c>
      <c r="Q98" s="150" t="e">
        <f aca="false">VLOOKUP($C98,#REF!,16,0)</f>
        <v>#VALUE!</v>
      </c>
      <c r="R98" s="151" t="e">
        <f aca="false">VLOOKUP($C98,#REF!,17,0)</f>
        <v>#VALUE!</v>
      </c>
      <c r="S98" s="152" t="e">
        <f aca="false">VLOOKUP($C98,#REF!,18,0)</f>
        <v>#VALUE!</v>
      </c>
      <c r="T98" s="151" t="e">
        <f aca="false">VLOOKUP($C98,#REF!,19,0)</f>
        <v>#VALUE!</v>
      </c>
      <c r="U98" s="140"/>
      <c r="V98" s="150" t="e">
        <f aca="false">VLOOKUP($C98,#REF!,20,0)</f>
        <v>#VALUE!</v>
      </c>
      <c r="W98" s="152" t="e">
        <f aca="false">VLOOKUP($C98,#REF!,21,0)</f>
        <v>#VALUE!</v>
      </c>
      <c r="X98" s="150" t="e">
        <f aca="false">VLOOKUP($C98,#REF!,22,0)</f>
        <v>#VALUE!</v>
      </c>
      <c r="Y98" s="152" t="e">
        <f aca="false">VLOOKUP($C98,#REF!,23,0)</f>
        <v>#VALUE!</v>
      </c>
      <c r="Z98" s="150" t="e">
        <f aca="false">VLOOKUP($C98,#REF!,24,0)</f>
        <v>#VALUE!</v>
      </c>
      <c r="AA98" s="151" t="e">
        <f aca="false">VLOOKUP($C98,#REF!,25,0)</f>
        <v>#VALUE!</v>
      </c>
      <c r="AB98" s="152" t="e">
        <f aca="false">VLOOKUP($C98,#REF!,26,0)</f>
        <v>#VALUE!</v>
      </c>
      <c r="AC98" s="151" t="e">
        <f aca="false">VLOOKUP($C98,#REF!,27,0)</f>
        <v>#VALUE!</v>
      </c>
      <c r="AD98" s="1"/>
      <c r="AE98" s="150" t="e">
        <f aca="false">IF(M98="-","-","0,5 GB")</f>
        <v>#VALUE!</v>
      </c>
      <c r="AF98" s="153" t="s">
        <v>92</v>
      </c>
      <c r="AG98" s="153" t="s">
        <v>93</v>
      </c>
      <c r="AH98" s="151" t="s">
        <v>94</v>
      </c>
      <c r="AI98" s="1"/>
      <c r="AJ98" s="150" t="s">
        <v>95</v>
      </c>
      <c r="AK98" s="153" t="s">
        <v>96</v>
      </c>
      <c r="AL98" s="153" t="s">
        <v>97</v>
      </c>
      <c r="AM98" s="153" t="s">
        <v>98</v>
      </c>
      <c r="AN98" s="153" t="s">
        <v>98</v>
      </c>
      <c r="AO98" s="151" t="s">
        <v>92</v>
      </c>
      <c r="AP98" s="1"/>
      <c r="AQ98" s="154" t="n">
        <v>50</v>
      </c>
      <c r="AR98" s="137"/>
      <c r="AS98" s="150" t="n">
        <v>0</v>
      </c>
      <c r="AT98" s="151" t="n">
        <v>0</v>
      </c>
      <c r="AU98" s="140"/>
      <c r="AV98" s="150" t="n">
        <f aca="false">IFERROR(ROUND($D98-M98-AW98,0),0)</f>
        <v>0</v>
      </c>
      <c r="AW98" s="151" t="n">
        <f aca="false">IFERROR(N98*$G98,0)</f>
        <v>0</v>
      </c>
      <c r="AX98" s="150" t="n">
        <f aca="false">IFERROR(ROUND($D98-O98-AY98,0),0)</f>
        <v>0</v>
      </c>
      <c r="AY98" s="151" t="n">
        <f aca="false">IFERROR(P98*$G98,0)</f>
        <v>0</v>
      </c>
      <c r="AZ98" s="150" t="n">
        <f aca="false">IFERROR(ROUND($D98-Q98-BA98,0),0)</f>
        <v>0</v>
      </c>
      <c r="BA98" s="151" t="n">
        <f aca="false">IFERROR(R98*$G98,0)</f>
        <v>0</v>
      </c>
      <c r="BB98" s="152" t="n">
        <f aca="false">IFERROR(ROUND($D98-S98-BC98,0),0)</f>
        <v>0</v>
      </c>
      <c r="BC98" s="151" t="n">
        <f aca="false">IFERROR(T98*$G98,0)</f>
        <v>0</v>
      </c>
      <c r="BD98" s="140"/>
      <c r="BE98" s="150" t="n">
        <f aca="false">IFERROR(ROUND($D98-V98-BF98,0),0)</f>
        <v>0</v>
      </c>
      <c r="BF98" s="151" t="n">
        <f aca="false">IFERROR(W98*$G98,0)</f>
        <v>0</v>
      </c>
      <c r="BG98" s="150" t="n">
        <f aca="false">IFERROR(ROUND($D98-X98-BH98,0),0)</f>
        <v>0</v>
      </c>
      <c r="BH98" s="151" t="n">
        <f aca="false">IFERROR(Y98*$G98,0)</f>
        <v>0</v>
      </c>
      <c r="BI98" s="152" t="n">
        <f aca="false">IFERROR(ROUND($D98-Z98-BJ98,0),0)</f>
        <v>0</v>
      </c>
      <c r="BJ98" s="151" t="n">
        <f aca="false">IFERROR(AA98*$G98,0)</f>
        <v>0</v>
      </c>
      <c r="BK98" s="152" t="n">
        <f aca="false">IFERROR(ROUND($D98-AB98-BL98,0),0)</f>
        <v>0</v>
      </c>
      <c r="BL98" s="151" t="n">
        <f aca="false">IFERROR(AC98*$G98,0)</f>
        <v>0</v>
      </c>
      <c r="BM98" s="1"/>
      <c r="BN98" s="154" t="n">
        <v>0</v>
      </c>
      <c r="BO98" s="155"/>
      <c r="BP98" s="150" t="n">
        <v>0</v>
      </c>
      <c r="BQ98" s="151" t="n">
        <v>0</v>
      </c>
      <c r="BR98" s="152"/>
      <c r="BS98" s="150" t="n">
        <v>0</v>
      </c>
      <c r="BT98" s="151" t="n">
        <v>0</v>
      </c>
      <c r="BU98" s="150" t="n">
        <v>0</v>
      </c>
      <c r="BV98" s="151" t="n">
        <v>0</v>
      </c>
      <c r="BW98" s="150" t="n">
        <v>0</v>
      </c>
      <c r="BX98" s="151" t="n">
        <v>0</v>
      </c>
      <c r="BY98" s="150" t="n">
        <v>0</v>
      </c>
      <c r="BZ98" s="151" t="n">
        <v>0</v>
      </c>
      <c r="CA98" s="152"/>
      <c r="CB98" s="150" t="n">
        <v>0</v>
      </c>
      <c r="CC98" s="151" t="n">
        <v>0</v>
      </c>
      <c r="CD98" s="150" t="n">
        <v>0</v>
      </c>
      <c r="CE98" s="151" t="n">
        <v>0</v>
      </c>
      <c r="CF98" s="150" t="n">
        <v>0</v>
      </c>
      <c r="CG98" s="151" t="n">
        <v>0</v>
      </c>
      <c r="CH98" s="150" t="n">
        <v>0</v>
      </c>
      <c r="CI98" s="151" t="n">
        <v>0</v>
      </c>
      <c r="CJ98" s="1"/>
      <c r="CK98" s="149"/>
      <c r="CL98" s="137"/>
      <c r="CM98" s="154" t="str">
        <f aca="false">IFERROR(+$H98-($J98+$K98*$G98),"-")</f>
        <v>-</v>
      </c>
      <c r="CN98" s="137"/>
      <c r="CO98" s="154" t="str">
        <f aca="false">IFERROR(+$H98-($M98+$N98*$G98),"-")</f>
        <v>-</v>
      </c>
      <c r="CP98" s="154" t="str">
        <f aca="false">IFERROR(+$H98-($O98+$P98*$G98),"-")</f>
        <v>-</v>
      </c>
      <c r="CQ98" s="154" t="str">
        <f aca="false">IFERROR(+$H98-($Q98+$R98*$G98),"-")</f>
        <v>-</v>
      </c>
      <c r="CR98" s="154" t="str">
        <f aca="false">IFERROR(+$H98-($Q98+$R98*$G98),"-")</f>
        <v>-</v>
      </c>
      <c r="CS98" s="137"/>
      <c r="CT98" s="154" t="str">
        <f aca="false">IFERROR(+$H98-($V98+$W98*$G98),"-")</f>
        <v>-</v>
      </c>
      <c r="CU98" s="154" t="str">
        <f aca="false">IFERROR(+$H98-($X98+$Y98*$G98),"-")</f>
        <v>-</v>
      </c>
      <c r="CV98" s="154" t="str">
        <f aca="false">IFERROR(+$H98-($Z98+$AA98*$G98),"-")</f>
        <v>-</v>
      </c>
      <c r="CW98" s="154" t="str">
        <f aca="false">IFERROR(+$H98-($AB98+$AC98*$G98),"-")</f>
        <v>-</v>
      </c>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row>
    <row r="99" s="1" customFormat="true" ht="12.75" hidden="false" customHeight="true" outlineLevel="0" collapsed="false">
      <c r="B99" s="134" t="s">
        <v>112</v>
      </c>
      <c r="C99" s="135" t="s">
        <v>175</v>
      </c>
      <c r="D99" s="136" t="e">
        <f aca="false">VLOOKUP($C99,#REF!,5,0)</f>
        <v>#VALUE!</v>
      </c>
      <c r="E99" s="157" t="e">
        <f aca="false">VLOOKUP($C99,#REF!,6,0)</f>
        <v>#VALUE!</v>
      </c>
      <c r="F99" s="135" t="e">
        <f aca="false">VLOOKUP($C99,#REF!,7,0)</f>
        <v>#VALUE!</v>
      </c>
      <c r="G99" s="135" t="e">
        <f aca="false">VLOOKUP($C99,#REF!,8,0)</f>
        <v>#VALUE!</v>
      </c>
      <c r="H99" s="158" t="e">
        <f aca="false">VLOOKUP($C99,#REF!,9,0)</f>
        <v>#VALUE!</v>
      </c>
      <c r="I99" s="137"/>
      <c r="J99" s="138" t="e">
        <f aca="false">VLOOKUP($C99,#REF!,10,0)</f>
        <v>#VALUE!</v>
      </c>
      <c r="K99" s="139" t="e">
        <f aca="false">VLOOKUP($C99,#REF!,11,0)</f>
        <v>#VALUE!</v>
      </c>
      <c r="L99" s="140"/>
      <c r="M99" s="138" t="e">
        <f aca="false">VLOOKUP($C99,#REF!,12,0)</f>
        <v>#VALUE!</v>
      </c>
      <c r="N99" s="140" t="e">
        <f aca="false">VLOOKUP($C99,#REF!,13,0)</f>
        <v>#VALUE!</v>
      </c>
      <c r="O99" s="138" t="e">
        <f aca="false">VLOOKUP($C99,#REF!,14,0)</f>
        <v>#VALUE!</v>
      </c>
      <c r="P99" s="140" t="e">
        <f aca="false">VLOOKUP($C99,#REF!,15,0)</f>
        <v>#VALUE!</v>
      </c>
      <c r="Q99" s="138" t="e">
        <f aca="false">VLOOKUP($C99,#REF!,16,0)</f>
        <v>#VALUE!</v>
      </c>
      <c r="R99" s="139" t="e">
        <f aca="false">VLOOKUP($C99,#REF!,17,0)</f>
        <v>#VALUE!</v>
      </c>
      <c r="S99" s="140" t="e">
        <f aca="false">VLOOKUP($C99,#REF!,18,0)</f>
        <v>#VALUE!</v>
      </c>
      <c r="T99" s="139" t="e">
        <f aca="false">VLOOKUP($C99,#REF!,19,0)</f>
        <v>#VALUE!</v>
      </c>
      <c r="U99" s="140"/>
      <c r="V99" s="138" t="e">
        <f aca="false">VLOOKUP($C99,#REF!,20,0)</f>
        <v>#VALUE!</v>
      </c>
      <c r="W99" s="140" t="e">
        <f aca="false">VLOOKUP($C99,#REF!,21,0)</f>
        <v>#VALUE!</v>
      </c>
      <c r="X99" s="138" t="e">
        <f aca="false">VLOOKUP($C99,#REF!,22,0)</f>
        <v>#VALUE!</v>
      </c>
      <c r="Y99" s="140" t="e">
        <f aca="false">VLOOKUP($C99,#REF!,23,0)</f>
        <v>#VALUE!</v>
      </c>
      <c r="Z99" s="138" t="e">
        <f aca="false">VLOOKUP($C99,#REF!,24,0)</f>
        <v>#VALUE!</v>
      </c>
      <c r="AA99" s="139" t="e">
        <f aca="false">VLOOKUP($C99,#REF!,25,0)</f>
        <v>#VALUE!</v>
      </c>
      <c r="AB99" s="140" t="e">
        <f aca="false">VLOOKUP($C99,#REF!,26,0)</f>
        <v>#VALUE!</v>
      </c>
      <c r="AC99" s="139" t="e">
        <f aca="false">VLOOKUP($C99,#REF!,27,0)</f>
        <v>#VALUE!</v>
      </c>
      <c r="AE99" s="138" t="e">
        <f aca="false">IF(M99="-","-","0,5 GB")</f>
        <v>#VALUE!</v>
      </c>
      <c r="AF99" s="141" t="s">
        <v>92</v>
      </c>
      <c r="AG99" s="141" t="s">
        <v>93</v>
      </c>
      <c r="AH99" s="139" t="s">
        <v>94</v>
      </c>
      <c r="AJ99" s="138" t="s">
        <v>95</v>
      </c>
      <c r="AK99" s="141" t="s">
        <v>96</v>
      </c>
      <c r="AL99" s="141" t="s">
        <v>97</v>
      </c>
      <c r="AM99" s="141" t="s">
        <v>98</v>
      </c>
      <c r="AN99" s="141" t="s">
        <v>98</v>
      </c>
      <c r="AO99" s="139" t="s">
        <v>92</v>
      </c>
      <c r="AQ99" s="142" t="n">
        <v>0</v>
      </c>
      <c r="AR99" s="137"/>
      <c r="AS99" s="138" t="n">
        <v>0</v>
      </c>
      <c r="AT99" s="139" t="n">
        <v>0</v>
      </c>
      <c r="AU99" s="140"/>
      <c r="AV99" s="138" t="n">
        <f aca="false">IFERROR(ROUND($D99-M99-AW99,0),0)</f>
        <v>0</v>
      </c>
      <c r="AW99" s="139" t="n">
        <f aca="false">IFERROR(N99*$G99,0)</f>
        <v>0</v>
      </c>
      <c r="AX99" s="138" t="n">
        <f aca="false">IFERROR(ROUND($D99-O99-AY99,0),0)</f>
        <v>0</v>
      </c>
      <c r="AY99" s="139" t="n">
        <f aca="false">IFERROR(P99*$G99,0)</f>
        <v>0</v>
      </c>
      <c r="AZ99" s="138" t="n">
        <f aca="false">IFERROR(ROUND($D99-Q99-BA99,0),0)</f>
        <v>0</v>
      </c>
      <c r="BA99" s="139" t="n">
        <f aca="false">IFERROR(R99*$G99,0)</f>
        <v>0</v>
      </c>
      <c r="BB99" s="140" t="n">
        <f aca="false">IFERROR(ROUND($D99-S99-BC99,0),0)</f>
        <v>0</v>
      </c>
      <c r="BC99" s="139" t="n">
        <f aca="false">IFERROR(T99*$G99,0)</f>
        <v>0</v>
      </c>
      <c r="BD99" s="140"/>
      <c r="BE99" s="138" t="n">
        <f aca="false">IFERROR(ROUND($D99-V99-BF99,0),0)</f>
        <v>0</v>
      </c>
      <c r="BF99" s="139" t="n">
        <f aca="false">IFERROR(W99*$G99,0)</f>
        <v>0</v>
      </c>
      <c r="BG99" s="138" t="n">
        <f aca="false">IFERROR(ROUND($D99-X99-BH99,0),0)</f>
        <v>0</v>
      </c>
      <c r="BH99" s="139" t="n">
        <f aca="false">IFERROR(Y99*$G99,0)</f>
        <v>0</v>
      </c>
      <c r="BI99" s="140" t="n">
        <f aca="false">IFERROR(ROUND($D99-Z99-BJ99,0),0)</f>
        <v>0</v>
      </c>
      <c r="BJ99" s="139" t="n">
        <f aca="false">IFERROR(AA99*$G99,0)</f>
        <v>0</v>
      </c>
      <c r="BK99" s="140" t="n">
        <f aca="false">IFERROR(ROUND($D99-AB99-BL99,0),0)</f>
        <v>0</v>
      </c>
      <c r="BL99" s="139" t="n">
        <f aca="false">IFERROR(AC99*$G99,0)</f>
        <v>0</v>
      </c>
      <c r="BN99" s="142" t="n">
        <v>0</v>
      </c>
      <c r="BO99" s="137"/>
      <c r="BP99" s="138" t="n">
        <v>0</v>
      </c>
      <c r="BQ99" s="139" t="n">
        <v>0</v>
      </c>
      <c r="BR99" s="140"/>
      <c r="BS99" s="138" t="n">
        <v>0</v>
      </c>
      <c r="BT99" s="139" t="n">
        <v>0</v>
      </c>
      <c r="BU99" s="138" t="n">
        <v>0</v>
      </c>
      <c r="BV99" s="139" t="n">
        <v>0</v>
      </c>
      <c r="BW99" s="138" t="n">
        <v>0</v>
      </c>
      <c r="BX99" s="139" t="n">
        <v>0</v>
      </c>
      <c r="BY99" s="138" t="n">
        <v>0</v>
      </c>
      <c r="BZ99" s="139" t="n">
        <v>0</v>
      </c>
      <c r="CA99" s="140"/>
      <c r="CB99" s="138" t="n">
        <v>0</v>
      </c>
      <c r="CC99" s="139" t="n">
        <v>0</v>
      </c>
      <c r="CD99" s="138" t="n">
        <v>0</v>
      </c>
      <c r="CE99" s="139" t="n">
        <v>0</v>
      </c>
      <c r="CF99" s="138" t="n">
        <v>0</v>
      </c>
      <c r="CG99" s="139" t="n">
        <v>0</v>
      </c>
      <c r="CH99" s="138" t="n">
        <v>0</v>
      </c>
      <c r="CI99" s="139" t="n">
        <v>0</v>
      </c>
      <c r="CK99" s="143"/>
      <c r="CL99" s="137"/>
      <c r="CM99" s="144" t="str">
        <f aca="false">IFERROR(+$H99-($J99+$K99*$G99),"-")</f>
        <v>-</v>
      </c>
      <c r="CN99" s="137"/>
      <c r="CO99" s="144" t="str">
        <f aca="false">IFERROR(+$H99-($M99+$N99*$G99),"-")</f>
        <v>-</v>
      </c>
      <c r="CP99" s="144" t="str">
        <f aca="false">IFERROR(+$H99-($O99+$P99*$G99),"-")</f>
        <v>-</v>
      </c>
      <c r="CQ99" s="144" t="str">
        <f aca="false">IFERROR(+$H99-($Q99+$R99*$G99),"-")</f>
        <v>-</v>
      </c>
      <c r="CR99" s="144" t="str">
        <f aca="false">IFERROR(+$H99-($Q99+$R99*$G99),"-")</f>
        <v>-</v>
      </c>
      <c r="CS99" s="137"/>
      <c r="CT99" s="144" t="str">
        <f aca="false">IFERROR(+$H99-($V99+$W99*$G99),"-")</f>
        <v>-</v>
      </c>
      <c r="CU99" s="144" t="str">
        <f aca="false">IFERROR(+$H99-($X99+$Y99*$G99),"-")</f>
        <v>-</v>
      </c>
      <c r="CV99" s="144" t="str">
        <f aca="false">IFERROR(+$H99-($Z99+$AA99*$G99),"-")</f>
        <v>-</v>
      </c>
      <c r="CW99" s="144" t="str">
        <f aca="false">IFERROR(+$H99-($AB99+$AC99*$G99),"-")</f>
        <v>-</v>
      </c>
    </row>
    <row r="100" s="156" customFormat="true" ht="12.75" hidden="false" customHeight="true" outlineLevel="0" collapsed="false">
      <c r="A100" s="1"/>
      <c r="B100" s="145" t="s">
        <v>112</v>
      </c>
      <c r="C100" s="146" t="s">
        <v>176</v>
      </c>
      <c r="D100" s="147" t="e">
        <f aca="false">VLOOKUP($C100,#REF!,5,0)</f>
        <v>#VALUE!</v>
      </c>
      <c r="E100" s="148" t="e">
        <f aca="false">VLOOKUP($C100,#REF!,6,0)</f>
        <v>#VALUE!</v>
      </c>
      <c r="F100" s="146" t="e">
        <f aca="false">VLOOKUP($C100,#REF!,7,0)</f>
        <v>#VALUE!</v>
      </c>
      <c r="G100" s="146" t="e">
        <f aca="false">VLOOKUP($C100,#REF!,8,0)</f>
        <v>#VALUE!</v>
      </c>
      <c r="H100" s="149" t="e">
        <f aca="false">VLOOKUP($C100,#REF!,9,0)</f>
        <v>#VALUE!</v>
      </c>
      <c r="I100" s="137"/>
      <c r="J100" s="150" t="e">
        <f aca="false">VLOOKUP($C100,#REF!,10,0)</f>
        <v>#VALUE!</v>
      </c>
      <c r="K100" s="151" t="e">
        <f aca="false">VLOOKUP($C100,#REF!,11,0)</f>
        <v>#VALUE!</v>
      </c>
      <c r="L100" s="140"/>
      <c r="M100" s="150" t="e">
        <f aca="false">VLOOKUP($C100,#REF!,12,0)</f>
        <v>#VALUE!</v>
      </c>
      <c r="N100" s="152" t="e">
        <f aca="false">VLOOKUP($C100,#REF!,13,0)</f>
        <v>#VALUE!</v>
      </c>
      <c r="O100" s="150" t="e">
        <f aca="false">VLOOKUP($C100,#REF!,14,0)</f>
        <v>#VALUE!</v>
      </c>
      <c r="P100" s="152" t="e">
        <f aca="false">VLOOKUP($C100,#REF!,15,0)</f>
        <v>#VALUE!</v>
      </c>
      <c r="Q100" s="150" t="e">
        <f aca="false">VLOOKUP($C100,#REF!,16,0)</f>
        <v>#VALUE!</v>
      </c>
      <c r="R100" s="151" t="e">
        <f aca="false">VLOOKUP($C100,#REF!,17,0)</f>
        <v>#VALUE!</v>
      </c>
      <c r="S100" s="152" t="e">
        <f aca="false">VLOOKUP($C100,#REF!,18,0)</f>
        <v>#VALUE!</v>
      </c>
      <c r="T100" s="151" t="e">
        <f aca="false">VLOOKUP($C100,#REF!,19,0)</f>
        <v>#VALUE!</v>
      </c>
      <c r="U100" s="140"/>
      <c r="V100" s="150" t="e">
        <f aca="false">VLOOKUP($C100,#REF!,20,0)</f>
        <v>#VALUE!</v>
      </c>
      <c r="W100" s="152" t="e">
        <f aca="false">VLOOKUP($C100,#REF!,21,0)</f>
        <v>#VALUE!</v>
      </c>
      <c r="X100" s="150" t="e">
        <f aca="false">VLOOKUP($C100,#REF!,22,0)</f>
        <v>#VALUE!</v>
      </c>
      <c r="Y100" s="152" t="e">
        <f aca="false">VLOOKUP($C100,#REF!,23,0)</f>
        <v>#VALUE!</v>
      </c>
      <c r="Z100" s="150" t="e">
        <f aca="false">VLOOKUP($C100,#REF!,24,0)</f>
        <v>#VALUE!</v>
      </c>
      <c r="AA100" s="151" t="e">
        <f aca="false">VLOOKUP($C100,#REF!,25,0)</f>
        <v>#VALUE!</v>
      </c>
      <c r="AB100" s="152" t="e">
        <f aca="false">VLOOKUP($C100,#REF!,26,0)</f>
        <v>#VALUE!</v>
      </c>
      <c r="AC100" s="151" t="e">
        <f aca="false">VLOOKUP($C100,#REF!,27,0)</f>
        <v>#VALUE!</v>
      </c>
      <c r="AD100" s="1"/>
      <c r="AE100" s="150" t="e">
        <f aca="false">IF(M100="-","-","0,5 GB")</f>
        <v>#VALUE!</v>
      </c>
      <c r="AF100" s="153" t="s">
        <v>92</v>
      </c>
      <c r="AG100" s="153" t="s">
        <v>93</v>
      </c>
      <c r="AH100" s="151" t="s">
        <v>94</v>
      </c>
      <c r="AI100" s="1"/>
      <c r="AJ100" s="150" t="s">
        <v>95</v>
      </c>
      <c r="AK100" s="153" t="s">
        <v>96</v>
      </c>
      <c r="AL100" s="153" t="s">
        <v>97</v>
      </c>
      <c r="AM100" s="153" t="s">
        <v>98</v>
      </c>
      <c r="AN100" s="153" t="s">
        <v>98</v>
      </c>
      <c r="AO100" s="151" t="s">
        <v>92</v>
      </c>
      <c r="AP100" s="1"/>
      <c r="AQ100" s="154" t="n">
        <v>74</v>
      </c>
      <c r="AR100" s="137"/>
      <c r="AS100" s="150" t="n">
        <v>0</v>
      </c>
      <c r="AT100" s="151" t="n">
        <v>0</v>
      </c>
      <c r="AU100" s="140"/>
      <c r="AV100" s="150" t="n">
        <f aca="false">IFERROR(ROUND($D100-M100-AW100,0),0)</f>
        <v>0</v>
      </c>
      <c r="AW100" s="151" t="n">
        <f aca="false">IFERROR(N100*$G100,0)</f>
        <v>0</v>
      </c>
      <c r="AX100" s="150" t="n">
        <f aca="false">IFERROR(ROUND($D100-O100-AY100,0),0)</f>
        <v>0</v>
      </c>
      <c r="AY100" s="151" t="n">
        <f aca="false">IFERROR(P100*$G100,0)</f>
        <v>0</v>
      </c>
      <c r="AZ100" s="150" t="n">
        <f aca="false">IFERROR(ROUND($D100-Q100-BA100,0),0)</f>
        <v>0</v>
      </c>
      <c r="BA100" s="151" t="n">
        <f aca="false">IFERROR(R100*$G100,0)</f>
        <v>0</v>
      </c>
      <c r="BB100" s="152" t="n">
        <f aca="false">IFERROR(ROUND($D100-S100-BC100,0),0)</f>
        <v>0</v>
      </c>
      <c r="BC100" s="151" t="n">
        <f aca="false">IFERROR(T100*$G100,0)</f>
        <v>0</v>
      </c>
      <c r="BD100" s="140"/>
      <c r="BE100" s="150" t="n">
        <f aca="false">IFERROR(ROUND($D100-V100-BF100,0),0)</f>
        <v>0</v>
      </c>
      <c r="BF100" s="151" t="n">
        <f aca="false">IFERROR(W100*$G100,0)</f>
        <v>0</v>
      </c>
      <c r="BG100" s="150" t="n">
        <f aca="false">IFERROR(ROUND($D100-X100-BH100,0),0)</f>
        <v>0</v>
      </c>
      <c r="BH100" s="151" t="n">
        <f aca="false">IFERROR(Y100*$G100,0)</f>
        <v>0</v>
      </c>
      <c r="BI100" s="152" t="n">
        <f aca="false">IFERROR(ROUND($D100-Z100-BJ100,0),0)</f>
        <v>0</v>
      </c>
      <c r="BJ100" s="151" t="n">
        <f aca="false">IFERROR(AA100*$G100,0)</f>
        <v>0</v>
      </c>
      <c r="BK100" s="152" t="n">
        <f aca="false">IFERROR(ROUND($D100-AB100-BL100,0),0)</f>
        <v>0</v>
      </c>
      <c r="BL100" s="151" t="n">
        <f aca="false">IFERROR(AC100*$G100,0)</f>
        <v>0</v>
      </c>
      <c r="BM100" s="1"/>
      <c r="BN100" s="154" t="n">
        <v>-8.27000000000001</v>
      </c>
      <c r="BO100" s="155"/>
      <c r="BP100" s="150" t="n">
        <v>-8.27000000000001</v>
      </c>
      <c r="BQ100" s="151" t="n">
        <v>0</v>
      </c>
      <c r="BR100" s="152"/>
      <c r="BS100" s="150" t="n">
        <v>0</v>
      </c>
      <c r="BT100" s="151" t="n">
        <v>0</v>
      </c>
      <c r="BU100" s="150" t="n">
        <v>0</v>
      </c>
      <c r="BV100" s="151" t="n">
        <v>0</v>
      </c>
      <c r="BW100" s="150" t="n">
        <v>0</v>
      </c>
      <c r="BX100" s="151" t="n">
        <v>0</v>
      </c>
      <c r="BY100" s="150" t="n">
        <v>0</v>
      </c>
      <c r="BZ100" s="151" t="n">
        <v>0</v>
      </c>
      <c r="CA100" s="152"/>
      <c r="CB100" s="150" t="n">
        <v>0</v>
      </c>
      <c r="CC100" s="151" t="n">
        <v>0</v>
      </c>
      <c r="CD100" s="150" t="n">
        <v>0</v>
      </c>
      <c r="CE100" s="151" t="n">
        <v>0</v>
      </c>
      <c r="CF100" s="150" t="n">
        <v>0</v>
      </c>
      <c r="CG100" s="151" t="n">
        <v>0</v>
      </c>
      <c r="CH100" s="150" t="n">
        <v>0</v>
      </c>
      <c r="CI100" s="151" t="n">
        <v>0</v>
      </c>
      <c r="CJ100" s="1"/>
      <c r="CK100" s="149"/>
      <c r="CL100" s="137"/>
      <c r="CM100" s="154" t="str">
        <f aca="false">IFERROR(+$H100-($J100+$K100*$G100),"-")</f>
        <v>-</v>
      </c>
      <c r="CN100" s="137"/>
      <c r="CO100" s="154" t="str">
        <f aca="false">IFERROR(+$H100-($M100+$N100*$G100),"-")</f>
        <v>-</v>
      </c>
      <c r="CP100" s="154" t="str">
        <f aca="false">IFERROR(+$H100-($O100+$P100*$G100),"-")</f>
        <v>-</v>
      </c>
      <c r="CQ100" s="154" t="str">
        <f aca="false">IFERROR(+$H100-($Q100+$R100*$G100),"-")</f>
        <v>-</v>
      </c>
      <c r="CR100" s="154" t="str">
        <f aca="false">IFERROR(+$H100-($Q100+$R100*$G100),"-")</f>
        <v>-</v>
      </c>
      <c r="CS100" s="137"/>
      <c r="CT100" s="154" t="str">
        <f aca="false">IFERROR(+$H100-($V100+$W100*$G100),"-")</f>
        <v>-</v>
      </c>
      <c r="CU100" s="154" t="str">
        <f aca="false">IFERROR(+$H100-($X100+$Y100*$G100),"-")</f>
        <v>-</v>
      </c>
      <c r="CV100" s="154" t="str">
        <f aca="false">IFERROR(+$H100-($Z100+$AA100*$G100),"-")</f>
        <v>-</v>
      </c>
      <c r="CW100" s="154" t="str">
        <f aca="false">IFERROR(+$H100-($AB100+$AC100*$G100),"-")</f>
        <v>-</v>
      </c>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row>
    <row r="101" s="1" customFormat="true" ht="12.75" hidden="false" customHeight="true" outlineLevel="0" collapsed="false">
      <c r="B101" s="134" t="s">
        <v>112</v>
      </c>
      <c r="C101" s="135" t="s">
        <v>177</v>
      </c>
      <c r="D101" s="136" t="e">
        <f aca="false">VLOOKUP($C101,#REF!,5,0)</f>
        <v>#VALUE!</v>
      </c>
      <c r="E101" s="157" t="e">
        <f aca="false">VLOOKUP($C101,#REF!,6,0)</f>
        <v>#VALUE!</v>
      </c>
      <c r="F101" s="135" t="e">
        <f aca="false">VLOOKUP($C101,#REF!,7,0)</f>
        <v>#VALUE!</v>
      </c>
      <c r="G101" s="135" t="e">
        <f aca="false">VLOOKUP($C101,#REF!,8,0)</f>
        <v>#VALUE!</v>
      </c>
      <c r="H101" s="158" t="e">
        <f aca="false">VLOOKUP($C101,#REF!,9,0)</f>
        <v>#VALUE!</v>
      </c>
      <c r="I101" s="137"/>
      <c r="J101" s="138" t="e">
        <f aca="false">VLOOKUP($C101,#REF!,10,0)</f>
        <v>#VALUE!</v>
      </c>
      <c r="K101" s="139" t="e">
        <f aca="false">VLOOKUP($C101,#REF!,11,0)</f>
        <v>#VALUE!</v>
      </c>
      <c r="L101" s="140"/>
      <c r="M101" s="138" t="e">
        <f aca="false">VLOOKUP($C101,#REF!,12,0)</f>
        <v>#VALUE!</v>
      </c>
      <c r="N101" s="140" t="e">
        <f aca="false">VLOOKUP($C101,#REF!,13,0)</f>
        <v>#VALUE!</v>
      </c>
      <c r="O101" s="138" t="e">
        <f aca="false">VLOOKUP($C101,#REF!,14,0)</f>
        <v>#VALUE!</v>
      </c>
      <c r="P101" s="140" t="e">
        <f aca="false">VLOOKUP($C101,#REF!,15,0)</f>
        <v>#VALUE!</v>
      </c>
      <c r="Q101" s="138" t="e">
        <f aca="false">VLOOKUP($C101,#REF!,16,0)</f>
        <v>#VALUE!</v>
      </c>
      <c r="R101" s="139" t="e">
        <f aca="false">VLOOKUP($C101,#REF!,17,0)</f>
        <v>#VALUE!</v>
      </c>
      <c r="S101" s="140" t="e">
        <f aca="false">VLOOKUP($C101,#REF!,18,0)</f>
        <v>#VALUE!</v>
      </c>
      <c r="T101" s="139" t="e">
        <f aca="false">VLOOKUP($C101,#REF!,19,0)</f>
        <v>#VALUE!</v>
      </c>
      <c r="U101" s="140"/>
      <c r="V101" s="138" t="e">
        <f aca="false">VLOOKUP($C101,#REF!,20,0)</f>
        <v>#VALUE!</v>
      </c>
      <c r="W101" s="140" t="e">
        <f aca="false">VLOOKUP($C101,#REF!,21,0)</f>
        <v>#VALUE!</v>
      </c>
      <c r="X101" s="138" t="e">
        <f aca="false">VLOOKUP($C101,#REF!,22,0)</f>
        <v>#VALUE!</v>
      </c>
      <c r="Y101" s="140" t="e">
        <f aca="false">VLOOKUP($C101,#REF!,23,0)</f>
        <v>#VALUE!</v>
      </c>
      <c r="Z101" s="138" t="e">
        <f aca="false">VLOOKUP($C101,#REF!,24,0)</f>
        <v>#VALUE!</v>
      </c>
      <c r="AA101" s="139" t="e">
        <f aca="false">VLOOKUP($C101,#REF!,25,0)</f>
        <v>#VALUE!</v>
      </c>
      <c r="AB101" s="140" t="e">
        <f aca="false">VLOOKUP($C101,#REF!,26,0)</f>
        <v>#VALUE!</v>
      </c>
      <c r="AC101" s="139" t="e">
        <f aca="false">VLOOKUP($C101,#REF!,27,0)</f>
        <v>#VALUE!</v>
      </c>
      <c r="AE101" s="138" t="e">
        <f aca="false">IF(M101="-","-","0,5 GB")</f>
        <v>#VALUE!</v>
      </c>
      <c r="AF101" s="141" t="s">
        <v>92</v>
      </c>
      <c r="AG101" s="141" t="s">
        <v>93</v>
      </c>
      <c r="AH101" s="139" t="s">
        <v>94</v>
      </c>
      <c r="AJ101" s="138" t="s">
        <v>95</v>
      </c>
      <c r="AK101" s="141" t="s">
        <v>96</v>
      </c>
      <c r="AL101" s="141" t="s">
        <v>97</v>
      </c>
      <c r="AM101" s="141" t="s">
        <v>98</v>
      </c>
      <c r="AN101" s="141" t="s">
        <v>98</v>
      </c>
      <c r="AO101" s="139" t="s">
        <v>92</v>
      </c>
      <c r="AQ101" s="142" t="n">
        <v>28</v>
      </c>
      <c r="AR101" s="137"/>
      <c r="AS101" s="138" t="n">
        <v>0</v>
      </c>
      <c r="AT101" s="139" t="n">
        <v>0</v>
      </c>
      <c r="AU101" s="140"/>
      <c r="AV101" s="138" t="n">
        <f aca="false">IFERROR(ROUND($D101-M101-AW101,0),0)</f>
        <v>0</v>
      </c>
      <c r="AW101" s="139" t="n">
        <f aca="false">IFERROR(N101*$G101,0)</f>
        <v>0</v>
      </c>
      <c r="AX101" s="138" t="n">
        <f aca="false">IFERROR(ROUND($D101-O101-AY101,0),0)</f>
        <v>0</v>
      </c>
      <c r="AY101" s="139" t="n">
        <f aca="false">IFERROR(P101*$G101,0)</f>
        <v>0</v>
      </c>
      <c r="AZ101" s="138" t="n">
        <f aca="false">IFERROR(ROUND($D101-Q101-BA101,0),0)</f>
        <v>0</v>
      </c>
      <c r="BA101" s="139" t="n">
        <f aca="false">IFERROR(R101*$G101,0)</f>
        <v>0</v>
      </c>
      <c r="BB101" s="140" t="n">
        <f aca="false">IFERROR(ROUND($D101-S101-BC101,0),0)</f>
        <v>0</v>
      </c>
      <c r="BC101" s="139" t="n">
        <f aca="false">IFERROR(T101*$G101,0)</f>
        <v>0</v>
      </c>
      <c r="BD101" s="140"/>
      <c r="BE101" s="138" t="n">
        <f aca="false">IFERROR(ROUND($D101-V101-BF101,0),0)</f>
        <v>0</v>
      </c>
      <c r="BF101" s="139" t="n">
        <f aca="false">IFERROR(W101*$G101,0)</f>
        <v>0</v>
      </c>
      <c r="BG101" s="138" t="n">
        <f aca="false">IFERROR(ROUND($D101-X101-BH101,0),0)</f>
        <v>0</v>
      </c>
      <c r="BH101" s="139" t="n">
        <f aca="false">IFERROR(Y101*$G101,0)</f>
        <v>0</v>
      </c>
      <c r="BI101" s="140" t="n">
        <f aca="false">IFERROR(ROUND($D101-Z101-BJ101,0),0)</f>
        <v>0</v>
      </c>
      <c r="BJ101" s="139" t="n">
        <f aca="false">IFERROR(AA101*$G101,0)</f>
        <v>0</v>
      </c>
      <c r="BK101" s="140" t="n">
        <f aca="false">IFERROR(ROUND($D101-AB101-BL101,0),0)</f>
        <v>0</v>
      </c>
      <c r="BL101" s="139" t="n">
        <f aca="false">IFERROR(AC101*$G101,0)</f>
        <v>0</v>
      </c>
      <c r="BN101" s="142" t="n">
        <v>-3.3</v>
      </c>
      <c r="BO101" s="137"/>
      <c r="BP101" s="138" t="n">
        <v>-3.3</v>
      </c>
      <c r="BQ101" s="139" t="n">
        <v>0</v>
      </c>
      <c r="BR101" s="140"/>
      <c r="BS101" s="138" t="n">
        <v>0</v>
      </c>
      <c r="BT101" s="139" t="n">
        <v>0</v>
      </c>
      <c r="BU101" s="138" t="n">
        <v>0</v>
      </c>
      <c r="BV101" s="139" t="n">
        <v>0</v>
      </c>
      <c r="BW101" s="138" t="n">
        <v>0</v>
      </c>
      <c r="BX101" s="139" t="n">
        <v>0</v>
      </c>
      <c r="BY101" s="138" t="n">
        <v>0</v>
      </c>
      <c r="BZ101" s="139" t="n">
        <v>0</v>
      </c>
      <c r="CA101" s="140"/>
      <c r="CB101" s="138" t="n">
        <v>0</v>
      </c>
      <c r="CC101" s="139" t="n">
        <v>0</v>
      </c>
      <c r="CD101" s="138" t="n">
        <v>0</v>
      </c>
      <c r="CE101" s="139" t="n">
        <v>0</v>
      </c>
      <c r="CF101" s="138" t="n">
        <v>0</v>
      </c>
      <c r="CG101" s="139" t="n">
        <v>0</v>
      </c>
      <c r="CH101" s="138" t="n">
        <v>0</v>
      </c>
      <c r="CI101" s="139" t="n">
        <v>0</v>
      </c>
      <c r="CK101" s="143"/>
      <c r="CL101" s="137"/>
      <c r="CM101" s="144" t="str">
        <f aca="false">IFERROR(+$H101-($J101+$K101*$G101),"-")</f>
        <v>-</v>
      </c>
      <c r="CN101" s="137"/>
      <c r="CO101" s="144" t="str">
        <f aca="false">IFERROR(+$H101-($M101+$N101*$G101),"-")</f>
        <v>-</v>
      </c>
      <c r="CP101" s="144" t="str">
        <f aca="false">IFERROR(+$H101-($O101+$P101*$G101),"-")</f>
        <v>-</v>
      </c>
      <c r="CQ101" s="144" t="str">
        <f aca="false">IFERROR(+$H101-($Q101+$R101*$G101),"-")</f>
        <v>-</v>
      </c>
      <c r="CR101" s="144" t="str">
        <f aca="false">IFERROR(+$H101-($Q101+$R101*$G101),"-")</f>
        <v>-</v>
      </c>
      <c r="CS101" s="137"/>
      <c r="CT101" s="144" t="str">
        <f aca="false">IFERROR(+$H101-($V101+$W101*$G101),"-")</f>
        <v>-</v>
      </c>
      <c r="CU101" s="144" t="str">
        <f aca="false">IFERROR(+$H101-($X101+$Y101*$G101),"-")</f>
        <v>-</v>
      </c>
      <c r="CV101" s="144" t="str">
        <f aca="false">IFERROR(+$H101-($Z101+$AA101*$G101),"-")</f>
        <v>-</v>
      </c>
      <c r="CW101" s="144" t="str">
        <f aca="false">IFERROR(+$H101-($AB101+$AC101*$G101),"-")</f>
        <v>-</v>
      </c>
    </row>
    <row r="102" s="156" customFormat="true" ht="12.75" hidden="false" customHeight="true" outlineLevel="0" collapsed="false">
      <c r="A102" s="1"/>
      <c r="B102" s="145" t="s">
        <v>112</v>
      </c>
      <c r="C102" s="146" t="s">
        <v>178</v>
      </c>
      <c r="D102" s="147" t="e">
        <f aca="false">VLOOKUP($C102,#REF!,5,0)</f>
        <v>#VALUE!</v>
      </c>
      <c r="E102" s="148" t="e">
        <f aca="false">VLOOKUP($C102,#REF!,6,0)</f>
        <v>#VALUE!</v>
      </c>
      <c r="F102" s="146" t="e">
        <f aca="false">VLOOKUP($C102,#REF!,7,0)</f>
        <v>#VALUE!</v>
      </c>
      <c r="G102" s="146" t="e">
        <f aca="false">VLOOKUP($C102,#REF!,8,0)</f>
        <v>#VALUE!</v>
      </c>
      <c r="H102" s="149" t="e">
        <f aca="false">VLOOKUP($C102,#REF!,9,0)</f>
        <v>#VALUE!</v>
      </c>
      <c r="I102" s="137"/>
      <c r="J102" s="150" t="e">
        <f aca="false">VLOOKUP($C102,#REF!,10,0)</f>
        <v>#VALUE!</v>
      </c>
      <c r="K102" s="151" t="e">
        <f aca="false">VLOOKUP($C102,#REF!,11,0)</f>
        <v>#VALUE!</v>
      </c>
      <c r="L102" s="140"/>
      <c r="M102" s="150" t="e">
        <f aca="false">VLOOKUP($C102,#REF!,12,0)</f>
        <v>#VALUE!</v>
      </c>
      <c r="N102" s="152" t="e">
        <f aca="false">VLOOKUP($C102,#REF!,13,0)</f>
        <v>#VALUE!</v>
      </c>
      <c r="O102" s="150" t="e">
        <f aca="false">VLOOKUP($C102,#REF!,14,0)</f>
        <v>#VALUE!</v>
      </c>
      <c r="P102" s="152" t="e">
        <f aca="false">VLOOKUP($C102,#REF!,15,0)</f>
        <v>#VALUE!</v>
      </c>
      <c r="Q102" s="150" t="e">
        <f aca="false">VLOOKUP($C102,#REF!,16,0)</f>
        <v>#VALUE!</v>
      </c>
      <c r="R102" s="151" t="e">
        <f aca="false">VLOOKUP($C102,#REF!,17,0)</f>
        <v>#VALUE!</v>
      </c>
      <c r="S102" s="152" t="e">
        <f aca="false">VLOOKUP($C102,#REF!,18,0)</f>
        <v>#VALUE!</v>
      </c>
      <c r="T102" s="151" t="e">
        <f aca="false">VLOOKUP($C102,#REF!,19,0)</f>
        <v>#VALUE!</v>
      </c>
      <c r="U102" s="140"/>
      <c r="V102" s="150" t="e">
        <f aca="false">VLOOKUP($C102,#REF!,20,0)</f>
        <v>#VALUE!</v>
      </c>
      <c r="W102" s="152" t="e">
        <f aca="false">VLOOKUP($C102,#REF!,21,0)</f>
        <v>#VALUE!</v>
      </c>
      <c r="X102" s="150" t="e">
        <f aca="false">VLOOKUP($C102,#REF!,22,0)</f>
        <v>#VALUE!</v>
      </c>
      <c r="Y102" s="152" t="e">
        <f aca="false">VLOOKUP($C102,#REF!,23,0)</f>
        <v>#VALUE!</v>
      </c>
      <c r="Z102" s="150" t="e">
        <f aca="false">VLOOKUP($C102,#REF!,24,0)</f>
        <v>#VALUE!</v>
      </c>
      <c r="AA102" s="151" t="e">
        <f aca="false">VLOOKUP($C102,#REF!,25,0)</f>
        <v>#VALUE!</v>
      </c>
      <c r="AB102" s="152" t="e">
        <f aca="false">VLOOKUP($C102,#REF!,26,0)</f>
        <v>#VALUE!</v>
      </c>
      <c r="AC102" s="151" t="e">
        <f aca="false">VLOOKUP($C102,#REF!,27,0)</f>
        <v>#VALUE!</v>
      </c>
      <c r="AD102" s="1"/>
      <c r="AE102" s="150" t="e">
        <f aca="false">IF(M102="-","-","0,5 GB")</f>
        <v>#VALUE!</v>
      </c>
      <c r="AF102" s="153" t="s">
        <v>92</v>
      </c>
      <c r="AG102" s="153" t="s">
        <v>93</v>
      </c>
      <c r="AH102" s="151" t="s">
        <v>94</v>
      </c>
      <c r="AI102" s="1"/>
      <c r="AJ102" s="150" t="s">
        <v>95</v>
      </c>
      <c r="AK102" s="153" t="s">
        <v>96</v>
      </c>
      <c r="AL102" s="153" t="s">
        <v>97</v>
      </c>
      <c r="AM102" s="153" t="s">
        <v>98</v>
      </c>
      <c r="AN102" s="153" t="s">
        <v>98</v>
      </c>
      <c r="AO102" s="151" t="s">
        <v>92</v>
      </c>
      <c r="AP102" s="1"/>
      <c r="AQ102" s="154" t="n">
        <v>26</v>
      </c>
      <c r="AR102" s="137"/>
      <c r="AS102" s="150" t="n">
        <v>0</v>
      </c>
      <c r="AT102" s="151" t="n">
        <v>0</v>
      </c>
      <c r="AU102" s="140"/>
      <c r="AV102" s="150" t="n">
        <f aca="false">IFERROR(ROUND($D102-M102-AW102,0),0)</f>
        <v>0</v>
      </c>
      <c r="AW102" s="151" t="n">
        <f aca="false">IFERROR(N102*$G102,0)</f>
        <v>0</v>
      </c>
      <c r="AX102" s="150" t="n">
        <f aca="false">IFERROR(ROUND($D102-O102-AY102,0),0)</f>
        <v>0</v>
      </c>
      <c r="AY102" s="151" t="n">
        <f aca="false">IFERROR(P102*$G102,0)</f>
        <v>0</v>
      </c>
      <c r="AZ102" s="150" t="n">
        <f aca="false">IFERROR(ROUND($D102-Q102-BA102,0),0)</f>
        <v>0</v>
      </c>
      <c r="BA102" s="151" t="n">
        <f aca="false">IFERROR(R102*$G102,0)</f>
        <v>0</v>
      </c>
      <c r="BB102" s="152" t="n">
        <f aca="false">IFERROR(ROUND($D102-S102-BC102,0),0)</f>
        <v>0</v>
      </c>
      <c r="BC102" s="151" t="n">
        <f aca="false">IFERROR(T102*$G102,0)</f>
        <v>0</v>
      </c>
      <c r="BD102" s="140"/>
      <c r="BE102" s="150" t="n">
        <f aca="false">IFERROR(ROUND($D102-V102-BF102,0),0)</f>
        <v>0</v>
      </c>
      <c r="BF102" s="151" t="n">
        <f aca="false">IFERROR(W102*$G102,0)</f>
        <v>0</v>
      </c>
      <c r="BG102" s="150" t="n">
        <f aca="false">IFERROR(ROUND($D102-X102-BH102,0),0)</f>
        <v>0</v>
      </c>
      <c r="BH102" s="151" t="n">
        <f aca="false">IFERROR(Y102*$G102,0)</f>
        <v>0</v>
      </c>
      <c r="BI102" s="152" t="n">
        <f aca="false">IFERROR(ROUND($D102-Z102-BJ102,0),0)</f>
        <v>0</v>
      </c>
      <c r="BJ102" s="151" t="n">
        <f aca="false">IFERROR(AA102*$G102,0)</f>
        <v>0</v>
      </c>
      <c r="BK102" s="152" t="n">
        <f aca="false">IFERROR(ROUND($D102-AB102-BL102,0),0)</f>
        <v>0</v>
      </c>
      <c r="BL102" s="151" t="n">
        <f aca="false">IFERROR(AC102*$G102,0)</f>
        <v>0</v>
      </c>
      <c r="BM102" s="1"/>
      <c r="BN102" s="154" t="n">
        <v>0</v>
      </c>
      <c r="BO102" s="155"/>
      <c r="BP102" s="150" t="n">
        <v>0</v>
      </c>
      <c r="BQ102" s="151" t="n">
        <v>0</v>
      </c>
      <c r="BR102" s="152"/>
      <c r="BS102" s="150" t="n">
        <v>0</v>
      </c>
      <c r="BT102" s="151" t="n">
        <v>0</v>
      </c>
      <c r="BU102" s="150" t="n">
        <v>0</v>
      </c>
      <c r="BV102" s="151" t="n">
        <v>0</v>
      </c>
      <c r="BW102" s="150" t="n">
        <v>0</v>
      </c>
      <c r="BX102" s="151" t="n">
        <v>0</v>
      </c>
      <c r="BY102" s="150" t="n">
        <v>0</v>
      </c>
      <c r="BZ102" s="151" t="n">
        <v>0</v>
      </c>
      <c r="CA102" s="152"/>
      <c r="CB102" s="150" t="n">
        <v>0</v>
      </c>
      <c r="CC102" s="151" t="n">
        <v>0</v>
      </c>
      <c r="CD102" s="150" t="n">
        <v>0</v>
      </c>
      <c r="CE102" s="151" t="n">
        <v>0</v>
      </c>
      <c r="CF102" s="150" t="n">
        <v>0</v>
      </c>
      <c r="CG102" s="151" t="n">
        <v>0</v>
      </c>
      <c r="CH102" s="150" t="n">
        <v>0</v>
      </c>
      <c r="CI102" s="151" t="n">
        <v>0</v>
      </c>
      <c r="CJ102" s="1"/>
      <c r="CK102" s="149"/>
      <c r="CL102" s="137"/>
      <c r="CM102" s="154" t="str">
        <f aca="false">IFERROR(+$H102-($J102+$K102*$G102),"-")</f>
        <v>-</v>
      </c>
      <c r="CN102" s="137"/>
      <c r="CO102" s="154" t="str">
        <f aca="false">IFERROR(+$H102-($M102+$N102*$G102),"-")</f>
        <v>-</v>
      </c>
      <c r="CP102" s="154" t="str">
        <f aca="false">IFERROR(+$H102-($O102+$P102*$G102),"-")</f>
        <v>-</v>
      </c>
      <c r="CQ102" s="154" t="str">
        <f aca="false">IFERROR(+$H102-($Q102+$R102*$G102),"-")</f>
        <v>-</v>
      </c>
      <c r="CR102" s="154" t="str">
        <f aca="false">IFERROR(+$H102-($Q102+$R102*$G102),"-")</f>
        <v>-</v>
      </c>
      <c r="CS102" s="137"/>
      <c r="CT102" s="154" t="str">
        <f aca="false">IFERROR(+$H102-($V102+$W102*$G102),"-")</f>
        <v>-</v>
      </c>
      <c r="CU102" s="154" t="str">
        <f aca="false">IFERROR(+$H102-($X102+$Y102*$G102),"-")</f>
        <v>-</v>
      </c>
      <c r="CV102" s="154" t="str">
        <f aca="false">IFERROR(+$H102-($Z102+$AA102*$G102),"-")</f>
        <v>-</v>
      </c>
      <c r="CW102" s="154" t="str">
        <f aca="false">IFERROR(+$H102-($AB102+$AC102*$G102),"-")</f>
        <v>-</v>
      </c>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row>
    <row r="103" s="1" customFormat="true" ht="12.75" hidden="false" customHeight="true" outlineLevel="0" collapsed="false">
      <c r="B103" s="134" t="s">
        <v>112</v>
      </c>
      <c r="C103" s="135" t="s">
        <v>179</v>
      </c>
      <c r="D103" s="136" t="e">
        <f aca="false">VLOOKUP($C103,#REF!,5,0)</f>
        <v>#VALUE!</v>
      </c>
      <c r="E103" s="157" t="e">
        <f aca="false">VLOOKUP($C103,#REF!,6,0)</f>
        <v>#VALUE!</v>
      </c>
      <c r="F103" s="135" t="e">
        <f aca="false">VLOOKUP($C103,#REF!,7,0)</f>
        <v>#VALUE!</v>
      </c>
      <c r="G103" s="135" t="e">
        <f aca="false">VLOOKUP($C103,#REF!,8,0)</f>
        <v>#VALUE!</v>
      </c>
      <c r="H103" s="158" t="e">
        <f aca="false">VLOOKUP($C103,#REF!,9,0)</f>
        <v>#VALUE!</v>
      </c>
      <c r="I103" s="137"/>
      <c r="J103" s="138" t="e">
        <f aca="false">VLOOKUP($C103,#REF!,10,0)</f>
        <v>#VALUE!</v>
      </c>
      <c r="K103" s="139" t="e">
        <f aca="false">VLOOKUP($C103,#REF!,11,0)</f>
        <v>#VALUE!</v>
      </c>
      <c r="L103" s="140"/>
      <c r="M103" s="138" t="e">
        <f aca="false">VLOOKUP($C103,#REF!,12,0)</f>
        <v>#VALUE!</v>
      </c>
      <c r="N103" s="140" t="e">
        <f aca="false">VLOOKUP($C103,#REF!,13,0)</f>
        <v>#VALUE!</v>
      </c>
      <c r="O103" s="138" t="e">
        <f aca="false">VLOOKUP($C103,#REF!,14,0)</f>
        <v>#VALUE!</v>
      </c>
      <c r="P103" s="140" t="e">
        <f aca="false">VLOOKUP($C103,#REF!,15,0)</f>
        <v>#VALUE!</v>
      </c>
      <c r="Q103" s="138" t="e">
        <f aca="false">VLOOKUP($C103,#REF!,16,0)</f>
        <v>#VALUE!</v>
      </c>
      <c r="R103" s="139" t="e">
        <f aca="false">VLOOKUP($C103,#REF!,17,0)</f>
        <v>#VALUE!</v>
      </c>
      <c r="S103" s="140" t="e">
        <f aca="false">VLOOKUP($C103,#REF!,18,0)</f>
        <v>#VALUE!</v>
      </c>
      <c r="T103" s="139" t="e">
        <f aca="false">VLOOKUP($C103,#REF!,19,0)</f>
        <v>#VALUE!</v>
      </c>
      <c r="U103" s="140"/>
      <c r="V103" s="138" t="e">
        <f aca="false">VLOOKUP($C103,#REF!,20,0)</f>
        <v>#VALUE!</v>
      </c>
      <c r="W103" s="140" t="e">
        <f aca="false">VLOOKUP($C103,#REF!,21,0)</f>
        <v>#VALUE!</v>
      </c>
      <c r="X103" s="138" t="e">
        <f aca="false">VLOOKUP($C103,#REF!,22,0)</f>
        <v>#VALUE!</v>
      </c>
      <c r="Y103" s="140" t="e">
        <f aca="false">VLOOKUP($C103,#REF!,23,0)</f>
        <v>#VALUE!</v>
      </c>
      <c r="Z103" s="138" t="e">
        <f aca="false">VLOOKUP($C103,#REF!,24,0)</f>
        <v>#VALUE!</v>
      </c>
      <c r="AA103" s="139" t="e">
        <f aca="false">VLOOKUP($C103,#REF!,25,0)</f>
        <v>#VALUE!</v>
      </c>
      <c r="AB103" s="140" t="e">
        <f aca="false">VLOOKUP($C103,#REF!,26,0)</f>
        <v>#VALUE!</v>
      </c>
      <c r="AC103" s="139" t="e">
        <f aca="false">VLOOKUP($C103,#REF!,27,0)</f>
        <v>#VALUE!</v>
      </c>
      <c r="AE103" s="138" t="e">
        <f aca="false">IF(M103="-","-","0,5 GB")</f>
        <v>#VALUE!</v>
      </c>
      <c r="AF103" s="141" t="s">
        <v>92</v>
      </c>
      <c r="AG103" s="141" t="s">
        <v>93</v>
      </c>
      <c r="AH103" s="139" t="s">
        <v>94</v>
      </c>
      <c r="AJ103" s="138" t="s">
        <v>95</v>
      </c>
      <c r="AK103" s="141" t="s">
        <v>96</v>
      </c>
      <c r="AL103" s="141" t="s">
        <v>97</v>
      </c>
      <c r="AM103" s="141" t="s">
        <v>98</v>
      </c>
      <c r="AN103" s="141" t="s">
        <v>98</v>
      </c>
      <c r="AO103" s="139" t="s">
        <v>92</v>
      </c>
      <c r="AQ103" s="142" t="n">
        <v>29</v>
      </c>
      <c r="AR103" s="137"/>
      <c r="AS103" s="138" t="n">
        <v>0</v>
      </c>
      <c r="AT103" s="139" t="n">
        <v>0</v>
      </c>
      <c r="AU103" s="140"/>
      <c r="AV103" s="138" t="n">
        <f aca="false">IFERROR(ROUND($D103-M103-AW103,0),0)</f>
        <v>0</v>
      </c>
      <c r="AW103" s="139" t="n">
        <f aca="false">IFERROR(N103*$G103,0)</f>
        <v>0</v>
      </c>
      <c r="AX103" s="138" t="n">
        <f aca="false">IFERROR(ROUND($D103-O103-AY103,0),0)</f>
        <v>0</v>
      </c>
      <c r="AY103" s="139" t="n">
        <f aca="false">IFERROR(P103*$G103,0)</f>
        <v>0</v>
      </c>
      <c r="AZ103" s="138" t="n">
        <f aca="false">IFERROR(ROUND($D103-Q103-BA103,0),0)</f>
        <v>0</v>
      </c>
      <c r="BA103" s="139" t="n">
        <f aca="false">IFERROR(R103*$G103,0)</f>
        <v>0</v>
      </c>
      <c r="BB103" s="140" t="n">
        <f aca="false">IFERROR(ROUND($D103-S103-BC103,0),0)</f>
        <v>0</v>
      </c>
      <c r="BC103" s="139" t="n">
        <f aca="false">IFERROR(T103*$G103,0)</f>
        <v>0</v>
      </c>
      <c r="BD103" s="140"/>
      <c r="BE103" s="138" t="n">
        <f aca="false">IFERROR(ROUND($D103-V103-BF103,0),0)</f>
        <v>0</v>
      </c>
      <c r="BF103" s="139" t="n">
        <f aca="false">IFERROR(W103*$G103,0)</f>
        <v>0</v>
      </c>
      <c r="BG103" s="138" t="n">
        <f aca="false">IFERROR(ROUND($D103-X103-BH103,0),0)</f>
        <v>0</v>
      </c>
      <c r="BH103" s="139" t="n">
        <f aca="false">IFERROR(Y103*$G103,0)</f>
        <v>0</v>
      </c>
      <c r="BI103" s="140" t="n">
        <f aca="false">IFERROR(ROUND($D103-Z103-BJ103,0),0)</f>
        <v>0</v>
      </c>
      <c r="BJ103" s="139" t="n">
        <f aca="false">IFERROR(AA103*$G103,0)</f>
        <v>0</v>
      </c>
      <c r="BK103" s="140" t="n">
        <f aca="false">IFERROR(ROUND($D103-AB103-BL103,0),0)</f>
        <v>0</v>
      </c>
      <c r="BL103" s="139" t="n">
        <f aca="false">IFERROR(AC103*$G103,0)</f>
        <v>0</v>
      </c>
      <c r="BN103" s="142" t="n">
        <v>-3.30999999999997</v>
      </c>
      <c r="BO103" s="137"/>
      <c r="BP103" s="138" t="n">
        <v>-3.30999999999997</v>
      </c>
      <c r="BQ103" s="139" t="n">
        <v>0</v>
      </c>
      <c r="BR103" s="140"/>
      <c r="BS103" s="138" t="n">
        <v>0</v>
      </c>
      <c r="BT103" s="139" t="n">
        <v>0</v>
      </c>
      <c r="BU103" s="138" t="n">
        <v>0</v>
      </c>
      <c r="BV103" s="139" t="n">
        <v>0</v>
      </c>
      <c r="BW103" s="138" t="n">
        <v>0</v>
      </c>
      <c r="BX103" s="139" t="n">
        <v>0</v>
      </c>
      <c r="BY103" s="138" t="n">
        <v>0</v>
      </c>
      <c r="BZ103" s="139" t="n">
        <v>0</v>
      </c>
      <c r="CA103" s="140"/>
      <c r="CB103" s="138" t="n">
        <v>0</v>
      </c>
      <c r="CC103" s="139" t="n">
        <v>0</v>
      </c>
      <c r="CD103" s="138" t="n">
        <v>0</v>
      </c>
      <c r="CE103" s="139" t="n">
        <v>0</v>
      </c>
      <c r="CF103" s="138" t="n">
        <v>0</v>
      </c>
      <c r="CG103" s="139" t="n">
        <v>0</v>
      </c>
      <c r="CH103" s="138" t="n">
        <v>0</v>
      </c>
      <c r="CI103" s="139" t="n">
        <v>0</v>
      </c>
      <c r="CK103" s="143"/>
      <c r="CL103" s="137"/>
      <c r="CM103" s="144" t="str">
        <f aca="false">IFERROR(+$H103-($J103+$K103*$G103),"-")</f>
        <v>-</v>
      </c>
      <c r="CN103" s="137"/>
      <c r="CO103" s="144" t="str">
        <f aca="false">IFERROR(+$H103-($M103+$N103*$G103),"-")</f>
        <v>-</v>
      </c>
      <c r="CP103" s="144" t="str">
        <f aca="false">IFERROR(+$H103-($O103+$P103*$G103),"-")</f>
        <v>-</v>
      </c>
      <c r="CQ103" s="144" t="str">
        <f aca="false">IFERROR(+$H103-($Q103+$R103*$G103),"-")</f>
        <v>-</v>
      </c>
      <c r="CR103" s="144" t="str">
        <f aca="false">IFERROR(+$H103-($Q103+$R103*$G103),"-")</f>
        <v>-</v>
      </c>
      <c r="CS103" s="137"/>
      <c r="CT103" s="144" t="str">
        <f aca="false">IFERROR(+$H103-($V103+$W103*$G103),"-")</f>
        <v>-</v>
      </c>
      <c r="CU103" s="144" t="str">
        <f aca="false">IFERROR(+$H103-($X103+$Y103*$G103),"-")</f>
        <v>-</v>
      </c>
      <c r="CV103" s="144" t="str">
        <f aca="false">IFERROR(+$H103-($Z103+$AA103*$G103),"-")</f>
        <v>-</v>
      </c>
      <c r="CW103" s="144" t="str">
        <f aca="false">IFERROR(+$H103-($AB103+$AC103*$G103),"-")</f>
        <v>-</v>
      </c>
    </row>
    <row r="104" s="156" customFormat="true" ht="12.75" hidden="false" customHeight="true" outlineLevel="0" collapsed="false">
      <c r="A104" s="1"/>
      <c r="B104" s="145" t="s">
        <v>112</v>
      </c>
      <c r="C104" s="146" t="s">
        <v>180</v>
      </c>
      <c r="D104" s="147" t="e">
        <f aca="false">VLOOKUP($C104,#REF!,5,0)</f>
        <v>#VALUE!</v>
      </c>
      <c r="E104" s="148" t="e">
        <f aca="false">VLOOKUP($C104,#REF!,6,0)</f>
        <v>#VALUE!</v>
      </c>
      <c r="F104" s="146" t="e">
        <f aca="false">VLOOKUP($C104,#REF!,7,0)</f>
        <v>#VALUE!</v>
      </c>
      <c r="G104" s="146" t="e">
        <f aca="false">VLOOKUP($C104,#REF!,8,0)</f>
        <v>#VALUE!</v>
      </c>
      <c r="H104" s="149" t="e">
        <f aca="false">VLOOKUP($C104,#REF!,9,0)</f>
        <v>#VALUE!</v>
      </c>
      <c r="I104" s="137"/>
      <c r="J104" s="150" t="e">
        <f aca="false">VLOOKUP($C104,#REF!,10,0)</f>
        <v>#VALUE!</v>
      </c>
      <c r="K104" s="151" t="e">
        <f aca="false">VLOOKUP($C104,#REF!,11,0)</f>
        <v>#VALUE!</v>
      </c>
      <c r="L104" s="140"/>
      <c r="M104" s="150" t="e">
        <f aca="false">VLOOKUP($C104,#REF!,12,0)</f>
        <v>#VALUE!</v>
      </c>
      <c r="N104" s="152" t="e">
        <f aca="false">VLOOKUP($C104,#REF!,13,0)</f>
        <v>#VALUE!</v>
      </c>
      <c r="O104" s="150" t="e">
        <f aca="false">VLOOKUP($C104,#REF!,14,0)</f>
        <v>#VALUE!</v>
      </c>
      <c r="P104" s="152" t="e">
        <f aca="false">VLOOKUP($C104,#REF!,15,0)</f>
        <v>#VALUE!</v>
      </c>
      <c r="Q104" s="150" t="e">
        <f aca="false">VLOOKUP($C104,#REF!,16,0)</f>
        <v>#VALUE!</v>
      </c>
      <c r="R104" s="151" t="e">
        <f aca="false">VLOOKUP($C104,#REF!,17,0)</f>
        <v>#VALUE!</v>
      </c>
      <c r="S104" s="152" t="e">
        <f aca="false">VLOOKUP($C104,#REF!,18,0)</f>
        <v>#VALUE!</v>
      </c>
      <c r="T104" s="151" t="e">
        <f aca="false">VLOOKUP($C104,#REF!,19,0)</f>
        <v>#VALUE!</v>
      </c>
      <c r="U104" s="140"/>
      <c r="V104" s="150" t="e">
        <f aca="false">VLOOKUP($C104,#REF!,20,0)</f>
        <v>#VALUE!</v>
      </c>
      <c r="W104" s="152" t="e">
        <f aca="false">VLOOKUP($C104,#REF!,21,0)</f>
        <v>#VALUE!</v>
      </c>
      <c r="X104" s="150" t="e">
        <f aca="false">VLOOKUP($C104,#REF!,22,0)</f>
        <v>#VALUE!</v>
      </c>
      <c r="Y104" s="152" t="e">
        <f aca="false">VLOOKUP($C104,#REF!,23,0)</f>
        <v>#VALUE!</v>
      </c>
      <c r="Z104" s="150" t="e">
        <f aca="false">VLOOKUP($C104,#REF!,24,0)</f>
        <v>#VALUE!</v>
      </c>
      <c r="AA104" s="151" t="e">
        <f aca="false">VLOOKUP($C104,#REF!,25,0)</f>
        <v>#VALUE!</v>
      </c>
      <c r="AB104" s="152" t="e">
        <f aca="false">VLOOKUP($C104,#REF!,26,0)</f>
        <v>#VALUE!</v>
      </c>
      <c r="AC104" s="151" t="e">
        <f aca="false">VLOOKUP($C104,#REF!,27,0)</f>
        <v>#VALUE!</v>
      </c>
      <c r="AD104" s="1"/>
      <c r="AE104" s="150" t="e">
        <f aca="false">IF(M104="-","-","0,5 GB")</f>
        <v>#VALUE!</v>
      </c>
      <c r="AF104" s="153" t="s">
        <v>92</v>
      </c>
      <c r="AG104" s="153" t="s">
        <v>93</v>
      </c>
      <c r="AH104" s="151" t="s">
        <v>94</v>
      </c>
      <c r="AI104" s="1"/>
      <c r="AJ104" s="150" t="s">
        <v>95</v>
      </c>
      <c r="AK104" s="153" t="s">
        <v>96</v>
      </c>
      <c r="AL104" s="153" t="s">
        <v>97</v>
      </c>
      <c r="AM104" s="153" t="s">
        <v>98</v>
      </c>
      <c r="AN104" s="153" t="s">
        <v>98</v>
      </c>
      <c r="AO104" s="151" t="s">
        <v>92</v>
      </c>
      <c r="AP104" s="1"/>
      <c r="AQ104" s="154" t="n">
        <v>49</v>
      </c>
      <c r="AR104" s="137"/>
      <c r="AS104" s="150" t="n">
        <v>0</v>
      </c>
      <c r="AT104" s="151" t="n">
        <v>0</v>
      </c>
      <c r="AU104" s="140"/>
      <c r="AV104" s="150" t="n">
        <f aca="false">IFERROR(ROUND($D104-M104-AW104,0),0)</f>
        <v>0</v>
      </c>
      <c r="AW104" s="151" t="n">
        <f aca="false">IFERROR(N104*$G104,0)</f>
        <v>0</v>
      </c>
      <c r="AX104" s="150" t="n">
        <f aca="false">IFERROR(ROUND($D104-O104-AY104,0),0)</f>
        <v>0</v>
      </c>
      <c r="AY104" s="151" t="n">
        <f aca="false">IFERROR(P104*$G104,0)</f>
        <v>0</v>
      </c>
      <c r="AZ104" s="150" t="n">
        <f aca="false">IFERROR(ROUND($D104-Q104-BA104,0),0)</f>
        <v>0</v>
      </c>
      <c r="BA104" s="151" t="n">
        <f aca="false">IFERROR(R104*$G104,0)</f>
        <v>0</v>
      </c>
      <c r="BB104" s="152" t="n">
        <f aca="false">IFERROR(ROUND($D104-S104-BC104,0),0)</f>
        <v>0</v>
      </c>
      <c r="BC104" s="151" t="n">
        <f aca="false">IFERROR(T104*$G104,0)</f>
        <v>0</v>
      </c>
      <c r="BD104" s="140"/>
      <c r="BE104" s="150" t="n">
        <f aca="false">IFERROR(ROUND($D104-V104-BF104,0),0)</f>
        <v>0</v>
      </c>
      <c r="BF104" s="151" t="n">
        <f aca="false">IFERROR(W104*$G104,0)</f>
        <v>0</v>
      </c>
      <c r="BG104" s="150" t="n">
        <f aca="false">IFERROR(ROUND($D104-X104-BH104,0),0)</f>
        <v>0</v>
      </c>
      <c r="BH104" s="151" t="n">
        <f aca="false">IFERROR(Y104*$G104,0)</f>
        <v>0</v>
      </c>
      <c r="BI104" s="152" t="n">
        <f aca="false">IFERROR(ROUND($D104-Z104-BJ104,0),0)</f>
        <v>0</v>
      </c>
      <c r="BJ104" s="151" t="n">
        <f aca="false">IFERROR(AA104*$G104,0)</f>
        <v>0</v>
      </c>
      <c r="BK104" s="152" t="n">
        <f aca="false">IFERROR(ROUND($D104-AB104-BL104,0),0)</f>
        <v>0</v>
      </c>
      <c r="BL104" s="151" t="n">
        <f aca="false">IFERROR(AC104*$G104,0)</f>
        <v>0</v>
      </c>
      <c r="BM104" s="1"/>
      <c r="BN104" s="154" t="n">
        <v>-16.53</v>
      </c>
      <c r="BO104" s="155"/>
      <c r="BP104" s="150" t="n">
        <v>-16.53</v>
      </c>
      <c r="BQ104" s="151" t="n">
        <v>0</v>
      </c>
      <c r="BR104" s="152"/>
      <c r="BS104" s="150" t="n">
        <v>0</v>
      </c>
      <c r="BT104" s="151" t="n">
        <v>0</v>
      </c>
      <c r="BU104" s="150" t="n">
        <v>0</v>
      </c>
      <c r="BV104" s="151" t="n">
        <v>0</v>
      </c>
      <c r="BW104" s="150" t="n">
        <v>0</v>
      </c>
      <c r="BX104" s="151" t="n">
        <v>0</v>
      </c>
      <c r="BY104" s="150" t="n">
        <v>0</v>
      </c>
      <c r="BZ104" s="151" t="n">
        <v>0</v>
      </c>
      <c r="CA104" s="152"/>
      <c r="CB104" s="150" t="n">
        <v>0</v>
      </c>
      <c r="CC104" s="151" t="n">
        <v>0</v>
      </c>
      <c r="CD104" s="150" t="n">
        <v>0</v>
      </c>
      <c r="CE104" s="151" t="n">
        <v>0</v>
      </c>
      <c r="CF104" s="150" t="n">
        <v>0</v>
      </c>
      <c r="CG104" s="151" t="n">
        <v>0</v>
      </c>
      <c r="CH104" s="150" t="n">
        <v>0</v>
      </c>
      <c r="CI104" s="151" t="n">
        <v>0</v>
      </c>
      <c r="CJ104" s="1"/>
      <c r="CK104" s="149"/>
      <c r="CL104" s="137"/>
      <c r="CM104" s="154" t="str">
        <f aca="false">IFERROR(+$H104-($J104+$K104*$G104),"-")</f>
        <v>-</v>
      </c>
      <c r="CN104" s="137"/>
      <c r="CO104" s="154" t="str">
        <f aca="false">IFERROR(+$H104-($M104+$N104*$G104),"-")</f>
        <v>-</v>
      </c>
      <c r="CP104" s="154" t="str">
        <f aca="false">IFERROR(+$H104-($O104+$P104*$G104),"-")</f>
        <v>-</v>
      </c>
      <c r="CQ104" s="154" t="str">
        <f aca="false">IFERROR(+$H104-($Q104+$R104*$G104),"-")</f>
        <v>-</v>
      </c>
      <c r="CR104" s="154" t="str">
        <f aca="false">IFERROR(+$H104-($Q104+$R104*$G104),"-")</f>
        <v>-</v>
      </c>
      <c r="CS104" s="137"/>
      <c r="CT104" s="154" t="str">
        <f aca="false">IFERROR(+$H104-($V104+$W104*$G104),"-")</f>
        <v>-</v>
      </c>
      <c r="CU104" s="154" t="str">
        <f aca="false">IFERROR(+$H104-($X104+$Y104*$G104),"-")</f>
        <v>-</v>
      </c>
      <c r="CV104" s="154" t="str">
        <f aca="false">IFERROR(+$H104-($Z104+$AA104*$G104),"-")</f>
        <v>-</v>
      </c>
      <c r="CW104" s="154" t="str">
        <f aca="false">IFERROR(+$H104-($AB104+$AC104*$G104),"-")</f>
        <v>-</v>
      </c>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row>
    <row r="105" s="1" customFormat="true" ht="12.75" hidden="false" customHeight="true" outlineLevel="0" collapsed="false">
      <c r="B105" s="134" t="s">
        <v>112</v>
      </c>
      <c r="C105" s="135" t="s">
        <v>181</v>
      </c>
      <c r="D105" s="136" t="e">
        <f aca="false">VLOOKUP($C105,#REF!,5,0)</f>
        <v>#VALUE!</v>
      </c>
      <c r="E105" s="157" t="e">
        <f aca="false">VLOOKUP($C105,#REF!,6,0)</f>
        <v>#VALUE!</v>
      </c>
      <c r="F105" s="135" t="e">
        <f aca="false">VLOOKUP($C105,#REF!,7,0)</f>
        <v>#VALUE!</v>
      </c>
      <c r="G105" s="135" t="e">
        <f aca="false">VLOOKUP($C105,#REF!,8,0)</f>
        <v>#VALUE!</v>
      </c>
      <c r="H105" s="158" t="e">
        <f aca="false">VLOOKUP($C105,#REF!,9,0)</f>
        <v>#VALUE!</v>
      </c>
      <c r="I105" s="137"/>
      <c r="J105" s="138" t="e">
        <f aca="false">VLOOKUP($C105,#REF!,10,0)</f>
        <v>#VALUE!</v>
      </c>
      <c r="K105" s="139" t="e">
        <f aca="false">VLOOKUP($C105,#REF!,11,0)</f>
        <v>#VALUE!</v>
      </c>
      <c r="L105" s="140"/>
      <c r="M105" s="138" t="e">
        <f aca="false">VLOOKUP($C105,#REF!,12,0)</f>
        <v>#VALUE!</v>
      </c>
      <c r="N105" s="140" t="e">
        <f aca="false">VLOOKUP($C105,#REF!,13,0)</f>
        <v>#VALUE!</v>
      </c>
      <c r="O105" s="138" t="e">
        <f aca="false">VLOOKUP($C105,#REF!,14,0)</f>
        <v>#VALUE!</v>
      </c>
      <c r="P105" s="140" t="e">
        <f aca="false">VLOOKUP($C105,#REF!,15,0)</f>
        <v>#VALUE!</v>
      </c>
      <c r="Q105" s="138" t="e">
        <f aca="false">VLOOKUP($C105,#REF!,16,0)</f>
        <v>#VALUE!</v>
      </c>
      <c r="R105" s="139" t="e">
        <f aca="false">VLOOKUP($C105,#REF!,17,0)</f>
        <v>#VALUE!</v>
      </c>
      <c r="S105" s="140" t="e">
        <f aca="false">VLOOKUP($C105,#REF!,18,0)</f>
        <v>#VALUE!</v>
      </c>
      <c r="T105" s="139" t="e">
        <f aca="false">VLOOKUP($C105,#REF!,19,0)</f>
        <v>#VALUE!</v>
      </c>
      <c r="U105" s="140"/>
      <c r="V105" s="138" t="e">
        <f aca="false">VLOOKUP($C105,#REF!,20,0)</f>
        <v>#VALUE!</v>
      </c>
      <c r="W105" s="140" t="e">
        <f aca="false">VLOOKUP($C105,#REF!,21,0)</f>
        <v>#VALUE!</v>
      </c>
      <c r="X105" s="138" t="e">
        <f aca="false">VLOOKUP($C105,#REF!,22,0)</f>
        <v>#VALUE!</v>
      </c>
      <c r="Y105" s="140" t="e">
        <f aca="false">VLOOKUP($C105,#REF!,23,0)</f>
        <v>#VALUE!</v>
      </c>
      <c r="Z105" s="138" t="e">
        <f aca="false">VLOOKUP($C105,#REF!,24,0)</f>
        <v>#VALUE!</v>
      </c>
      <c r="AA105" s="139" t="e">
        <f aca="false">VLOOKUP($C105,#REF!,25,0)</f>
        <v>#VALUE!</v>
      </c>
      <c r="AB105" s="140" t="e">
        <f aca="false">VLOOKUP($C105,#REF!,26,0)</f>
        <v>#VALUE!</v>
      </c>
      <c r="AC105" s="139" t="e">
        <f aca="false">VLOOKUP($C105,#REF!,27,0)</f>
        <v>#VALUE!</v>
      </c>
      <c r="AE105" s="138" t="e">
        <f aca="false">IF(M105="-","-","0,5 GB")</f>
        <v>#VALUE!</v>
      </c>
      <c r="AF105" s="141" t="s">
        <v>92</v>
      </c>
      <c r="AG105" s="141" t="s">
        <v>93</v>
      </c>
      <c r="AH105" s="139" t="s">
        <v>94</v>
      </c>
      <c r="AJ105" s="138" t="s">
        <v>95</v>
      </c>
      <c r="AK105" s="141" t="s">
        <v>96</v>
      </c>
      <c r="AL105" s="141" t="s">
        <v>97</v>
      </c>
      <c r="AM105" s="141" t="s">
        <v>98</v>
      </c>
      <c r="AN105" s="141" t="s">
        <v>98</v>
      </c>
      <c r="AO105" s="139" t="s">
        <v>92</v>
      </c>
      <c r="AQ105" s="142" t="n">
        <v>17</v>
      </c>
      <c r="AR105" s="137"/>
      <c r="AS105" s="138" t="n">
        <v>0</v>
      </c>
      <c r="AT105" s="139" t="n">
        <v>0</v>
      </c>
      <c r="AU105" s="140"/>
      <c r="AV105" s="138" t="n">
        <f aca="false">IFERROR(ROUND($D105-M105-AW105,0),0)</f>
        <v>0</v>
      </c>
      <c r="AW105" s="139" t="n">
        <f aca="false">IFERROR(N105*$G105,0)</f>
        <v>0</v>
      </c>
      <c r="AX105" s="138" t="n">
        <f aca="false">IFERROR(ROUND($D105-O105-AY105,0),0)</f>
        <v>0</v>
      </c>
      <c r="AY105" s="139" t="n">
        <f aca="false">IFERROR(P105*$G105,0)</f>
        <v>0</v>
      </c>
      <c r="AZ105" s="138" t="n">
        <f aca="false">IFERROR(ROUND($D105-Q105-BA105,0),0)</f>
        <v>0</v>
      </c>
      <c r="BA105" s="139" t="n">
        <f aca="false">IFERROR(R105*$G105,0)</f>
        <v>0</v>
      </c>
      <c r="BB105" s="140" t="n">
        <f aca="false">IFERROR(ROUND($D105-S105-BC105,0),0)</f>
        <v>0</v>
      </c>
      <c r="BC105" s="139" t="n">
        <f aca="false">IFERROR(T105*$G105,0)</f>
        <v>0</v>
      </c>
      <c r="BD105" s="140"/>
      <c r="BE105" s="138" t="n">
        <f aca="false">IFERROR(ROUND($D105-V105-BF105,0),0)</f>
        <v>0</v>
      </c>
      <c r="BF105" s="139" t="n">
        <f aca="false">IFERROR(W105*$G105,0)</f>
        <v>0</v>
      </c>
      <c r="BG105" s="138" t="n">
        <f aca="false">IFERROR(ROUND($D105-X105-BH105,0),0)</f>
        <v>0</v>
      </c>
      <c r="BH105" s="139" t="n">
        <f aca="false">IFERROR(Y105*$G105,0)</f>
        <v>0</v>
      </c>
      <c r="BI105" s="140" t="n">
        <f aca="false">IFERROR(ROUND($D105-Z105-BJ105,0),0)</f>
        <v>0</v>
      </c>
      <c r="BJ105" s="139" t="n">
        <f aca="false">IFERROR(AA105*$G105,0)</f>
        <v>0</v>
      </c>
      <c r="BK105" s="140" t="n">
        <f aca="false">IFERROR(ROUND($D105-AB105-BL105,0),0)</f>
        <v>0</v>
      </c>
      <c r="BL105" s="139" t="n">
        <f aca="false">IFERROR(AC105*$G105,0)</f>
        <v>0</v>
      </c>
      <c r="BN105" s="142" t="n">
        <v>0</v>
      </c>
      <c r="BO105" s="137"/>
      <c r="BP105" s="138" t="n">
        <v>0</v>
      </c>
      <c r="BQ105" s="139" t="n">
        <v>0</v>
      </c>
      <c r="BR105" s="140"/>
      <c r="BS105" s="138" t="n">
        <v>0</v>
      </c>
      <c r="BT105" s="139" t="n">
        <v>0</v>
      </c>
      <c r="BU105" s="138" t="n">
        <v>0</v>
      </c>
      <c r="BV105" s="139" t="n">
        <v>0</v>
      </c>
      <c r="BW105" s="138" t="n">
        <v>0</v>
      </c>
      <c r="BX105" s="139" t="n">
        <v>0</v>
      </c>
      <c r="BY105" s="138" t="n">
        <v>0</v>
      </c>
      <c r="BZ105" s="139" t="n">
        <v>0</v>
      </c>
      <c r="CA105" s="140"/>
      <c r="CB105" s="138" t="n">
        <v>0</v>
      </c>
      <c r="CC105" s="139" t="n">
        <v>0</v>
      </c>
      <c r="CD105" s="138" t="n">
        <v>0</v>
      </c>
      <c r="CE105" s="139" t="n">
        <v>0</v>
      </c>
      <c r="CF105" s="138" t="n">
        <v>0</v>
      </c>
      <c r="CG105" s="139" t="n">
        <v>0</v>
      </c>
      <c r="CH105" s="138" t="n">
        <v>0</v>
      </c>
      <c r="CI105" s="139" t="n">
        <v>0</v>
      </c>
      <c r="CK105" s="143"/>
      <c r="CL105" s="137"/>
      <c r="CM105" s="144" t="str">
        <f aca="false">IFERROR(+$H105-($J105+$K105*$G105),"-")</f>
        <v>-</v>
      </c>
      <c r="CN105" s="137"/>
      <c r="CO105" s="144" t="str">
        <f aca="false">IFERROR(+$H105-($M105+$N105*$G105),"-")</f>
        <v>-</v>
      </c>
      <c r="CP105" s="144" t="str">
        <f aca="false">IFERROR(+$H105-($O105+$P105*$G105),"-")</f>
        <v>-</v>
      </c>
      <c r="CQ105" s="144" t="str">
        <f aca="false">IFERROR(+$H105-($Q105+$R105*$G105),"-")</f>
        <v>-</v>
      </c>
      <c r="CR105" s="144" t="str">
        <f aca="false">IFERROR(+$H105-($Q105+$R105*$G105),"-")</f>
        <v>-</v>
      </c>
      <c r="CS105" s="137"/>
      <c r="CT105" s="144" t="str">
        <f aca="false">IFERROR(+$H105-($V105+$W105*$G105),"-")</f>
        <v>-</v>
      </c>
      <c r="CU105" s="144" t="str">
        <f aca="false">IFERROR(+$H105-($X105+$Y105*$G105),"-")</f>
        <v>-</v>
      </c>
      <c r="CV105" s="144" t="str">
        <f aca="false">IFERROR(+$H105-($Z105+$AA105*$G105),"-")</f>
        <v>-</v>
      </c>
      <c r="CW105" s="144" t="str">
        <f aca="false">IFERROR(+$H105-($AB105+$AC105*$G105),"-")</f>
        <v>-</v>
      </c>
    </row>
    <row r="106" s="156" customFormat="true" ht="12.75" hidden="false" customHeight="true" outlineLevel="0" collapsed="false">
      <c r="A106" s="1"/>
      <c r="B106" s="145" t="s">
        <v>112</v>
      </c>
      <c r="C106" s="146" t="s">
        <v>182</v>
      </c>
      <c r="D106" s="147" t="e">
        <f aca="false">VLOOKUP($C106,#REF!,5,0)</f>
        <v>#VALUE!</v>
      </c>
      <c r="E106" s="148" t="e">
        <f aca="false">VLOOKUP($C106,#REF!,6,0)</f>
        <v>#VALUE!</v>
      </c>
      <c r="F106" s="146" t="e">
        <f aca="false">VLOOKUP($C106,#REF!,7,0)</f>
        <v>#VALUE!</v>
      </c>
      <c r="G106" s="146" t="e">
        <f aca="false">VLOOKUP($C106,#REF!,8,0)</f>
        <v>#VALUE!</v>
      </c>
      <c r="H106" s="149" t="e">
        <f aca="false">VLOOKUP($C106,#REF!,9,0)</f>
        <v>#VALUE!</v>
      </c>
      <c r="I106" s="137"/>
      <c r="J106" s="150" t="e">
        <f aca="false">VLOOKUP($C106,#REF!,10,0)</f>
        <v>#VALUE!</v>
      </c>
      <c r="K106" s="151" t="e">
        <f aca="false">VLOOKUP($C106,#REF!,11,0)</f>
        <v>#VALUE!</v>
      </c>
      <c r="L106" s="140"/>
      <c r="M106" s="150" t="e">
        <f aca="false">VLOOKUP($C106,#REF!,12,0)</f>
        <v>#VALUE!</v>
      </c>
      <c r="N106" s="152" t="e">
        <f aca="false">VLOOKUP($C106,#REF!,13,0)</f>
        <v>#VALUE!</v>
      </c>
      <c r="O106" s="150" t="e">
        <f aca="false">VLOOKUP($C106,#REF!,14,0)</f>
        <v>#VALUE!</v>
      </c>
      <c r="P106" s="152" t="e">
        <f aca="false">VLOOKUP($C106,#REF!,15,0)</f>
        <v>#VALUE!</v>
      </c>
      <c r="Q106" s="150" t="e">
        <f aca="false">VLOOKUP($C106,#REF!,16,0)</f>
        <v>#VALUE!</v>
      </c>
      <c r="R106" s="151" t="e">
        <f aca="false">VLOOKUP($C106,#REF!,17,0)</f>
        <v>#VALUE!</v>
      </c>
      <c r="S106" s="152" t="e">
        <f aca="false">VLOOKUP($C106,#REF!,18,0)</f>
        <v>#VALUE!</v>
      </c>
      <c r="T106" s="151" t="e">
        <f aca="false">VLOOKUP($C106,#REF!,19,0)</f>
        <v>#VALUE!</v>
      </c>
      <c r="U106" s="140"/>
      <c r="V106" s="150" t="e">
        <f aca="false">VLOOKUP($C106,#REF!,20,0)</f>
        <v>#VALUE!</v>
      </c>
      <c r="W106" s="152" t="e">
        <f aca="false">VLOOKUP($C106,#REF!,21,0)</f>
        <v>#VALUE!</v>
      </c>
      <c r="X106" s="150" t="e">
        <f aca="false">VLOOKUP($C106,#REF!,22,0)</f>
        <v>#VALUE!</v>
      </c>
      <c r="Y106" s="152" t="e">
        <f aca="false">VLOOKUP($C106,#REF!,23,0)</f>
        <v>#VALUE!</v>
      </c>
      <c r="Z106" s="150" t="e">
        <f aca="false">VLOOKUP($C106,#REF!,24,0)</f>
        <v>#VALUE!</v>
      </c>
      <c r="AA106" s="151" t="e">
        <f aca="false">VLOOKUP($C106,#REF!,25,0)</f>
        <v>#VALUE!</v>
      </c>
      <c r="AB106" s="152" t="e">
        <f aca="false">VLOOKUP($C106,#REF!,26,0)</f>
        <v>#VALUE!</v>
      </c>
      <c r="AC106" s="151" t="e">
        <f aca="false">VLOOKUP($C106,#REF!,27,0)</f>
        <v>#VALUE!</v>
      </c>
      <c r="AD106" s="1"/>
      <c r="AE106" s="150" t="e">
        <f aca="false">IF(M106="-","-","0,5 GB")</f>
        <v>#VALUE!</v>
      </c>
      <c r="AF106" s="153" t="s">
        <v>92</v>
      </c>
      <c r="AG106" s="153" t="s">
        <v>93</v>
      </c>
      <c r="AH106" s="151" t="s">
        <v>94</v>
      </c>
      <c r="AI106" s="1"/>
      <c r="AJ106" s="150" t="s">
        <v>95</v>
      </c>
      <c r="AK106" s="153" t="s">
        <v>96</v>
      </c>
      <c r="AL106" s="153" t="s">
        <v>97</v>
      </c>
      <c r="AM106" s="153" t="s">
        <v>98</v>
      </c>
      <c r="AN106" s="153" t="s">
        <v>98</v>
      </c>
      <c r="AO106" s="151" t="s">
        <v>92</v>
      </c>
      <c r="AP106" s="1"/>
      <c r="AQ106" s="154" t="n">
        <v>17</v>
      </c>
      <c r="AR106" s="137"/>
      <c r="AS106" s="150" t="n">
        <v>0</v>
      </c>
      <c r="AT106" s="151" t="n">
        <v>0</v>
      </c>
      <c r="AU106" s="140"/>
      <c r="AV106" s="150" t="n">
        <f aca="false">IFERROR(ROUND($D106-M106-AW106,0),0)</f>
        <v>0</v>
      </c>
      <c r="AW106" s="151" t="n">
        <f aca="false">IFERROR(N106*$G106,0)</f>
        <v>0</v>
      </c>
      <c r="AX106" s="150" t="n">
        <f aca="false">IFERROR(ROUND($D106-O106-AY106,0),0)</f>
        <v>0</v>
      </c>
      <c r="AY106" s="151" t="n">
        <f aca="false">IFERROR(P106*$G106,0)</f>
        <v>0</v>
      </c>
      <c r="AZ106" s="150" t="n">
        <f aca="false">IFERROR(ROUND($D106-Q106-BA106,0),0)</f>
        <v>0</v>
      </c>
      <c r="BA106" s="151" t="n">
        <f aca="false">IFERROR(R106*$G106,0)</f>
        <v>0</v>
      </c>
      <c r="BB106" s="152" t="n">
        <f aca="false">IFERROR(ROUND($D106-S106-BC106,0),0)</f>
        <v>0</v>
      </c>
      <c r="BC106" s="151" t="n">
        <f aca="false">IFERROR(T106*$G106,0)</f>
        <v>0</v>
      </c>
      <c r="BD106" s="140"/>
      <c r="BE106" s="150" t="n">
        <f aca="false">IFERROR(ROUND($D106-V106-BF106,0),0)</f>
        <v>0</v>
      </c>
      <c r="BF106" s="151" t="n">
        <f aca="false">IFERROR(W106*$G106,0)</f>
        <v>0</v>
      </c>
      <c r="BG106" s="150" t="n">
        <f aca="false">IFERROR(ROUND($D106-X106-BH106,0),0)</f>
        <v>0</v>
      </c>
      <c r="BH106" s="151" t="n">
        <f aca="false">IFERROR(Y106*$G106,0)</f>
        <v>0</v>
      </c>
      <c r="BI106" s="152" t="n">
        <f aca="false">IFERROR(ROUND($D106-Z106-BJ106,0),0)</f>
        <v>0</v>
      </c>
      <c r="BJ106" s="151" t="n">
        <f aca="false">IFERROR(AA106*$G106,0)</f>
        <v>0</v>
      </c>
      <c r="BK106" s="152" t="n">
        <f aca="false">IFERROR(ROUND($D106-AB106-BL106,0),0)</f>
        <v>0</v>
      </c>
      <c r="BL106" s="151" t="n">
        <f aca="false">IFERROR(AC106*$G106,0)</f>
        <v>0</v>
      </c>
      <c r="BM106" s="1"/>
      <c r="BN106" s="154" t="n">
        <v>0</v>
      </c>
      <c r="BO106" s="155"/>
      <c r="BP106" s="150" t="n">
        <v>0</v>
      </c>
      <c r="BQ106" s="151" t="n">
        <v>0</v>
      </c>
      <c r="BR106" s="152"/>
      <c r="BS106" s="150" t="n">
        <v>0</v>
      </c>
      <c r="BT106" s="151" t="n">
        <v>0</v>
      </c>
      <c r="BU106" s="150" t="n">
        <v>0</v>
      </c>
      <c r="BV106" s="151" t="n">
        <v>0</v>
      </c>
      <c r="BW106" s="150" t="n">
        <v>0</v>
      </c>
      <c r="BX106" s="151" t="n">
        <v>0</v>
      </c>
      <c r="BY106" s="150" t="n">
        <v>0</v>
      </c>
      <c r="BZ106" s="151" t="n">
        <v>0</v>
      </c>
      <c r="CA106" s="152"/>
      <c r="CB106" s="150" t="n">
        <v>0</v>
      </c>
      <c r="CC106" s="151" t="n">
        <v>0</v>
      </c>
      <c r="CD106" s="150" t="n">
        <v>0</v>
      </c>
      <c r="CE106" s="151" t="n">
        <v>0</v>
      </c>
      <c r="CF106" s="150" t="n">
        <v>0</v>
      </c>
      <c r="CG106" s="151" t="n">
        <v>0</v>
      </c>
      <c r="CH106" s="150" t="n">
        <v>0</v>
      </c>
      <c r="CI106" s="151" t="n">
        <v>0</v>
      </c>
      <c r="CJ106" s="1"/>
      <c r="CK106" s="149"/>
      <c r="CL106" s="137"/>
      <c r="CM106" s="154" t="str">
        <f aca="false">IFERROR(+$H106-($J106+$K106*$G106),"-")</f>
        <v>-</v>
      </c>
      <c r="CN106" s="137"/>
      <c r="CO106" s="154" t="str">
        <f aca="false">IFERROR(+$H106-($M106+$N106*$G106),"-")</f>
        <v>-</v>
      </c>
      <c r="CP106" s="154" t="str">
        <f aca="false">IFERROR(+$H106-($O106+$P106*$G106),"-")</f>
        <v>-</v>
      </c>
      <c r="CQ106" s="154" t="str">
        <f aca="false">IFERROR(+$H106-($Q106+$R106*$G106),"-")</f>
        <v>-</v>
      </c>
      <c r="CR106" s="154" t="str">
        <f aca="false">IFERROR(+$H106-($Q106+$R106*$G106),"-")</f>
        <v>-</v>
      </c>
      <c r="CS106" s="137"/>
      <c r="CT106" s="154" t="str">
        <f aca="false">IFERROR(+$H106-($V106+$W106*$G106),"-")</f>
        <v>-</v>
      </c>
      <c r="CU106" s="154" t="str">
        <f aca="false">IFERROR(+$H106-($X106+$Y106*$G106),"-")</f>
        <v>-</v>
      </c>
      <c r="CV106" s="154" t="str">
        <f aca="false">IFERROR(+$H106-($Z106+$AA106*$G106),"-")</f>
        <v>-</v>
      </c>
      <c r="CW106" s="154" t="str">
        <f aca="false">IFERROR(+$H106-($AB106+$AC106*$G106),"-")</f>
        <v>-</v>
      </c>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row>
    <row r="107" s="1" customFormat="true" ht="12.75" hidden="false" customHeight="true" outlineLevel="0" collapsed="false">
      <c r="B107" s="134" t="s">
        <v>112</v>
      </c>
      <c r="C107" s="135" t="s">
        <v>183</v>
      </c>
      <c r="D107" s="136" t="e">
        <f aca="false">VLOOKUP($C107,#REF!,5,0)</f>
        <v>#VALUE!</v>
      </c>
      <c r="E107" s="157" t="e">
        <f aca="false">VLOOKUP($C107,#REF!,6,0)</f>
        <v>#VALUE!</v>
      </c>
      <c r="F107" s="135" t="e">
        <f aca="false">VLOOKUP($C107,#REF!,7,0)</f>
        <v>#VALUE!</v>
      </c>
      <c r="G107" s="135" t="e">
        <f aca="false">VLOOKUP($C107,#REF!,8,0)</f>
        <v>#VALUE!</v>
      </c>
      <c r="H107" s="158" t="e">
        <f aca="false">VLOOKUP($C107,#REF!,9,0)</f>
        <v>#VALUE!</v>
      </c>
      <c r="I107" s="137"/>
      <c r="J107" s="138" t="e">
        <f aca="false">VLOOKUP($C107,#REF!,10,0)</f>
        <v>#VALUE!</v>
      </c>
      <c r="K107" s="139" t="e">
        <f aca="false">VLOOKUP($C107,#REF!,11,0)</f>
        <v>#VALUE!</v>
      </c>
      <c r="L107" s="140"/>
      <c r="M107" s="138" t="e">
        <f aca="false">VLOOKUP($C107,#REF!,12,0)</f>
        <v>#VALUE!</v>
      </c>
      <c r="N107" s="140" t="e">
        <f aca="false">VLOOKUP($C107,#REF!,13,0)</f>
        <v>#VALUE!</v>
      </c>
      <c r="O107" s="138" t="e">
        <f aca="false">VLOOKUP($C107,#REF!,14,0)</f>
        <v>#VALUE!</v>
      </c>
      <c r="P107" s="140" t="e">
        <f aca="false">VLOOKUP($C107,#REF!,15,0)</f>
        <v>#VALUE!</v>
      </c>
      <c r="Q107" s="138" t="e">
        <f aca="false">VLOOKUP($C107,#REF!,16,0)</f>
        <v>#VALUE!</v>
      </c>
      <c r="R107" s="139" t="e">
        <f aca="false">VLOOKUP($C107,#REF!,17,0)</f>
        <v>#VALUE!</v>
      </c>
      <c r="S107" s="140" t="e">
        <f aca="false">VLOOKUP($C107,#REF!,18,0)</f>
        <v>#VALUE!</v>
      </c>
      <c r="T107" s="139" t="e">
        <f aca="false">VLOOKUP($C107,#REF!,19,0)</f>
        <v>#VALUE!</v>
      </c>
      <c r="U107" s="140"/>
      <c r="V107" s="138" t="e">
        <f aca="false">VLOOKUP($C107,#REF!,20,0)</f>
        <v>#VALUE!</v>
      </c>
      <c r="W107" s="140" t="e">
        <f aca="false">VLOOKUP($C107,#REF!,21,0)</f>
        <v>#VALUE!</v>
      </c>
      <c r="X107" s="138" t="e">
        <f aca="false">VLOOKUP($C107,#REF!,22,0)</f>
        <v>#VALUE!</v>
      </c>
      <c r="Y107" s="140" t="e">
        <f aca="false">VLOOKUP($C107,#REF!,23,0)</f>
        <v>#VALUE!</v>
      </c>
      <c r="Z107" s="138" t="e">
        <f aca="false">VLOOKUP($C107,#REF!,24,0)</f>
        <v>#VALUE!</v>
      </c>
      <c r="AA107" s="139" t="e">
        <f aca="false">VLOOKUP($C107,#REF!,25,0)</f>
        <v>#VALUE!</v>
      </c>
      <c r="AB107" s="140" t="e">
        <f aca="false">VLOOKUP($C107,#REF!,26,0)</f>
        <v>#VALUE!</v>
      </c>
      <c r="AC107" s="139" t="e">
        <f aca="false">VLOOKUP($C107,#REF!,27,0)</f>
        <v>#VALUE!</v>
      </c>
      <c r="AE107" s="138" t="e">
        <f aca="false">IF(M107="-","-","0,5 GB")</f>
        <v>#VALUE!</v>
      </c>
      <c r="AF107" s="141" t="s">
        <v>92</v>
      </c>
      <c r="AG107" s="141" t="s">
        <v>93</v>
      </c>
      <c r="AH107" s="139" t="s">
        <v>94</v>
      </c>
      <c r="AJ107" s="138" t="s">
        <v>95</v>
      </c>
      <c r="AK107" s="141" t="s">
        <v>96</v>
      </c>
      <c r="AL107" s="141" t="s">
        <v>97</v>
      </c>
      <c r="AM107" s="141" t="s">
        <v>98</v>
      </c>
      <c r="AN107" s="141" t="s">
        <v>98</v>
      </c>
      <c r="AO107" s="139" t="s">
        <v>92</v>
      </c>
      <c r="AQ107" s="142" t="n">
        <v>50</v>
      </c>
      <c r="AR107" s="137"/>
      <c r="AS107" s="138" t="n">
        <v>0</v>
      </c>
      <c r="AT107" s="139" t="n">
        <v>0</v>
      </c>
      <c r="AU107" s="140"/>
      <c r="AV107" s="138" t="n">
        <f aca="false">IFERROR(ROUND($D107-M107-AW107,0),0)</f>
        <v>0</v>
      </c>
      <c r="AW107" s="139" t="n">
        <f aca="false">IFERROR(N107*$G107,0)</f>
        <v>0</v>
      </c>
      <c r="AX107" s="138" t="n">
        <f aca="false">IFERROR(ROUND($D107-O107-AY107,0),0)</f>
        <v>0</v>
      </c>
      <c r="AY107" s="139" t="n">
        <f aca="false">IFERROR(P107*$G107,0)</f>
        <v>0</v>
      </c>
      <c r="AZ107" s="138" t="n">
        <f aca="false">IFERROR(ROUND($D107-Q107-BA107,0),0)</f>
        <v>0</v>
      </c>
      <c r="BA107" s="139" t="n">
        <f aca="false">IFERROR(R107*$G107,0)</f>
        <v>0</v>
      </c>
      <c r="BB107" s="140" t="n">
        <f aca="false">IFERROR(ROUND($D107-S107-BC107,0),0)</f>
        <v>0</v>
      </c>
      <c r="BC107" s="139" t="n">
        <f aca="false">IFERROR(T107*$G107,0)</f>
        <v>0</v>
      </c>
      <c r="BD107" s="140"/>
      <c r="BE107" s="138" t="n">
        <f aca="false">IFERROR(ROUND($D107-V107-BF107,0),0)</f>
        <v>0</v>
      </c>
      <c r="BF107" s="139" t="n">
        <f aca="false">IFERROR(W107*$G107,0)</f>
        <v>0</v>
      </c>
      <c r="BG107" s="138" t="n">
        <f aca="false">IFERROR(ROUND($D107-X107-BH107,0),0)</f>
        <v>0</v>
      </c>
      <c r="BH107" s="139" t="n">
        <f aca="false">IFERROR(Y107*$G107,0)</f>
        <v>0</v>
      </c>
      <c r="BI107" s="140" t="n">
        <f aca="false">IFERROR(ROUND($D107-Z107-BJ107,0),0)</f>
        <v>0</v>
      </c>
      <c r="BJ107" s="139" t="n">
        <f aca="false">IFERROR(AA107*$G107,0)</f>
        <v>0</v>
      </c>
      <c r="BK107" s="140" t="n">
        <f aca="false">IFERROR(ROUND($D107-AB107-BL107,0),0)</f>
        <v>0</v>
      </c>
      <c r="BL107" s="139" t="n">
        <f aca="false">IFERROR(AC107*$G107,0)</f>
        <v>0</v>
      </c>
      <c r="BN107" s="142" t="n">
        <v>0</v>
      </c>
      <c r="BO107" s="137"/>
      <c r="BP107" s="138" t="n">
        <v>0</v>
      </c>
      <c r="BQ107" s="139" t="n">
        <v>0</v>
      </c>
      <c r="BR107" s="140"/>
      <c r="BS107" s="138" t="n">
        <v>0</v>
      </c>
      <c r="BT107" s="139" t="n">
        <v>0</v>
      </c>
      <c r="BU107" s="138" t="n">
        <v>0</v>
      </c>
      <c r="BV107" s="139" t="n">
        <v>0</v>
      </c>
      <c r="BW107" s="138" t="n">
        <v>0</v>
      </c>
      <c r="BX107" s="139" t="n">
        <v>0</v>
      </c>
      <c r="BY107" s="138" t="n">
        <v>0</v>
      </c>
      <c r="BZ107" s="139" t="n">
        <v>0</v>
      </c>
      <c r="CA107" s="140"/>
      <c r="CB107" s="138" t="n">
        <v>0</v>
      </c>
      <c r="CC107" s="139" t="n">
        <v>0</v>
      </c>
      <c r="CD107" s="138" t="n">
        <v>0</v>
      </c>
      <c r="CE107" s="139" t="n">
        <v>0</v>
      </c>
      <c r="CF107" s="138" t="n">
        <v>0</v>
      </c>
      <c r="CG107" s="139" t="n">
        <v>0</v>
      </c>
      <c r="CH107" s="138" t="n">
        <v>0</v>
      </c>
      <c r="CI107" s="139" t="n">
        <v>0</v>
      </c>
      <c r="CK107" s="143"/>
      <c r="CL107" s="137"/>
      <c r="CM107" s="144" t="str">
        <f aca="false">IFERROR(+$H107-($J107+$K107*$G107),"-")</f>
        <v>-</v>
      </c>
      <c r="CN107" s="137"/>
      <c r="CO107" s="144" t="str">
        <f aca="false">IFERROR(+$H107-($M107+$N107*$G107),"-")</f>
        <v>-</v>
      </c>
      <c r="CP107" s="144" t="str">
        <f aca="false">IFERROR(+$H107-($O107+$P107*$G107),"-")</f>
        <v>-</v>
      </c>
      <c r="CQ107" s="144" t="str">
        <f aca="false">IFERROR(+$H107-($Q107+$R107*$G107),"-")</f>
        <v>-</v>
      </c>
      <c r="CR107" s="144" t="str">
        <f aca="false">IFERROR(+$H107-($Q107+$R107*$G107),"-")</f>
        <v>-</v>
      </c>
      <c r="CS107" s="137"/>
      <c r="CT107" s="144" t="str">
        <f aca="false">IFERROR(+$H107-($V107+$W107*$G107),"-")</f>
        <v>-</v>
      </c>
      <c r="CU107" s="144" t="str">
        <f aca="false">IFERROR(+$H107-($X107+$Y107*$G107),"-")</f>
        <v>-</v>
      </c>
      <c r="CV107" s="144" t="str">
        <f aca="false">IFERROR(+$H107-($Z107+$AA107*$G107),"-")</f>
        <v>-</v>
      </c>
      <c r="CW107" s="144" t="str">
        <f aca="false">IFERROR(+$H107-($AB107+$AC107*$G107),"-")</f>
        <v>-</v>
      </c>
    </row>
    <row r="108" s="156" customFormat="true" ht="12.75" hidden="false" customHeight="true" outlineLevel="0" collapsed="false">
      <c r="A108" s="1"/>
      <c r="B108" s="145" t="s">
        <v>184</v>
      </c>
      <c r="C108" s="146" t="s">
        <v>185</v>
      </c>
      <c r="D108" s="147" t="e">
        <f aca="false">VLOOKUP($C108,#REF!,5,0)</f>
        <v>#VALUE!</v>
      </c>
      <c r="E108" s="148" t="e">
        <f aca="false">VLOOKUP($C108,#REF!,6,0)</f>
        <v>#VALUE!</v>
      </c>
      <c r="F108" s="146" t="e">
        <f aca="false">VLOOKUP($C108,#REF!,7,0)</f>
        <v>#VALUE!</v>
      </c>
      <c r="G108" s="146" t="e">
        <f aca="false">VLOOKUP($C108,#REF!,8,0)</f>
        <v>#VALUE!</v>
      </c>
      <c r="H108" s="149" t="e">
        <f aca="false">VLOOKUP($C108,#REF!,9,0)</f>
        <v>#VALUE!</v>
      </c>
      <c r="I108" s="137"/>
      <c r="J108" s="150" t="e">
        <f aca="false">VLOOKUP($C108,#REF!,10,0)</f>
        <v>#VALUE!</v>
      </c>
      <c r="K108" s="151" t="e">
        <f aca="false">VLOOKUP($C108,#REF!,11,0)</f>
        <v>#VALUE!</v>
      </c>
      <c r="L108" s="140"/>
      <c r="M108" s="150" t="e">
        <f aca="false">VLOOKUP($C108,#REF!,12,0)</f>
        <v>#VALUE!</v>
      </c>
      <c r="N108" s="152" t="e">
        <f aca="false">VLOOKUP($C108,#REF!,13,0)</f>
        <v>#VALUE!</v>
      </c>
      <c r="O108" s="150" t="e">
        <f aca="false">VLOOKUP($C108,#REF!,14,0)</f>
        <v>#VALUE!</v>
      </c>
      <c r="P108" s="152" t="e">
        <f aca="false">VLOOKUP($C108,#REF!,15,0)</f>
        <v>#VALUE!</v>
      </c>
      <c r="Q108" s="150" t="e">
        <f aca="false">VLOOKUP($C108,#REF!,16,0)</f>
        <v>#VALUE!</v>
      </c>
      <c r="R108" s="151" t="e">
        <f aca="false">VLOOKUP($C108,#REF!,17,0)</f>
        <v>#VALUE!</v>
      </c>
      <c r="S108" s="152" t="e">
        <f aca="false">VLOOKUP($C108,#REF!,18,0)</f>
        <v>#VALUE!</v>
      </c>
      <c r="T108" s="151" t="e">
        <f aca="false">VLOOKUP($C108,#REF!,19,0)</f>
        <v>#VALUE!</v>
      </c>
      <c r="U108" s="140"/>
      <c r="V108" s="150" t="e">
        <f aca="false">VLOOKUP($C108,#REF!,20,0)</f>
        <v>#VALUE!</v>
      </c>
      <c r="W108" s="152" t="e">
        <f aca="false">VLOOKUP($C108,#REF!,21,0)</f>
        <v>#VALUE!</v>
      </c>
      <c r="X108" s="150" t="e">
        <f aca="false">VLOOKUP($C108,#REF!,22,0)</f>
        <v>#VALUE!</v>
      </c>
      <c r="Y108" s="152" t="e">
        <f aca="false">VLOOKUP($C108,#REF!,23,0)</f>
        <v>#VALUE!</v>
      </c>
      <c r="Z108" s="150" t="e">
        <f aca="false">VLOOKUP($C108,#REF!,24,0)</f>
        <v>#VALUE!</v>
      </c>
      <c r="AA108" s="151" t="e">
        <f aca="false">VLOOKUP($C108,#REF!,25,0)</f>
        <v>#VALUE!</v>
      </c>
      <c r="AB108" s="152" t="e">
        <f aca="false">VLOOKUP($C108,#REF!,26,0)</f>
        <v>#VALUE!</v>
      </c>
      <c r="AC108" s="151" t="e">
        <f aca="false">VLOOKUP($C108,#REF!,27,0)</f>
        <v>#VALUE!</v>
      </c>
      <c r="AD108" s="1"/>
      <c r="AE108" s="150" t="e">
        <f aca="false">IF(M108="-","-","0,5 GB")</f>
        <v>#VALUE!</v>
      </c>
      <c r="AF108" s="153" t="s">
        <v>92</v>
      </c>
      <c r="AG108" s="153" t="s">
        <v>93</v>
      </c>
      <c r="AH108" s="151" t="s">
        <v>94</v>
      </c>
      <c r="AI108" s="1"/>
      <c r="AJ108" s="150" t="s">
        <v>95</v>
      </c>
      <c r="AK108" s="153" t="s">
        <v>96</v>
      </c>
      <c r="AL108" s="153" t="s">
        <v>97</v>
      </c>
      <c r="AM108" s="153" t="s">
        <v>98</v>
      </c>
      <c r="AN108" s="153" t="s">
        <v>98</v>
      </c>
      <c r="AO108" s="151" t="s">
        <v>92</v>
      </c>
      <c r="AP108" s="1"/>
      <c r="AQ108" s="154" t="n">
        <v>17</v>
      </c>
      <c r="AR108" s="137"/>
      <c r="AS108" s="150" t="n">
        <v>0</v>
      </c>
      <c r="AT108" s="151" t="n">
        <v>0</v>
      </c>
      <c r="AU108" s="140"/>
      <c r="AV108" s="150" t="n">
        <f aca="false">IFERROR(ROUND($D108-M108-AW108,0),0)</f>
        <v>0</v>
      </c>
      <c r="AW108" s="151" t="n">
        <f aca="false">IFERROR(N108*$G108,0)</f>
        <v>0</v>
      </c>
      <c r="AX108" s="150" t="n">
        <f aca="false">IFERROR(ROUND($D108-O108-AY108,0),0)</f>
        <v>0</v>
      </c>
      <c r="AY108" s="151" t="n">
        <f aca="false">IFERROR(P108*$G108,0)</f>
        <v>0</v>
      </c>
      <c r="AZ108" s="150" t="n">
        <f aca="false">IFERROR(ROUND($D108-Q108-BA108,0),0)</f>
        <v>0</v>
      </c>
      <c r="BA108" s="151" t="n">
        <f aca="false">IFERROR(R108*$G108,0)</f>
        <v>0</v>
      </c>
      <c r="BB108" s="152" t="n">
        <f aca="false">IFERROR(ROUND($D108-S108-BC108,0),0)</f>
        <v>0</v>
      </c>
      <c r="BC108" s="151" t="n">
        <f aca="false">IFERROR(T108*$G108,0)</f>
        <v>0</v>
      </c>
      <c r="BD108" s="140"/>
      <c r="BE108" s="150" t="n">
        <f aca="false">IFERROR(ROUND($D108-V108-BF108,0),0)</f>
        <v>0</v>
      </c>
      <c r="BF108" s="151" t="n">
        <f aca="false">IFERROR(W108*$G108,0)</f>
        <v>0</v>
      </c>
      <c r="BG108" s="150" t="n">
        <f aca="false">IFERROR(ROUND($D108-X108-BH108,0),0)</f>
        <v>0</v>
      </c>
      <c r="BH108" s="151" t="n">
        <f aca="false">IFERROR(Y108*$G108,0)</f>
        <v>0</v>
      </c>
      <c r="BI108" s="152" t="n">
        <f aca="false">IFERROR(ROUND($D108-Z108-BJ108,0),0)</f>
        <v>0</v>
      </c>
      <c r="BJ108" s="151" t="n">
        <f aca="false">IFERROR(AA108*$G108,0)</f>
        <v>0</v>
      </c>
      <c r="BK108" s="152" t="n">
        <f aca="false">IFERROR(ROUND($D108-AB108-BL108,0),0)</f>
        <v>0</v>
      </c>
      <c r="BL108" s="151" t="n">
        <f aca="false">IFERROR(AC108*$G108,0)</f>
        <v>0</v>
      </c>
      <c r="BM108" s="1"/>
      <c r="BN108" s="154" t="n">
        <v>0</v>
      </c>
      <c r="BO108" s="155"/>
      <c r="BP108" s="150" t="n">
        <v>0</v>
      </c>
      <c r="BQ108" s="151" t="n">
        <v>0</v>
      </c>
      <c r="BR108" s="152"/>
      <c r="BS108" s="150" t="n">
        <v>0</v>
      </c>
      <c r="BT108" s="151" t="n">
        <v>0</v>
      </c>
      <c r="BU108" s="150" t="n">
        <v>0</v>
      </c>
      <c r="BV108" s="151" t="n">
        <v>0</v>
      </c>
      <c r="BW108" s="150" t="n">
        <v>0</v>
      </c>
      <c r="BX108" s="151" t="n">
        <v>0</v>
      </c>
      <c r="BY108" s="150" t="n">
        <v>0</v>
      </c>
      <c r="BZ108" s="151" t="n">
        <v>0</v>
      </c>
      <c r="CA108" s="152"/>
      <c r="CB108" s="150" t="n">
        <v>0</v>
      </c>
      <c r="CC108" s="151" t="n">
        <v>0</v>
      </c>
      <c r="CD108" s="150" t="n">
        <v>0</v>
      </c>
      <c r="CE108" s="151" t="n">
        <v>0</v>
      </c>
      <c r="CF108" s="150" t="n">
        <v>0</v>
      </c>
      <c r="CG108" s="151" t="n">
        <v>0</v>
      </c>
      <c r="CH108" s="150" t="n">
        <v>0</v>
      </c>
      <c r="CI108" s="151" t="n">
        <v>0</v>
      </c>
      <c r="CJ108" s="1"/>
      <c r="CK108" s="149"/>
      <c r="CL108" s="137"/>
      <c r="CM108" s="154" t="str">
        <f aca="false">IFERROR(+$H108-($J108+$K108*$G108),"-")</f>
        <v>-</v>
      </c>
      <c r="CN108" s="137"/>
      <c r="CO108" s="154" t="str">
        <f aca="false">IFERROR(+$H108-($M108+$N108*$G108),"-")</f>
        <v>-</v>
      </c>
      <c r="CP108" s="154" t="str">
        <f aca="false">IFERROR(+$H108-($O108+$P108*$G108),"-")</f>
        <v>-</v>
      </c>
      <c r="CQ108" s="154" t="str">
        <f aca="false">IFERROR(+$H108-($Q108+$R108*$G108),"-")</f>
        <v>-</v>
      </c>
      <c r="CR108" s="154" t="str">
        <f aca="false">IFERROR(+$H108-($Q108+$R108*$G108),"-")</f>
        <v>-</v>
      </c>
      <c r="CS108" s="137"/>
      <c r="CT108" s="154" t="str">
        <f aca="false">IFERROR(+$H108-($V108+$W108*$G108),"-")</f>
        <v>-</v>
      </c>
      <c r="CU108" s="154" t="str">
        <f aca="false">IFERROR(+$H108-($X108+$Y108*$G108),"-")</f>
        <v>-</v>
      </c>
      <c r="CV108" s="154" t="str">
        <f aca="false">IFERROR(+$H108-($Z108+$AA108*$G108),"-")</f>
        <v>-</v>
      </c>
      <c r="CW108" s="154" t="str">
        <f aca="false">IFERROR(+$H108-($AB108+$AC108*$G108),"-")</f>
        <v>-</v>
      </c>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row>
    <row r="109" s="1" customFormat="true" ht="12.75" hidden="false" customHeight="true" outlineLevel="0" collapsed="false">
      <c r="B109" s="134" t="s">
        <v>184</v>
      </c>
      <c r="C109" s="135" t="s">
        <v>186</v>
      </c>
      <c r="D109" s="136" t="e">
        <f aca="false">VLOOKUP($C109,#REF!,5,0)</f>
        <v>#VALUE!</v>
      </c>
      <c r="E109" s="157" t="e">
        <f aca="false">VLOOKUP($C109,#REF!,6,0)</f>
        <v>#VALUE!</v>
      </c>
      <c r="F109" s="135" t="e">
        <f aca="false">VLOOKUP($C109,#REF!,7,0)</f>
        <v>#VALUE!</v>
      </c>
      <c r="G109" s="135" t="e">
        <f aca="false">VLOOKUP($C109,#REF!,8,0)</f>
        <v>#VALUE!</v>
      </c>
      <c r="H109" s="158" t="e">
        <f aca="false">VLOOKUP($C109,#REF!,9,0)</f>
        <v>#VALUE!</v>
      </c>
      <c r="I109" s="137"/>
      <c r="J109" s="138" t="e">
        <f aca="false">VLOOKUP($C109,#REF!,10,0)</f>
        <v>#VALUE!</v>
      </c>
      <c r="K109" s="139" t="e">
        <f aca="false">VLOOKUP($C109,#REF!,11,0)</f>
        <v>#VALUE!</v>
      </c>
      <c r="L109" s="140"/>
      <c r="M109" s="138" t="e">
        <f aca="false">VLOOKUP($C109,#REF!,12,0)</f>
        <v>#VALUE!</v>
      </c>
      <c r="N109" s="140" t="e">
        <f aca="false">VLOOKUP($C109,#REF!,13,0)</f>
        <v>#VALUE!</v>
      </c>
      <c r="O109" s="138" t="e">
        <f aca="false">VLOOKUP($C109,#REF!,14,0)</f>
        <v>#VALUE!</v>
      </c>
      <c r="P109" s="140" t="e">
        <f aca="false">VLOOKUP($C109,#REF!,15,0)</f>
        <v>#VALUE!</v>
      </c>
      <c r="Q109" s="138" t="e">
        <f aca="false">VLOOKUP($C109,#REF!,16,0)</f>
        <v>#VALUE!</v>
      </c>
      <c r="R109" s="139" t="e">
        <f aca="false">VLOOKUP($C109,#REF!,17,0)</f>
        <v>#VALUE!</v>
      </c>
      <c r="S109" s="140" t="e">
        <f aca="false">VLOOKUP($C109,#REF!,18,0)</f>
        <v>#VALUE!</v>
      </c>
      <c r="T109" s="139" t="e">
        <f aca="false">VLOOKUP($C109,#REF!,19,0)</f>
        <v>#VALUE!</v>
      </c>
      <c r="U109" s="140"/>
      <c r="V109" s="138" t="e">
        <f aca="false">VLOOKUP($C109,#REF!,20,0)</f>
        <v>#VALUE!</v>
      </c>
      <c r="W109" s="140" t="e">
        <f aca="false">VLOOKUP($C109,#REF!,21,0)</f>
        <v>#VALUE!</v>
      </c>
      <c r="X109" s="138" t="e">
        <f aca="false">VLOOKUP($C109,#REF!,22,0)</f>
        <v>#VALUE!</v>
      </c>
      <c r="Y109" s="140" t="e">
        <f aca="false">VLOOKUP($C109,#REF!,23,0)</f>
        <v>#VALUE!</v>
      </c>
      <c r="Z109" s="138" t="e">
        <f aca="false">VLOOKUP($C109,#REF!,24,0)</f>
        <v>#VALUE!</v>
      </c>
      <c r="AA109" s="139" t="e">
        <f aca="false">VLOOKUP($C109,#REF!,25,0)</f>
        <v>#VALUE!</v>
      </c>
      <c r="AB109" s="140" t="e">
        <f aca="false">VLOOKUP($C109,#REF!,26,0)</f>
        <v>#VALUE!</v>
      </c>
      <c r="AC109" s="139" t="e">
        <f aca="false">VLOOKUP($C109,#REF!,27,0)</f>
        <v>#VALUE!</v>
      </c>
      <c r="AE109" s="138" t="e">
        <f aca="false">IF(M109="-","-","0,5 GB")</f>
        <v>#VALUE!</v>
      </c>
      <c r="AF109" s="141" t="s">
        <v>92</v>
      </c>
      <c r="AG109" s="141" t="s">
        <v>93</v>
      </c>
      <c r="AH109" s="139" t="s">
        <v>94</v>
      </c>
      <c r="AJ109" s="138" t="s">
        <v>95</v>
      </c>
      <c r="AK109" s="141" t="s">
        <v>96</v>
      </c>
      <c r="AL109" s="141" t="s">
        <v>97</v>
      </c>
      <c r="AM109" s="141" t="s">
        <v>98</v>
      </c>
      <c r="AN109" s="141" t="s">
        <v>98</v>
      </c>
      <c r="AO109" s="139" t="s">
        <v>92</v>
      </c>
      <c r="AQ109" s="142" t="n">
        <v>-4</v>
      </c>
      <c r="AR109" s="137"/>
      <c r="AS109" s="138" t="n">
        <v>0</v>
      </c>
      <c r="AT109" s="139" t="n">
        <v>0</v>
      </c>
      <c r="AU109" s="140"/>
      <c r="AV109" s="138" t="n">
        <f aca="false">IFERROR(ROUND($D109-M109-AW109,0),0)</f>
        <v>0</v>
      </c>
      <c r="AW109" s="139" t="n">
        <f aca="false">IFERROR(N109*$G109,0)</f>
        <v>0</v>
      </c>
      <c r="AX109" s="138" t="n">
        <f aca="false">IFERROR(ROUND($D109-O109-AY109,0),0)</f>
        <v>0</v>
      </c>
      <c r="AY109" s="139" t="n">
        <f aca="false">IFERROR(P109*$G109,0)</f>
        <v>0</v>
      </c>
      <c r="AZ109" s="138" t="n">
        <f aca="false">IFERROR(ROUND($D109-Q109-BA109,0),0)</f>
        <v>0</v>
      </c>
      <c r="BA109" s="139" t="n">
        <f aca="false">IFERROR(R109*$G109,0)</f>
        <v>0</v>
      </c>
      <c r="BB109" s="140" t="n">
        <f aca="false">IFERROR(ROUND($D109-S109-BC109,0),0)</f>
        <v>0</v>
      </c>
      <c r="BC109" s="139" t="n">
        <f aca="false">IFERROR(T109*$G109,0)</f>
        <v>0</v>
      </c>
      <c r="BD109" s="140"/>
      <c r="BE109" s="138" t="n">
        <f aca="false">IFERROR(ROUND($D109-V109-BF109,0),0)</f>
        <v>0</v>
      </c>
      <c r="BF109" s="139" t="n">
        <f aca="false">IFERROR(W109*$G109,0)</f>
        <v>0</v>
      </c>
      <c r="BG109" s="138" t="n">
        <f aca="false">IFERROR(ROUND($D109-X109-BH109,0),0)</f>
        <v>0</v>
      </c>
      <c r="BH109" s="139" t="n">
        <f aca="false">IFERROR(Y109*$G109,0)</f>
        <v>0</v>
      </c>
      <c r="BI109" s="140" t="n">
        <f aca="false">IFERROR(ROUND($D109-Z109-BJ109,0),0)</f>
        <v>0</v>
      </c>
      <c r="BJ109" s="139" t="n">
        <f aca="false">IFERROR(AA109*$G109,0)</f>
        <v>0</v>
      </c>
      <c r="BK109" s="140" t="n">
        <f aca="false">IFERROR(ROUND($D109-AB109-BL109,0),0)</f>
        <v>0</v>
      </c>
      <c r="BL109" s="139" t="n">
        <f aca="false">IFERROR(AC109*$G109,0)</f>
        <v>0</v>
      </c>
      <c r="BN109" s="142" t="n">
        <v>0</v>
      </c>
      <c r="BO109" s="137"/>
      <c r="BP109" s="138" t="n">
        <v>0</v>
      </c>
      <c r="BQ109" s="139" t="n">
        <v>0</v>
      </c>
      <c r="BR109" s="140"/>
      <c r="BS109" s="138" t="n">
        <v>0</v>
      </c>
      <c r="BT109" s="139" t="n">
        <v>0</v>
      </c>
      <c r="BU109" s="138" t="n">
        <v>0</v>
      </c>
      <c r="BV109" s="139" t="n">
        <v>0</v>
      </c>
      <c r="BW109" s="138" t="n">
        <v>0</v>
      </c>
      <c r="BX109" s="139" t="n">
        <v>0</v>
      </c>
      <c r="BY109" s="138" t="n">
        <v>0</v>
      </c>
      <c r="BZ109" s="139" t="n">
        <v>0</v>
      </c>
      <c r="CA109" s="140"/>
      <c r="CB109" s="138" t="n">
        <v>0</v>
      </c>
      <c r="CC109" s="139" t="n">
        <v>0</v>
      </c>
      <c r="CD109" s="138" t="n">
        <v>0</v>
      </c>
      <c r="CE109" s="139" t="n">
        <v>0</v>
      </c>
      <c r="CF109" s="138" t="n">
        <v>0</v>
      </c>
      <c r="CG109" s="139" t="n">
        <v>0</v>
      </c>
      <c r="CH109" s="138" t="n">
        <v>0</v>
      </c>
      <c r="CI109" s="139" t="n">
        <v>0</v>
      </c>
      <c r="CK109" s="143"/>
      <c r="CL109" s="137"/>
      <c r="CM109" s="144" t="str">
        <f aca="false">IFERROR(+$H109-($J109+$K109*$G109),"-")</f>
        <v>-</v>
      </c>
      <c r="CN109" s="137"/>
      <c r="CO109" s="144" t="str">
        <f aca="false">IFERROR(+$H109-($M109+$N109*$G109),"-")</f>
        <v>-</v>
      </c>
      <c r="CP109" s="144" t="str">
        <f aca="false">IFERROR(+$H109-($O109+$P109*$G109),"-")</f>
        <v>-</v>
      </c>
      <c r="CQ109" s="144" t="str">
        <f aca="false">IFERROR(+$H109-($Q109+$R109*$G109),"-")</f>
        <v>-</v>
      </c>
      <c r="CR109" s="144" t="str">
        <f aca="false">IFERROR(+$H109-($Q109+$R109*$G109),"-")</f>
        <v>-</v>
      </c>
      <c r="CS109" s="137"/>
      <c r="CT109" s="144" t="str">
        <f aca="false">IFERROR(+$H109-($V109+$W109*$G109),"-")</f>
        <v>-</v>
      </c>
      <c r="CU109" s="144" t="str">
        <f aca="false">IFERROR(+$H109-($X109+$Y109*$G109),"-")</f>
        <v>-</v>
      </c>
      <c r="CV109" s="144" t="str">
        <f aca="false">IFERROR(+$H109-($Z109+$AA109*$G109),"-")</f>
        <v>-</v>
      </c>
      <c r="CW109" s="144" t="str">
        <f aca="false">IFERROR(+$H109-($AB109+$AC109*$G109),"-")</f>
        <v>-</v>
      </c>
    </row>
    <row r="110" s="156" customFormat="true" ht="12.75" hidden="false" customHeight="true" outlineLevel="0" collapsed="false">
      <c r="A110" s="1"/>
      <c r="B110" s="145" t="s">
        <v>184</v>
      </c>
      <c r="C110" s="146" t="s">
        <v>187</v>
      </c>
      <c r="D110" s="147" t="e">
        <f aca="false">VLOOKUP($C110,#REF!,5,0)</f>
        <v>#VALUE!</v>
      </c>
      <c r="E110" s="148" t="e">
        <f aca="false">VLOOKUP($C110,#REF!,6,0)</f>
        <v>#VALUE!</v>
      </c>
      <c r="F110" s="146" t="e">
        <f aca="false">VLOOKUP($C110,#REF!,7,0)</f>
        <v>#VALUE!</v>
      </c>
      <c r="G110" s="146" t="e">
        <f aca="false">VLOOKUP($C110,#REF!,8,0)</f>
        <v>#VALUE!</v>
      </c>
      <c r="H110" s="149" t="e">
        <f aca="false">VLOOKUP($C110,#REF!,9,0)</f>
        <v>#VALUE!</v>
      </c>
      <c r="I110" s="137"/>
      <c r="J110" s="150" t="e">
        <f aca="false">VLOOKUP($C110,#REF!,10,0)</f>
        <v>#VALUE!</v>
      </c>
      <c r="K110" s="151" t="e">
        <f aca="false">VLOOKUP($C110,#REF!,11,0)</f>
        <v>#VALUE!</v>
      </c>
      <c r="L110" s="140"/>
      <c r="M110" s="150" t="e">
        <f aca="false">VLOOKUP($C110,#REF!,12,0)</f>
        <v>#VALUE!</v>
      </c>
      <c r="N110" s="152" t="e">
        <f aca="false">VLOOKUP($C110,#REF!,13,0)</f>
        <v>#VALUE!</v>
      </c>
      <c r="O110" s="150" t="e">
        <f aca="false">VLOOKUP($C110,#REF!,14,0)</f>
        <v>#VALUE!</v>
      </c>
      <c r="P110" s="152" t="e">
        <f aca="false">VLOOKUP($C110,#REF!,15,0)</f>
        <v>#VALUE!</v>
      </c>
      <c r="Q110" s="150" t="e">
        <f aca="false">VLOOKUP($C110,#REF!,16,0)</f>
        <v>#VALUE!</v>
      </c>
      <c r="R110" s="151" t="e">
        <f aca="false">VLOOKUP($C110,#REF!,17,0)</f>
        <v>#VALUE!</v>
      </c>
      <c r="S110" s="152" t="e">
        <f aca="false">VLOOKUP($C110,#REF!,18,0)</f>
        <v>#VALUE!</v>
      </c>
      <c r="T110" s="151" t="e">
        <f aca="false">VLOOKUP($C110,#REF!,19,0)</f>
        <v>#VALUE!</v>
      </c>
      <c r="U110" s="140"/>
      <c r="V110" s="150" t="e">
        <f aca="false">VLOOKUP($C110,#REF!,20,0)</f>
        <v>#VALUE!</v>
      </c>
      <c r="W110" s="152" t="e">
        <f aca="false">VLOOKUP($C110,#REF!,21,0)</f>
        <v>#VALUE!</v>
      </c>
      <c r="X110" s="150" t="e">
        <f aca="false">VLOOKUP($C110,#REF!,22,0)</f>
        <v>#VALUE!</v>
      </c>
      <c r="Y110" s="152" t="e">
        <f aca="false">VLOOKUP($C110,#REF!,23,0)</f>
        <v>#VALUE!</v>
      </c>
      <c r="Z110" s="150" t="e">
        <f aca="false">VLOOKUP($C110,#REF!,24,0)</f>
        <v>#VALUE!</v>
      </c>
      <c r="AA110" s="151" t="e">
        <f aca="false">VLOOKUP($C110,#REF!,25,0)</f>
        <v>#VALUE!</v>
      </c>
      <c r="AB110" s="152" t="e">
        <f aca="false">VLOOKUP($C110,#REF!,26,0)</f>
        <v>#VALUE!</v>
      </c>
      <c r="AC110" s="151" t="e">
        <f aca="false">VLOOKUP($C110,#REF!,27,0)</f>
        <v>#VALUE!</v>
      </c>
      <c r="AD110" s="1"/>
      <c r="AE110" s="150" t="e">
        <f aca="false">IF(M110="-","-","0,5 GB")</f>
        <v>#VALUE!</v>
      </c>
      <c r="AF110" s="153" t="s">
        <v>92</v>
      </c>
      <c r="AG110" s="153" t="s">
        <v>93</v>
      </c>
      <c r="AH110" s="151" t="s">
        <v>94</v>
      </c>
      <c r="AI110" s="1"/>
      <c r="AJ110" s="150" t="s">
        <v>95</v>
      </c>
      <c r="AK110" s="153" t="s">
        <v>96</v>
      </c>
      <c r="AL110" s="153" t="s">
        <v>97</v>
      </c>
      <c r="AM110" s="153" t="s">
        <v>98</v>
      </c>
      <c r="AN110" s="153" t="s">
        <v>98</v>
      </c>
      <c r="AO110" s="151" t="s">
        <v>92</v>
      </c>
      <c r="AP110" s="1"/>
      <c r="AQ110" s="154" t="n">
        <v>0</v>
      </c>
      <c r="AR110" s="137"/>
      <c r="AS110" s="150" t="n">
        <v>0</v>
      </c>
      <c r="AT110" s="151" t="n">
        <v>0</v>
      </c>
      <c r="AU110" s="140"/>
      <c r="AV110" s="150" t="n">
        <f aca="false">IFERROR(ROUND($D110-M110-AW110,0),0)</f>
        <v>0</v>
      </c>
      <c r="AW110" s="151" t="n">
        <f aca="false">IFERROR(N110*$G110,0)</f>
        <v>0</v>
      </c>
      <c r="AX110" s="150" t="n">
        <f aca="false">IFERROR(ROUND($D110-O110-AY110,0),0)</f>
        <v>0</v>
      </c>
      <c r="AY110" s="151" t="n">
        <f aca="false">IFERROR(P110*$G110,0)</f>
        <v>0</v>
      </c>
      <c r="AZ110" s="150" t="n">
        <f aca="false">IFERROR(ROUND($D110-Q110-BA110,0),0)</f>
        <v>0</v>
      </c>
      <c r="BA110" s="151" t="n">
        <f aca="false">IFERROR(R110*$G110,0)</f>
        <v>0</v>
      </c>
      <c r="BB110" s="152" t="n">
        <f aca="false">IFERROR(ROUND($D110-S110-BC110,0),0)</f>
        <v>0</v>
      </c>
      <c r="BC110" s="151" t="n">
        <f aca="false">IFERROR(T110*$G110,0)</f>
        <v>0</v>
      </c>
      <c r="BD110" s="140"/>
      <c r="BE110" s="150" t="n">
        <f aca="false">IFERROR(ROUND($D110-V110-BF110,0),0)</f>
        <v>0</v>
      </c>
      <c r="BF110" s="151" t="n">
        <f aca="false">IFERROR(W110*$G110,0)</f>
        <v>0</v>
      </c>
      <c r="BG110" s="150" t="n">
        <f aca="false">IFERROR(ROUND($D110-X110-BH110,0),0)</f>
        <v>0</v>
      </c>
      <c r="BH110" s="151" t="n">
        <f aca="false">IFERROR(Y110*$G110,0)</f>
        <v>0</v>
      </c>
      <c r="BI110" s="152" t="n">
        <f aca="false">IFERROR(ROUND($D110-Z110-BJ110,0),0)</f>
        <v>0</v>
      </c>
      <c r="BJ110" s="151" t="n">
        <f aca="false">IFERROR(AA110*$G110,0)</f>
        <v>0</v>
      </c>
      <c r="BK110" s="152" t="n">
        <f aca="false">IFERROR(ROUND($D110-AB110-BL110,0),0)</f>
        <v>0</v>
      </c>
      <c r="BL110" s="151" t="n">
        <f aca="false">IFERROR(AC110*$G110,0)</f>
        <v>0</v>
      </c>
      <c r="BM110" s="1"/>
      <c r="BN110" s="154" t="n">
        <v>0</v>
      </c>
      <c r="BO110" s="155"/>
      <c r="BP110" s="150" t="n">
        <v>0</v>
      </c>
      <c r="BQ110" s="151" t="n">
        <v>0</v>
      </c>
      <c r="BR110" s="152"/>
      <c r="BS110" s="150" t="n">
        <v>0</v>
      </c>
      <c r="BT110" s="151" t="n">
        <v>0</v>
      </c>
      <c r="BU110" s="150" t="n">
        <v>0</v>
      </c>
      <c r="BV110" s="151" t="n">
        <v>0</v>
      </c>
      <c r="BW110" s="150" t="n">
        <v>0</v>
      </c>
      <c r="BX110" s="151" t="n">
        <v>0</v>
      </c>
      <c r="BY110" s="150" t="n">
        <v>0</v>
      </c>
      <c r="BZ110" s="151" t="n">
        <v>0</v>
      </c>
      <c r="CA110" s="152"/>
      <c r="CB110" s="150" t="n">
        <v>0</v>
      </c>
      <c r="CC110" s="151" t="n">
        <v>0</v>
      </c>
      <c r="CD110" s="150" t="n">
        <v>0</v>
      </c>
      <c r="CE110" s="151" t="n">
        <v>0</v>
      </c>
      <c r="CF110" s="150" t="n">
        <v>0</v>
      </c>
      <c r="CG110" s="151" t="n">
        <v>0</v>
      </c>
      <c r="CH110" s="150" t="n">
        <v>0</v>
      </c>
      <c r="CI110" s="151" t="n">
        <v>0</v>
      </c>
      <c r="CJ110" s="1"/>
      <c r="CK110" s="149"/>
      <c r="CL110" s="137"/>
      <c r="CM110" s="154" t="str">
        <f aca="false">IFERROR(+$H110-($J110+$K110*$G110),"-")</f>
        <v>-</v>
      </c>
      <c r="CN110" s="137"/>
      <c r="CO110" s="154" t="str">
        <f aca="false">IFERROR(+$H110-($M110+$N110*$G110),"-")</f>
        <v>-</v>
      </c>
      <c r="CP110" s="154" t="str">
        <f aca="false">IFERROR(+$H110-($O110+$P110*$G110),"-")</f>
        <v>-</v>
      </c>
      <c r="CQ110" s="154" t="str">
        <f aca="false">IFERROR(+$H110-($Q110+$R110*$G110),"-")</f>
        <v>-</v>
      </c>
      <c r="CR110" s="154" t="str">
        <f aca="false">IFERROR(+$H110-($Q110+$R110*$G110),"-")</f>
        <v>-</v>
      </c>
      <c r="CS110" s="137"/>
      <c r="CT110" s="154" t="str">
        <f aca="false">IFERROR(+$H110-($V110+$W110*$G110),"-")</f>
        <v>-</v>
      </c>
      <c r="CU110" s="154" t="str">
        <f aca="false">IFERROR(+$H110-($X110+$Y110*$G110),"-")</f>
        <v>-</v>
      </c>
      <c r="CV110" s="154" t="str">
        <f aca="false">IFERROR(+$H110-($Z110+$AA110*$G110),"-")</f>
        <v>-</v>
      </c>
      <c r="CW110" s="154" t="str">
        <f aca="false">IFERROR(+$H110-($AB110+$AC110*$G110),"-")</f>
        <v>-</v>
      </c>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row>
    <row r="111" s="1" customFormat="true" ht="12.75" hidden="false" customHeight="true" outlineLevel="0" collapsed="false">
      <c r="B111" s="134" t="s">
        <v>184</v>
      </c>
      <c r="C111" s="135" t="s">
        <v>188</v>
      </c>
      <c r="D111" s="136" t="e">
        <f aca="false">VLOOKUP($C111,#REF!,5,0)</f>
        <v>#VALUE!</v>
      </c>
      <c r="E111" s="157" t="e">
        <f aca="false">VLOOKUP($C111,#REF!,6,0)</f>
        <v>#VALUE!</v>
      </c>
      <c r="F111" s="135" t="e">
        <f aca="false">VLOOKUP($C111,#REF!,7,0)</f>
        <v>#VALUE!</v>
      </c>
      <c r="G111" s="135" t="e">
        <f aca="false">VLOOKUP($C111,#REF!,8,0)</f>
        <v>#VALUE!</v>
      </c>
      <c r="H111" s="158" t="e">
        <f aca="false">VLOOKUP($C111,#REF!,9,0)</f>
        <v>#VALUE!</v>
      </c>
      <c r="I111" s="137"/>
      <c r="J111" s="138" t="e">
        <f aca="false">VLOOKUP($C111,#REF!,10,0)</f>
        <v>#VALUE!</v>
      </c>
      <c r="K111" s="139" t="e">
        <f aca="false">VLOOKUP($C111,#REF!,11,0)</f>
        <v>#VALUE!</v>
      </c>
      <c r="L111" s="140"/>
      <c r="M111" s="138" t="e">
        <f aca="false">VLOOKUP($C111,#REF!,12,0)</f>
        <v>#VALUE!</v>
      </c>
      <c r="N111" s="140" t="e">
        <f aca="false">VLOOKUP($C111,#REF!,13,0)</f>
        <v>#VALUE!</v>
      </c>
      <c r="O111" s="138" t="e">
        <f aca="false">VLOOKUP($C111,#REF!,14,0)</f>
        <v>#VALUE!</v>
      </c>
      <c r="P111" s="140" t="e">
        <f aca="false">VLOOKUP($C111,#REF!,15,0)</f>
        <v>#VALUE!</v>
      </c>
      <c r="Q111" s="138" t="e">
        <f aca="false">VLOOKUP($C111,#REF!,16,0)</f>
        <v>#VALUE!</v>
      </c>
      <c r="R111" s="139" t="e">
        <f aca="false">VLOOKUP($C111,#REF!,17,0)</f>
        <v>#VALUE!</v>
      </c>
      <c r="S111" s="140" t="e">
        <f aca="false">VLOOKUP($C111,#REF!,18,0)</f>
        <v>#VALUE!</v>
      </c>
      <c r="T111" s="139" t="e">
        <f aca="false">VLOOKUP($C111,#REF!,19,0)</f>
        <v>#VALUE!</v>
      </c>
      <c r="U111" s="140"/>
      <c r="V111" s="138" t="e">
        <f aca="false">VLOOKUP($C111,#REF!,20,0)</f>
        <v>#VALUE!</v>
      </c>
      <c r="W111" s="140" t="e">
        <f aca="false">VLOOKUP($C111,#REF!,21,0)</f>
        <v>#VALUE!</v>
      </c>
      <c r="X111" s="138" t="e">
        <f aca="false">VLOOKUP($C111,#REF!,22,0)</f>
        <v>#VALUE!</v>
      </c>
      <c r="Y111" s="140" t="e">
        <f aca="false">VLOOKUP($C111,#REF!,23,0)</f>
        <v>#VALUE!</v>
      </c>
      <c r="Z111" s="138" t="e">
        <f aca="false">VLOOKUP($C111,#REF!,24,0)</f>
        <v>#VALUE!</v>
      </c>
      <c r="AA111" s="139" t="e">
        <f aca="false">VLOOKUP($C111,#REF!,25,0)</f>
        <v>#VALUE!</v>
      </c>
      <c r="AB111" s="140" t="e">
        <f aca="false">VLOOKUP($C111,#REF!,26,0)</f>
        <v>#VALUE!</v>
      </c>
      <c r="AC111" s="139" t="e">
        <f aca="false">VLOOKUP($C111,#REF!,27,0)</f>
        <v>#VALUE!</v>
      </c>
      <c r="AE111" s="138" t="e">
        <f aca="false">IF(M111="-","-","0,5 GB")</f>
        <v>#VALUE!</v>
      </c>
      <c r="AF111" s="141" t="s">
        <v>92</v>
      </c>
      <c r="AG111" s="141" t="s">
        <v>93</v>
      </c>
      <c r="AH111" s="139" t="s">
        <v>94</v>
      </c>
      <c r="AJ111" s="138" t="s">
        <v>95</v>
      </c>
      <c r="AK111" s="141" t="s">
        <v>96</v>
      </c>
      <c r="AL111" s="141" t="s">
        <v>97</v>
      </c>
      <c r="AM111" s="141" t="s">
        <v>98</v>
      </c>
      <c r="AN111" s="141" t="s">
        <v>98</v>
      </c>
      <c r="AO111" s="139" t="s">
        <v>92</v>
      </c>
      <c r="AQ111" s="142" t="n">
        <v>0</v>
      </c>
      <c r="AR111" s="137"/>
      <c r="AS111" s="138" t="n">
        <v>0</v>
      </c>
      <c r="AT111" s="139" t="n">
        <v>0</v>
      </c>
      <c r="AU111" s="140"/>
      <c r="AV111" s="138" t="n">
        <f aca="false">IFERROR(ROUND($D111-M111-AW111,0),0)</f>
        <v>0</v>
      </c>
      <c r="AW111" s="139" t="n">
        <f aca="false">IFERROR(N111*$G111,0)</f>
        <v>0</v>
      </c>
      <c r="AX111" s="138" t="n">
        <f aca="false">IFERROR(ROUND($D111-O111-AY111,0),0)</f>
        <v>0</v>
      </c>
      <c r="AY111" s="139" t="n">
        <f aca="false">IFERROR(P111*$G111,0)</f>
        <v>0</v>
      </c>
      <c r="AZ111" s="138" t="n">
        <f aca="false">IFERROR(ROUND($D111-Q111-BA111,0),0)</f>
        <v>0</v>
      </c>
      <c r="BA111" s="139" t="n">
        <f aca="false">IFERROR(R111*$G111,0)</f>
        <v>0</v>
      </c>
      <c r="BB111" s="140" t="n">
        <f aca="false">IFERROR(ROUND($D111-S111-BC111,0),0)</f>
        <v>0</v>
      </c>
      <c r="BC111" s="139" t="n">
        <f aca="false">IFERROR(T111*$G111,0)</f>
        <v>0</v>
      </c>
      <c r="BD111" s="140"/>
      <c r="BE111" s="138" t="n">
        <f aca="false">IFERROR(ROUND($D111-V111-BF111,0),0)</f>
        <v>0</v>
      </c>
      <c r="BF111" s="139" t="n">
        <f aca="false">IFERROR(W111*$G111,0)</f>
        <v>0</v>
      </c>
      <c r="BG111" s="138" t="n">
        <f aca="false">IFERROR(ROUND($D111-X111-BH111,0),0)</f>
        <v>0</v>
      </c>
      <c r="BH111" s="139" t="n">
        <f aca="false">IFERROR(Y111*$G111,0)</f>
        <v>0</v>
      </c>
      <c r="BI111" s="140" t="n">
        <f aca="false">IFERROR(ROUND($D111-Z111-BJ111,0),0)</f>
        <v>0</v>
      </c>
      <c r="BJ111" s="139" t="n">
        <f aca="false">IFERROR(AA111*$G111,0)</f>
        <v>0</v>
      </c>
      <c r="BK111" s="140" t="n">
        <f aca="false">IFERROR(ROUND($D111-AB111-BL111,0),0)</f>
        <v>0</v>
      </c>
      <c r="BL111" s="139" t="n">
        <f aca="false">IFERROR(AC111*$G111,0)</f>
        <v>0</v>
      </c>
      <c r="BN111" s="142" t="n">
        <v>0</v>
      </c>
      <c r="BO111" s="137"/>
      <c r="BP111" s="138" t="n">
        <v>0</v>
      </c>
      <c r="BQ111" s="139" t="n">
        <v>0</v>
      </c>
      <c r="BR111" s="140"/>
      <c r="BS111" s="138" t="n">
        <v>0</v>
      </c>
      <c r="BT111" s="139" t="n">
        <v>0</v>
      </c>
      <c r="BU111" s="138" t="n">
        <v>0</v>
      </c>
      <c r="BV111" s="139" t="n">
        <v>0</v>
      </c>
      <c r="BW111" s="138" t="n">
        <v>0</v>
      </c>
      <c r="BX111" s="139" t="n">
        <v>0</v>
      </c>
      <c r="BY111" s="138" t="n">
        <v>0</v>
      </c>
      <c r="BZ111" s="139" t="n">
        <v>0</v>
      </c>
      <c r="CA111" s="140"/>
      <c r="CB111" s="138" t="n">
        <v>0</v>
      </c>
      <c r="CC111" s="139" t="n">
        <v>0</v>
      </c>
      <c r="CD111" s="138" t="n">
        <v>0</v>
      </c>
      <c r="CE111" s="139" t="n">
        <v>0</v>
      </c>
      <c r="CF111" s="138" t="n">
        <v>0</v>
      </c>
      <c r="CG111" s="139" t="n">
        <v>0</v>
      </c>
      <c r="CH111" s="138" t="n">
        <v>0</v>
      </c>
      <c r="CI111" s="139" t="n">
        <v>0</v>
      </c>
      <c r="CK111" s="143"/>
      <c r="CL111" s="137"/>
      <c r="CM111" s="144" t="str">
        <f aca="false">IFERROR(+$H111-($J111+$K111*$G111),"-")</f>
        <v>-</v>
      </c>
      <c r="CN111" s="137"/>
      <c r="CO111" s="144" t="str">
        <f aca="false">IFERROR(+$H111-($M111+$N111*$G111),"-")</f>
        <v>-</v>
      </c>
      <c r="CP111" s="144" t="str">
        <f aca="false">IFERROR(+$H111-($O111+$P111*$G111),"-")</f>
        <v>-</v>
      </c>
      <c r="CQ111" s="144" t="str">
        <f aca="false">IFERROR(+$H111-($Q111+$R111*$G111),"-")</f>
        <v>-</v>
      </c>
      <c r="CR111" s="144" t="str">
        <f aca="false">IFERROR(+$H111-($Q111+$R111*$G111),"-")</f>
        <v>-</v>
      </c>
      <c r="CS111" s="137"/>
      <c r="CT111" s="144" t="str">
        <f aca="false">IFERROR(+$H111-($V111+$W111*$G111),"-")</f>
        <v>-</v>
      </c>
      <c r="CU111" s="144" t="str">
        <f aca="false">IFERROR(+$H111-($X111+$Y111*$G111),"-")</f>
        <v>-</v>
      </c>
      <c r="CV111" s="144" t="str">
        <f aca="false">IFERROR(+$H111-($Z111+$AA111*$G111),"-")</f>
        <v>-</v>
      </c>
      <c r="CW111" s="144" t="str">
        <f aca="false">IFERROR(+$H111-($AB111+$AC111*$G111),"-")</f>
        <v>-</v>
      </c>
    </row>
    <row r="112" s="156" customFormat="true" ht="12.75" hidden="false" customHeight="true" outlineLevel="0" collapsed="false">
      <c r="A112" s="1"/>
      <c r="B112" s="145" t="s">
        <v>184</v>
      </c>
      <c r="C112" s="146" t="s">
        <v>189</v>
      </c>
      <c r="D112" s="147" t="e">
        <f aca="false">VLOOKUP($C112,#REF!,5,0)</f>
        <v>#VALUE!</v>
      </c>
      <c r="E112" s="148" t="e">
        <f aca="false">VLOOKUP($C112,#REF!,6,0)</f>
        <v>#VALUE!</v>
      </c>
      <c r="F112" s="146" t="e">
        <f aca="false">VLOOKUP($C112,#REF!,7,0)</f>
        <v>#VALUE!</v>
      </c>
      <c r="G112" s="146" t="e">
        <f aca="false">VLOOKUP($C112,#REF!,8,0)</f>
        <v>#VALUE!</v>
      </c>
      <c r="H112" s="149" t="e">
        <f aca="false">VLOOKUP($C112,#REF!,9,0)</f>
        <v>#VALUE!</v>
      </c>
      <c r="I112" s="137"/>
      <c r="J112" s="150" t="e">
        <f aca="false">VLOOKUP($C112,#REF!,10,0)</f>
        <v>#VALUE!</v>
      </c>
      <c r="K112" s="151" t="e">
        <f aca="false">VLOOKUP($C112,#REF!,11,0)</f>
        <v>#VALUE!</v>
      </c>
      <c r="L112" s="140"/>
      <c r="M112" s="150" t="e">
        <f aca="false">VLOOKUP($C112,#REF!,12,0)</f>
        <v>#VALUE!</v>
      </c>
      <c r="N112" s="152" t="e">
        <f aca="false">VLOOKUP($C112,#REF!,13,0)</f>
        <v>#VALUE!</v>
      </c>
      <c r="O112" s="150" t="e">
        <f aca="false">VLOOKUP($C112,#REF!,14,0)</f>
        <v>#VALUE!</v>
      </c>
      <c r="P112" s="152" t="e">
        <f aca="false">VLOOKUP($C112,#REF!,15,0)</f>
        <v>#VALUE!</v>
      </c>
      <c r="Q112" s="150" t="e">
        <f aca="false">VLOOKUP($C112,#REF!,16,0)</f>
        <v>#VALUE!</v>
      </c>
      <c r="R112" s="151" t="e">
        <f aca="false">VLOOKUP($C112,#REF!,17,0)</f>
        <v>#VALUE!</v>
      </c>
      <c r="S112" s="152" t="e">
        <f aca="false">VLOOKUP($C112,#REF!,18,0)</f>
        <v>#VALUE!</v>
      </c>
      <c r="T112" s="151" t="e">
        <f aca="false">VLOOKUP($C112,#REF!,19,0)</f>
        <v>#VALUE!</v>
      </c>
      <c r="U112" s="140"/>
      <c r="V112" s="150" t="e">
        <f aca="false">VLOOKUP($C112,#REF!,20,0)</f>
        <v>#VALUE!</v>
      </c>
      <c r="W112" s="152" t="e">
        <f aca="false">VLOOKUP($C112,#REF!,21,0)</f>
        <v>#VALUE!</v>
      </c>
      <c r="X112" s="150" t="e">
        <f aca="false">VLOOKUP($C112,#REF!,22,0)</f>
        <v>#VALUE!</v>
      </c>
      <c r="Y112" s="152" t="e">
        <f aca="false">VLOOKUP($C112,#REF!,23,0)</f>
        <v>#VALUE!</v>
      </c>
      <c r="Z112" s="150" t="e">
        <f aca="false">VLOOKUP($C112,#REF!,24,0)</f>
        <v>#VALUE!</v>
      </c>
      <c r="AA112" s="151" t="e">
        <f aca="false">VLOOKUP($C112,#REF!,25,0)</f>
        <v>#VALUE!</v>
      </c>
      <c r="AB112" s="152" t="e">
        <f aca="false">VLOOKUP($C112,#REF!,26,0)</f>
        <v>#VALUE!</v>
      </c>
      <c r="AC112" s="151" t="e">
        <f aca="false">VLOOKUP($C112,#REF!,27,0)</f>
        <v>#VALUE!</v>
      </c>
      <c r="AD112" s="1"/>
      <c r="AE112" s="150" t="e">
        <f aca="false">IF(M112="-","-","0,5 GB")</f>
        <v>#VALUE!</v>
      </c>
      <c r="AF112" s="153" t="s">
        <v>92</v>
      </c>
      <c r="AG112" s="153" t="s">
        <v>93</v>
      </c>
      <c r="AH112" s="151" t="s">
        <v>94</v>
      </c>
      <c r="AI112" s="1"/>
      <c r="AJ112" s="150" t="s">
        <v>95</v>
      </c>
      <c r="AK112" s="153" t="s">
        <v>96</v>
      </c>
      <c r="AL112" s="153" t="s">
        <v>97</v>
      </c>
      <c r="AM112" s="153" t="s">
        <v>98</v>
      </c>
      <c r="AN112" s="153" t="s">
        <v>98</v>
      </c>
      <c r="AO112" s="151" t="s">
        <v>92</v>
      </c>
      <c r="AP112" s="1"/>
      <c r="AQ112" s="154" t="n">
        <v>234</v>
      </c>
      <c r="AR112" s="137"/>
      <c r="AS112" s="150" t="n">
        <v>0</v>
      </c>
      <c r="AT112" s="151" t="n">
        <v>0</v>
      </c>
      <c r="AU112" s="140"/>
      <c r="AV112" s="150" t="n">
        <f aca="false">IFERROR(ROUND($D112-M112-AW112,0),0)</f>
        <v>0</v>
      </c>
      <c r="AW112" s="151" t="n">
        <f aca="false">IFERROR(N112*$G112,0)</f>
        <v>0</v>
      </c>
      <c r="AX112" s="150" t="n">
        <f aca="false">IFERROR(ROUND($D112-O112-AY112,0),0)</f>
        <v>0</v>
      </c>
      <c r="AY112" s="151" t="n">
        <f aca="false">IFERROR(P112*$G112,0)</f>
        <v>0</v>
      </c>
      <c r="AZ112" s="150" t="n">
        <f aca="false">IFERROR(ROUND($D112-Q112-BA112,0),0)</f>
        <v>0</v>
      </c>
      <c r="BA112" s="151" t="n">
        <f aca="false">IFERROR(R112*$G112,0)</f>
        <v>0</v>
      </c>
      <c r="BB112" s="152" t="n">
        <f aca="false">IFERROR(ROUND($D112-S112-BC112,0),0)</f>
        <v>0</v>
      </c>
      <c r="BC112" s="151" t="n">
        <f aca="false">IFERROR(T112*$G112,0)</f>
        <v>0</v>
      </c>
      <c r="BD112" s="140"/>
      <c r="BE112" s="150" t="n">
        <f aca="false">IFERROR(ROUND($D112-V112-BF112,0),0)</f>
        <v>0</v>
      </c>
      <c r="BF112" s="151" t="n">
        <f aca="false">IFERROR(W112*$G112,0)</f>
        <v>0</v>
      </c>
      <c r="BG112" s="150" t="n">
        <f aca="false">IFERROR(ROUND($D112-X112-BH112,0),0)</f>
        <v>0</v>
      </c>
      <c r="BH112" s="151" t="n">
        <f aca="false">IFERROR(Y112*$G112,0)</f>
        <v>0</v>
      </c>
      <c r="BI112" s="152" t="n">
        <f aca="false">IFERROR(ROUND($D112-Z112-BJ112,0),0)</f>
        <v>0</v>
      </c>
      <c r="BJ112" s="151" t="n">
        <f aca="false">IFERROR(AA112*$G112,0)</f>
        <v>0</v>
      </c>
      <c r="BK112" s="152" t="n">
        <f aca="false">IFERROR(ROUND($D112-AB112-BL112,0),0)</f>
        <v>0</v>
      </c>
      <c r="BL112" s="151" t="n">
        <f aca="false">IFERROR(AC112*$G112,0)</f>
        <v>0</v>
      </c>
      <c r="BM112" s="1"/>
      <c r="BN112" s="154" t="n">
        <v>-33.06</v>
      </c>
      <c r="BO112" s="155"/>
      <c r="BP112" s="150" t="n">
        <v>-33.06</v>
      </c>
      <c r="BQ112" s="151" t="n">
        <v>0</v>
      </c>
      <c r="BR112" s="152"/>
      <c r="BS112" s="150" t="n">
        <v>0</v>
      </c>
      <c r="BT112" s="151" t="n">
        <v>0</v>
      </c>
      <c r="BU112" s="150" t="n">
        <v>0</v>
      </c>
      <c r="BV112" s="151" t="n">
        <v>0</v>
      </c>
      <c r="BW112" s="150" t="n">
        <v>0</v>
      </c>
      <c r="BX112" s="151" t="n">
        <v>0</v>
      </c>
      <c r="BY112" s="150" t="n">
        <v>0</v>
      </c>
      <c r="BZ112" s="151" t="n">
        <v>0</v>
      </c>
      <c r="CA112" s="152"/>
      <c r="CB112" s="150" t="n">
        <v>0</v>
      </c>
      <c r="CC112" s="151" t="n">
        <v>0</v>
      </c>
      <c r="CD112" s="150" t="n">
        <v>0</v>
      </c>
      <c r="CE112" s="151" t="n">
        <v>0</v>
      </c>
      <c r="CF112" s="150" t="n">
        <v>0</v>
      </c>
      <c r="CG112" s="151" t="n">
        <v>0</v>
      </c>
      <c r="CH112" s="150" t="n">
        <v>0</v>
      </c>
      <c r="CI112" s="151" t="n">
        <v>0</v>
      </c>
      <c r="CJ112" s="1"/>
      <c r="CK112" s="149"/>
      <c r="CL112" s="137"/>
      <c r="CM112" s="154" t="str">
        <f aca="false">IFERROR(+$H112-($J112+$K112*$G112),"-")</f>
        <v>-</v>
      </c>
      <c r="CN112" s="137"/>
      <c r="CO112" s="154" t="str">
        <f aca="false">IFERROR(+$H112-($M112+$N112*$G112),"-")</f>
        <v>-</v>
      </c>
      <c r="CP112" s="154" t="str">
        <f aca="false">IFERROR(+$H112-($O112+$P112*$G112),"-")</f>
        <v>-</v>
      </c>
      <c r="CQ112" s="154" t="str">
        <f aca="false">IFERROR(+$H112-($Q112+$R112*$G112),"-")</f>
        <v>-</v>
      </c>
      <c r="CR112" s="154" t="str">
        <f aca="false">IFERROR(+$H112-($Q112+$R112*$G112),"-")</f>
        <v>-</v>
      </c>
      <c r="CS112" s="137"/>
      <c r="CT112" s="154" t="str">
        <f aca="false">IFERROR(+$H112-($V112+$W112*$G112),"-")</f>
        <v>-</v>
      </c>
      <c r="CU112" s="154" t="str">
        <f aca="false">IFERROR(+$H112-($X112+$Y112*$G112),"-")</f>
        <v>-</v>
      </c>
      <c r="CV112" s="154" t="str">
        <f aca="false">IFERROR(+$H112-($Z112+$AA112*$G112),"-")</f>
        <v>-</v>
      </c>
      <c r="CW112" s="154" t="str">
        <f aca="false">IFERROR(+$H112-($AB112+$AC112*$G112),"-")</f>
        <v>-</v>
      </c>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row>
    <row r="113" s="1" customFormat="true" ht="12.75" hidden="false" customHeight="true" outlineLevel="0" collapsed="false">
      <c r="B113" s="134" t="s">
        <v>190</v>
      </c>
      <c r="C113" s="135" t="s">
        <v>191</v>
      </c>
      <c r="D113" s="136" t="e">
        <f aca="false">VLOOKUP($C113,#REF!,5,0)</f>
        <v>#VALUE!</v>
      </c>
      <c r="E113" s="157" t="e">
        <f aca="false">VLOOKUP($C113,#REF!,6,0)</f>
        <v>#VALUE!</v>
      </c>
      <c r="F113" s="135" t="e">
        <f aca="false">VLOOKUP($C113,#REF!,7,0)</f>
        <v>#VALUE!</v>
      </c>
      <c r="G113" s="135" t="e">
        <f aca="false">VLOOKUP($C113,#REF!,8,0)</f>
        <v>#VALUE!</v>
      </c>
      <c r="H113" s="158" t="e">
        <f aca="false">VLOOKUP($C113,#REF!,9,0)</f>
        <v>#VALUE!</v>
      </c>
      <c r="I113" s="137"/>
      <c r="J113" s="138" t="e">
        <f aca="false">VLOOKUP($C113,#REF!,10,0)</f>
        <v>#VALUE!</v>
      </c>
      <c r="K113" s="139" t="e">
        <f aca="false">VLOOKUP($C113,#REF!,11,0)</f>
        <v>#VALUE!</v>
      </c>
      <c r="L113" s="140"/>
      <c r="M113" s="138" t="e">
        <f aca="false">VLOOKUP($C113,#REF!,12,0)</f>
        <v>#VALUE!</v>
      </c>
      <c r="N113" s="140" t="e">
        <f aca="false">VLOOKUP($C113,#REF!,13,0)</f>
        <v>#VALUE!</v>
      </c>
      <c r="O113" s="138" t="e">
        <f aca="false">VLOOKUP($C113,#REF!,14,0)</f>
        <v>#VALUE!</v>
      </c>
      <c r="P113" s="140" t="e">
        <f aca="false">VLOOKUP($C113,#REF!,15,0)</f>
        <v>#VALUE!</v>
      </c>
      <c r="Q113" s="138" t="e">
        <f aca="false">VLOOKUP($C113,#REF!,16,0)</f>
        <v>#VALUE!</v>
      </c>
      <c r="R113" s="139" t="e">
        <f aca="false">VLOOKUP($C113,#REF!,17,0)</f>
        <v>#VALUE!</v>
      </c>
      <c r="S113" s="140" t="e">
        <f aca="false">VLOOKUP($C113,#REF!,18,0)</f>
        <v>#VALUE!</v>
      </c>
      <c r="T113" s="139" t="e">
        <f aca="false">VLOOKUP($C113,#REF!,19,0)</f>
        <v>#VALUE!</v>
      </c>
      <c r="U113" s="140"/>
      <c r="V113" s="138" t="e">
        <f aca="false">VLOOKUP($C113,#REF!,20,0)</f>
        <v>#VALUE!</v>
      </c>
      <c r="W113" s="140" t="e">
        <f aca="false">VLOOKUP($C113,#REF!,21,0)</f>
        <v>#VALUE!</v>
      </c>
      <c r="X113" s="138" t="e">
        <f aca="false">VLOOKUP($C113,#REF!,22,0)</f>
        <v>#VALUE!</v>
      </c>
      <c r="Y113" s="140" t="e">
        <f aca="false">VLOOKUP($C113,#REF!,23,0)</f>
        <v>#VALUE!</v>
      </c>
      <c r="Z113" s="138" t="e">
        <f aca="false">VLOOKUP($C113,#REF!,24,0)</f>
        <v>#VALUE!</v>
      </c>
      <c r="AA113" s="139" t="e">
        <f aca="false">VLOOKUP($C113,#REF!,25,0)</f>
        <v>#VALUE!</v>
      </c>
      <c r="AB113" s="140" t="e">
        <f aca="false">VLOOKUP($C113,#REF!,26,0)</f>
        <v>#VALUE!</v>
      </c>
      <c r="AC113" s="139" t="e">
        <f aca="false">VLOOKUP($C113,#REF!,27,0)</f>
        <v>#VALUE!</v>
      </c>
      <c r="AE113" s="138" t="e">
        <f aca="false">IF(M113="-","-","0,5 GB")</f>
        <v>#VALUE!</v>
      </c>
      <c r="AF113" s="141" t="s">
        <v>92</v>
      </c>
      <c r="AG113" s="141" t="s">
        <v>93</v>
      </c>
      <c r="AH113" s="139" t="s">
        <v>94</v>
      </c>
      <c r="AJ113" s="138" t="s">
        <v>95</v>
      </c>
      <c r="AK113" s="141" t="s">
        <v>96</v>
      </c>
      <c r="AL113" s="141" t="s">
        <v>97</v>
      </c>
      <c r="AM113" s="141" t="s">
        <v>98</v>
      </c>
      <c r="AN113" s="141" t="s">
        <v>98</v>
      </c>
      <c r="AO113" s="139" t="s">
        <v>92</v>
      </c>
      <c r="AQ113" s="142" t="n">
        <v>45</v>
      </c>
      <c r="AR113" s="137"/>
      <c r="AS113" s="138" t="n">
        <v>0</v>
      </c>
      <c r="AT113" s="139" t="n">
        <v>0</v>
      </c>
      <c r="AU113" s="140"/>
      <c r="AV113" s="138" t="n">
        <f aca="false">IFERROR(ROUND($D113-M113-AW113,0),0)</f>
        <v>0</v>
      </c>
      <c r="AW113" s="139" t="n">
        <f aca="false">IFERROR(N113*$G113,0)</f>
        <v>0</v>
      </c>
      <c r="AX113" s="138" t="n">
        <f aca="false">IFERROR(ROUND($D113-O113-AY113,0),0)</f>
        <v>0</v>
      </c>
      <c r="AY113" s="139" t="n">
        <f aca="false">IFERROR(P113*$G113,0)</f>
        <v>0</v>
      </c>
      <c r="AZ113" s="138" t="n">
        <f aca="false">IFERROR(ROUND($D113-Q113-BA113,0),0)</f>
        <v>0</v>
      </c>
      <c r="BA113" s="139" t="n">
        <f aca="false">IFERROR(R113*$G113,0)</f>
        <v>0</v>
      </c>
      <c r="BB113" s="140" t="n">
        <f aca="false">IFERROR(ROUND($D113-S113-BC113,0),0)</f>
        <v>0</v>
      </c>
      <c r="BC113" s="139" t="n">
        <f aca="false">IFERROR(T113*$G113,0)</f>
        <v>0</v>
      </c>
      <c r="BD113" s="140"/>
      <c r="BE113" s="138" t="n">
        <f aca="false">IFERROR(ROUND($D113-V113-BF113,0),0)</f>
        <v>0</v>
      </c>
      <c r="BF113" s="139" t="n">
        <f aca="false">IFERROR(W113*$G113,0)</f>
        <v>0</v>
      </c>
      <c r="BG113" s="138" t="n">
        <f aca="false">IFERROR(ROUND($D113-X113-BH113,0),0)</f>
        <v>0</v>
      </c>
      <c r="BH113" s="139" t="n">
        <f aca="false">IFERROR(Y113*$G113,0)</f>
        <v>0</v>
      </c>
      <c r="BI113" s="140" t="n">
        <f aca="false">IFERROR(ROUND($D113-Z113-BJ113,0),0)</f>
        <v>0</v>
      </c>
      <c r="BJ113" s="139" t="n">
        <f aca="false">IFERROR(AA113*$G113,0)</f>
        <v>0</v>
      </c>
      <c r="BK113" s="140" t="n">
        <f aca="false">IFERROR(ROUND($D113-AB113-BL113,0),0)</f>
        <v>0</v>
      </c>
      <c r="BL113" s="139" t="n">
        <f aca="false">IFERROR(AC113*$G113,0)</f>
        <v>0</v>
      </c>
      <c r="BN113" s="142" t="n">
        <v>-13.22</v>
      </c>
      <c r="BO113" s="137"/>
      <c r="BP113" s="138" t="n">
        <v>-13.22</v>
      </c>
      <c r="BQ113" s="139" t="n">
        <v>0</v>
      </c>
      <c r="BR113" s="140"/>
      <c r="BS113" s="138" t="n">
        <v>0</v>
      </c>
      <c r="BT113" s="139" t="n">
        <v>0</v>
      </c>
      <c r="BU113" s="138" t="n">
        <v>0</v>
      </c>
      <c r="BV113" s="139" t="n">
        <v>0</v>
      </c>
      <c r="BW113" s="138" t="n">
        <v>0</v>
      </c>
      <c r="BX113" s="139" t="n">
        <v>0</v>
      </c>
      <c r="BY113" s="138" t="n">
        <v>0</v>
      </c>
      <c r="BZ113" s="139" t="n">
        <v>0</v>
      </c>
      <c r="CA113" s="140"/>
      <c r="CB113" s="138" t="n">
        <v>0</v>
      </c>
      <c r="CC113" s="139" t="n">
        <v>0</v>
      </c>
      <c r="CD113" s="138" t="n">
        <v>0</v>
      </c>
      <c r="CE113" s="139" t="n">
        <v>0</v>
      </c>
      <c r="CF113" s="138" t="n">
        <v>0</v>
      </c>
      <c r="CG113" s="139" t="n">
        <v>0</v>
      </c>
      <c r="CH113" s="138" t="n">
        <v>0</v>
      </c>
      <c r="CI113" s="139" t="n">
        <v>0</v>
      </c>
      <c r="CK113" s="143"/>
      <c r="CL113" s="137"/>
      <c r="CM113" s="144" t="str">
        <f aca="false">IFERROR(+$H113-($J113+$K113*$G113),"-")</f>
        <v>-</v>
      </c>
      <c r="CN113" s="137"/>
      <c r="CO113" s="144" t="str">
        <f aca="false">IFERROR(+$H113-($M113+$N113*$G113),"-")</f>
        <v>-</v>
      </c>
      <c r="CP113" s="144" t="str">
        <f aca="false">IFERROR(+$H113-($O113+$P113*$G113),"-")</f>
        <v>-</v>
      </c>
      <c r="CQ113" s="144" t="str">
        <f aca="false">IFERROR(+$H113-($Q113+$R113*$G113),"-")</f>
        <v>-</v>
      </c>
      <c r="CR113" s="144" t="str">
        <f aca="false">IFERROR(+$H113-($Q113+$R113*$G113),"-")</f>
        <v>-</v>
      </c>
      <c r="CS113" s="137"/>
      <c r="CT113" s="144" t="str">
        <f aca="false">IFERROR(+$H113-($V113+$W113*$G113),"-")</f>
        <v>-</v>
      </c>
      <c r="CU113" s="144" t="str">
        <f aca="false">IFERROR(+$H113-($X113+$Y113*$G113),"-")</f>
        <v>-</v>
      </c>
      <c r="CV113" s="144" t="str">
        <f aca="false">IFERROR(+$H113-($Z113+$AA113*$G113),"-")</f>
        <v>-</v>
      </c>
      <c r="CW113" s="144" t="str">
        <f aca="false">IFERROR(+$H113-($AB113+$AC113*$G113),"-")</f>
        <v>-</v>
      </c>
    </row>
    <row r="114" s="156" customFormat="true" ht="12.75" hidden="false" customHeight="true" outlineLevel="0" collapsed="false">
      <c r="A114" s="1"/>
      <c r="B114" s="145" t="s">
        <v>190</v>
      </c>
      <c r="C114" s="146" t="s">
        <v>192</v>
      </c>
      <c r="D114" s="147" t="e">
        <f aca="false">VLOOKUP($C114,#REF!,5,0)</f>
        <v>#VALUE!</v>
      </c>
      <c r="E114" s="148" t="e">
        <f aca="false">VLOOKUP($C114,#REF!,6,0)</f>
        <v>#VALUE!</v>
      </c>
      <c r="F114" s="146" t="e">
        <f aca="false">VLOOKUP($C114,#REF!,7,0)</f>
        <v>#VALUE!</v>
      </c>
      <c r="G114" s="146" t="e">
        <f aca="false">VLOOKUP($C114,#REF!,8,0)</f>
        <v>#VALUE!</v>
      </c>
      <c r="H114" s="149" t="e">
        <f aca="false">VLOOKUP($C114,#REF!,9,0)</f>
        <v>#VALUE!</v>
      </c>
      <c r="I114" s="137"/>
      <c r="J114" s="150" t="e">
        <f aca="false">VLOOKUP($C114,#REF!,10,0)</f>
        <v>#VALUE!</v>
      </c>
      <c r="K114" s="151" t="e">
        <f aca="false">VLOOKUP($C114,#REF!,11,0)</f>
        <v>#VALUE!</v>
      </c>
      <c r="L114" s="140"/>
      <c r="M114" s="150" t="e">
        <f aca="false">VLOOKUP($C114,#REF!,12,0)</f>
        <v>#VALUE!</v>
      </c>
      <c r="N114" s="152" t="e">
        <f aca="false">VLOOKUP($C114,#REF!,13,0)</f>
        <v>#VALUE!</v>
      </c>
      <c r="O114" s="150" t="e">
        <f aca="false">VLOOKUP($C114,#REF!,14,0)</f>
        <v>#VALUE!</v>
      </c>
      <c r="P114" s="152" t="e">
        <f aca="false">VLOOKUP($C114,#REF!,15,0)</f>
        <v>#VALUE!</v>
      </c>
      <c r="Q114" s="150" t="e">
        <f aca="false">VLOOKUP($C114,#REF!,16,0)</f>
        <v>#VALUE!</v>
      </c>
      <c r="R114" s="151" t="e">
        <f aca="false">VLOOKUP($C114,#REF!,17,0)</f>
        <v>#VALUE!</v>
      </c>
      <c r="S114" s="152" t="e">
        <f aca="false">VLOOKUP($C114,#REF!,18,0)</f>
        <v>#VALUE!</v>
      </c>
      <c r="T114" s="151" t="e">
        <f aca="false">VLOOKUP($C114,#REF!,19,0)</f>
        <v>#VALUE!</v>
      </c>
      <c r="U114" s="140"/>
      <c r="V114" s="150" t="e">
        <f aca="false">VLOOKUP($C114,#REF!,20,0)</f>
        <v>#VALUE!</v>
      </c>
      <c r="W114" s="152" t="e">
        <f aca="false">VLOOKUP($C114,#REF!,21,0)</f>
        <v>#VALUE!</v>
      </c>
      <c r="X114" s="150" t="e">
        <f aca="false">VLOOKUP($C114,#REF!,22,0)</f>
        <v>#VALUE!</v>
      </c>
      <c r="Y114" s="152" t="e">
        <f aca="false">VLOOKUP($C114,#REF!,23,0)</f>
        <v>#VALUE!</v>
      </c>
      <c r="Z114" s="150" t="e">
        <f aca="false">VLOOKUP($C114,#REF!,24,0)</f>
        <v>#VALUE!</v>
      </c>
      <c r="AA114" s="151" t="e">
        <f aca="false">VLOOKUP($C114,#REF!,25,0)</f>
        <v>#VALUE!</v>
      </c>
      <c r="AB114" s="152" t="e">
        <f aca="false">VLOOKUP($C114,#REF!,26,0)</f>
        <v>#VALUE!</v>
      </c>
      <c r="AC114" s="151" t="e">
        <f aca="false">VLOOKUP($C114,#REF!,27,0)</f>
        <v>#VALUE!</v>
      </c>
      <c r="AD114" s="1"/>
      <c r="AE114" s="150" t="e">
        <f aca="false">IF(M114="-","-","0,5 GB")</f>
        <v>#VALUE!</v>
      </c>
      <c r="AF114" s="153" t="s">
        <v>92</v>
      </c>
      <c r="AG114" s="153" t="s">
        <v>93</v>
      </c>
      <c r="AH114" s="151" t="s">
        <v>94</v>
      </c>
      <c r="AI114" s="1"/>
      <c r="AJ114" s="150" t="s">
        <v>95</v>
      </c>
      <c r="AK114" s="153" t="s">
        <v>96</v>
      </c>
      <c r="AL114" s="153" t="s">
        <v>97</v>
      </c>
      <c r="AM114" s="153" t="s">
        <v>98</v>
      </c>
      <c r="AN114" s="153" t="s">
        <v>98</v>
      </c>
      <c r="AO114" s="151" t="s">
        <v>92</v>
      </c>
      <c r="AP114" s="1"/>
      <c r="AQ114" s="154" t="n">
        <v>21</v>
      </c>
      <c r="AR114" s="137"/>
      <c r="AS114" s="150" t="n">
        <v>0</v>
      </c>
      <c r="AT114" s="151" t="n">
        <v>0</v>
      </c>
      <c r="AU114" s="140"/>
      <c r="AV114" s="150" t="n">
        <f aca="false">IFERROR(ROUND($D114-M114-AW114,0),0)</f>
        <v>0</v>
      </c>
      <c r="AW114" s="151" t="n">
        <f aca="false">IFERROR(N114*$G114,0)</f>
        <v>0</v>
      </c>
      <c r="AX114" s="150" t="n">
        <f aca="false">IFERROR(ROUND($D114-O114-AY114,0),0)</f>
        <v>0</v>
      </c>
      <c r="AY114" s="151" t="n">
        <f aca="false">IFERROR(P114*$G114,0)</f>
        <v>0</v>
      </c>
      <c r="AZ114" s="150" t="n">
        <f aca="false">IFERROR(ROUND($D114-Q114-BA114,0),0)</f>
        <v>0</v>
      </c>
      <c r="BA114" s="151" t="n">
        <f aca="false">IFERROR(R114*$G114,0)</f>
        <v>0</v>
      </c>
      <c r="BB114" s="152" t="n">
        <f aca="false">IFERROR(ROUND($D114-S114-BC114,0),0)</f>
        <v>0</v>
      </c>
      <c r="BC114" s="151" t="n">
        <f aca="false">IFERROR(T114*$G114,0)</f>
        <v>0</v>
      </c>
      <c r="BD114" s="140"/>
      <c r="BE114" s="150" t="n">
        <f aca="false">IFERROR(ROUND($D114-V114-BF114,0),0)</f>
        <v>0</v>
      </c>
      <c r="BF114" s="151" t="n">
        <f aca="false">IFERROR(W114*$G114,0)</f>
        <v>0</v>
      </c>
      <c r="BG114" s="150" t="n">
        <f aca="false">IFERROR(ROUND($D114-X114-BH114,0),0)</f>
        <v>0</v>
      </c>
      <c r="BH114" s="151" t="n">
        <f aca="false">IFERROR(Y114*$G114,0)</f>
        <v>0</v>
      </c>
      <c r="BI114" s="152" t="n">
        <f aca="false">IFERROR(ROUND($D114-Z114-BJ114,0),0)</f>
        <v>0</v>
      </c>
      <c r="BJ114" s="151" t="n">
        <f aca="false">IFERROR(AA114*$G114,0)</f>
        <v>0</v>
      </c>
      <c r="BK114" s="152" t="n">
        <f aca="false">IFERROR(ROUND($D114-AB114-BL114,0),0)</f>
        <v>0</v>
      </c>
      <c r="BL114" s="151" t="n">
        <f aca="false">IFERROR(AC114*$G114,0)</f>
        <v>0</v>
      </c>
      <c r="BM114" s="1"/>
      <c r="BN114" s="154" t="n">
        <v>0</v>
      </c>
      <c r="BO114" s="155"/>
      <c r="BP114" s="150" t="n">
        <v>0</v>
      </c>
      <c r="BQ114" s="151" t="n">
        <v>0</v>
      </c>
      <c r="BR114" s="152"/>
      <c r="BS114" s="150" t="n">
        <v>0</v>
      </c>
      <c r="BT114" s="151" t="n">
        <v>0</v>
      </c>
      <c r="BU114" s="150" t="n">
        <v>0</v>
      </c>
      <c r="BV114" s="151" t="n">
        <v>0</v>
      </c>
      <c r="BW114" s="150" t="n">
        <v>0</v>
      </c>
      <c r="BX114" s="151" t="n">
        <v>0</v>
      </c>
      <c r="BY114" s="150" t="n">
        <v>0</v>
      </c>
      <c r="BZ114" s="151" t="n">
        <v>0</v>
      </c>
      <c r="CA114" s="152"/>
      <c r="CB114" s="150" t="n">
        <v>0</v>
      </c>
      <c r="CC114" s="151" t="n">
        <v>0</v>
      </c>
      <c r="CD114" s="150" t="n">
        <v>0</v>
      </c>
      <c r="CE114" s="151" t="n">
        <v>0</v>
      </c>
      <c r="CF114" s="150" t="n">
        <v>0</v>
      </c>
      <c r="CG114" s="151" t="n">
        <v>0</v>
      </c>
      <c r="CH114" s="150" t="n">
        <v>0</v>
      </c>
      <c r="CI114" s="151" t="n">
        <v>0</v>
      </c>
      <c r="CJ114" s="1"/>
      <c r="CK114" s="149"/>
      <c r="CL114" s="137"/>
      <c r="CM114" s="154" t="str">
        <f aca="false">IFERROR(+$H114-($J114+$K114*$G114),"-")</f>
        <v>-</v>
      </c>
      <c r="CN114" s="137"/>
      <c r="CO114" s="154" t="str">
        <f aca="false">IFERROR(+$H114-($M114+$N114*$G114),"-")</f>
        <v>-</v>
      </c>
      <c r="CP114" s="154" t="str">
        <f aca="false">IFERROR(+$H114-($O114+$P114*$G114),"-")</f>
        <v>-</v>
      </c>
      <c r="CQ114" s="154" t="str">
        <f aca="false">IFERROR(+$H114-($Q114+$R114*$G114),"-")</f>
        <v>-</v>
      </c>
      <c r="CR114" s="154" t="str">
        <f aca="false">IFERROR(+$H114-($Q114+$R114*$G114),"-")</f>
        <v>-</v>
      </c>
      <c r="CS114" s="137"/>
      <c r="CT114" s="154" t="str">
        <f aca="false">IFERROR(+$H114-($V114+$W114*$G114),"-")</f>
        <v>-</v>
      </c>
      <c r="CU114" s="154" t="str">
        <f aca="false">IFERROR(+$H114-($X114+$Y114*$G114),"-")</f>
        <v>-</v>
      </c>
      <c r="CV114" s="154" t="str">
        <f aca="false">IFERROR(+$H114-($Z114+$AA114*$G114),"-")</f>
        <v>-</v>
      </c>
      <c r="CW114" s="154" t="str">
        <f aca="false">IFERROR(+$H114-($AB114+$AC114*$G114),"-")</f>
        <v>-</v>
      </c>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row>
    <row r="115" s="1" customFormat="true" ht="12.75" hidden="false" customHeight="true" outlineLevel="0" collapsed="false">
      <c r="B115" s="134" t="s">
        <v>190</v>
      </c>
      <c r="C115" s="135" t="s">
        <v>193</v>
      </c>
      <c r="D115" s="136" t="e">
        <f aca="false">VLOOKUP($C115,#REF!,5,0)</f>
        <v>#VALUE!</v>
      </c>
      <c r="E115" s="157" t="e">
        <f aca="false">VLOOKUP($C115,#REF!,6,0)</f>
        <v>#VALUE!</v>
      </c>
      <c r="F115" s="135" t="e">
        <f aca="false">VLOOKUP($C115,#REF!,7,0)</f>
        <v>#VALUE!</v>
      </c>
      <c r="G115" s="135" t="e">
        <f aca="false">VLOOKUP($C115,#REF!,8,0)</f>
        <v>#VALUE!</v>
      </c>
      <c r="H115" s="158" t="e">
        <f aca="false">VLOOKUP($C115,#REF!,9,0)</f>
        <v>#VALUE!</v>
      </c>
      <c r="I115" s="137"/>
      <c r="J115" s="138" t="e">
        <f aca="false">VLOOKUP($C115,#REF!,10,0)</f>
        <v>#VALUE!</v>
      </c>
      <c r="K115" s="139" t="e">
        <f aca="false">VLOOKUP($C115,#REF!,11,0)</f>
        <v>#VALUE!</v>
      </c>
      <c r="L115" s="140"/>
      <c r="M115" s="138" t="e">
        <f aca="false">VLOOKUP($C115,#REF!,12,0)</f>
        <v>#VALUE!</v>
      </c>
      <c r="N115" s="140" t="e">
        <f aca="false">VLOOKUP($C115,#REF!,13,0)</f>
        <v>#VALUE!</v>
      </c>
      <c r="O115" s="138" t="e">
        <f aca="false">VLOOKUP($C115,#REF!,14,0)</f>
        <v>#VALUE!</v>
      </c>
      <c r="P115" s="140" t="e">
        <f aca="false">VLOOKUP($C115,#REF!,15,0)</f>
        <v>#VALUE!</v>
      </c>
      <c r="Q115" s="138" t="e">
        <f aca="false">VLOOKUP($C115,#REF!,16,0)</f>
        <v>#VALUE!</v>
      </c>
      <c r="R115" s="139" t="e">
        <f aca="false">VLOOKUP($C115,#REF!,17,0)</f>
        <v>#VALUE!</v>
      </c>
      <c r="S115" s="140" t="e">
        <f aca="false">VLOOKUP($C115,#REF!,18,0)</f>
        <v>#VALUE!</v>
      </c>
      <c r="T115" s="139" t="e">
        <f aca="false">VLOOKUP($C115,#REF!,19,0)</f>
        <v>#VALUE!</v>
      </c>
      <c r="U115" s="140"/>
      <c r="V115" s="138" t="e">
        <f aca="false">VLOOKUP($C115,#REF!,20,0)</f>
        <v>#VALUE!</v>
      </c>
      <c r="W115" s="140" t="e">
        <f aca="false">VLOOKUP($C115,#REF!,21,0)</f>
        <v>#VALUE!</v>
      </c>
      <c r="X115" s="138" t="e">
        <f aca="false">VLOOKUP($C115,#REF!,22,0)</f>
        <v>#VALUE!</v>
      </c>
      <c r="Y115" s="140" t="e">
        <f aca="false">VLOOKUP($C115,#REF!,23,0)</f>
        <v>#VALUE!</v>
      </c>
      <c r="Z115" s="138" t="e">
        <f aca="false">VLOOKUP($C115,#REF!,24,0)</f>
        <v>#VALUE!</v>
      </c>
      <c r="AA115" s="139" t="e">
        <f aca="false">VLOOKUP($C115,#REF!,25,0)</f>
        <v>#VALUE!</v>
      </c>
      <c r="AB115" s="140" t="e">
        <f aca="false">VLOOKUP($C115,#REF!,26,0)</f>
        <v>#VALUE!</v>
      </c>
      <c r="AC115" s="139" t="e">
        <f aca="false">VLOOKUP($C115,#REF!,27,0)</f>
        <v>#VALUE!</v>
      </c>
      <c r="AE115" s="138" t="e">
        <f aca="false">IF(M115="-","-","0,5 GB")</f>
        <v>#VALUE!</v>
      </c>
      <c r="AF115" s="141" t="s">
        <v>92</v>
      </c>
      <c r="AG115" s="141" t="s">
        <v>93</v>
      </c>
      <c r="AH115" s="139" t="s">
        <v>94</v>
      </c>
      <c r="AJ115" s="138" t="s">
        <v>95</v>
      </c>
      <c r="AK115" s="141" t="s">
        <v>96</v>
      </c>
      <c r="AL115" s="141" t="s">
        <v>97</v>
      </c>
      <c r="AM115" s="141" t="s">
        <v>98</v>
      </c>
      <c r="AN115" s="141" t="s">
        <v>98</v>
      </c>
      <c r="AO115" s="139" t="s">
        <v>92</v>
      </c>
      <c r="AQ115" s="142" t="n">
        <v>186</v>
      </c>
      <c r="AR115" s="137"/>
      <c r="AS115" s="138" t="n">
        <v>0</v>
      </c>
      <c r="AT115" s="139" t="n">
        <v>0</v>
      </c>
      <c r="AU115" s="140"/>
      <c r="AV115" s="138" t="n">
        <f aca="false">IFERROR(ROUND($D115-M115-AW115,0),0)</f>
        <v>0</v>
      </c>
      <c r="AW115" s="139" t="n">
        <f aca="false">IFERROR(N115*$G115,0)</f>
        <v>0</v>
      </c>
      <c r="AX115" s="138" t="n">
        <f aca="false">IFERROR(ROUND($D115-O115-AY115,0),0)</f>
        <v>0</v>
      </c>
      <c r="AY115" s="139" t="n">
        <f aca="false">IFERROR(P115*$G115,0)</f>
        <v>0</v>
      </c>
      <c r="AZ115" s="138" t="n">
        <f aca="false">IFERROR(ROUND($D115-Q115-BA115,0),0)</f>
        <v>0</v>
      </c>
      <c r="BA115" s="139" t="n">
        <f aca="false">IFERROR(R115*$G115,0)</f>
        <v>0</v>
      </c>
      <c r="BB115" s="140" t="n">
        <f aca="false">IFERROR(ROUND($D115-S115-BC115,0),0)</f>
        <v>0</v>
      </c>
      <c r="BC115" s="139" t="n">
        <f aca="false">IFERROR(T115*$G115,0)</f>
        <v>0</v>
      </c>
      <c r="BD115" s="140"/>
      <c r="BE115" s="138" t="n">
        <f aca="false">IFERROR(ROUND($D115-V115-BF115,0),0)</f>
        <v>0</v>
      </c>
      <c r="BF115" s="139" t="n">
        <f aca="false">IFERROR(W115*$G115,0)</f>
        <v>0</v>
      </c>
      <c r="BG115" s="138" t="n">
        <f aca="false">IFERROR(ROUND($D115-X115-BH115,0),0)</f>
        <v>0</v>
      </c>
      <c r="BH115" s="139" t="n">
        <f aca="false">IFERROR(Y115*$G115,0)</f>
        <v>0</v>
      </c>
      <c r="BI115" s="140" t="n">
        <f aca="false">IFERROR(ROUND($D115-Z115-BJ115,0),0)</f>
        <v>0</v>
      </c>
      <c r="BJ115" s="139" t="n">
        <f aca="false">IFERROR(AA115*$G115,0)</f>
        <v>0</v>
      </c>
      <c r="BK115" s="140" t="n">
        <f aca="false">IFERROR(ROUND($D115-AB115-BL115,0),0)</f>
        <v>0</v>
      </c>
      <c r="BL115" s="139" t="n">
        <f aca="false">IFERROR(AC115*$G115,0)</f>
        <v>0</v>
      </c>
      <c r="BN115" s="142" t="n">
        <v>-8.25999999999999</v>
      </c>
      <c r="BO115" s="137"/>
      <c r="BP115" s="138" t="n">
        <v>-8.25999999999999</v>
      </c>
      <c r="BQ115" s="139" t="n">
        <v>0</v>
      </c>
      <c r="BR115" s="140"/>
      <c r="BS115" s="138" t="n">
        <v>0</v>
      </c>
      <c r="BT115" s="139" t="n">
        <v>0</v>
      </c>
      <c r="BU115" s="138" t="n">
        <v>0</v>
      </c>
      <c r="BV115" s="139" t="n">
        <v>0</v>
      </c>
      <c r="BW115" s="138" t="n">
        <v>0</v>
      </c>
      <c r="BX115" s="139" t="n">
        <v>-2</v>
      </c>
      <c r="BY115" s="138" t="n">
        <v>0</v>
      </c>
      <c r="BZ115" s="139" t="n">
        <v>-2</v>
      </c>
      <c r="CA115" s="140"/>
      <c r="CB115" s="138" t="n">
        <v>0</v>
      </c>
      <c r="CC115" s="139" t="n">
        <v>0</v>
      </c>
      <c r="CD115" s="138" t="n">
        <v>0</v>
      </c>
      <c r="CE115" s="139" t="n">
        <v>0</v>
      </c>
      <c r="CF115" s="138" t="n">
        <v>0</v>
      </c>
      <c r="CG115" s="139" t="n">
        <v>-2</v>
      </c>
      <c r="CH115" s="138" t="n">
        <v>0</v>
      </c>
      <c r="CI115" s="139" t="n">
        <v>-2</v>
      </c>
      <c r="CK115" s="143"/>
      <c r="CL115" s="137"/>
      <c r="CM115" s="144" t="str">
        <f aca="false">IFERROR(+$H115-($J115+$K115*$G115),"-")</f>
        <v>-</v>
      </c>
      <c r="CN115" s="137"/>
      <c r="CO115" s="144" t="str">
        <f aca="false">IFERROR(+$H115-($M115+$N115*$G115),"-")</f>
        <v>-</v>
      </c>
      <c r="CP115" s="144" t="str">
        <f aca="false">IFERROR(+$H115-($O115+$P115*$G115),"-")</f>
        <v>-</v>
      </c>
      <c r="CQ115" s="144" t="str">
        <f aca="false">IFERROR(+$H115-($Q115+$R115*$G115),"-")</f>
        <v>-</v>
      </c>
      <c r="CR115" s="144" t="str">
        <f aca="false">IFERROR(+$H115-($Q115+$R115*$G115),"-")</f>
        <v>-</v>
      </c>
      <c r="CS115" s="137"/>
      <c r="CT115" s="144" t="str">
        <f aca="false">IFERROR(+$H115-($V115+$W115*$G115),"-")</f>
        <v>-</v>
      </c>
      <c r="CU115" s="144" t="str">
        <f aca="false">IFERROR(+$H115-($X115+$Y115*$G115),"-")</f>
        <v>-</v>
      </c>
      <c r="CV115" s="144" t="str">
        <f aca="false">IFERROR(+$H115-($Z115+$AA115*$G115),"-")</f>
        <v>-</v>
      </c>
      <c r="CW115" s="144" t="str">
        <f aca="false">IFERROR(+$H115-($AB115+$AC115*$G115),"-")</f>
        <v>-</v>
      </c>
    </row>
    <row r="116" s="156" customFormat="true" ht="12.75" hidden="false" customHeight="true" outlineLevel="0" collapsed="false">
      <c r="A116" s="1"/>
      <c r="B116" s="145" t="s">
        <v>190</v>
      </c>
      <c r="C116" s="146" t="s">
        <v>194</v>
      </c>
      <c r="D116" s="147" t="e">
        <f aca="false">VLOOKUP($C116,#REF!,5,0)</f>
        <v>#VALUE!</v>
      </c>
      <c r="E116" s="148" t="e">
        <f aca="false">VLOOKUP($C116,#REF!,6,0)</f>
        <v>#VALUE!</v>
      </c>
      <c r="F116" s="146" t="e">
        <f aca="false">VLOOKUP($C116,#REF!,7,0)</f>
        <v>#VALUE!</v>
      </c>
      <c r="G116" s="146" t="e">
        <f aca="false">VLOOKUP($C116,#REF!,8,0)</f>
        <v>#VALUE!</v>
      </c>
      <c r="H116" s="149" t="e">
        <f aca="false">VLOOKUP($C116,#REF!,9,0)</f>
        <v>#VALUE!</v>
      </c>
      <c r="I116" s="137"/>
      <c r="J116" s="150" t="e">
        <f aca="false">VLOOKUP($C116,#REF!,10,0)</f>
        <v>#VALUE!</v>
      </c>
      <c r="K116" s="151" t="e">
        <f aca="false">VLOOKUP($C116,#REF!,11,0)</f>
        <v>#VALUE!</v>
      </c>
      <c r="L116" s="140"/>
      <c r="M116" s="150" t="e">
        <f aca="false">VLOOKUP($C116,#REF!,12,0)</f>
        <v>#VALUE!</v>
      </c>
      <c r="N116" s="152" t="e">
        <f aca="false">VLOOKUP($C116,#REF!,13,0)</f>
        <v>#VALUE!</v>
      </c>
      <c r="O116" s="150" t="e">
        <f aca="false">VLOOKUP($C116,#REF!,14,0)</f>
        <v>#VALUE!</v>
      </c>
      <c r="P116" s="152" t="e">
        <f aca="false">VLOOKUP($C116,#REF!,15,0)</f>
        <v>#VALUE!</v>
      </c>
      <c r="Q116" s="150" t="e">
        <f aca="false">VLOOKUP($C116,#REF!,16,0)</f>
        <v>#VALUE!</v>
      </c>
      <c r="R116" s="151" t="e">
        <f aca="false">VLOOKUP($C116,#REF!,17,0)</f>
        <v>#VALUE!</v>
      </c>
      <c r="S116" s="152" t="e">
        <f aca="false">VLOOKUP($C116,#REF!,18,0)</f>
        <v>#VALUE!</v>
      </c>
      <c r="T116" s="151" t="e">
        <f aca="false">VLOOKUP($C116,#REF!,19,0)</f>
        <v>#VALUE!</v>
      </c>
      <c r="U116" s="140"/>
      <c r="V116" s="150" t="e">
        <f aca="false">VLOOKUP($C116,#REF!,20,0)</f>
        <v>#VALUE!</v>
      </c>
      <c r="W116" s="152" t="e">
        <f aca="false">VLOOKUP($C116,#REF!,21,0)</f>
        <v>#VALUE!</v>
      </c>
      <c r="X116" s="150" t="e">
        <f aca="false">VLOOKUP($C116,#REF!,22,0)</f>
        <v>#VALUE!</v>
      </c>
      <c r="Y116" s="152" t="e">
        <f aca="false">VLOOKUP($C116,#REF!,23,0)</f>
        <v>#VALUE!</v>
      </c>
      <c r="Z116" s="150" t="e">
        <f aca="false">VLOOKUP($C116,#REF!,24,0)</f>
        <v>#VALUE!</v>
      </c>
      <c r="AA116" s="151" t="e">
        <f aca="false">VLOOKUP($C116,#REF!,25,0)</f>
        <v>#VALUE!</v>
      </c>
      <c r="AB116" s="152" t="e">
        <f aca="false">VLOOKUP($C116,#REF!,26,0)</f>
        <v>#VALUE!</v>
      </c>
      <c r="AC116" s="151" t="e">
        <f aca="false">VLOOKUP($C116,#REF!,27,0)</f>
        <v>#VALUE!</v>
      </c>
      <c r="AD116" s="1"/>
      <c r="AE116" s="150" t="e">
        <f aca="false">IF(M116="-","-","0,5 GB")</f>
        <v>#VALUE!</v>
      </c>
      <c r="AF116" s="153" t="s">
        <v>92</v>
      </c>
      <c r="AG116" s="153" t="s">
        <v>93</v>
      </c>
      <c r="AH116" s="151" t="s">
        <v>94</v>
      </c>
      <c r="AI116" s="1"/>
      <c r="AJ116" s="150" t="s">
        <v>95</v>
      </c>
      <c r="AK116" s="153" t="s">
        <v>96</v>
      </c>
      <c r="AL116" s="153" t="s">
        <v>97</v>
      </c>
      <c r="AM116" s="153" t="s">
        <v>98</v>
      </c>
      <c r="AN116" s="153" t="s">
        <v>98</v>
      </c>
      <c r="AO116" s="151" t="s">
        <v>92</v>
      </c>
      <c r="AP116" s="1"/>
      <c r="AQ116" s="154" t="n">
        <v>101</v>
      </c>
      <c r="AR116" s="137"/>
      <c r="AS116" s="150" t="n">
        <v>0</v>
      </c>
      <c r="AT116" s="151" t="n">
        <v>0</v>
      </c>
      <c r="AU116" s="140"/>
      <c r="AV116" s="150" t="n">
        <f aca="false">IFERROR(ROUND($D116-M116-AW116,0),0)</f>
        <v>0</v>
      </c>
      <c r="AW116" s="151" t="n">
        <f aca="false">IFERROR(N116*$G116,0)</f>
        <v>0</v>
      </c>
      <c r="AX116" s="150" t="n">
        <f aca="false">IFERROR(ROUND($D116-O116-AY116,0),0)</f>
        <v>0</v>
      </c>
      <c r="AY116" s="151" t="n">
        <f aca="false">IFERROR(P116*$G116,0)</f>
        <v>0</v>
      </c>
      <c r="AZ116" s="150" t="n">
        <f aca="false">IFERROR(ROUND($D116-Q116-BA116,0),0)</f>
        <v>0</v>
      </c>
      <c r="BA116" s="151" t="n">
        <f aca="false">IFERROR(R116*$G116,0)</f>
        <v>0</v>
      </c>
      <c r="BB116" s="152" t="n">
        <f aca="false">IFERROR(ROUND($D116-S116-BC116,0),0)</f>
        <v>0</v>
      </c>
      <c r="BC116" s="151" t="n">
        <f aca="false">IFERROR(T116*$G116,0)</f>
        <v>0</v>
      </c>
      <c r="BD116" s="140"/>
      <c r="BE116" s="150" t="n">
        <f aca="false">IFERROR(ROUND($D116-V116-BF116,0),0)</f>
        <v>0</v>
      </c>
      <c r="BF116" s="151" t="n">
        <f aca="false">IFERROR(W116*$G116,0)</f>
        <v>0</v>
      </c>
      <c r="BG116" s="150" t="n">
        <f aca="false">IFERROR(ROUND($D116-X116-BH116,0),0)</f>
        <v>0</v>
      </c>
      <c r="BH116" s="151" t="n">
        <f aca="false">IFERROR(Y116*$G116,0)</f>
        <v>0</v>
      </c>
      <c r="BI116" s="152" t="n">
        <f aca="false">IFERROR(ROUND($D116-Z116-BJ116,0),0)</f>
        <v>0</v>
      </c>
      <c r="BJ116" s="151" t="n">
        <f aca="false">IFERROR(AA116*$G116,0)</f>
        <v>0</v>
      </c>
      <c r="BK116" s="152" t="n">
        <f aca="false">IFERROR(ROUND($D116-AB116-BL116,0),0)</f>
        <v>0</v>
      </c>
      <c r="BL116" s="151" t="n">
        <f aca="false">IFERROR(AC116*$G116,0)</f>
        <v>0</v>
      </c>
      <c r="BM116" s="1"/>
      <c r="BN116" s="154" t="n">
        <v>-18.18</v>
      </c>
      <c r="BO116" s="155"/>
      <c r="BP116" s="150" t="n">
        <v>-18.18</v>
      </c>
      <c r="BQ116" s="151" t="n">
        <v>0</v>
      </c>
      <c r="BR116" s="152"/>
      <c r="BS116" s="150" t="n">
        <v>0</v>
      </c>
      <c r="BT116" s="151" t="n">
        <v>0</v>
      </c>
      <c r="BU116" s="150" t="n">
        <v>0</v>
      </c>
      <c r="BV116" s="151" t="n">
        <v>0</v>
      </c>
      <c r="BW116" s="150" t="n">
        <v>0</v>
      </c>
      <c r="BX116" s="151" t="n">
        <v>0</v>
      </c>
      <c r="BY116" s="150" t="n">
        <v>0</v>
      </c>
      <c r="BZ116" s="151" t="n">
        <v>0</v>
      </c>
      <c r="CA116" s="152"/>
      <c r="CB116" s="150" t="n">
        <v>0</v>
      </c>
      <c r="CC116" s="151" t="n">
        <v>0</v>
      </c>
      <c r="CD116" s="150" t="n">
        <v>0</v>
      </c>
      <c r="CE116" s="151" t="n">
        <v>0</v>
      </c>
      <c r="CF116" s="150" t="n">
        <v>0</v>
      </c>
      <c r="CG116" s="151" t="n">
        <v>0</v>
      </c>
      <c r="CH116" s="150" t="n">
        <v>0</v>
      </c>
      <c r="CI116" s="151" t="n">
        <v>0</v>
      </c>
      <c r="CJ116" s="1"/>
      <c r="CK116" s="149"/>
      <c r="CL116" s="137"/>
      <c r="CM116" s="154" t="str">
        <f aca="false">IFERROR(+$H116-($J116+$K116*$G116),"-")</f>
        <v>-</v>
      </c>
      <c r="CN116" s="137"/>
      <c r="CO116" s="154" t="str">
        <f aca="false">IFERROR(+$H116-($M116+$N116*$G116),"-")</f>
        <v>-</v>
      </c>
      <c r="CP116" s="154" t="str">
        <f aca="false">IFERROR(+$H116-($O116+$P116*$G116),"-")</f>
        <v>-</v>
      </c>
      <c r="CQ116" s="154" t="str">
        <f aca="false">IFERROR(+$H116-($Q116+$R116*$G116),"-")</f>
        <v>-</v>
      </c>
      <c r="CR116" s="154" t="str">
        <f aca="false">IFERROR(+$H116-($Q116+$R116*$G116),"-")</f>
        <v>-</v>
      </c>
      <c r="CS116" s="137"/>
      <c r="CT116" s="154" t="str">
        <f aca="false">IFERROR(+$H116-($V116+$W116*$G116),"-")</f>
        <v>-</v>
      </c>
      <c r="CU116" s="154" t="str">
        <f aca="false">IFERROR(+$H116-($X116+$Y116*$G116),"-")</f>
        <v>-</v>
      </c>
      <c r="CV116" s="154" t="str">
        <f aca="false">IFERROR(+$H116-($Z116+$AA116*$G116),"-")</f>
        <v>-</v>
      </c>
      <c r="CW116" s="154" t="str">
        <f aca="false">IFERROR(+$H116-($AB116+$AC116*$G116),"-")</f>
        <v>-</v>
      </c>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row>
    <row r="117" s="1" customFormat="true" ht="12.75" hidden="false" customHeight="true" outlineLevel="0" collapsed="false">
      <c r="B117" s="134" t="s">
        <v>190</v>
      </c>
      <c r="C117" s="135" t="s">
        <v>195</v>
      </c>
      <c r="D117" s="136" t="e">
        <f aca="false">VLOOKUP($C117,#REF!,5,0)</f>
        <v>#VALUE!</v>
      </c>
      <c r="E117" s="157" t="e">
        <f aca="false">VLOOKUP($C117,#REF!,6,0)</f>
        <v>#VALUE!</v>
      </c>
      <c r="F117" s="135" t="e">
        <f aca="false">VLOOKUP($C117,#REF!,7,0)</f>
        <v>#VALUE!</v>
      </c>
      <c r="G117" s="135" t="e">
        <f aca="false">VLOOKUP($C117,#REF!,8,0)</f>
        <v>#VALUE!</v>
      </c>
      <c r="H117" s="158" t="e">
        <f aca="false">VLOOKUP($C117,#REF!,9,0)</f>
        <v>#VALUE!</v>
      </c>
      <c r="I117" s="137"/>
      <c r="J117" s="138" t="e">
        <f aca="false">VLOOKUP($C117,#REF!,10,0)</f>
        <v>#VALUE!</v>
      </c>
      <c r="K117" s="139" t="e">
        <f aca="false">VLOOKUP($C117,#REF!,11,0)</f>
        <v>#VALUE!</v>
      </c>
      <c r="L117" s="140"/>
      <c r="M117" s="138" t="e">
        <f aca="false">VLOOKUP($C117,#REF!,12,0)</f>
        <v>#VALUE!</v>
      </c>
      <c r="N117" s="140" t="e">
        <f aca="false">VLOOKUP($C117,#REF!,13,0)</f>
        <v>#VALUE!</v>
      </c>
      <c r="O117" s="138" t="e">
        <f aca="false">VLOOKUP($C117,#REF!,14,0)</f>
        <v>#VALUE!</v>
      </c>
      <c r="P117" s="140" t="e">
        <f aca="false">VLOOKUP($C117,#REF!,15,0)</f>
        <v>#VALUE!</v>
      </c>
      <c r="Q117" s="138" t="e">
        <f aca="false">VLOOKUP($C117,#REF!,16,0)</f>
        <v>#VALUE!</v>
      </c>
      <c r="R117" s="139" t="e">
        <f aca="false">VLOOKUP($C117,#REF!,17,0)</f>
        <v>#VALUE!</v>
      </c>
      <c r="S117" s="140" t="e">
        <f aca="false">VLOOKUP($C117,#REF!,18,0)</f>
        <v>#VALUE!</v>
      </c>
      <c r="T117" s="139" t="e">
        <f aca="false">VLOOKUP($C117,#REF!,19,0)</f>
        <v>#VALUE!</v>
      </c>
      <c r="U117" s="140"/>
      <c r="V117" s="138" t="e">
        <f aca="false">VLOOKUP($C117,#REF!,20,0)</f>
        <v>#VALUE!</v>
      </c>
      <c r="W117" s="140" t="e">
        <f aca="false">VLOOKUP($C117,#REF!,21,0)</f>
        <v>#VALUE!</v>
      </c>
      <c r="X117" s="138" t="e">
        <f aca="false">VLOOKUP($C117,#REF!,22,0)</f>
        <v>#VALUE!</v>
      </c>
      <c r="Y117" s="140" t="e">
        <f aca="false">VLOOKUP($C117,#REF!,23,0)</f>
        <v>#VALUE!</v>
      </c>
      <c r="Z117" s="138" t="e">
        <f aca="false">VLOOKUP($C117,#REF!,24,0)</f>
        <v>#VALUE!</v>
      </c>
      <c r="AA117" s="139" t="e">
        <f aca="false">VLOOKUP($C117,#REF!,25,0)</f>
        <v>#VALUE!</v>
      </c>
      <c r="AB117" s="140" t="e">
        <f aca="false">VLOOKUP($C117,#REF!,26,0)</f>
        <v>#VALUE!</v>
      </c>
      <c r="AC117" s="139" t="e">
        <f aca="false">VLOOKUP($C117,#REF!,27,0)</f>
        <v>#VALUE!</v>
      </c>
      <c r="AE117" s="138" t="e">
        <f aca="false">IF(M117="-","-","0,5 GB")</f>
        <v>#VALUE!</v>
      </c>
      <c r="AF117" s="141" t="s">
        <v>92</v>
      </c>
      <c r="AG117" s="141" t="s">
        <v>93</v>
      </c>
      <c r="AH117" s="139" t="s">
        <v>94</v>
      </c>
      <c r="AJ117" s="138" t="s">
        <v>95</v>
      </c>
      <c r="AK117" s="141" t="s">
        <v>96</v>
      </c>
      <c r="AL117" s="141" t="s">
        <v>97</v>
      </c>
      <c r="AM117" s="141" t="s">
        <v>98</v>
      </c>
      <c r="AN117" s="141" t="s">
        <v>98</v>
      </c>
      <c r="AO117" s="139" t="s">
        <v>92</v>
      </c>
      <c r="AQ117" s="142" t="n">
        <v>-66</v>
      </c>
      <c r="AR117" s="137"/>
      <c r="AS117" s="138" t="n">
        <v>0</v>
      </c>
      <c r="AT117" s="139" t="n">
        <v>0</v>
      </c>
      <c r="AU117" s="140"/>
      <c r="AV117" s="138" t="n">
        <f aca="false">IFERROR(ROUND($D117-M117-AW117,0),0)</f>
        <v>0</v>
      </c>
      <c r="AW117" s="139" t="n">
        <f aca="false">IFERROR(N117*$G117,0)</f>
        <v>0</v>
      </c>
      <c r="AX117" s="138" t="n">
        <f aca="false">IFERROR(ROUND($D117-O117-AY117,0),0)</f>
        <v>0</v>
      </c>
      <c r="AY117" s="139" t="n">
        <f aca="false">IFERROR(P117*$G117,0)</f>
        <v>0</v>
      </c>
      <c r="AZ117" s="138" t="n">
        <f aca="false">IFERROR(ROUND($D117-Q117-BA117,0),0)</f>
        <v>0</v>
      </c>
      <c r="BA117" s="139" t="n">
        <f aca="false">IFERROR(R117*$G117,0)</f>
        <v>0</v>
      </c>
      <c r="BB117" s="140" t="n">
        <f aca="false">IFERROR(ROUND($D117-S117-BC117,0),0)</f>
        <v>0</v>
      </c>
      <c r="BC117" s="139" t="n">
        <f aca="false">IFERROR(T117*$G117,0)</f>
        <v>0</v>
      </c>
      <c r="BD117" s="140"/>
      <c r="BE117" s="138" t="n">
        <f aca="false">IFERROR(ROUND($D117-V117-BF117,0),0)</f>
        <v>0</v>
      </c>
      <c r="BF117" s="139" t="n">
        <f aca="false">IFERROR(W117*$G117,0)</f>
        <v>0</v>
      </c>
      <c r="BG117" s="138" t="n">
        <f aca="false">IFERROR(ROUND($D117-X117-BH117,0),0)</f>
        <v>0</v>
      </c>
      <c r="BH117" s="139" t="n">
        <f aca="false">IFERROR(Y117*$G117,0)</f>
        <v>0</v>
      </c>
      <c r="BI117" s="140" t="n">
        <f aca="false">IFERROR(ROUND($D117-Z117-BJ117,0),0)</f>
        <v>0</v>
      </c>
      <c r="BJ117" s="139" t="n">
        <f aca="false">IFERROR(AA117*$G117,0)</f>
        <v>0</v>
      </c>
      <c r="BK117" s="140" t="n">
        <f aca="false">IFERROR(ROUND($D117-AB117-BL117,0),0)</f>
        <v>0</v>
      </c>
      <c r="BL117" s="139" t="n">
        <f aca="false">IFERROR(AC117*$G117,0)</f>
        <v>0</v>
      </c>
      <c r="BN117" s="142" t="n">
        <v>0</v>
      </c>
      <c r="BO117" s="137"/>
      <c r="BP117" s="138" t="n">
        <v>0</v>
      </c>
      <c r="BQ117" s="139" t="n">
        <v>0</v>
      </c>
      <c r="BR117" s="140"/>
      <c r="BS117" s="138" t="n">
        <v>0</v>
      </c>
      <c r="BT117" s="139" t="n">
        <v>0</v>
      </c>
      <c r="BU117" s="138" t="n">
        <v>0</v>
      </c>
      <c r="BV117" s="139" t="n">
        <v>0</v>
      </c>
      <c r="BW117" s="138" t="n">
        <v>0</v>
      </c>
      <c r="BX117" s="139" t="n">
        <v>0</v>
      </c>
      <c r="BY117" s="138" t="n">
        <v>0</v>
      </c>
      <c r="BZ117" s="139" t="n">
        <v>0</v>
      </c>
      <c r="CA117" s="140"/>
      <c r="CB117" s="138" t="n">
        <v>0</v>
      </c>
      <c r="CC117" s="139" t="n">
        <v>0</v>
      </c>
      <c r="CD117" s="138" t="n">
        <v>0</v>
      </c>
      <c r="CE117" s="139" t="n">
        <v>0</v>
      </c>
      <c r="CF117" s="138" t="n">
        <v>0</v>
      </c>
      <c r="CG117" s="139" t="n">
        <v>0</v>
      </c>
      <c r="CH117" s="138" t="n">
        <v>0</v>
      </c>
      <c r="CI117" s="139" t="n">
        <v>0</v>
      </c>
      <c r="CK117" s="143"/>
      <c r="CL117" s="137"/>
      <c r="CM117" s="144" t="str">
        <f aca="false">IFERROR(+$H117-($J117+$K117*$G117),"-")</f>
        <v>-</v>
      </c>
      <c r="CN117" s="137"/>
      <c r="CO117" s="144" t="str">
        <f aca="false">IFERROR(+$H117-($M117+$N117*$G117),"-")</f>
        <v>-</v>
      </c>
      <c r="CP117" s="144" t="str">
        <f aca="false">IFERROR(+$H117-($O117+$P117*$G117),"-")</f>
        <v>-</v>
      </c>
      <c r="CQ117" s="144" t="str">
        <f aca="false">IFERROR(+$H117-($Q117+$R117*$G117),"-")</f>
        <v>-</v>
      </c>
      <c r="CR117" s="144" t="str">
        <f aca="false">IFERROR(+$H117-($Q117+$R117*$G117),"-")</f>
        <v>-</v>
      </c>
      <c r="CS117" s="137"/>
      <c r="CT117" s="144" t="str">
        <f aca="false">IFERROR(+$H117-($V117+$W117*$G117),"-")</f>
        <v>-</v>
      </c>
      <c r="CU117" s="144" t="str">
        <f aca="false">IFERROR(+$H117-($X117+$Y117*$G117),"-")</f>
        <v>-</v>
      </c>
      <c r="CV117" s="144" t="str">
        <f aca="false">IFERROR(+$H117-($Z117+$AA117*$G117),"-")</f>
        <v>-</v>
      </c>
      <c r="CW117" s="144" t="str">
        <f aca="false">IFERROR(+$H117-($AB117+$AC117*$G117),"-")</f>
        <v>-</v>
      </c>
    </row>
    <row r="118" s="156" customFormat="true" ht="12.75" hidden="false" customHeight="true" outlineLevel="0" collapsed="false">
      <c r="A118" s="1"/>
      <c r="B118" s="145" t="s">
        <v>190</v>
      </c>
      <c r="C118" s="146" t="s">
        <v>196</v>
      </c>
      <c r="D118" s="147" t="e">
        <f aca="false">VLOOKUP($C118,#REF!,5,0)</f>
        <v>#VALUE!</v>
      </c>
      <c r="E118" s="148" t="e">
        <f aca="false">VLOOKUP($C118,#REF!,6,0)</f>
        <v>#VALUE!</v>
      </c>
      <c r="F118" s="146" t="e">
        <f aca="false">VLOOKUP($C118,#REF!,7,0)</f>
        <v>#VALUE!</v>
      </c>
      <c r="G118" s="146" t="e">
        <f aca="false">VLOOKUP($C118,#REF!,8,0)</f>
        <v>#VALUE!</v>
      </c>
      <c r="H118" s="149" t="e">
        <f aca="false">VLOOKUP($C118,#REF!,9,0)</f>
        <v>#VALUE!</v>
      </c>
      <c r="I118" s="137"/>
      <c r="J118" s="150" t="e">
        <f aca="false">VLOOKUP($C118,#REF!,10,0)</f>
        <v>#VALUE!</v>
      </c>
      <c r="K118" s="151" t="e">
        <f aca="false">VLOOKUP($C118,#REF!,11,0)</f>
        <v>#VALUE!</v>
      </c>
      <c r="L118" s="140"/>
      <c r="M118" s="150" t="e">
        <f aca="false">VLOOKUP($C118,#REF!,12,0)</f>
        <v>#VALUE!</v>
      </c>
      <c r="N118" s="152" t="e">
        <f aca="false">VLOOKUP($C118,#REF!,13,0)</f>
        <v>#VALUE!</v>
      </c>
      <c r="O118" s="150" t="e">
        <f aca="false">VLOOKUP($C118,#REF!,14,0)</f>
        <v>#VALUE!</v>
      </c>
      <c r="P118" s="152" t="e">
        <f aca="false">VLOOKUP($C118,#REF!,15,0)</f>
        <v>#VALUE!</v>
      </c>
      <c r="Q118" s="150" t="e">
        <f aca="false">VLOOKUP($C118,#REF!,16,0)</f>
        <v>#VALUE!</v>
      </c>
      <c r="R118" s="151" t="e">
        <f aca="false">VLOOKUP($C118,#REF!,17,0)</f>
        <v>#VALUE!</v>
      </c>
      <c r="S118" s="152" t="e">
        <f aca="false">VLOOKUP($C118,#REF!,18,0)</f>
        <v>#VALUE!</v>
      </c>
      <c r="T118" s="151" t="e">
        <f aca="false">VLOOKUP($C118,#REF!,19,0)</f>
        <v>#VALUE!</v>
      </c>
      <c r="U118" s="140"/>
      <c r="V118" s="150" t="e">
        <f aca="false">VLOOKUP($C118,#REF!,20,0)</f>
        <v>#VALUE!</v>
      </c>
      <c r="W118" s="152" t="e">
        <f aca="false">VLOOKUP($C118,#REF!,21,0)</f>
        <v>#VALUE!</v>
      </c>
      <c r="X118" s="150" t="e">
        <f aca="false">VLOOKUP($C118,#REF!,22,0)</f>
        <v>#VALUE!</v>
      </c>
      <c r="Y118" s="152" t="e">
        <f aca="false">VLOOKUP($C118,#REF!,23,0)</f>
        <v>#VALUE!</v>
      </c>
      <c r="Z118" s="150" t="e">
        <f aca="false">VLOOKUP($C118,#REF!,24,0)</f>
        <v>#VALUE!</v>
      </c>
      <c r="AA118" s="151" t="e">
        <f aca="false">VLOOKUP($C118,#REF!,25,0)</f>
        <v>#VALUE!</v>
      </c>
      <c r="AB118" s="152" t="e">
        <f aca="false">VLOOKUP($C118,#REF!,26,0)</f>
        <v>#VALUE!</v>
      </c>
      <c r="AC118" s="151" t="e">
        <f aca="false">VLOOKUP($C118,#REF!,27,0)</f>
        <v>#VALUE!</v>
      </c>
      <c r="AD118" s="1"/>
      <c r="AE118" s="150" t="e">
        <f aca="false">IF(M118="-","-","0,5 GB")</f>
        <v>#VALUE!</v>
      </c>
      <c r="AF118" s="153" t="s">
        <v>92</v>
      </c>
      <c r="AG118" s="153" t="s">
        <v>93</v>
      </c>
      <c r="AH118" s="151" t="s">
        <v>94</v>
      </c>
      <c r="AI118" s="1"/>
      <c r="AJ118" s="150" t="s">
        <v>95</v>
      </c>
      <c r="AK118" s="153" t="s">
        <v>96</v>
      </c>
      <c r="AL118" s="153" t="s">
        <v>97</v>
      </c>
      <c r="AM118" s="153" t="s">
        <v>98</v>
      </c>
      <c r="AN118" s="153" t="s">
        <v>98</v>
      </c>
      <c r="AO118" s="151" t="s">
        <v>92</v>
      </c>
      <c r="AP118" s="1"/>
      <c r="AQ118" s="154" t="n">
        <v>110</v>
      </c>
      <c r="AR118" s="137"/>
      <c r="AS118" s="150" t="n">
        <v>0</v>
      </c>
      <c r="AT118" s="151" t="n">
        <v>0</v>
      </c>
      <c r="AU118" s="140"/>
      <c r="AV118" s="150" t="n">
        <f aca="false">IFERROR(ROUND($D118-M118-AW118,0),0)</f>
        <v>0</v>
      </c>
      <c r="AW118" s="151" t="n">
        <f aca="false">IFERROR(N118*$G118,0)</f>
        <v>0</v>
      </c>
      <c r="AX118" s="150" t="n">
        <f aca="false">IFERROR(ROUND($D118-O118-AY118,0),0)</f>
        <v>0</v>
      </c>
      <c r="AY118" s="151" t="n">
        <f aca="false">IFERROR(P118*$G118,0)</f>
        <v>0</v>
      </c>
      <c r="AZ118" s="150" t="n">
        <f aca="false">IFERROR(ROUND($D118-Q118-BA118,0),0)</f>
        <v>0</v>
      </c>
      <c r="BA118" s="151" t="n">
        <f aca="false">IFERROR(R118*$G118,0)</f>
        <v>0</v>
      </c>
      <c r="BB118" s="152" t="n">
        <f aca="false">IFERROR(ROUND($D118-S118-BC118,0),0)</f>
        <v>0</v>
      </c>
      <c r="BC118" s="151" t="n">
        <f aca="false">IFERROR(T118*$G118,0)</f>
        <v>0</v>
      </c>
      <c r="BD118" s="140"/>
      <c r="BE118" s="150" t="n">
        <f aca="false">IFERROR(ROUND($D118-V118-BF118,0),0)</f>
        <v>0</v>
      </c>
      <c r="BF118" s="151" t="n">
        <f aca="false">IFERROR(W118*$G118,0)</f>
        <v>0</v>
      </c>
      <c r="BG118" s="150" t="n">
        <f aca="false">IFERROR(ROUND($D118-X118-BH118,0),0)</f>
        <v>0</v>
      </c>
      <c r="BH118" s="151" t="n">
        <f aca="false">IFERROR(Y118*$G118,0)</f>
        <v>0</v>
      </c>
      <c r="BI118" s="152" t="n">
        <f aca="false">IFERROR(ROUND($D118-Z118-BJ118,0),0)</f>
        <v>0</v>
      </c>
      <c r="BJ118" s="151" t="n">
        <f aca="false">IFERROR(AA118*$G118,0)</f>
        <v>0</v>
      </c>
      <c r="BK118" s="152" t="n">
        <f aca="false">IFERROR(ROUND($D118-AB118-BL118,0),0)</f>
        <v>0</v>
      </c>
      <c r="BL118" s="151" t="n">
        <f aca="false">IFERROR(AC118*$G118,0)</f>
        <v>0</v>
      </c>
      <c r="BM118" s="1"/>
      <c r="BN118" s="154" t="n">
        <v>0</v>
      </c>
      <c r="BO118" s="155"/>
      <c r="BP118" s="150" t="n">
        <v>0</v>
      </c>
      <c r="BQ118" s="151" t="n">
        <v>0</v>
      </c>
      <c r="BR118" s="152"/>
      <c r="BS118" s="150" t="n">
        <v>0</v>
      </c>
      <c r="BT118" s="151" t="n">
        <v>0</v>
      </c>
      <c r="BU118" s="150" t="n">
        <v>0</v>
      </c>
      <c r="BV118" s="151" t="n">
        <v>0</v>
      </c>
      <c r="BW118" s="150" t="n">
        <v>0</v>
      </c>
      <c r="BX118" s="151" t="n">
        <v>0</v>
      </c>
      <c r="BY118" s="150" t="n">
        <v>0</v>
      </c>
      <c r="BZ118" s="151" t="n">
        <v>0</v>
      </c>
      <c r="CA118" s="152"/>
      <c r="CB118" s="150" t="n">
        <v>0</v>
      </c>
      <c r="CC118" s="151" t="n">
        <v>0</v>
      </c>
      <c r="CD118" s="150" t="n">
        <v>0</v>
      </c>
      <c r="CE118" s="151" t="n">
        <v>0</v>
      </c>
      <c r="CF118" s="150" t="n">
        <v>0</v>
      </c>
      <c r="CG118" s="151" t="n">
        <v>0</v>
      </c>
      <c r="CH118" s="150" t="n">
        <v>0</v>
      </c>
      <c r="CI118" s="151" t="n">
        <v>0</v>
      </c>
      <c r="CJ118" s="1"/>
      <c r="CK118" s="149"/>
      <c r="CL118" s="137"/>
      <c r="CM118" s="154" t="str">
        <f aca="false">IFERROR(+$H118-($J118+$K118*$G118),"-")</f>
        <v>-</v>
      </c>
      <c r="CN118" s="137"/>
      <c r="CO118" s="154" t="str">
        <f aca="false">IFERROR(+$H118-($M118+$N118*$G118),"-")</f>
        <v>-</v>
      </c>
      <c r="CP118" s="154" t="str">
        <f aca="false">IFERROR(+$H118-($O118+$P118*$G118),"-")</f>
        <v>-</v>
      </c>
      <c r="CQ118" s="154" t="str">
        <f aca="false">IFERROR(+$H118-($Q118+$R118*$G118),"-")</f>
        <v>-</v>
      </c>
      <c r="CR118" s="154" t="str">
        <f aca="false">IFERROR(+$H118-($Q118+$R118*$G118),"-")</f>
        <v>-</v>
      </c>
      <c r="CS118" s="137"/>
      <c r="CT118" s="154" t="str">
        <f aca="false">IFERROR(+$H118-($V118+$W118*$G118),"-")</f>
        <v>-</v>
      </c>
      <c r="CU118" s="154" t="str">
        <f aca="false">IFERROR(+$H118-($X118+$Y118*$G118),"-")</f>
        <v>-</v>
      </c>
      <c r="CV118" s="154" t="str">
        <f aca="false">IFERROR(+$H118-($Z118+$AA118*$G118),"-")</f>
        <v>-</v>
      </c>
      <c r="CW118" s="154" t="str">
        <f aca="false">IFERROR(+$H118-($AB118+$AC118*$G118),"-")</f>
        <v>-</v>
      </c>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row>
    <row r="119" s="1" customFormat="true" ht="12.75" hidden="false" customHeight="true" outlineLevel="0" collapsed="false">
      <c r="B119" s="134" t="s">
        <v>190</v>
      </c>
      <c r="C119" s="135" t="s">
        <v>197</v>
      </c>
      <c r="D119" s="136" t="e">
        <f aca="false">VLOOKUP($C119,#REF!,5,0)</f>
        <v>#VALUE!</v>
      </c>
      <c r="E119" s="157" t="e">
        <f aca="false">VLOOKUP($C119,#REF!,6,0)</f>
        <v>#VALUE!</v>
      </c>
      <c r="F119" s="135" t="e">
        <f aca="false">VLOOKUP($C119,#REF!,7,0)</f>
        <v>#VALUE!</v>
      </c>
      <c r="G119" s="135" t="e">
        <f aca="false">VLOOKUP($C119,#REF!,8,0)</f>
        <v>#VALUE!</v>
      </c>
      <c r="H119" s="158" t="e">
        <f aca="false">VLOOKUP($C119,#REF!,9,0)</f>
        <v>#VALUE!</v>
      </c>
      <c r="I119" s="137"/>
      <c r="J119" s="138" t="e">
        <f aca="false">VLOOKUP($C119,#REF!,10,0)</f>
        <v>#VALUE!</v>
      </c>
      <c r="K119" s="139" t="e">
        <f aca="false">VLOOKUP($C119,#REF!,11,0)</f>
        <v>#VALUE!</v>
      </c>
      <c r="L119" s="140"/>
      <c r="M119" s="138" t="e">
        <f aca="false">VLOOKUP($C119,#REF!,12,0)</f>
        <v>#VALUE!</v>
      </c>
      <c r="N119" s="140" t="e">
        <f aca="false">VLOOKUP($C119,#REF!,13,0)</f>
        <v>#VALUE!</v>
      </c>
      <c r="O119" s="138" t="e">
        <f aca="false">VLOOKUP($C119,#REF!,14,0)</f>
        <v>#VALUE!</v>
      </c>
      <c r="P119" s="140" t="e">
        <f aca="false">VLOOKUP($C119,#REF!,15,0)</f>
        <v>#VALUE!</v>
      </c>
      <c r="Q119" s="138" t="e">
        <f aca="false">VLOOKUP($C119,#REF!,16,0)</f>
        <v>#VALUE!</v>
      </c>
      <c r="R119" s="139" t="e">
        <f aca="false">VLOOKUP($C119,#REF!,17,0)</f>
        <v>#VALUE!</v>
      </c>
      <c r="S119" s="140" t="e">
        <f aca="false">VLOOKUP($C119,#REF!,18,0)</f>
        <v>#VALUE!</v>
      </c>
      <c r="T119" s="139" t="e">
        <f aca="false">VLOOKUP($C119,#REF!,19,0)</f>
        <v>#VALUE!</v>
      </c>
      <c r="U119" s="140"/>
      <c r="V119" s="138" t="e">
        <f aca="false">VLOOKUP($C119,#REF!,20,0)</f>
        <v>#VALUE!</v>
      </c>
      <c r="W119" s="140" t="e">
        <f aca="false">VLOOKUP($C119,#REF!,21,0)</f>
        <v>#VALUE!</v>
      </c>
      <c r="X119" s="138" t="e">
        <f aca="false">VLOOKUP($C119,#REF!,22,0)</f>
        <v>#VALUE!</v>
      </c>
      <c r="Y119" s="140" t="e">
        <f aca="false">VLOOKUP($C119,#REF!,23,0)</f>
        <v>#VALUE!</v>
      </c>
      <c r="Z119" s="138" t="e">
        <f aca="false">VLOOKUP($C119,#REF!,24,0)</f>
        <v>#VALUE!</v>
      </c>
      <c r="AA119" s="139" t="e">
        <f aca="false">VLOOKUP($C119,#REF!,25,0)</f>
        <v>#VALUE!</v>
      </c>
      <c r="AB119" s="140" t="e">
        <f aca="false">VLOOKUP($C119,#REF!,26,0)</f>
        <v>#VALUE!</v>
      </c>
      <c r="AC119" s="139" t="e">
        <f aca="false">VLOOKUP($C119,#REF!,27,0)</f>
        <v>#VALUE!</v>
      </c>
      <c r="AE119" s="138" t="e">
        <f aca="false">IF(M119="-","-","0,5 GB")</f>
        <v>#VALUE!</v>
      </c>
      <c r="AF119" s="141" t="s">
        <v>92</v>
      </c>
      <c r="AG119" s="141" t="s">
        <v>93</v>
      </c>
      <c r="AH119" s="139" t="s">
        <v>94</v>
      </c>
      <c r="AJ119" s="138" t="s">
        <v>95</v>
      </c>
      <c r="AK119" s="141" t="s">
        <v>96</v>
      </c>
      <c r="AL119" s="141" t="s">
        <v>97</v>
      </c>
      <c r="AM119" s="141" t="s">
        <v>98</v>
      </c>
      <c r="AN119" s="141" t="s">
        <v>98</v>
      </c>
      <c r="AO119" s="139" t="s">
        <v>92</v>
      </c>
      <c r="AQ119" s="142" t="n">
        <v>99</v>
      </c>
      <c r="AR119" s="137"/>
      <c r="AS119" s="138" t="n">
        <v>0</v>
      </c>
      <c r="AT119" s="139" t="n">
        <v>0</v>
      </c>
      <c r="AU119" s="140"/>
      <c r="AV119" s="138" t="n">
        <f aca="false">IFERROR(ROUND($D119-M119-AW119,0),0)</f>
        <v>0</v>
      </c>
      <c r="AW119" s="139" t="n">
        <f aca="false">IFERROR(N119*$G119,0)</f>
        <v>0</v>
      </c>
      <c r="AX119" s="138" t="n">
        <f aca="false">IFERROR(ROUND($D119-O119-AY119,0),0)</f>
        <v>0</v>
      </c>
      <c r="AY119" s="139" t="n">
        <f aca="false">IFERROR(P119*$G119,0)</f>
        <v>0</v>
      </c>
      <c r="AZ119" s="138" t="n">
        <f aca="false">IFERROR(ROUND($D119-Q119-BA119,0),0)</f>
        <v>0</v>
      </c>
      <c r="BA119" s="139" t="n">
        <f aca="false">IFERROR(R119*$G119,0)</f>
        <v>0</v>
      </c>
      <c r="BB119" s="140" t="n">
        <f aca="false">IFERROR(ROUND($D119-S119-BC119,0),0)</f>
        <v>0</v>
      </c>
      <c r="BC119" s="139" t="n">
        <f aca="false">IFERROR(T119*$G119,0)</f>
        <v>0</v>
      </c>
      <c r="BD119" s="140"/>
      <c r="BE119" s="138" t="n">
        <f aca="false">IFERROR(ROUND($D119-V119-BF119,0),0)</f>
        <v>0</v>
      </c>
      <c r="BF119" s="139" t="n">
        <f aca="false">IFERROR(W119*$G119,0)</f>
        <v>0</v>
      </c>
      <c r="BG119" s="138" t="n">
        <f aca="false">IFERROR(ROUND($D119-X119-BH119,0),0)</f>
        <v>0</v>
      </c>
      <c r="BH119" s="139" t="n">
        <f aca="false">IFERROR(Y119*$G119,0)</f>
        <v>0</v>
      </c>
      <c r="BI119" s="140" t="n">
        <f aca="false">IFERROR(ROUND($D119-Z119-BJ119,0),0)</f>
        <v>0</v>
      </c>
      <c r="BJ119" s="139" t="n">
        <f aca="false">IFERROR(AA119*$G119,0)</f>
        <v>0</v>
      </c>
      <c r="BK119" s="140" t="n">
        <f aca="false">IFERROR(ROUND($D119-AB119-BL119,0),0)</f>
        <v>0</v>
      </c>
      <c r="BL119" s="139" t="n">
        <f aca="false">IFERROR(AC119*$G119,0)</f>
        <v>0</v>
      </c>
      <c r="BN119" s="142" t="n">
        <v>0</v>
      </c>
      <c r="BO119" s="137"/>
      <c r="BP119" s="138" t="n">
        <v>0</v>
      </c>
      <c r="BQ119" s="139" t="n">
        <v>0</v>
      </c>
      <c r="BR119" s="140"/>
      <c r="BS119" s="138" t="n">
        <v>0</v>
      </c>
      <c r="BT119" s="139" t="n">
        <v>0</v>
      </c>
      <c r="BU119" s="138" t="n">
        <v>0</v>
      </c>
      <c r="BV119" s="139" t="n">
        <v>0</v>
      </c>
      <c r="BW119" s="138" t="n">
        <v>0</v>
      </c>
      <c r="BX119" s="139" t="n">
        <v>0</v>
      </c>
      <c r="BY119" s="138" t="n">
        <v>0</v>
      </c>
      <c r="BZ119" s="139" t="n">
        <v>0</v>
      </c>
      <c r="CA119" s="140"/>
      <c r="CB119" s="138" t="n">
        <v>0</v>
      </c>
      <c r="CC119" s="139" t="n">
        <v>0</v>
      </c>
      <c r="CD119" s="138" t="n">
        <v>0</v>
      </c>
      <c r="CE119" s="139" t="n">
        <v>0</v>
      </c>
      <c r="CF119" s="138" t="n">
        <v>0</v>
      </c>
      <c r="CG119" s="139" t="n">
        <v>0</v>
      </c>
      <c r="CH119" s="138" t="n">
        <v>0</v>
      </c>
      <c r="CI119" s="139" t="n">
        <v>0</v>
      </c>
      <c r="CK119" s="143"/>
      <c r="CL119" s="137"/>
      <c r="CM119" s="144" t="str">
        <f aca="false">IFERROR(+$H119-($J119+$K119*$G119),"-")</f>
        <v>-</v>
      </c>
      <c r="CN119" s="137"/>
      <c r="CO119" s="144" t="str">
        <f aca="false">IFERROR(+$H119-($M119+$N119*$G119),"-")</f>
        <v>-</v>
      </c>
      <c r="CP119" s="144" t="str">
        <f aca="false">IFERROR(+$H119-($O119+$P119*$G119),"-")</f>
        <v>-</v>
      </c>
      <c r="CQ119" s="144" t="str">
        <f aca="false">IFERROR(+$H119-($Q119+$R119*$G119),"-")</f>
        <v>-</v>
      </c>
      <c r="CR119" s="144" t="str">
        <f aca="false">IFERROR(+$H119-($Q119+$R119*$G119),"-")</f>
        <v>-</v>
      </c>
      <c r="CS119" s="137"/>
      <c r="CT119" s="144" t="str">
        <f aca="false">IFERROR(+$H119-($V119+$W119*$G119),"-")</f>
        <v>-</v>
      </c>
      <c r="CU119" s="144" t="str">
        <f aca="false">IFERROR(+$H119-($X119+$Y119*$G119),"-")</f>
        <v>-</v>
      </c>
      <c r="CV119" s="144" t="str">
        <f aca="false">IFERROR(+$H119-($Z119+$AA119*$G119),"-")</f>
        <v>-</v>
      </c>
      <c r="CW119" s="144" t="str">
        <f aca="false">IFERROR(+$H119-($AB119+$AC119*$G119),"-")</f>
        <v>-</v>
      </c>
    </row>
    <row r="120" s="156" customFormat="true" ht="12.75" hidden="false" customHeight="true" outlineLevel="0" collapsed="false">
      <c r="A120" s="1"/>
      <c r="B120" s="145" t="s">
        <v>190</v>
      </c>
      <c r="C120" s="146" t="s">
        <v>198</v>
      </c>
      <c r="D120" s="147" t="e">
        <f aca="false">VLOOKUP($C120,#REF!,5,0)</f>
        <v>#VALUE!</v>
      </c>
      <c r="E120" s="148" t="e">
        <f aca="false">VLOOKUP($C120,#REF!,6,0)</f>
        <v>#VALUE!</v>
      </c>
      <c r="F120" s="146" t="e">
        <f aca="false">VLOOKUP($C120,#REF!,7,0)</f>
        <v>#VALUE!</v>
      </c>
      <c r="G120" s="146" t="e">
        <f aca="false">VLOOKUP($C120,#REF!,8,0)</f>
        <v>#VALUE!</v>
      </c>
      <c r="H120" s="149" t="e">
        <f aca="false">VLOOKUP($C120,#REF!,9,0)</f>
        <v>#VALUE!</v>
      </c>
      <c r="I120" s="137"/>
      <c r="J120" s="150" t="e">
        <f aca="false">VLOOKUP($C120,#REF!,10,0)</f>
        <v>#VALUE!</v>
      </c>
      <c r="K120" s="151" t="e">
        <f aca="false">VLOOKUP($C120,#REF!,11,0)</f>
        <v>#VALUE!</v>
      </c>
      <c r="L120" s="140"/>
      <c r="M120" s="150" t="e">
        <f aca="false">VLOOKUP($C120,#REF!,12,0)</f>
        <v>#VALUE!</v>
      </c>
      <c r="N120" s="152" t="e">
        <f aca="false">VLOOKUP($C120,#REF!,13,0)</f>
        <v>#VALUE!</v>
      </c>
      <c r="O120" s="150" t="e">
        <f aca="false">VLOOKUP($C120,#REF!,14,0)</f>
        <v>#VALUE!</v>
      </c>
      <c r="P120" s="152" t="e">
        <f aca="false">VLOOKUP($C120,#REF!,15,0)</f>
        <v>#VALUE!</v>
      </c>
      <c r="Q120" s="150" t="e">
        <f aca="false">VLOOKUP($C120,#REF!,16,0)</f>
        <v>#VALUE!</v>
      </c>
      <c r="R120" s="151" t="e">
        <f aca="false">VLOOKUP($C120,#REF!,17,0)</f>
        <v>#VALUE!</v>
      </c>
      <c r="S120" s="152" t="e">
        <f aca="false">VLOOKUP($C120,#REF!,18,0)</f>
        <v>#VALUE!</v>
      </c>
      <c r="T120" s="151" t="e">
        <f aca="false">VLOOKUP($C120,#REF!,19,0)</f>
        <v>#VALUE!</v>
      </c>
      <c r="U120" s="140"/>
      <c r="V120" s="150" t="e">
        <f aca="false">VLOOKUP($C120,#REF!,20,0)</f>
        <v>#VALUE!</v>
      </c>
      <c r="W120" s="152" t="e">
        <f aca="false">VLOOKUP($C120,#REF!,21,0)</f>
        <v>#VALUE!</v>
      </c>
      <c r="X120" s="150" t="e">
        <f aca="false">VLOOKUP($C120,#REF!,22,0)</f>
        <v>#VALUE!</v>
      </c>
      <c r="Y120" s="152" t="e">
        <f aca="false">VLOOKUP($C120,#REF!,23,0)</f>
        <v>#VALUE!</v>
      </c>
      <c r="Z120" s="150" t="e">
        <f aca="false">VLOOKUP($C120,#REF!,24,0)</f>
        <v>#VALUE!</v>
      </c>
      <c r="AA120" s="151" t="e">
        <f aca="false">VLOOKUP($C120,#REF!,25,0)</f>
        <v>#VALUE!</v>
      </c>
      <c r="AB120" s="152" t="e">
        <f aca="false">VLOOKUP($C120,#REF!,26,0)</f>
        <v>#VALUE!</v>
      </c>
      <c r="AC120" s="151" t="e">
        <f aca="false">VLOOKUP($C120,#REF!,27,0)</f>
        <v>#VALUE!</v>
      </c>
      <c r="AD120" s="1"/>
      <c r="AE120" s="150" t="e">
        <f aca="false">IF(M120="-","-","0,5 GB")</f>
        <v>#VALUE!</v>
      </c>
      <c r="AF120" s="153" t="s">
        <v>92</v>
      </c>
      <c r="AG120" s="153" t="s">
        <v>93</v>
      </c>
      <c r="AH120" s="151" t="s">
        <v>94</v>
      </c>
      <c r="AI120" s="1"/>
      <c r="AJ120" s="150" t="s">
        <v>95</v>
      </c>
      <c r="AK120" s="153" t="s">
        <v>96</v>
      </c>
      <c r="AL120" s="153" t="s">
        <v>97</v>
      </c>
      <c r="AM120" s="153" t="s">
        <v>98</v>
      </c>
      <c r="AN120" s="153" t="s">
        <v>98</v>
      </c>
      <c r="AO120" s="151" t="s">
        <v>92</v>
      </c>
      <c r="AP120" s="1"/>
      <c r="AQ120" s="154" t="n">
        <v>95</v>
      </c>
      <c r="AR120" s="137"/>
      <c r="AS120" s="150" t="n">
        <v>0</v>
      </c>
      <c r="AT120" s="151" t="n">
        <v>0</v>
      </c>
      <c r="AU120" s="140"/>
      <c r="AV120" s="150" t="n">
        <f aca="false">IFERROR(ROUND($D120-M120-AW120,0),0)</f>
        <v>0</v>
      </c>
      <c r="AW120" s="151" t="n">
        <f aca="false">IFERROR(N120*$G120,0)</f>
        <v>0</v>
      </c>
      <c r="AX120" s="150" t="n">
        <f aca="false">IFERROR(ROUND($D120-O120-AY120,0),0)</f>
        <v>0</v>
      </c>
      <c r="AY120" s="151" t="n">
        <f aca="false">IFERROR(P120*$G120,0)</f>
        <v>0</v>
      </c>
      <c r="AZ120" s="150" t="n">
        <f aca="false">IFERROR(ROUND($D120-Q120-BA120,0),0)</f>
        <v>0</v>
      </c>
      <c r="BA120" s="151" t="n">
        <f aca="false">IFERROR(R120*$G120,0)</f>
        <v>0</v>
      </c>
      <c r="BB120" s="152" t="n">
        <f aca="false">IFERROR(ROUND($D120-S120-BC120,0),0)</f>
        <v>0</v>
      </c>
      <c r="BC120" s="151" t="n">
        <f aca="false">IFERROR(T120*$G120,0)</f>
        <v>0</v>
      </c>
      <c r="BD120" s="140"/>
      <c r="BE120" s="150" t="n">
        <f aca="false">IFERROR(ROUND($D120-V120-BF120,0),0)</f>
        <v>0</v>
      </c>
      <c r="BF120" s="151" t="n">
        <f aca="false">IFERROR(W120*$G120,0)</f>
        <v>0</v>
      </c>
      <c r="BG120" s="150" t="n">
        <f aca="false">IFERROR(ROUND($D120-X120-BH120,0),0)</f>
        <v>0</v>
      </c>
      <c r="BH120" s="151" t="n">
        <f aca="false">IFERROR(Y120*$G120,0)</f>
        <v>0</v>
      </c>
      <c r="BI120" s="152" t="n">
        <f aca="false">IFERROR(ROUND($D120-Z120-BJ120,0),0)</f>
        <v>0</v>
      </c>
      <c r="BJ120" s="151" t="n">
        <f aca="false">IFERROR(AA120*$G120,0)</f>
        <v>0</v>
      </c>
      <c r="BK120" s="152" t="n">
        <f aca="false">IFERROR(ROUND($D120-AB120-BL120,0),0)</f>
        <v>0</v>
      </c>
      <c r="BL120" s="151" t="n">
        <f aca="false">IFERROR(AC120*$G120,0)</f>
        <v>0</v>
      </c>
      <c r="BM120" s="1"/>
      <c r="BN120" s="154" t="n">
        <v>0</v>
      </c>
      <c r="BO120" s="155"/>
      <c r="BP120" s="150" t="n">
        <v>0</v>
      </c>
      <c r="BQ120" s="151" t="n">
        <v>0</v>
      </c>
      <c r="BR120" s="152"/>
      <c r="BS120" s="150" t="n">
        <v>0</v>
      </c>
      <c r="BT120" s="151" t="n">
        <v>0</v>
      </c>
      <c r="BU120" s="150" t="n">
        <v>0</v>
      </c>
      <c r="BV120" s="151" t="n">
        <v>0</v>
      </c>
      <c r="BW120" s="150" t="n">
        <v>0</v>
      </c>
      <c r="BX120" s="151" t="n">
        <v>0</v>
      </c>
      <c r="BY120" s="150" t="n">
        <v>0</v>
      </c>
      <c r="BZ120" s="151" t="n">
        <v>0</v>
      </c>
      <c r="CA120" s="152"/>
      <c r="CB120" s="150" t="n">
        <v>0</v>
      </c>
      <c r="CC120" s="151" t="n">
        <v>0</v>
      </c>
      <c r="CD120" s="150" t="n">
        <v>0</v>
      </c>
      <c r="CE120" s="151" t="n">
        <v>0</v>
      </c>
      <c r="CF120" s="150" t="n">
        <v>0</v>
      </c>
      <c r="CG120" s="151" t="n">
        <v>0</v>
      </c>
      <c r="CH120" s="150" t="n">
        <v>0</v>
      </c>
      <c r="CI120" s="151" t="n">
        <v>0</v>
      </c>
      <c r="CJ120" s="1"/>
      <c r="CK120" s="149"/>
      <c r="CL120" s="137"/>
      <c r="CM120" s="154" t="str">
        <f aca="false">IFERROR(+$H120-($J120+$K120*$G120),"-")</f>
        <v>-</v>
      </c>
      <c r="CN120" s="137"/>
      <c r="CO120" s="154" t="str">
        <f aca="false">IFERROR(+$H120-($M120+$N120*$G120),"-")</f>
        <v>-</v>
      </c>
      <c r="CP120" s="154" t="str">
        <f aca="false">IFERROR(+$H120-($O120+$P120*$G120),"-")</f>
        <v>-</v>
      </c>
      <c r="CQ120" s="154" t="str">
        <f aca="false">IFERROR(+$H120-($Q120+$R120*$G120),"-")</f>
        <v>-</v>
      </c>
      <c r="CR120" s="154" t="str">
        <f aca="false">IFERROR(+$H120-($Q120+$R120*$G120),"-")</f>
        <v>-</v>
      </c>
      <c r="CS120" s="137"/>
      <c r="CT120" s="154" t="str">
        <f aca="false">IFERROR(+$H120-($V120+$W120*$G120),"-")</f>
        <v>-</v>
      </c>
      <c r="CU120" s="154" t="str">
        <f aca="false">IFERROR(+$H120-($X120+$Y120*$G120),"-")</f>
        <v>-</v>
      </c>
      <c r="CV120" s="154" t="str">
        <f aca="false">IFERROR(+$H120-($Z120+$AA120*$G120),"-")</f>
        <v>-</v>
      </c>
      <c r="CW120" s="154" t="str">
        <f aca="false">IFERROR(+$H120-($AB120+$AC120*$G120),"-")</f>
        <v>-</v>
      </c>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row>
    <row r="121" s="1" customFormat="true" ht="12.75" hidden="false" customHeight="true" outlineLevel="0" collapsed="false">
      <c r="B121" s="134" t="s">
        <v>190</v>
      </c>
      <c r="C121" s="135" t="s">
        <v>199</v>
      </c>
      <c r="D121" s="136" t="e">
        <f aca="false">VLOOKUP($C121,#REF!,5,0)</f>
        <v>#VALUE!</v>
      </c>
      <c r="E121" s="157" t="e">
        <f aca="false">VLOOKUP($C121,#REF!,6,0)</f>
        <v>#VALUE!</v>
      </c>
      <c r="F121" s="135" t="e">
        <f aca="false">VLOOKUP($C121,#REF!,7,0)</f>
        <v>#VALUE!</v>
      </c>
      <c r="G121" s="135" t="e">
        <f aca="false">VLOOKUP($C121,#REF!,8,0)</f>
        <v>#VALUE!</v>
      </c>
      <c r="H121" s="158" t="e">
        <f aca="false">VLOOKUP($C121,#REF!,9,0)</f>
        <v>#VALUE!</v>
      </c>
      <c r="I121" s="137"/>
      <c r="J121" s="138" t="e">
        <f aca="false">VLOOKUP($C121,#REF!,10,0)</f>
        <v>#VALUE!</v>
      </c>
      <c r="K121" s="139" t="e">
        <f aca="false">VLOOKUP($C121,#REF!,11,0)</f>
        <v>#VALUE!</v>
      </c>
      <c r="L121" s="140"/>
      <c r="M121" s="138" t="e">
        <f aca="false">VLOOKUP($C121,#REF!,12,0)</f>
        <v>#VALUE!</v>
      </c>
      <c r="N121" s="140" t="e">
        <f aca="false">VLOOKUP($C121,#REF!,13,0)</f>
        <v>#VALUE!</v>
      </c>
      <c r="O121" s="138" t="e">
        <f aca="false">VLOOKUP($C121,#REF!,14,0)</f>
        <v>#VALUE!</v>
      </c>
      <c r="P121" s="140" t="e">
        <f aca="false">VLOOKUP($C121,#REF!,15,0)</f>
        <v>#VALUE!</v>
      </c>
      <c r="Q121" s="138" t="e">
        <f aca="false">VLOOKUP($C121,#REF!,16,0)</f>
        <v>#VALUE!</v>
      </c>
      <c r="R121" s="139" t="e">
        <f aca="false">VLOOKUP($C121,#REF!,17,0)</f>
        <v>#VALUE!</v>
      </c>
      <c r="S121" s="140" t="e">
        <f aca="false">VLOOKUP($C121,#REF!,18,0)</f>
        <v>#VALUE!</v>
      </c>
      <c r="T121" s="139" t="e">
        <f aca="false">VLOOKUP($C121,#REF!,19,0)</f>
        <v>#VALUE!</v>
      </c>
      <c r="U121" s="140"/>
      <c r="V121" s="138" t="e">
        <f aca="false">VLOOKUP($C121,#REF!,20,0)</f>
        <v>#VALUE!</v>
      </c>
      <c r="W121" s="140" t="e">
        <f aca="false">VLOOKUP($C121,#REF!,21,0)</f>
        <v>#VALUE!</v>
      </c>
      <c r="X121" s="138" t="e">
        <f aca="false">VLOOKUP($C121,#REF!,22,0)</f>
        <v>#VALUE!</v>
      </c>
      <c r="Y121" s="140" t="e">
        <f aca="false">VLOOKUP($C121,#REF!,23,0)</f>
        <v>#VALUE!</v>
      </c>
      <c r="Z121" s="138" t="e">
        <f aca="false">VLOOKUP($C121,#REF!,24,0)</f>
        <v>#VALUE!</v>
      </c>
      <c r="AA121" s="139" t="e">
        <f aca="false">VLOOKUP($C121,#REF!,25,0)</f>
        <v>#VALUE!</v>
      </c>
      <c r="AB121" s="140" t="e">
        <f aca="false">VLOOKUP($C121,#REF!,26,0)</f>
        <v>#VALUE!</v>
      </c>
      <c r="AC121" s="139" t="e">
        <f aca="false">VLOOKUP($C121,#REF!,27,0)</f>
        <v>#VALUE!</v>
      </c>
      <c r="AE121" s="138" t="e">
        <f aca="false">IF(M121="-","-","0,5 GB")</f>
        <v>#VALUE!</v>
      </c>
      <c r="AF121" s="141" t="s">
        <v>92</v>
      </c>
      <c r="AG121" s="141" t="s">
        <v>93</v>
      </c>
      <c r="AH121" s="139" t="s">
        <v>94</v>
      </c>
      <c r="AJ121" s="138" t="s">
        <v>95</v>
      </c>
      <c r="AK121" s="141" t="s">
        <v>96</v>
      </c>
      <c r="AL121" s="141" t="s">
        <v>97</v>
      </c>
      <c r="AM121" s="141" t="s">
        <v>98</v>
      </c>
      <c r="AN121" s="141" t="s">
        <v>98</v>
      </c>
      <c r="AO121" s="139" t="s">
        <v>92</v>
      </c>
      <c r="AQ121" s="142" t="n">
        <v>124</v>
      </c>
      <c r="AR121" s="137"/>
      <c r="AS121" s="138" t="n">
        <v>0</v>
      </c>
      <c r="AT121" s="139" t="n">
        <v>0</v>
      </c>
      <c r="AU121" s="140"/>
      <c r="AV121" s="138" t="n">
        <f aca="false">IFERROR(ROUND($D121-M121-AW121,0),0)</f>
        <v>0</v>
      </c>
      <c r="AW121" s="139" t="n">
        <f aca="false">IFERROR(N121*$G121,0)</f>
        <v>0</v>
      </c>
      <c r="AX121" s="138" t="n">
        <f aca="false">IFERROR(ROUND($D121-O121-AY121,0),0)</f>
        <v>0</v>
      </c>
      <c r="AY121" s="139" t="n">
        <f aca="false">IFERROR(P121*$G121,0)</f>
        <v>0</v>
      </c>
      <c r="AZ121" s="138" t="n">
        <f aca="false">IFERROR(ROUND($D121-Q121-BA121,0),0)</f>
        <v>0</v>
      </c>
      <c r="BA121" s="139" t="n">
        <f aca="false">IFERROR(R121*$G121,0)</f>
        <v>0</v>
      </c>
      <c r="BB121" s="140" t="n">
        <f aca="false">IFERROR(ROUND($D121-S121-BC121,0),0)</f>
        <v>0</v>
      </c>
      <c r="BC121" s="139" t="n">
        <f aca="false">IFERROR(T121*$G121,0)</f>
        <v>0</v>
      </c>
      <c r="BD121" s="140"/>
      <c r="BE121" s="138" t="n">
        <f aca="false">IFERROR(ROUND($D121-V121-BF121,0),0)</f>
        <v>0</v>
      </c>
      <c r="BF121" s="139" t="n">
        <f aca="false">IFERROR(W121*$G121,0)</f>
        <v>0</v>
      </c>
      <c r="BG121" s="138" t="n">
        <f aca="false">IFERROR(ROUND($D121-X121-BH121,0),0)</f>
        <v>0</v>
      </c>
      <c r="BH121" s="139" t="n">
        <f aca="false">IFERROR(Y121*$G121,0)</f>
        <v>0</v>
      </c>
      <c r="BI121" s="140" t="n">
        <f aca="false">IFERROR(ROUND($D121-Z121-BJ121,0),0)</f>
        <v>0</v>
      </c>
      <c r="BJ121" s="139" t="n">
        <f aca="false">IFERROR(AA121*$G121,0)</f>
        <v>0</v>
      </c>
      <c r="BK121" s="140" t="n">
        <f aca="false">IFERROR(ROUND($D121-AB121-BL121,0),0)</f>
        <v>0</v>
      </c>
      <c r="BL121" s="139" t="n">
        <f aca="false">IFERROR(AC121*$G121,0)</f>
        <v>0</v>
      </c>
      <c r="BN121" s="142" t="n">
        <v>-24.8000000000001</v>
      </c>
      <c r="BO121" s="137"/>
      <c r="BP121" s="138" t="n">
        <v>-24.8000000000001</v>
      </c>
      <c r="BQ121" s="139" t="n">
        <v>0</v>
      </c>
      <c r="BR121" s="140"/>
      <c r="BS121" s="138" t="n">
        <v>0</v>
      </c>
      <c r="BT121" s="139" t="n">
        <v>0</v>
      </c>
      <c r="BU121" s="138" t="n">
        <v>0</v>
      </c>
      <c r="BV121" s="139" t="n">
        <v>0</v>
      </c>
      <c r="BW121" s="138" t="n">
        <v>0</v>
      </c>
      <c r="BX121" s="139" t="n">
        <v>0</v>
      </c>
      <c r="BY121" s="138" t="n">
        <v>0</v>
      </c>
      <c r="BZ121" s="139" t="n">
        <v>0</v>
      </c>
      <c r="CA121" s="140"/>
      <c r="CB121" s="138" t="n">
        <v>0</v>
      </c>
      <c r="CC121" s="139" t="n">
        <v>0</v>
      </c>
      <c r="CD121" s="138" t="n">
        <v>0</v>
      </c>
      <c r="CE121" s="139" t="n">
        <v>0</v>
      </c>
      <c r="CF121" s="138" t="n">
        <v>0</v>
      </c>
      <c r="CG121" s="139" t="n">
        <v>0</v>
      </c>
      <c r="CH121" s="138" t="n">
        <v>0</v>
      </c>
      <c r="CI121" s="139" t="n">
        <v>0</v>
      </c>
      <c r="CK121" s="143"/>
      <c r="CL121" s="137"/>
      <c r="CM121" s="144" t="str">
        <f aca="false">IFERROR(+$H121-($J121+$K121*$G121),"-")</f>
        <v>-</v>
      </c>
      <c r="CN121" s="137"/>
      <c r="CO121" s="144" t="str">
        <f aca="false">IFERROR(+$H121-($M121+$N121*$G121),"-")</f>
        <v>-</v>
      </c>
      <c r="CP121" s="144" t="str">
        <f aca="false">IFERROR(+$H121-($O121+$P121*$G121),"-")</f>
        <v>-</v>
      </c>
      <c r="CQ121" s="144" t="str">
        <f aca="false">IFERROR(+$H121-($Q121+$R121*$G121),"-")</f>
        <v>-</v>
      </c>
      <c r="CR121" s="144" t="str">
        <f aca="false">IFERROR(+$H121-($Q121+$R121*$G121),"-")</f>
        <v>-</v>
      </c>
      <c r="CS121" s="137"/>
      <c r="CT121" s="144" t="str">
        <f aca="false">IFERROR(+$H121-($V121+$W121*$G121),"-")</f>
        <v>-</v>
      </c>
      <c r="CU121" s="144" t="str">
        <f aca="false">IFERROR(+$H121-($X121+$Y121*$G121),"-")</f>
        <v>-</v>
      </c>
      <c r="CV121" s="144" t="str">
        <f aca="false">IFERROR(+$H121-($Z121+$AA121*$G121),"-")</f>
        <v>-</v>
      </c>
      <c r="CW121" s="144" t="str">
        <f aca="false">IFERROR(+$H121-($AB121+$AC121*$G121),"-")</f>
        <v>-</v>
      </c>
    </row>
    <row r="122" s="156" customFormat="true" ht="12.75" hidden="false" customHeight="true" outlineLevel="0" collapsed="false">
      <c r="A122" s="1"/>
      <c r="B122" s="161" t="s">
        <v>200</v>
      </c>
      <c r="C122" s="162" t="s">
        <v>201</v>
      </c>
      <c r="D122" s="147" t="e">
        <f aca="false">VLOOKUP($C122,#REF!,5,0)</f>
        <v>#VALUE!</v>
      </c>
      <c r="E122" s="148" t="e">
        <f aca="false">VLOOKUP($C122,#REF!,6,0)</f>
        <v>#VALUE!</v>
      </c>
      <c r="F122" s="146" t="e">
        <f aca="false">VLOOKUP($C122,#REF!,7,0)</f>
        <v>#VALUE!</v>
      </c>
      <c r="G122" s="146" t="e">
        <f aca="false">VLOOKUP($C122,#REF!,8,0)</f>
        <v>#VALUE!</v>
      </c>
      <c r="H122" s="149" t="e">
        <f aca="false">VLOOKUP($C122,#REF!,9,0)</f>
        <v>#VALUE!</v>
      </c>
      <c r="I122" s="137"/>
      <c r="J122" s="150" t="e">
        <f aca="false">VLOOKUP($C122,#REF!,10,0)</f>
        <v>#VALUE!</v>
      </c>
      <c r="K122" s="151" t="e">
        <f aca="false">VLOOKUP($C122,#REF!,11,0)</f>
        <v>#VALUE!</v>
      </c>
      <c r="L122" s="140"/>
      <c r="M122" s="150" t="e">
        <f aca="false">VLOOKUP($C122,#REF!,12,0)</f>
        <v>#VALUE!</v>
      </c>
      <c r="N122" s="152" t="e">
        <f aca="false">VLOOKUP($C122,#REF!,13,0)</f>
        <v>#VALUE!</v>
      </c>
      <c r="O122" s="150" t="e">
        <f aca="false">VLOOKUP($C122,#REF!,14,0)</f>
        <v>#VALUE!</v>
      </c>
      <c r="P122" s="152" t="e">
        <f aca="false">VLOOKUP($C122,#REF!,15,0)</f>
        <v>#VALUE!</v>
      </c>
      <c r="Q122" s="150" t="e">
        <f aca="false">VLOOKUP($C122,#REF!,16,0)</f>
        <v>#VALUE!</v>
      </c>
      <c r="R122" s="151" t="e">
        <f aca="false">VLOOKUP($C122,#REF!,17,0)</f>
        <v>#VALUE!</v>
      </c>
      <c r="S122" s="152" t="e">
        <f aca="false">VLOOKUP($C122,#REF!,18,0)</f>
        <v>#VALUE!</v>
      </c>
      <c r="T122" s="151" t="e">
        <f aca="false">VLOOKUP($C122,#REF!,19,0)</f>
        <v>#VALUE!</v>
      </c>
      <c r="U122" s="140"/>
      <c r="V122" s="150" t="e">
        <f aca="false">VLOOKUP($C122,#REF!,20,0)</f>
        <v>#VALUE!</v>
      </c>
      <c r="W122" s="152" t="e">
        <f aca="false">VLOOKUP($C122,#REF!,21,0)</f>
        <v>#VALUE!</v>
      </c>
      <c r="X122" s="150" t="e">
        <f aca="false">VLOOKUP($C122,#REF!,22,0)</f>
        <v>#VALUE!</v>
      </c>
      <c r="Y122" s="152" t="e">
        <f aca="false">VLOOKUP($C122,#REF!,23,0)</f>
        <v>#VALUE!</v>
      </c>
      <c r="Z122" s="150" t="e">
        <f aca="false">VLOOKUP($C122,#REF!,24,0)</f>
        <v>#VALUE!</v>
      </c>
      <c r="AA122" s="151" t="e">
        <f aca="false">VLOOKUP($C122,#REF!,25,0)</f>
        <v>#VALUE!</v>
      </c>
      <c r="AB122" s="152" t="e">
        <f aca="false">VLOOKUP($C122,#REF!,26,0)</f>
        <v>#VALUE!</v>
      </c>
      <c r="AC122" s="151" t="e">
        <f aca="false">VLOOKUP($C122,#REF!,27,0)</f>
        <v>#VALUE!</v>
      </c>
      <c r="AD122" s="1"/>
      <c r="AE122" s="150" t="e">
        <f aca="false">IF(M122="-","-","0,5 GB")</f>
        <v>#VALUE!</v>
      </c>
      <c r="AF122" s="153" t="s">
        <v>92</v>
      </c>
      <c r="AG122" s="153" t="s">
        <v>93</v>
      </c>
      <c r="AH122" s="151" t="s">
        <v>94</v>
      </c>
      <c r="AI122" s="1"/>
      <c r="AJ122" s="150" t="s">
        <v>95</v>
      </c>
      <c r="AK122" s="153" t="s">
        <v>96</v>
      </c>
      <c r="AL122" s="153" t="s">
        <v>97</v>
      </c>
      <c r="AM122" s="153" t="s">
        <v>98</v>
      </c>
      <c r="AN122" s="153" t="s">
        <v>98</v>
      </c>
      <c r="AO122" s="151" t="s">
        <v>92</v>
      </c>
      <c r="AP122" s="1"/>
      <c r="AQ122" s="154" t="n">
        <v>99</v>
      </c>
      <c r="AR122" s="137"/>
      <c r="AS122" s="150" t="n">
        <v>0</v>
      </c>
      <c r="AT122" s="151" t="n">
        <v>0</v>
      </c>
      <c r="AU122" s="140"/>
      <c r="AV122" s="150" t="n">
        <f aca="false">IFERROR(ROUND($D122-M122-AW122,0),0)</f>
        <v>0</v>
      </c>
      <c r="AW122" s="151" t="n">
        <f aca="false">IFERROR(N122*$G122,0)</f>
        <v>0</v>
      </c>
      <c r="AX122" s="150" t="n">
        <f aca="false">IFERROR(ROUND($D122-O122-AY122,0),0)</f>
        <v>0</v>
      </c>
      <c r="AY122" s="151" t="n">
        <f aca="false">IFERROR(P122*$G122,0)</f>
        <v>0</v>
      </c>
      <c r="AZ122" s="150" t="n">
        <f aca="false">IFERROR(ROUND($D122-Q122-BA122,0),0)</f>
        <v>0</v>
      </c>
      <c r="BA122" s="151" t="n">
        <f aca="false">IFERROR(R122*$G122,0)</f>
        <v>0</v>
      </c>
      <c r="BB122" s="152" t="n">
        <f aca="false">IFERROR(ROUND($D122-S122-BC122,0),0)</f>
        <v>0</v>
      </c>
      <c r="BC122" s="151" t="n">
        <f aca="false">IFERROR(T122*$G122,0)</f>
        <v>0</v>
      </c>
      <c r="BD122" s="140"/>
      <c r="BE122" s="150" t="n">
        <f aca="false">IFERROR(ROUND($D122-V122-BF122,0),0)</f>
        <v>0</v>
      </c>
      <c r="BF122" s="151" t="n">
        <f aca="false">IFERROR(W122*$G122,0)</f>
        <v>0</v>
      </c>
      <c r="BG122" s="150" t="n">
        <f aca="false">IFERROR(ROUND($D122-X122-BH122,0),0)</f>
        <v>0</v>
      </c>
      <c r="BH122" s="151" t="n">
        <f aca="false">IFERROR(Y122*$G122,0)</f>
        <v>0</v>
      </c>
      <c r="BI122" s="152" t="n">
        <f aca="false">IFERROR(ROUND($D122-Z122-BJ122,0),0)</f>
        <v>0</v>
      </c>
      <c r="BJ122" s="151" t="n">
        <f aca="false">IFERROR(AA122*$G122,0)</f>
        <v>0</v>
      </c>
      <c r="BK122" s="152" t="n">
        <f aca="false">IFERROR(ROUND($D122-AB122-BL122,0),0)</f>
        <v>0</v>
      </c>
      <c r="BL122" s="151" t="n">
        <f aca="false">IFERROR(AC122*$G122,0)</f>
        <v>0</v>
      </c>
      <c r="BM122" s="1"/>
      <c r="BN122" s="154" t="n">
        <v>0</v>
      </c>
      <c r="BO122" s="155"/>
      <c r="BP122" s="150" t="n">
        <v>0</v>
      </c>
      <c r="BQ122" s="151" t="n">
        <v>0</v>
      </c>
      <c r="BR122" s="152"/>
      <c r="BS122" s="150" t="n">
        <v>0</v>
      </c>
      <c r="BT122" s="151" t="n">
        <v>0</v>
      </c>
      <c r="BU122" s="150" t="n">
        <v>0</v>
      </c>
      <c r="BV122" s="151" t="n">
        <v>0</v>
      </c>
      <c r="BW122" s="150" t="n">
        <v>0</v>
      </c>
      <c r="BX122" s="151" t="n">
        <v>0</v>
      </c>
      <c r="BY122" s="150" t="n">
        <v>0</v>
      </c>
      <c r="BZ122" s="151" t="n">
        <v>0</v>
      </c>
      <c r="CA122" s="152"/>
      <c r="CB122" s="150" t="n">
        <v>0</v>
      </c>
      <c r="CC122" s="151" t="n">
        <v>0</v>
      </c>
      <c r="CD122" s="150" t="n">
        <v>0</v>
      </c>
      <c r="CE122" s="151" t="n">
        <v>0</v>
      </c>
      <c r="CF122" s="150" t="n">
        <v>0</v>
      </c>
      <c r="CG122" s="151" t="n">
        <v>0</v>
      </c>
      <c r="CH122" s="150" t="n">
        <v>0</v>
      </c>
      <c r="CI122" s="151" t="n">
        <v>0</v>
      </c>
      <c r="CJ122" s="1"/>
      <c r="CK122" s="149"/>
      <c r="CL122" s="137"/>
      <c r="CM122" s="154" t="str">
        <f aca="false">IFERROR(+$H122-($J122+$K122*$G122),"-")</f>
        <v>-</v>
      </c>
      <c r="CN122" s="137"/>
      <c r="CO122" s="154" t="str">
        <f aca="false">IFERROR(+$H122-($M122+$N122*$G122),"-")</f>
        <v>-</v>
      </c>
      <c r="CP122" s="154" t="str">
        <f aca="false">IFERROR(+$H122-($O122+$P122*$G122),"-")</f>
        <v>-</v>
      </c>
      <c r="CQ122" s="154" t="str">
        <f aca="false">IFERROR(+$H122-($Q122+$R122*$G122),"-")</f>
        <v>-</v>
      </c>
      <c r="CR122" s="154" t="str">
        <f aca="false">IFERROR(+$H122-($Q122+$R122*$G122),"-")</f>
        <v>-</v>
      </c>
      <c r="CS122" s="137"/>
      <c r="CT122" s="154" t="str">
        <f aca="false">IFERROR(+$H122-($V122+$W122*$G122),"-")</f>
        <v>-</v>
      </c>
      <c r="CU122" s="154" t="str">
        <f aca="false">IFERROR(+$H122-($X122+$Y122*$G122),"-")</f>
        <v>-</v>
      </c>
      <c r="CV122" s="154" t="str">
        <f aca="false">IFERROR(+$H122-($Z122+$AA122*$G122),"-")</f>
        <v>-</v>
      </c>
      <c r="CW122" s="154" t="str">
        <f aca="false">IFERROR(+$H122-($AB122+$AC122*$G122),"-")</f>
        <v>-</v>
      </c>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row>
    <row r="123" s="1" customFormat="true" ht="12.75" hidden="false" customHeight="true" outlineLevel="0" collapsed="false">
      <c r="B123" s="134" t="s">
        <v>190</v>
      </c>
      <c r="C123" s="135" t="s">
        <v>202</v>
      </c>
      <c r="D123" s="136" t="e">
        <f aca="false">VLOOKUP($C123,#REF!,5,0)</f>
        <v>#VALUE!</v>
      </c>
      <c r="E123" s="157" t="e">
        <f aca="false">VLOOKUP($C123,#REF!,6,0)</f>
        <v>#VALUE!</v>
      </c>
      <c r="F123" s="135" t="e">
        <f aca="false">VLOOKUP($C123,#REF!,7,0)</f>
        <v>#VALUE!</v>
      </c>
      <c r="G123" s="135" t="e">
        <f aca="false">VLOOKUP($C123,#REF!,8,0)</f>
        <v>#VALUE!</v>
      </c>
      <c r="H123" s="158" t="e">
        <f aca="false">VLOOKUP($C123,#REF!,9,0)</f>
        <v>#VALUE!</v>
      </c>
      <c r="I123" s="137"/>
      <c r="J123" s="138" t="e">
        <f aca="false">VLOOKUP($C123,#REF!,10,0)</f>
        <v>#VALUE!</v>
      </c>
      <c r="K123" s="139" t="e">
        <f aca="false">VLOOKUP($C123,#REF!,11,0)</f>
        <v>#VALUE!</v>
      </c>
      <c r="L123" s="140"/>
      <c r="M123" s="138" t="e">
        <f aca="false">VLOOKUP($C123,#REF!,12,0)</f>
        <v>#VALUE!</v>
      </c>
      <c r="N123" s="140" t="e">
        <f aca="false">VLOOKUP($C123,#REF!,13,0)</f>
        <v>#VALUE!</v>
      </c>
      <c r="O123" s="138" t="e">
        <f aca="false">VLOOKUP($C123,#REF!,14,0)</f>
        <v>#VALUE!</v>
      </c>
      <c r="P123" s="140" t="e">
        <f aca="false">VLOOKUP($C123,#REF!,15,0)</f>
        <v>#VALUE!</v>
      </c>
      <c r="Q123" s="138" t="e">
        <f aca="false">VLOOKUP($C123,#REF!,16,0)</f>
        <v>#VALUE!</v>
      </c>
      <c r="R123" s="139" t="e">
        <f aca="false">VLOOKUP($C123,#REF!,17,0)</f>
        <v>#VALUE!</v>
      </c>
      <c r="S123" s="140" t="e">
        <f aca="false">VLOOKUP($C123,#REF!,18,0)</f>
        <v>#VALUE!</v>
      </c>
      <c r="T123" s="139" t="e">
        <f aca="false">VLOOKUP($C123,#REF!,19,0)</f>
        <v>#VALUE!</v>
      </c>
      <c r="U123" s="140"/>
      <c r="V123" s="138" t="e">
        <f aca="false">VLOOKUP($C123,#REF!,20,0)</f>
        <v>#VALUE!</v>
      </c>
      <c r="W123" s="140" t="e">
        <f aca="false">VLOOKUP($C123,#REF!,21,0)</f>
        <v>#VALUE!</v>
      </c>
      <c r="X123" s="138" t="e">
        <f aca="false">VLOOKUP($C123,#REF!,22,0)</f>
        <v>#VALUE!</v>
      </c>
      <c r="Y123" s="140" t="e">
        <f aca="false">VLOOKUP($C123,#REF!,23,0)</f>
        <v>#VALUE!</v>
      </c>
      <c r="Z123" s="138" t="e">
        <f aca="false">VLOOKUP($C123,#REF!,24,0)</f>
        <v>#VALUE!</v>
      </c>
      <c r="AA123" s="139" t="e">
        <f aca="false">VLOOKUP($C123,#REF!,25,0)</f>
        <v>#VALUE!</v>
      </c>
      <c r="AB123" s="140" t="e">
        <f aca="false">VLOOKUP($C123,#REF!,26,0)</f>
        <v>#VALUE!</v>
      </c>
      <c r="AC123" s="139" t="e">
        <f aca="false">VLOOKUP($C123,#REF!,27,0)</f>
        <v>#VALUE!</v>
      </c>
      <c r="AE123" s="138" t="e">
        <f aca="false">IF(M123="-","-","0,5 GB")</f>
        <v>#VALUE!</v>
      </c>
      <c r="AF123" s="141" t="s">
        <v>92</v>
      </c>
      <c r="AG123" s="141" t="s">
        <v>93</v>
      </c>
      <c r="AH123" s="139" t="s">
        <v>94</v>
      </c>
      <c r="AJ123" s="138" t="s">
        <v>95</v>
      </c>
      <c r="AK123" s="141" t="s">
        <v>96</v>
      </c>
      <c r="AL123" s="141" t="s">
        <v>97</v>
      </c>
      <c r="AM123" s="141" t="s">
        <v>98</v>
      </c>
      <c r="AN123" s="141" t="s">
        <v>98</v>
      </c>
      <c r="AO123" s="139" t="s">
        <v>92</v>
      </c>
      <c r="AQ123" s="142" t="n">
        <v>124</v>
      </c>
      <c r="AR123" s="137"/>
      <c r="AS123" s="138" t="n">
        <v>0</v>
      </c>
      <c r="AT123" s="139" t="n">
        <v>0</v>
      </c>
      <c r="AU123" s="140"/>
      <c r="AV123" s="138" t="n">
        <f aca="false">IFERROR(ROUND($D123-M123-AW123,0),0)</f>
        <v>0</v>
      </c>
      <c r="AW123" s="139" t="n">
        <f aca="false">IFERROR(N123*$G123,0)</f>
        <v>0</v>
      </c>
      <c r="AX123" s="138" t="n">
        <f aca="false">IFERROR(ROUND($D123-O123-AY123,0),0)</f>
        <v>0</v>
      </c>
      <c r="AY123" s="139" t="n">
        <f aca="false">IFERROR(P123*$G123,0)</f>
        <v>0</v>
      </c>
      <c r="AZ123" s="138" t="n">
        <f aca="false">IFERROR(ROUND($D123-Q123-BA123,0),0)</f>
        <v>0</v>
      </c>
      <c r="BA123" s="139" t="n">
        <f aca="false">IFERROR(R123*$G123,0)</f>
        <v>0</v>
      </c>
      <c r="BB123" s="140" t="n">
        <f aca="false">IFERROR(ROUND($D123-S123-BC123,0),0)</f>
        <v>0</v>
      </c>
      <c r="BC123" s="139" t="n">
        <f aca="false">IFERROR(T123*$G123,0)</f>
        <v>0</v>
      </c>
      <c r="BD123" s="140"/>
      <c r="BE123" s="138" t="n">
        <f aca="false">IFERROR(ROUND($D123-V123-BF123,0),0)</f>
        <v>0</v>
      </c>
      <c r="BF123" s="139" t="n">
        <f aca="false">IFERROR(W123*$G123,0)</f>
        <v>0</v>
      </c>
      <c r="BG123" s="138" t="n">
        <f aca="false">IFERROR(ROUND($D123-X123-BH123,0),0)</f>
        <v>0</v>
      </c>
      <c r="BH123" s="139" t="n">
        <f aca="false">IFERROR(Y123*$G123,0)</f>
        <v>0</v>
      </c>
      <c r="BI123" s="140" t="n">
        <f aca="false">IFERROR(ROUND($D123-Z123-BJ123,0),0)</f>
        <v>0</v>
      </c>
      <c r="BJ123" s="139" t="n">
        <f aca="false">IFERROR(AA123*$G123,0)</f>
        <v>0</v>
      </c>
      <c r="BK123" s="140" t="n">
        <f aca="false">IFERROR(ROUND($D123-AB123-BL123,0),0)</f>
        <v>0</v>
      </c>
      <c r="BL123" s="139" t="n">
        <f aca="false">IFERROR(AC123*$G123,0)</f>
        <v>0</v>
      </c>
      <c r="BN123" s="142" t="n">
        <v>0</v>
      </c>
      <c r="BO123" s="137"/>
      <c r="BP123" s="138" t="n">
        <v>0</v>
      </c>
      <c r="BQ123" s="139" t="n">
        <v>0</v>
      </c>
      <c r="BR123" s="140"/>
      <c r="BS123" s="138" t="n">
        <v>0</v>
      </c>
      <c r="BT123" s="139" t="n">
        <v>0</v>
      </c>
      <c r="BU123" s="138" t="n">
        <v>0</v>
      </c>
      <c r="BV123" s="139" t="n">
        <v>0</v>
      </c>
      <c r="BW123" s="138" t="n">
        <v>0</v>
      </c>
      <c r="BX123" s="139" t="n">
        <v>0</v>
      </c>
      <c r="BY123" s="138" t="n">
        <v>0</v>
      </c>
      <c r="BZ123" s="139" t="n">
        <v>0</v>
      </c>
      <c r="CA123" s="140"/>
      <c r="CB123" s="138" t="n">
        <v>0</v>
      </c>
      <c r="CC123" s="139" t="n">
        <v>0</v>
      </c>
      <c r="CD123" s="138" t="n">
        <v>0</v>
      </c>
      <c r="CE123" s="139" t="n">
        <v>0</v>
      </c>
      <c r="CF123" s="138" t="n">
        <v>0</v>
      </c>
      <c r="CG123" s="139" t="n">
        <v>0</v>
      </c>
      <c r="CH123" s="138" t="n">
        <v>0</v>
      </c>
      <c r="CI123" s="139" t="n">
        <v>0</v>
      </c>
      <c r="CK123" s="143"/>
      <c r="CL123" s="137"/>
      <c r="CM123" s="144" t="str">
        <f aca="false">IFERROR(+$H123-($J123+$K123*$G123),"-")</f>
        <v>-</v>
      </c>
      <c r="CN123" s="137"/>
      <c r="CO123" s="144" t="str">
        <f aca="false">IFERROR(+$H123-($M123+$N123*$G123),"-")</f>
        <v>-</v>
      </c>
      <c r="CP123" s="144" t="str">
        <f aca="false">IFERROR(+$H123-($O123+$P123*$G123),"-")</f>
        <v>-</v>
      </c>
      <c r="CQ123" s="144" t="str">
        <f aca="false">IFERROR(+$H123-($Q123+$R123*$G123),"-")</f>
        <v>-</v>
      </c>
      <c r="CR123" s="144" t="str">
        <f aca="false">IFERROR(+$H123-($Q123+$R123*$G123),"-")</f>
        <v>-</v>
      </c>
      <c r="CS123" s="137"/>
      <c r="CT123" s="144" t="str">
        <f aca="false">IFERROR(+$H123-($V123+$W123*$G123),"-")</f>
        <v>-</v>
      </c>
      <c r="CU123" s="144" t="str">
        <f aca="false">IFERROR(+$H123-($X123+$Y123*$G123),"-")</f>
        <v>-</v>
      </c>
      <c r="CV123" s="144" t="str">
        <f aca="false">IFERROR(+$H123-($Z123+$AA123*$G123),"-")</f>
        <v>-</v>
      </c>
      <c r="CW123" s="144" t="str">
        <f aca="false">IFERROR(+$H123-($AB123+$AC123*$G123),"-")</f>
        <v>-</v>
      </c>
    </row>
    <row r="124" s="156" customFormat="true" ht="12.75" hidden="false" customHeight="true" outlineLevel="0" collapsed="false">
      <c r="A124" s="1"/>
      <c r="B124" s="145" t="s">
        <v>190</v>
      </c>
      <c r="C124" s="146" t="s">
        <v>203</v>
      </c>
      <c r="D124" s="147" t="e">
        <f aca="false">VLOOKUP($C124,#REF!,5,0)</f>
        <v>#VALUE!</v>
      </c>
      <c r="E124" s="148" t="e">
        <f aca="false">VLOOKUP($C124,#REF!,6,0)</f>
        <v>#VALUE!</v>
      </c>
      <c r="F124" s="146" t="e">
        <f aca="false">VLOOKUP($C124,#REF!,7,0)</f>
        <v>#VALUE!</v>
      </c>
      <c r="G124" s="146" t="e">
        <f aca="false">VLOOKUP($C124,#REF!,8,0)</f>
        <v>#VALUE!</v>
      </c>
      <c r="H124" s="149" t="e">
        <f aca="false">VLOOKUP($C124,#REF!,9,0)</f>
        <v>#VALUE!</v>
      </c>
      <c r="I124" s="137"/>
      <c r="J124" s="150" t="e">
        <f aca="false">VLOOKUP($C124,#REF!,10,0)</f>
        <v>#VALUE!</v>
      </c>
      <c r="K124" s="151" t="e">
        <f aca="false">VLOOKUP($C124,#REF!,11,0)</f>
        <v>#VALUE!</v>
      </c>
      <c r="L124" s="140"/>
      <c r="M124" s="150" t="e">
        <f aca="false">VLOOKUP($C124,#REF!,12,0)</f>
        <v>#VALUE!</v>
      </c>
      <c r="N124" s="152" t="e">
        <f aca="false">VLOOKUP($C124,#REF!,13,0)</f>
        <v>#VALUE!</v>
      </c>
      <c r="O124" s="150" t="e">
        <f aca="false">VLOOKUP($C124,#REF!,14,0)</f>
        <v>#VALUE!</v>
      </c>
      <c r="P124" s="152" t="e">
        <f aca="false">VLOOKUP($C124,#REF!,15,0)</f>
        <v>#VALUE!</v>
      </c>
      <c r="Q124" s="150" t="e">
        <f aca="false">VLOOKUP($C124,#REF!,16,0)</f>
        <v>#VALUE!</v>
      </c>
      <c r="R124" s="151" t="e">
        <f aca="false">VLOOKUP($C124,#REF!,17,0)</f>
        <v>#VALUE!</v>
      </c>
      <c r="S124" s="152" t="e">
        <f aca="false">VLOOKUP($C124,#REF!,18,0)</f>
        <v>#VALUE!</v>
      </c>
      <c r="T124" s="151" t="e">
        <f aca="false">VLOOKUP($C124,#REF!,19,0)</f>
        <v>#VALUE!</v>
      </c>
      <c r="U124" s="140"/>
      <c r="V124" s="150" t="e">
        <f aca="false">VLOOKUP($C124,#REF!,20,0)</f>
        <v>#VALUE!</v>
      </c>
      <c r="W124" s="152" t="e">
        <f aca="false">VLOOKUP($C124,#REF!,21,0)</f>
        <v>#VALUE!</v>
      </c>
      <c r="X124" s="150" t="e">
        <f aca="false">VLOOKUP($C124,#REF!,22,0)</f>
        <v>#VALUE!</v>
      </c>
      <c r="Y124" s="152" t="e">
        <f aca="false">VLOOKUP($C124,#REF!,23,0)</f>
        <v>#VALUE!</v>
      </c>
      <c r="Z124" s="150" t="e">
        <f aca="false">VLOOKUP($C124,#REF!,24,0)</f>
        <v>#VALUE!</v>
      </c>
      <c r="AA124" s="151" t="e">
        <f aca="false">VLOOKUP($C124,#REF!,25,0)</f>
        <v>#VALUE!</v>
      </c>
      <c r="AB124" s="152" t="e">
        <f aca="false">VLOOKUP($C124,#REF!,26,0)</f>
        <v>#VALUE!</v>
      </c>
      <c r="AC124" s="151" t="e">
        <f aca="false">VLOOKUP($C124,#REF!,27,0)</f>
        <v>#VALUE!</v>
      </c>
      <c r="AD124" s="1"/>
      <c r="AE124" s="150" t="e">
        <f aca="false">IF(M124="-","-","0,5 GB")</f>
        <v>#VALUE!</v>
      </c>
      <c r="AF124" s="153" t="s">
        <v>92</v>
      </c>
      <c r="AG124" s="153" t="s">
        <v>93</v>
      </c>
      <c r="AH124" s="151" t="s">
        <v>94</v>
      </c>
      <c r="AI124" s="1"/>
      <c r="AJ124" s="150" t="s">
        <v>95</v>
      </c>
      <c r="AK124" s="153" t="s">
        <v>96</v>
      </c>
      <c r="AL124" s="153" t="s">
        <v>97</v>
      </c>
      <c r="AM124" s="153" t="s">
        <v>98</v>
      </c>
      <c r="AN124" s="153" t="s">
        <v>98</v>
      </c>
      <c r="AO124" s="151" t="s">
        <v>92</v>
      </c>
      <c r="AP124" s="1"/>
      <c r="AQ124" s="154" t="n">
        <v>157</v>
      </c>
      <c r="AR124" s="137"/>
      <c r="AS124" s="150" t="n">
        <v>0</v>
      </c>
      <c r="AT124" s="151" t="n">
        <v>0</v>
      </c>
      <c r="AU124" s="140"/>
      <c r="AV124" s="150" t="n">
        <f aca="false">IFERROR(ROUND($D124-M124-AW124,0),0)</f>
        <v>0</v>
      </c>
      <c r="AW124" s="151" t="n">
        <f aca="false">IFERROR(N124*$G124,0)</f>
        <v>0</v>
      </c>
      <c r="AX124" s="150" t="n">
        <f aca="false">IFERROR(ROUND($D124-O124-AY124,0),0)</f>
        <v>0</v>
      </c>
      <c r="AY124" s="151" t="n">
        <f aca="false">IFERROR(P124*$G124,0)</f>
        <v>0</v>
      </c>
      <c r="AZ124" s="150" t="n">
        <f aca="false">IFERROR(ROUND($D124-Q124-BA124,0),0)</f>
        <v>0</v>
      </c>
      <c r="BA124" s="151" t="n">
        <f aca="false">IFERROR(R124*$G124,0)</f>
        <v>0</v>
      </c>
      <c r="BB124" s="152" t="n">
        <f aca="false">IFERROR(ROUND($D124-S124-BC124,0),0)</f>
        <v>0</v>
      </c>
      <c r="BC124" s="151" t="n">
        <f aca="false">IFERROR(T124*$G124,0)</f>
        <v>0</v>
      </c>
      <c r="BD124" s="140"/>
      <c r="BE124" s="150" t="n">
        <f aca="false">IFERROR(ROUND($D124-V124-BF124,0),0)</f>
        <v>0</v>
      </c>
      <c r="BF124" s="151" t="n">
        <f aca="false">IFERROR(W124*$G124,0)</f>
        <v>0</v>
      </c>
      <c r="BG124" s="150" t="n">
        <f aca="false">IFERROR(ROUND($D124-X124-BH124,0),0)</f>
        <v>0</v>
      </c>
      <c r="BH124" s="151" t="n">
        <f aca="false">IFERROR(Y124*$G124,0)</f>
        <v>0</v>
      </c>
      <c r="BI124" s="152" t="n">
        <f aca="false">IFERROR(ROUND($D124-Z124-BJ124,0),0)</f>
        <v>0</v>
      </c>
      <c r="BJ124" s="151" t="n">
        <f aca="false">IFERROR(AA124*$G124,0)</f>
        <v>0</v>
      </c>
      <c r="BK124" s="152" t="n">
        <f aca="false">IFERROR(ROUND($D124-AB124-BL124,0),0)</f>
        <v>0</v>
      </c>
      <c r="BL124" s="151" t="n">
        <f aca="false">IFERROR(AC124*$G124,0)</f>
        <v>0</v>
      </c>
      <c r="BM124" s="1"/>
      <c r="BN124" s="154" t="n">
        <v>-16.53</v>
      </c>
      <c r="BO124" s="155"/>
      <c r="BP124" s="150" t="n">
        <v>-16.53</v>
      </c>
      <c r="BQ124" s="151" t="n">
        <v>0</v>
      </c>
      <c r="BR124" s="152"/>
      <c r="BS124" s="150" t="n">
        <v>0</v>
      </c>
      <c r="BT124" s="151" t="n">
        <v>0</v>
      </c>
      <c r="BU124" s="150" t="n">
        <v>0</v>
      </c>
      <c r="BV124" s="151" t="n">
        <v>0</v>
      </c>
      <c r="BW124" s="150" t="n">
        <v>0</v>
      </c>
      <c r="BX124" s="151" t="n">
        <v>0</v>
      </c>
      <c r="BY124" s="150" t="n">
        <v>0</v>
      </c>
      <c r="BZ124" s="151" t="n">
        <v>0</v>
      </c>
      <c r="CA124" s="152"/>
      <c r="CB124" s="150" t="n">
        <v>0</v>
      </c>
      <c r="CC124" s="151" t="n">
        <v>0</v>
      </c>
      <c r="CD124" s="150" t="n">
        <v>0</v>
      </c>
      <c r="CE124" s="151" t="n">
        <v>0</v>
      </c>
      <c r="CF124" s="150" t="n">
        <v>0</v>
      </c>
      <c r="CG124" s="151" t="n">
        <v>0</v>
      </c>
      <c r="CH124" s="150" t="n">
        <v>0</v>
      </c>
      <c r="CI124" s="151" t="n">
        <v>0</v>
      </c>
      <c r="CJ124" s="1"/>
      <c r="CK124" s="149"/>
      <c r="CL124" s="137"/>
      <c r="CM124" s="154" t="str">
        <f aca="false">IFERROR(+$H124-($J124+$K124*$G124),"-")</f>
        <v>-</v>
      </c>
      <c r="CN124" s="137"/>
      <c r="CO124" s="154" t="str">
        <f aca="false">IFERROR(+$H124-($M124+$N124*$G124),"-")</f>
        <v>-</v>
      </c>
      <c r="CP124" s="154" t="str">
        <f aca="false">IFERROR(+$H124-($O124+$P124*$G124),"-")</f>
        <v>-</v>
      </c>
      <c r="CQ124" s="154" t="str">
        <f aca="false">IFERROR(+$H124-($Q124+$R124*$G124),"-")</f>
        <v>-</v>
      </c>
      <c r="CR124" s="154" t="str">
        <f aca="false">IFERROR(+$H124-($Q124+$R124*$G124),"-")</f>
        <v>-</v>
      </c>
      <c r="CS124" s="137"/>
      <c r="CT124" s="154" t="str">
        <f aca="false">IFERROR(+$H124-($V124+$W124*$G124),"-")</f>
        <v>-</v>
      </c>
      <c r="CU124" s="154" t="str">
        <f aca="false">IFERROR(+$H124-($X124+$Y124*$G124),"-")</f>
        <v>-</v>
      </c>
      <c r="CV124" s="154" t="str">
        <f aca="false">IFERROR(+$H124-($Z124+$AA124*$G124),"-")</f>
        <v>-</v>
      </c>
      <c r="CW124" s="154" t="str">
        <f aca="false">IFERROR(+$H124-($AB124+$AC124*$G124),"-")</f>
        <v>-</v>
      </c>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row>
    <row r="125" s="1" customFormat="true" ht="12.75" hidden="false" customHeight="true" outlineLevel="0" collapsed="false">
      <c r="B125" s="134" t="s">
        <v>190</v>
      </c>
      <c r="C125" s="135" t="s">
        <v>204</v>
      </c>
      <c r="D125" s="136" t="e">
        <f aca="false">VLOOKUP($C125,#REF!,5,0)</f>
        <v>#VALUE!</v>
      </c>
      <c r="E125" s="157" t="e">
        <f aca="false">VLOOKUP($C125,#REF!,6,0)</f>
        <v>#VALUE!</v>
      </c>
      <c r="F125" s="135" t="e">
        <f aca="false">VLOOKUP($C125,#REF!,7,0)</f>
        <v>#VALUE!</v>
      </c>
      <c r="G125" s="135" t="e">
        <f aca="false">VLOOKUP($C125,#REF!,8,0)</f>
        <v>#VALUE!</v>
      </c>
      <c r="H125" s="158" t="e">
        <f aca="false">VLOOKUP($C125,#REF!,9,0)</f>
        <v>#VALUE!</v>
      </c>
      <c r="I125" s="137"/>
      <c r="J125" s="138" t="e">
        <f aca="false">VLOOKUP($C125,#REF!,10,0)</f>
        <v>#VALUE!</v>
      </c>
      <c r="K125" s="139" t="e">
        <f aca="false">VLOOKUP($C125,#REF!,11,0)</f>
        <v>#VALUE!</v>
      </c>
      <c r="L125" s="140"/>
      <c r="M125" s="138" t="e">
        <f aca="false">VLOOKUP($C125,#REF!,12,0)</f>
        <v>#VALUE!</v>
      </c>
      <c r="N125" s="140" t="e">
        <f aca="false">VLOOKUP($C125,#REF!,13,0)</f>
        <v>#VALUE!</v>
      </c>
      <c r="O125" s="138" t="e">
        <f aca="false">VLOOKUP($C125,#REF!,14,0)</f>
        <v>#VALUE!</v>
      </c>
      <c r="P125" s="140" t="e">
        <f aca="false">VLOOKUP($C125,#REF!,15,0)</f>
        <v>#VALUE!</v>
      </c>
      <c r="Q125" s="138" t="e">
        <f aca="false">VLOOKUP($C125,#REF!,16,0)</f>
        <v>#VALUE!</v>
      </c>
      <c r="R125" s="139" t="e">
        <f aca="false">VLOOKUP($C125,#REF!,17,0)</f>
        <v>#VALUE!</v>
      </c>
      <c r="S125" s="140" t="e">
        <f aca="false">VLOOKUP($C125,#REF!,18,0)</f>
        <v>#VALUE!</v>
      </c>
      <c r="T125" s="139" t="e">
        <f aca="false">VLOOKUP($C125,#REF!,19,0)</f>
        <v>#VALUE!</v>
      </c>
      <c r="U125" s="140"/>
      <c r="V125" s="138" t="e">
        <f aca="false">VLOOKUP($C125,#REF!,20,0)</f>
        <v>#VALUE!</v>
      </c>
      <c r="W125" s="140" t="e">
        <f aca="false">VLOOKUP($C125,#REF!,21,0)</f>
        <v>#VALUE!</v>
      </c>
      <c r="X125" s="138" t="e">
        <f aca="false">VLOOKUP($C125,#REF!,22,0)</f>
        <v>#VALUE!</v>
      </c>
      <c r="Y125" s="140" t="e">
        <f aca="false">VLOOKUP($C125,#REF!,23,0)</f>
        <v>#VALUE!</v>
      </c>
      <c r="Z125" s="138" t="e">
        <f aca="false">VLOOKUP($C125,#REF!,24,0)</f>
        <v>#VALUE!</v>
      </c>
      <c r="AA125" s="139" t="e">
        <f aca="false">VLOOKUP($C125,#REF!,25,0)</f>
        <v>#VALUE!</v>
      </c>
      <c r="AB125" s="140" t="e">
        <f aca="false">VLOOKUP($C125,#REF!,26,0)</f>
        <v>#VALUE!</v>
      </c>
      <c r="AC125" s="139" t="e">
        <f aca="false">VLOOKUP($C125,#REF!,27,0)</f>
        <v>#VALUE!</v>
      </c>
      <c r="AE125" s="138" t="e">
        <f aca="false">IF(M125="-","-","0,5 GB")</f>
        <v>#VALUE!</v>
      </c>
      <c r="AF125" s="141" t="s">
        <v>92</v>
      </c>
      <c r="AG125" s="141" t="s">
        <v>93</v>
      </c>
      <c r="AH125" s="139" t="s">
        <v>94</v>
      </c>
      <c r="AJ125" s="138" t="s">
        <v>95</v>
      </c>
      <c r="AK125" s="141" t="s">
        <v>96</v>
      </c>
      <c r="AL125" s="141" t="s">
        <v>97</v>
      </c>
      <c r="AM125" s="141" t="s">
        <v>98</v>
      </c>
      <c r="AN125" s="141" t="s">
        <v>98</v>
      </c>
      <c r="AO125" s="139" t="s">
        <v>92</v>
      </c>
      <c r="AQ125" s="142" t="n">
        <v>132</v>
      </c>
      <c r="AR125" s="137"/>
      <c r="AS125" s="138" t="n">
        <v>0</v>
      </c>
      <c r="AT125" s="139" t="n">
        <v>0</v>
      </c>
      <c r="AU125" s="140"/>
      <c r="AV125" s="138" t="n">
        <f aca="false">IFERROR(ROUND($D125-M125-AW125,0),0)</f>
        <v>0</v>
      </c>
      <c r="AW125" s="139" t="n">
        <f aca="false">IFERROR(N125*$G125,0)</f>
        <v>0</v>
      </c>
      <c r="AX125" s="138" t="n">
        <f aca="false">IFERROR(ROUND($D125-O125-AY125,0),0)</f>
        <v>0</v>
      </c>
      <c r="AY125" s="139" t="n">
        <f aca="false">IFERROR(P125*$G125,0)</f>
        <v>0</v>
      </c>
      <c r="AZ125" s="138" t="n">
        <f aca="false">IFERROR(ROUND($D125-Q125-BA125,0),0)</f>
        <v>0</v>
      </c>
      <c r="BA125" s="139" t="n">
        <f aca="false">IFERROR(R125*$G125,0)</f>
        <v>0</v>
      </c>
      <c r="BB125" s="140" t="n">
        <f aca="false">IFERROR(ROUND($D125-S125-BC125,0),0)</f>
        <v>0</v>
      </c>
      <c r="BC125" s="139" t="n">
        <f aca="false">IFERROR(T125*$G125,0)</f>
        <v>0</v>
      </c>
      <c r="BD125" s="140"/>
      <c r="BE125" s="138" t="n">
        <f aca="false">IFERROR(ROUND($D125-V125-BF125,0),0)</f>
        <v>0</v>
      </c>
      <c r="BF125" s="139" t="n">
        <f aca="false">IFERROR(W125*$G125,0)</f>
        <v>0</v>
      </c>
      <c r="BG125" s="138" t="n">
        <f aca="false">IFERROR(ROUND($D125-X125-BH125,0),0)</f>
        <v>0</v>
      </c>
      <c r="BH125" s="139" t="n">
        <f aca="false">IFERROR(Y125*$G125,0)</f>
        <v>0</v>
      </c>
      <c r="BI125" s="140" t="n">
        <f aca="false">IFERROR(ROUND($D125-Z125-BJ125,0),0)</f>
        <v>0</v>
      </c>
      <c r="BJ125" s="139" t="n">
        <f aca="false">IFERROR(AA125*$G125,0)</f>
        <v>0</v>
      </c>
      <c r="BK125" s="140" t="n">
        <f aca="false">IFERROR(ROUND($D125-AB125-BL125,0),0)</f>
        <v>0</v>
      </c>
      <c r="BL125" s="139" t="n">
        <f aca="false">IFERROR(AC125*$G125,0)</f>
        <v>0</v>
      </c>
      <c r="BN125" s="142" t="n">
        <v>0</v>
      </c>
      <c r="BO125" s="137"/>
      <c r="BP125" s="138" t="n">
        <v>0</v>
      </c>
      <c r="BQ125" s="139" t="n">
        <v>0</v>
      </c>
      <c r="BR125" s="140"/>
      <c r="BS125" s="138" t="n">
        <v>0</v>
      </c>
      <c r="BT125" s="139" t="n">
        <v>0</v>
      </c>
      <c r="BU125" s="138" t="n">
        <v>0</v>
      </c>
      <c r="BV125" s="139" t="n">
        <v>0</v>
      </c>
      <c r="BW125" s="138" t="n">
        <v>0</v>
      </c>
      <c r="BX125" s="139" t="n">
        <v>0</v>
      </c>
      <c r="BY125" s="138" t="n">
        <v>0</v>
      </c>
      <c r="BZ125" s="139" t="n">
        <v>0</v>
      </c>
      <c r="CA125" s="140"/>
      <c r="CB125" s="138" t="n">
        <v>0</v>
      </c>
      <c r="CC125" s="139" t="n">
        <v>0</v>
      </c>
      <c r="CD125" s="138" t="n">
        <v>0</v>
      </c>
      <c r="CE125" s="139" t="n">
        <v>0</v>
      </c>
      <c r="CF125" s="138" t="n">
        <v>0</v>
      </c>
      <c r="CG125" s="139" t="n">
        <v>0</v>
      </c>
      <c r="CH125" s="138" t="n">
        <v>0</v>
      </c>
      <c r="CI125" s="139" t="n">
        <v>0</v>
      </c>
      <c r="CK125" s="143"/>
      <c r="CL125" s="137"/>
      <c r="CM125" s="144" t="str">
        <f aca="false">IFERROR(+$H125-($J125+$K125*$G125),"-")</f>
        <v>-</v>
      </c>
      <c r="CN125" s="137"/>
      <c r="CO125" s="144" t="str">
        <f aca="false">IFERROR(+$H125-($M125+$N125*$G125),"-")</f>
        <v>-</v>
      </c>
      <c r="CP125" s="144" t="str">
        <f aca="false">IFERROR(+$H125-($O125+$P125*$G125),"-")</f>
        <v>-</v>
      </c>
      <c r="CQ125" s="144" t="str">
        <f aca="false">IFERROR(+$H125-($Q125+$R125*$G125),"-")</f>
        <v>-</v>
      </c>
      <c r="CR125" s="144" t="str">
        <f aca="false">IFERROR(+$H125-($Q125+$R125*$G125),"-")</f>
        <v>-</v>
      </c>
      <c r="CS125" s="137"/>
      <c r="CT125" s="144" t="str">
        <f aca="false">IFERROR(+$H125-($V125+$W125*$G125),"-")</f>
        <v>-</v>
      </c>
      <c r="CU125" s="144" t="str">
        <f aca="false">IFERROR(+$H125-($X125+$Y125*$G125),"-")</f>
        <v>-</v>
      </c>
      <c r="CV125" s="144" t="str">
        <f aca="false">IFERROR(+$H125-($Z125+$AA125*$G125),"-")</f>
        <v>-</v>
      </c>
      <c r="CW125" s="144" t="str">
        <f aca="false">IFERROR(+$H125-($AB125+$AC125*$G125),"-")</f>
        <v>-</v>
      </c>
    </row>
    <row r="126" s="156" customFormat="true" ht="12.75" hidden="false" customHeight="true" outlineLevel="0" collapsed="false">
      <c r="A126" s="1"/>
      <c r="B126" s="145" t="s">
        <v>190</v>
      </c>
      <c r="C126" s="146" t="s">
        <v>205</v>
      </c>
      <c r="D126" s="147" t="e">
        <f aca="false">VLOOKUP($C126,#REF!,5,0)</f>
        <v>#VALUE!</v>
      </c>
      <c r="E126" s="148" t="e">
        <f aca="false">VLOOKUP($C126,#REF!,6,0)</f>
        <v>#VALUE!</v>
      </c>
      <c r="F126" s="146" t="e">
        <f aca="false">VLOOKUP($C126,#REF!,7,0)</f>
        <v>#VALUE!</v>
      </c>
      <c r="G126" s="146" t="e">
        <f aca="false">VLOOKUP($C126,#REF!,8,0)</f>
        <v>#VALUE!</v>
      </c>
      <c r="H126" s="149" t="e">
        <f aca="false">VLOOKUP($C126,#REF!,9,0)</f>
        <v>#VALUE!</v>
      </c>
      <c r="I126" s="137"/>
      <c r="J126" s="150" t="e">
        <f aca="false">VLOOKUP($C126,#REF!,10,0)</f>
        <v>#VALUE!</v>
      </c>
      <c r="K126" s="151" t="e">
        <f aca="false">VLOOKUP($C126,#REF!,11,0)</f>
        <v>#VALUE!</v>
      </c>
      <c r="L126" s="140"/>
      <c r="M126" s="150" t="e">
        <f aca="false">VLOOKUP($C126,#REF!,12,0)</f>
        <v>#VALUE!</v>
      </c>
      <c r="N126" s="152" t="e">
        <f aca="false">VLOOKUP($C126,#REF!,13,0)</f>
        <v>#VALUE!</v>
      </c>
      <c r="O126" s="150" t="e">
        <f aca="false">VLOOKUP($C126,#REF!,14,0)</f>
        <v>#VALUE!</v>
      </c>
      <c r="P126" s="152" t="e">
        <f aca="false">VLOOKUP($C126,#REF!,15,0)</f>
        <v>#VALUE!</v>
      </c>
      <c r="Q126" s="150" t="e">
        <f aca="false">VLOOKUP($C126,#REF!,16,0)</f>
        <v>#VALUE!</v>
      </c>
      <c r="R126" s="151" t="e">
        <f aca="false">VLOOKUP($C126,#REF!,17,0)</f>
        <v>#VALUE!</v>
      </c>
      <c r="S126" s="152" t="e">
        <f aca="false">VLOOKUP($C126,#REF!,18,0)</f>
        <v>#VALUE!</v>
      </c>
      <c r="T126" s="151" t="e">
        <f aca="false">VLOOKUP($C126,#REF!,19,0)</f>
        <v>#VALUE!</v>
      </c>
      <c r="U126" s="140"/>
      <c r="V126" s="150" t="e">
        <f aca="false">VLOOKUP($C126,#REF!,20,0)</f>
        <v>#VALUE!</v>
      </c>
      <c r="W126" s="152" t="e">
        <f aca="false">VLOOKUP($C126,#REF!,21,0)</f>
        <v>#VALUE!</v>
      </c>
      <c r="X126" s="150" t="e">
        <f aca="false">VLOOKUP($C126,#REF!,22,0)</f>
        <v>#VALUE!</v>
      </c>
      <c r="Y126" s="152" t="e">
        <f aca="false">VLOOKUP($C126,#REF!,23,0)</f>
        <v>#VALUE!</v>
      </c>
      <c r="Z126" s="150" t="e">
        <f aca="false">VLOOKUP($C126,#REF!,24,0)</f>
        <v>#VALUE!</v>
      </c>
      <c r="AA126" s="151" t="e">
        <f aca="false">VLOOKUP($C126,#REF!,25,0)</f>
        <v>#VALUE!</v>
      </c>
      <c r="AB126" s="152" t="e">
        <f aca="false">VLOOKUP($C126,#REF!,26,0)</f>
        <v>#VALUE!</v>
      </c>
      <c r="AC126" s="151" t="e">
        <f aca="false">VLOOKUP($C126,#REF!,27,0)</f>
        <v>#VALUE!</v>
      </c>
      <c r="AD126" s="1"/>
      <c r="AE126" s="150" t="e">
        <f aca="false">IF(M126="-","-","0,5 GB")</f>
        <v>#VALUE!</v>
      </c>
      <c r="AF126" s="153" t="s">
        <v>92</v>
      </c>
      <c r="AG126" s="153" t="s">
        <v>93</v>
      </c>
      <c r="AH126" s="151" t="s">
        <v>94</v>
      </c>
      <c r="AI126" s="1"/>
      <c r="AJ126" s="150" t="s">
        <v>95</v>
      </c>
      <c r="AK126" s="153" t="s">
        <v>96</v>
      </c>
      <c r="AL126" s="153" t="s">
        <v>97</v>
      </c>
      <c r="AM126" s="153" t="s">
        <v>98</v>
      </c>
      <c r="AN126" s="153" t="s">
        <v>98</v>
      </c>
      <c r="AO126" s="151" t="s">
        <v>92</v>
      </c>
      <c r="AP126" s="1"/>
      <c r="AQ126" s="154" t="n">
        <v>107</v>
      </c>
      <c r="AR126" s="137"/>
      <c r="AS126" s="150" t="n">
        <v>0</v>
      </c>
      <c r="AT126" s="151" t="n">
        <v>0</v>
      </c>
      <c r="AU126" s="140"/>
      <c r="AV126" s="150" t="n">
        <f aca="false">IFERROR(ROUND($D126-M126-AW126,0),0)</f>
        <v>0</v>
      </c>
      <c r="AW126" s="151" t="n">
        <f aca="false">IFERROR(N126*$G126,0)</f>
        <v>0</v>
      </c>
      <c r="AX126" s="150" t="n">
        <f aca="false">IFERROR(ROUND($D126-O126-AY126,0),0)</f>
        <v>0</v>
      </c>
      <c r="AY126" s="151" t="n">
        <f aca="false">IFERROR(P126*$G126,0)</f>
        <v>0</v>
      </c>
      <c r="AZ126" s="150" t="n">
        <f aca="false">IFERROR(ROUND($D126-Q126-BA126,0),0)</f>
        <v>0</v>
      </c>
      <c r="BA126" s="151" t="n">
        <f aca="false">IFERROR(R126*$G126,0)</f>
        <v>0</v>
      </c>
      <c r="BB126" s="152" t="n">
        <f aca="false">IFERROR(ROUND($D126-S126-BC126,0),0)</f>
        <v>0</v>
      </c>
      <c r="BC126" s="151" t="n">
        <f aca="false">IFERROR(T126*$G126,0)</f>
        <v>0</v>
      </c>
      <c r="BD126" s="140"/>
      <c r="BE126" s="150" t="n">
        <f aca="false">IFERROR(ROUND($D126-V126-BF126,0),0)</f>
        <v>0</v>
      </c>
      <c r="BF126" s="151" t="n">
        <f aca="false">IFERROR(W126*$G126,0)</f>
        <v>0</v>
      </c>
      <c r="BG126" s="150" t="n">
        <f aca="false">IFERROR(ROUND($D126-X126-BH126,0),0)</f>
        <v>0</v>
      </c>
      <c r="BH126" s="151" t="n">
        <f aca="false">IFERROR(Y126*$G126,0)</f>
        <v>0</v>
      </c>
      <c r="BI126" s="152" t="n">
        <f aca="false">IFERROR(ROUND($D126-Z126-BJ126,0),0)</f>
        <v>0</v>
      </c>
      <c r="BJ126" s="151" t="n">
        <f aca="false">IFERROR(AA126*$G126,0)</f>
        <v>0</v>
      </c>
      <c r="BK126" s="152" t="n">
        <f aca="false">IFERROR(ROUND($D126-AB126-BL126,0),0)</f>
        <v>0</v>
      </c>
      <c r="BL126" s="151" t="n">
        <f aca="false">IFERROR(AC126*$G126,0)</f>
        <v>0</v>
      </c>
      <c r="BM126" s="1"/>
      <c r="BN126" s="154" t="n">
        <v>0</v>
      </c>
      <c r="BO126" s="155"/>
      <c r="BP126" s="150" t="n">
        <v>0</v>
      </c>
      <c r="BQ126" s="151" t="n">
        <v>0</v>
      </c>
      <c r="BR126" s="152"/>
      <c r="BS126" s="150" t="n">
        <v>0</v>
      </c>
      <c r="BT126" s="151" t="n">
        <v>0</v>
      </c>
      <c r="BU126" s="150" t="n">
        <v>0</v>
      </c>
      <c r="BV126" s="151" t="n">
        <v>0</v>
      </c>
      <c r="BW126" s="150" t="n">
        <v>0</v>
      </c>
      <c r="BX126" s="151" t="n">
        <v>0</v>
      </c>
      <c r="BY126" s="150" t="n">
        <v>0</v>
      </c>
      <c r="BZ126" s="151" t="n">
        <v>0</v>
      </c>
      <c r="CA126" s="152"/>
      <c r="CB126" s="150" t="n">
        <v>0</v>
      </c>
      <c r="CC126" s="151" t="n">
        <v>0</v>
      </c>
      <c r="CD126" s="150" t="n">
        <v>0</v>
      </c>
      <c r="CE126" s="151" t="n">
        <v>0</v>
      </c>
      <c r="CF126" s="150" t="n">
        <v>0</v>
      </c>
      <c r="CG126" s="151" t="n">
        <v>0</v>
      </c>
      <c r="CH126" s="150" t="n">
        <v>0</v>
      </c>
      <c r="CI126" s="151" t="n">
        <v>0</v>
      </c>
      <c r="CJ126" s="1"/>
      <c r="CK126" s="149"/>
      <c r="CL126" s="137"/>
      <c r="CM126" s="154" t="str">
        <f aca="false">IFERROR(+$H126-($J126+$K126*$G126),"-")</f>
        <v>-</v>
      </c>
      <c r="CN126" s="137"/>
      <c r="CO126" s="154" t="str">
        <f aca="false">IFERROR(+$H126-($M126+$N126*$G126),"-")</f>
        <v>-</v>
      </c>
      <c r="CP126" s="154" t="str">
        <f aca="false">IFERROR(+$H126-($O126+$P126*$G126),"-")</f>
        <v>-</v>
      </c>
      <c r="CQ126" s="154" t="str">
        <f aca="false">IFERROR(+$H126-($Q126+$R126*$G126),"-")</f>
        <v>-</v>
      </c>
      <c r="CR126" s="154" t="str">
        <f aca="false">IFERROR(+$H126-($Q126+$R126*$G126),"-")</f>
        <v>-</v>
      </c>
      <c r="CS126" s="137"/>
      <c r="CT126" s="154" t="str">
        <f aca="false">IFERROR(+$H126-($V126+$W126*$G126),"-")</f>
        <v>-</v>
      </c>
      <c r="CU126" s="154" t="str">
        <f aca="false">IFERROR(+$H126-($X126+$Y126*$G126),"-")</f>
        <v>-</v>
      </c>
      <c r="CV126" s="154" t="str">
        <f aca="false">IFERROR(+$H126-($Z126+$AA126*$G126),"-")</f>
        <v>-</v>
      </c>
      <c r="CW126" s="154" t="str">
        <f aca="false">IFERROR(+$H126-($AB126+$AC126*$G126),"-")</f>
        <v>-</v>
      </c>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row>
    <row r="127" s="1" customFormat="true" ht="12.75" hidden="false" customHeight="true" outlineLevel="0" collapsed="false">
      <c r="B127" s="134" t="s">
        <v>190</v>
      </c>
      <c r="C127" s="135" t="s">
        <v>206</v>
      </c>
      <c r="D127" s="136" t="e">
        <f aca="false">VLOOKUP($C127,#REF!,5,0)</f>
        <v>#VALUE!</v>
      </c>
      <c r="E127" s="157" t="e">
        <f aca="false">VLOOKUP($C127,#REF!,6,0)</f>
        <v>#VALUE!</v>
      </c>
      <c r="F127" s="135" t="e">
        <f aca="false">VLOOKUP($C127,#REF!,7,0)</f>
        <v>#VALUE!</v>
      </c>
      <c r="G127" s="135" t="e">
        <f aca="false">VLOOKUP($C127,#REF!,8,0)</f>
        <v>#VALUE!</v>
      </c>
      <c r="H127" s="158" t="e">
        <f aca="false">VLOOKUP($C127,#REF!,9,0)</f>
        <v>#VALUE!</v>
      </c>
      <c r="I127" s="137"/>
      <c r="J127" s="138" t="e">
        <f aca="false">VLOOKUP($C127,#REF!,10,0)</f>
        <v>#VALUE!</v>
      </c>
      <c r="K127" s="139" t="e">
        <f aca="false">VLOOKUP($C127,#REF!,11,0)</f>
        <v>#VALUE!</v>
      </c>
      <c r="L127" s="140"/>
      <c r="M127" s="138" t="e">
        <f aca="false">VLOOKUP($C127,#REF!,12,0)</f>
        <v>#VALUE!</v>
      </c>
      <c r="N127" s="140" t="e">
        <f aca="false">VLOOKUP($C127,#REF!,13,0)</f>
        <v>#VALUE!</v>
      </c>
      <c r="O127" s="138" t="e">
        <f aca="false">VLOOKUP($C127,#REF!,14,0)</f>
        <v>#VALUE!</v>
      </c>
      <c r="P127" s="140" t="e">
        <f aca="false">VLOOKUP($C127,#REF!,15,0)</f>
        <v>#VALUE!</v>
      </c>
      <c r="Q127" s="138" t="e">
        <f aca="false">VLOOKUP($C127,#REF!,16,0)</f>
        <v>#VALUE!</v>
      </c>
      <c r="R127" s="139" t="e">
        <f aca="false">VLOOKUP($C127,#REF!,17,0)</f>
        <v>#VALUE!</v>
      </c>
      <c r="S127" s="140" t="e">
        <f aca="false">VLOOKUP($C127,#REF!,18,0)</f>
        <v>#VALUE!</v>
      </c>
      <c r="T127" s="139" t="e">
        <f aca="false">VLOOKUP($C127,#REF!,19,0)</f>
        <v>#VALUE!</v>
      </c>
      <c r="U127" s="140"/>
      <c r="V127" s="138" t="e">
        <f aca="false">VLOOKUP($C127,#REF!,20,0)</f>
        <v>#VALUE!</v>
      </c>
      <c r="W127" s="140" t="e">
        <f aca="false">VLOOKUP($C127,#REF!,21,0)</f>
        <v>#VALUE!</v>
      </c>
      <c r="X127" s="138" t="e">
        <f aca="false">VLOOKUP($C127,#REF!,22,0)</f>
        <v>#VALUE!</v>
      </c>
      <c r="Y127" s="140" t="e">
        <f aca="false">VLOOKUP($C127,#REF!,23,0)</f>
        <v>#VALUE!</v>
      </c>
      <c r="Z127" s="138" t="e">
        <f aca="false">VLOOKUP($C127,#REF!,24,0)</f>
        <v>#VALUE!</v>
      </c>
      <c r="AA127" s="139" t="e">
        <f aca="false">VLOOKUP($C127,#REF!,25,0)</f>
        <v>#VALUE!</v>
      </c>
      <c r="AB127" s="140" t="e">
        <f aca="false">VLOOKUP($C127,#REF!,26,0)</f>
        <v>#VALUE!</v>
      </c>
      <c r="AC127" s="139" t="e">
        <f aca="false">VLOOKUP($C127,#REF!,27,0)</f>
        <v>#VALUE!</v>
      </c>
      <c r="AE127" s="138" t="e">
        <f aca="false">IF(M127="-","-","0,5 GB")</f>
        <v>#VALUE!</v>
      </c>
      <c r="AF127" s="141" t="s">
        <v>92</v>
      </c>
      <c r="AG127" s="141" t="s">
        <v>93</v>
      </c>
      <c r="AH127" s="139" t="s">
        <v>94</v>
      </c>
      <c r="AJ127" s="138" t="s">
        <v>95</v>
      </c>
      <c r="AK127" s="141" t="s">
        <v>96</v>
      </c>
      <c r="AL127" s="141" t="s">
        <v>97</v>
      </c>
      <c r="AM127" s="141" t="s">
        <v>98</v>
      </c>
      <c r="AN127" s="141" t="s">
        <v>98</v>
      </c>
      <c r="AO127" s="139" t="s">
        <v>92</v>
      </c>
      <c r="AQ127" s="142" t="n">
        <v>1</v>
      </c>
      <c r="AR127" s="137"/>
      <c r="AS127" s="138" t="n">
        <v>0</v>
      </c>
      <c r="AT127" s="139" t="n">
        <v>0</v>
      </c>
      <c r="AU127" s="140"/>
      <c r="AV127" s="138" t="n">
        <f aca="false">IFERROR(ROUND($D127-M127-AW127,0),0)</f>
        <v>0</v>
      </c>
      <c r="AW127" s="139" t="n">
        <f aca="false">IFERROR(N127*$G127,0)</f>
        <v>0</v>
      </c>
      <c r="AX127" s="138" t="n">
        <f aca="false">IFERROR(ROUND($D127-O127-AY127,0),0)</f>
        <v>0</v>
      </c>
      <c r="AY127" s="139" t="n">
        <f aca="false">IFERROR(P127*$G127,0)</f>
        <v>0</v>
      </c>
      <c r="AZ127" s="138" t="n">
        <f aca="false">IFERROR(ROUND($D127-Q127-BA127,0),0)</f>
        <v>0</v>
      </c>
      <c r="BA127" s="139" t="n">
        <f aca="false">IFERROR(R127*$G127,0)</f>
        <v>0</v>
      </c>
      <c r="BB127" s="140" t="n">
        <f aca="false">IFERROR(ROUND($D127-S127-BC127,0),0)</f>
        <v>0</v>
      </c>
      <c r="BC127" s="139" t="n">
        <f aca="false">IFERROR(T127*$G127,0)</f>
        <v>0</v>
      </c>
      <c r="BD127" s="140"/>
      <c r="BE127" s="138" t="n">
        <f aca="false">IFERROR(ROUND($D127-V127-BF127,0),0)</f>
        <v>0</v>
      </c>
      <c r="BF127" s="139" t="n">
        <f aca="false">IFERROR(W127*$G127,0)</f>
        <v>0</v>
      </c>
      <c r="BG127" s="138" t="n">
        <f aca="false">IFERROR(ROUND($D127-X127-BH127,0),0)</f>
        <v>0</v>
      </c>
      <c r="BH127" s="139" t="n">
        <f aca="false">IFERROR(Y127*$G127,0)</f>
        <v>0</v>
      </c>
      <c r="BI127" s="140" t="n">
        <f aca="false">IFERROR(ROUND($D127-Z127-BJ127,0),0)</f>
        <v>0</v>
      </c>
      <c r="BJ127" s="139" t="n">
        <f aca="false">IFERROR(AA127*$G127,0)</f>
        <v>0</v>
      </c>
      <c r="BK127" s="140" t="n">
        <f aca="false">IFERROR(ROUND($D127-AB127-BL127,0),0)</f>
        <v>0</v>
      </c>
      <c r="BL127" s="139" t="n">
        <f aca="false">IFERROR(AC127*$G127,0)</f>
        <v>0</v>
      </c>
      <c r="BN127" s="142" t="n">
        <v>0</v>
      </c>
      <c r="BO127" s="137"/>
      <c r="BP127" s="138" t="n">
        <v>0</v>
      </c>
      <c r="BQ127" s="139" t="n">
        <v>0</v>
      </c>
      <c r="BR127" s="140"/>
      <c r="BS127" s="138" t="n">
        <v>0</v>
      </c>
      <c r="BT127" s="139" t="n">
        <v>0</v>
      </c>
      <c r="BU127" s="138" t="n">
        <v>0</v>
      </c>
      <c r="BV127" s="139" t="n">
        <v>0</v>
      </c>
      <c r="BW127" s="138" t="n">
        <v>0</v>
      </c>
      <c r="BX127" s="139" t="n">
        <v>-1</v>
      </c>
      <c r="BY127" s="138" t="n">
        <v>0</v>
      </c>
      <c r="BZ127" s="139" t="n">
        <v>-1</v>
      </c>
      <c r="CA127" s="140"/>
      <c r="CB127" s="138" t="n">
        <v>0</v>
      </c>
      <c r="CC127" s="139" t="n">
        <v>0</v>
      </c>
      <c r="CD127" s="138" t="n">
        <v>0</v>
      </c>
      <c r="CE127" s="139" t="n">
        <v>0</v>
      </c>
      <c r="CF127" s="138" t="n">
        <v>0</v>
      </c>
      <c r="CG127" s="139" t="n">
        <v>-1</v>
      </c>
      <c r="CH127" s="138" t="n">
        <v>0</v>
      </c>
      <c r="CI127" s="139" t="n">
        <v>-1</v>
      </c>
      <c r="CK127" s="143"/>
      <c r="CL127" s="137"/>
      <c r="CM127" s="144" t="str">
        <f aca="false">IFERROR(+$H127-($J127+$K127*$G127),"-")</f>
        <v>-</v>
      </c>
      <c r="CN127" s="137"/>
      <c r="CO127" s="144" t="str">
        <f aca="false">IFERROR(+$H127-($M127+$N127*$G127),"-")</f>
        <v>-</v>
      </c>
      <c r="CP127" s="144" t="str">
        <f aca="false">IFERROR(+$H127-($O127+$P127*$G127),"-")</f>
        <v>-</v>
      </c>
      <c r="CQ127" s="144" t="str">
        <f aca="false">IFERROR(+$H127-($Q127+$R127*$G127),"-")</f>
        <v>-</v>
      </c>
      <c r="CR127" s="144" t="str">
        <f aca="false">IFERROR(+$H127-($Q127+$R127*$G127),"-")</f>
        <v>-</v>
      </c>
      <c r="CS127" s="137"/>
      <c r="CT127" s="144" t="str">
        <f aca="false">IFERROR(+$H127-($V127+$W127*$G127),"-")</f>
        <v>-</v>
      </c>
      <c r="CU127" s="144" t="str">
        <f aca="false">IFERROR(+$H127-($X127+$Y127*$G127),"-")</f>
        <v>-</v>
      </c>
      <c r="CV127" s="144" t="str">
        <f aca="false">IFERROR(+$H127-($Z127+$AA127*$G127),"-")</f>
        <v>-</v>
      </c>
      <c r="CW127" s="144" t="str">
        <f aca="false">IFERROR(+$H127-($AB127+$AC127*$G127),"-")</f>
        <v>-</v>
      </c>
    </row>
    <row r="128" s="156" customFormat="true" ht="12.75" hidden="false" customHeight="true" outlineLevel="0" collapsed="false">
      <c r="A128" s="1"/>
      <c r="B128" s="145" t="s">
        <v>190</v>
      </c>
      <c r="C128" s="146" t="s">
        <v>207</v>
      </c>
      <c r="D128" s="147" t="e">
        <f aca="false">VLOOKUP($C128,#REF!,5,0)</f>
        <v>#VALUE!</v>
      </c>
      <c r="E128" s="148" t="e">
        <f aca="false">VLOOKUP($C128,#REF!,6,0)</f>
        <v>#VALUE!</v>
      </c>
      <c r="F128" s="146" t="e">
        <f aca="false">VLOOKUP($C128,#REF!,7,0)</f>
        <v>#VALUE!</v>
      </c>
      <c r="G128" s="146" t="e">
        <f aca="false">VLOOKUP($C128,#REF!,8,0)</f>
        <v>#VALUE!</v>
      </c>
      <c r="H128" s="149" t="e">
        <f aca="false">VLOOKUP($C128,#REF!,9,0)</f>
        <v>#VALUE!</v>
      </c>
      <c r="I128" s="137"/>
      <c r="J128" s="150" t="e">
        <f aca="false">VLOOKUP($C128,#REF!,10,0)</f>
        <v>#VALUE!</v>
      </c>
      <c r="K128" s="151" t="e">
        <f aca="false">VLOOKUP($C128,#REF!,11,0)</f>
        <v>#VALUE!</v>
      </c>
      <c r="L128" s="140"/>
      <c r="M128" s="150" t="e">
        <f aca="false">VLOOKUP($C128,#REF!,12,0)</f>
        <v>#VALUE!</v>
      </c>
      <c r="N128" s="152" t="e">
        <f aca="false">VLOOKUP($C128,#REF!,13,0)</f>
        <v>#VALUE!</v>
      </c>
      <c r="O128" s="150" t="e">
        <f aca="false">VLOOKUP($C128,#REF!,14,0)</f>
        <v>#VALUE!</v>
      </c>
      <c r="P128" s="152" t="e">
        <f aca="false">VLOOKUP($C128,#REF!,15,0)</f>
        <v>#VALUE!</v>
      </c>
      <c r="Q128" s="150" t="e">
        <f aca="false">VLOOKUP($C128,#REF!,16,0)</f>
        <v>#VALUE!</v>
      </c>
      <c r="R128" s="151" t="e">
        <f aca="false">VLOOKUP($C128,#REF!,17,0)</f>
        <v>#VALUE!</v>
      </c>
      <c r="S128" s="152" t="e">
        <f aca="false">VLOOKUP($C128,#REF!,18,0)</f>
        <v>#VALUE!</v>
      </c>
      <c r="T128" s="151" t="e">
        <f aca="false">VLOOKUP($C128,#REF!,19,0)</f>
        <v>#VALUE!</v>
      </c>
      <c r="U128" s="140"/>
      <c r="V128" s="150" t="e">
        <f aca="false">VLOOKUP($C128,#REF!,20,0)</f>
        <v>#VALUE!</v>
      </c>
      <c r="W128" s="152" t="e">
        <f aca="false">VLOOKUP($C128,#REF!,21,0)</f>
        <v>#VALUE!</v>
      </c>
      <c r="X128" s="150" t="e">
        <f aca="false">VLOOKUP($C128,#REF!,22,0)</f>
        <v>#VALUE!</v>
      </c>
      <c r="Y128" s="152" t="e">
        <f aca="false">VLOOKUP($C128,#REF!,23,0)</f>
        <v>#VALUE!</v>
      </c>
      <c r="Z128" s="150" t="e">
        <f aca="false">VLOOKUP($C128,#REF!,24,0)</f>
        <v>#VALUE!</v>
      </c>
      <c r="AA128" s="151" t="e">
        <f aca="false">VLOOKUP($C128,#REF!,25,0)</f>
        <v>#VALUE!</v>
      </c>
      <c r="AB128" s="152" t="e">
        <f aca="false">VLOOKUP($C128,#REF!,26,0)</f>
        <v>#VALUE!</v>
      </c>
      <c r="AC128" s="151" t="e">
        <f aca="false">VLOOKUP($C128,#REF!,27,0)</f>
        <v>#VALUE!</v>
      </c>
      <c r="AD128" s="1"/>
      <c r="AE128" s="150" t="e">
        <f aca="false">IF(M128="-","-","0,5 GB")</f>
        <v>#VALUE!</v>
      </c>
      <c r="AF128" s="153" t="s">
        <v>92</v>
      </c>
      <c r="AG128" s="153" t="s">
        <v>93</v>
      </c>
      <c r="AH128" s="151" t="s">
        <v>94</v>
      </c>
      <c r="AI128" s="1"/>
      <c r="AJ128" s="150" t="s">
        <v>95</v>
      </c>
      <c r="AK128" s="153" t="s">
        <v>96</v>
      </c>
      <c r="AL128" s="153" t="s">
        <v>97</v>
      </c>
      <c r="AM128" s="153" t="s">
        <v>98</v>
      </c>
      <c r="AN128" s="153" t="s">
        <v>98</v>
      </c>
      <c r="AO128" s="151" t="s">
        <v>92</v>
      </c>
      <c r="AP128" s="1"/>
      <c r="AQ128" s="154" t="n">
        <v>1</v>
      </c>
      <c r="AR128" s="137"/>
      <c r="AS128" s="150" t="n">
        <v>0</v>
      </c>
      <c r="AT128" s="151" t="n">
        <v>0</v>
      </c>
      <c r="AU128" s="140"/>
      <c r="AV128" s="150" t="n">
        <f aca="false">IFERROR(ROUND($D128-M128-AW128,0),0)</f>
        <v>0</v>
      </c>
      <c r="AW128" s="151" t="n">
        <f aca="false">IFERROR(N128*$G128,0)</f>
        <v>0</v>
      </c>
      <c r="AX128" s="150" t="n">
        <f aca="false">IFERROR(ROUND($D128-O128-AY128,0),0)</f>
        <v>0</v>
      </c>
      <c r="AY128" s="151" t="n">
        <f aca="false">IFERROR(P128*$G128,0)</f>
        <v>0</v>
      </c>
      <c r="AZ128" s="150" t="n">
        <f aca="false">IFERROR(ROUND($D128-Q128-BA128,0),0)</f>
        <v>0</v>
      </c>
      <c r="BA128" s="151" t="n">
        <f aca="false">IFERROR(R128*$G128,0)</f>
        <v>0</v>
      </c>
      <c r="BB128" s="152" t="n">
        <f aca="false">IFERROR(ROUND($D128-S128-BC128,0),0)</f>
        <v>0</v>
      </c>
      <c r="BC128" s="151" t="n">
        <f aca="false">IFERROR(T128*$G128,0)</f>
        <v>0</v>
      </c>
      <c r="BD128" s="140"/>
      <c r="BE128" s="150" t="n">
        <f aca="false">IFERROR(ROUND($D128-V128-BF128,0),0)</f>
        <v>0</v>
      </c>
      <c r="BF128" s="151" t="n">
        <f aca="false">IFERROR(W128*$G128,0)</f>
        <v>0</v>
      </c>
      <c r="BG128" s="150" t="n">
        <f aca="false">IFERROR(ROUND($D128-X128-BH128,0),0)</f>
        <v>0</v>
      </c>
      <c r="BH128" s="151" t="n">
        <f aca="false">IFERROR(Y128*$G128,0)</f>
        <v>0</v>
      </c>
      <c r="BI128" s="152" t="n">
        <f aca="false">IFERROR(ROUND($D128-Z128-BJ128,0),0)</f>
        <v>0</v>
      </c>
      <c r="BJ128" s="151" t="n">
        <f aca="false">IFERROR(AA128*$G128,0)</f>
        <v>0</v>
      </c>
      <c r="BK128" s="152" t="n">
        <f aca="false">IFERROR(ROUND($D128-AB128-BL128,0),0)</f>
        <v>0</v>
      </c>
      <c r="BL128" s="151" t="n">
        <f aca="false">IFERROR(AC128*$G128,0)</f>
        <v>0</v>
      </c>
      <c r="BM128" s="1"/>
      <c r="BN128" s="154" t="n">
        <v>0</v>
      </c>
      <c r="BO128" s="155"/>
      <c r="BP128" s="150" t="n">
        <v>0</v>
      </c>
      <c r="BQ128" s="151" t="n">
        <v>0</v>
      </c>
      <c r="BR128" s="152"/>
      <c r="BS128" s="150" t="n">
        <v>0</v>
      </c>
      <c r="BT128" s="151" t="n">
        <v>0</v>
      </c>
      <c r="BU128" s="150" t="n">
        <v>0</v>
      </c>
      <c r="BV128" s="151" t="n">
        <v>0</v>
      </c>
      <c r="BW128" s="150" t="n">
        <v>0</v>
      </c>
      <c r="BX128" s="151" t="n">
        <v>-1</v>
      </c>
      <c r="BY128" s="150" t="n">
        <v>0</v>
      </c>
      <c r="BZ128" s="151" t="n">
        <v>-1</v>
      </c>
      <c r="CA128" s="152"/>
      <c r="CB128" s="150" t="n">
        <v>0</v>
      </c>
      <c r="CC128" s="151" t="n">
        <v>0</v>
      </c>
      <c r="CD128" s="150" t="n">
        <v>0</v>
      </c>
      <c r="CE128" s="151" t="n">
        <v>0</v>
      </c>
      <c r="CF128" s="150" t="n">
        <v>0</v>
      </c>
      <c r="CG128" s="151" t="n">
        <v>-1</v>
      </c>
      <c r="CH128" s="150" t="n">
        <v>0</v>
      </c>
      <c r="CI128" s="151" t="n">
        <v>-1</v>
      </c>
      <c r="CJ128" s="1"/>
      <c r="CK128" s="149"/>
      <c r="CL128" s="137"/>
      <c r="CM128" s="154" t="str">
        <f aca="false">IFERROR(+$H128-($J128+$K128*$G128),"-")</f>
        <v>-</v>
      </c>
      <c r="CN128" s="137"/>
      <c r="CO128" s="154" t="str">
        <f aca="false">IFERROR(+$H128-($M128+$N128*$G128),"-")</f>
        <v>-</v>
      </c>
      <c r="CP128" s="154" t="str">
        <f aca="false">IFERROR(+$H128-($O128+$P128*$G128),"-")</f>
        <v>-</v>
      </c>
      <c r="CQ128" s="154" t="str">
        <f aca="false">IFERROR(+$H128-($Q128+$R128*$G128),"-")</f>
        <v>-</v>
      </c>
      <c r="CR128" s="154" t="str">
        <f aca="false">IFERROR(+$H128-($Q128+$R128*$G128),"-")</f>
        <v>-</v>
      </c>
      <c r="CS128" s="137"/>
      <c r="CT128" s="154" t="str">
        <f aca="false">IFERROR(+$H128-($V128+$W128*$G128),"-")</f>
        <v>-</v>
      </c>
      <c r="CU128" s="154" t="str">
        <f aca="false">IFERROR(+$H128-($X128+$Y128*$G128),"-")</f>
        <v>-</v>
      </c>
      <c r="CV128" s="154" t="str">
        <f aca="false">IFERROR(+$H128-($Z128+$AA128*$G128),"-")</f>
        <v>-</v>
      </c>
      <c r="CW128" s="154" t="str">
        <f aca="false">IFERROR(+$H128-($AB128+$AC128*$G128),"-")</f>
        <v>-</v>
      </c>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row>
    <row r="129" s="1" customFormat="true" ht="12.75" hidden="false" customHeight="true" outlineLevel="0" collapsed="false">
      <c r="B129" s="134" t="s">
        <v>190</v>
      </c>
      <c r="C129" s="135" t="s">
        <v>208</v>
      </c>
      <c r="D129" s="136" t="e">
        <f aca="false">VLOOKUP($C129,#REF!,5,0)</f>
        <v>#VALUE!</v>
      </c>
      <c r="E129" s="157" t="e">
        <f aca="false">VLOOKUP($C129,#REF!,6,0)</f>
        <v>#VALUE!</v>
      </c>
      <c r="F129" s="135" t="e">
        <f aca="false">VLOOKUP($C129,#REF!,7,0)</f>
        <v>#VALUE!</v>
      </c>
      <c r="G129" s="135" t="e">
        <f aca="false">VLOOKUP($C129,#REF!,8,0)</f>
        <v>#VALUE!</v>
      </c>
      <c r="H129" s="158" t="e">
        <f aca="false">VLOOKUP($C129,#REF!,9,0)</f>
        <v>#VALUE!</v>
      </c>
      <c r="I129" s="137"/>
      <c r="J129" s="138" t="e">
        <f aca="false">VLOOKUP($C129,#REF!,10,0)</f>
        <v>#VALUE!</v>
      </c>
      <c r="K129" s="139" t="e">
        <f aca="false">VLOOKUP($C129,#REF!,11,0)</f>
        <v>#VALUE!</v>
      </c>
      <c r="L129" s="140"/>
      <c r="M129" s="138" t="e">
        <f aca="false">VLOOKUP($C129,#REF!,12,0)</f>
        <v>#VALUE!</v>
      </c>
      <c r="N129" s="140" t="e">
        <f aca="false">VLOOKUP($C129,#REF!,13,0)</f>
        <v>#VALUE!</v>
      </c>
      <c r="O129" s="138" t="e">
        <f aca="false">VLOOKUP($C129,#REF!,14,0)</f>
        <v>#VALUE!</v>
      </c>
      <c r="P129" s="140" t="e">
        <f aca="false">VLOOKUP($C129,#REF!,15,0)</f>
        <v>#VALUE!</v>
      </c>
      <c r="Q129" s="138" t="e">
        <f aca="false">VLOOKUP($C129,#REF!,16,0)</f>
        <v>#VALUE!</v>
      </c>
      <c r="R129" s="139" t="e">
        <f aca="false">VLOOKUP($C129,#REF!,17,0)</f>
        <v>#VALUE!</v>
      </c>
      <c r="S129" s="140" t="e">
        <f aca="false">VLOOKUP($C129,#REF!,18,0)</f>
        <v>#VALUE!</v>
      </c>
      <c r="T129" s="139" t="e">
        <f aca="false">VLOOKUP($C129,#REF!,19,0)</f>
        <v>#VALUE!</v>
      </c>
      <c r="U129" s="140"/>
      <c r="V129" s="138" t="e">
        <f aca="false">VLOOKUP($C129,#REF!,20,0)</f>
        <v>#VALUE!</v>
      </c>
      <c r="W129" s="140" t="e">
        <f aca="false">VLOOKUP($C129,#REF!,21,0)</f>
        <v>#VALUE!</v>
      </c>
      <c r="X129" s="138" t="e">
        <f aca="false">VLOOKUP($C129,#REF!,22,0)</f>
        <v>#VALUE!</v>
      </c>
      <c r="Y129" s="140" t="e">
        <f aca="false">VLOOKUP($C129,#REF!,23,0)</f>
        <v>#VALUE!</v>
      </c>
      <c r="Z129" s="138" t="e">
        <f aca="false">VLOOKUP($C129,#REF!,24,0)</f>
        <v>#VALUE!</v>
      </c>
      <c r="AA129" s="139" t="e">
        <f aca="false">VLOOKUP($C129,#REF!,25,0)</f>
        <v>#VALUE!</v>
      </c>
      <c r="AB129" s="140" t="e">
        <f aca="false">VLOOKUP($C129,#REF!,26,0)</f>
        <v>#VALUE!</v>
      </c>
      <c r="AC129" s="139" t="e">
        <f aca="false">VLOOKUP($C129,#REF!,27,0)</f>
        <v>#VALUE!</v>
      </c>
      <c r="AE129" s="138" t="e">
        <f aca="false">IF(M129="-","-","0,5 GB")</f>
        <v>#VALUE!</v>
      </c>
      <c r="AF129" s="141" t="s">
        <v>92</v>
      </c>
      <c r="AG129" s="141" t="s">
        <v>93</v>
      </c>
      <c r="AH129" s="139" t="s">
        <v>94</v>
      </c>
      <c r="AJ129" s="138" t="s">
        <v>95</v>
      </c>
      <c r="AK129" s="141" t="s">
        <v>96</v>
      </c>
      <c r="AL129" s="141" t="s">
        <v>97</v>
      </c>
      <c r="AM129" s="141" t="s">
        <v>98</v>
      </c>
      <c r="AN129" s="141" t="s">
        <v>98</v>
      </c>
      <c r="AO129" s="139" t="s">
        <v>92</v>
      </c>
      <c r="AQ129" s="142" t="n">
        <v>0</v>
      </c>
      <c r="AR129" s="137"/>
      <c r="AS129" s="138" t="n">
        <v>0</v>
      </c>
      <c r="AT129" s="139" t="n">
        <v>0</v>
      </c>
      <c r="AU129" s="140"/>
      <c r="AV129" s="138" t="n">
        <f aca="false">IFERROR(ROUND($D129-M129-AW129,0),0)</f>
        <v>0</v>
      </c>
      <c r="AW129" s="139" t="n">
        <f aca="false">IFERROR(N129*$G129,0)</f>
        <v>0</v>
      </c>
      <c r="AX129" s="138" t="n">
        <f aca="false">IFERROR(ROUND($D129-O129-AY129,0),0)</f>
        <v>0</v>
      </c>
      <c r="AY129" s="139" t="n">
        <f aca="false">IFERROR(P129*$G129,0)</f>
        <v>0</v>
      </c>
      <c r="AZ129" s="138" t="n">
        <f aca="false">IFERROR(ROUND($D129-Q129-BA129,0),0)</f>
        <v>0</v>
      </c>
      <c r="BA129" s="139" t="n">
        <f aca="false">IFERROR(R129*$G129,0)</f>
        <v>0</v>
      </c>
      <c r="BB129" s="140" t="n">
        <f aca="false">IFERROR(ROUND($D129-S129-BC129,0),0)</f>
        <v>0</v>
      </c>
      <c r="BC129" s="139" t="n">
        <f aca="false">IFERROR(T129*$G129,0)</f>
        <v>0</v>
      </c>
      <c r="BD129" s="140"/>
      <c r="BE129" s="138" t="n">
        <f aca="false">IFERROR(ROUND($D129-V129-BF129,0),0)</f>
        <v>0</v>
      </c>
      <c r="BF129" s="139" t="n">
        <f aca="false">IFERROR(W129*$G129,0)</f>
        <v>0</v>
      </c>
      <c r="BG129" s="138" t="n">
        <f aca="false">IFERROR(ROUND($D129-X129-BH129,0),0)</f>
        <v>0</v>
      </c>
      <c r="BH129" s="139" t="n">
        <f aca="false">IFERROR(Y129*$G129,0)</f>
        <v>0</v>
      </c>
      <c r="BI129" s="140" t="n">
        <f aca="false">IFERROR(ROUND($D129-Z129-BJ129,0),0)</f>
        <v>0</v>
      </c>
      <c r="BJ129" s="139" t="n">
        <f aca="false">IFERROR(AA129*$G129,0)</f>
        <v>0</v>
      </c>
      <c r="BK129" s="140" t="n">
        <f aca="false">IFERROR(ROUND($D129-AB129-BL129,0),0)</f>
        <v>0</v>
      </c>
      <c r="BL129" s="139" t="n">
        <f aca="false">IFERROR(AC129*$G129,0)</f>
        <v>0</v>
      </c>
      <c r="BN129" s="142" t="n">
        <v>0</v>
      </c>
      <c r="BO129" s="137"/>
      <c r="BP129" s="138" t="n">
        <v>0</v>
      </c>
      <c r="BQ129" s="139" t="n">
        <v>0</v>
      </c>
      <c r="BR129" s="140"/>
      <c r="BS129" s="138" t="n">
        <v>0</v>
      </c>
      <c r="BT129" s="139" t="n">
        <v>0</v>
      </c>
      <c r="BU129" s="138" t="n">
        <v>0</v>
      </c>
      <c r="BV129" s="139" t="n">
        <v>0</v>
      </c>
      <c r="BW129" s="138" t="n">
        <v>0</v>
      </c>
      <c r="BX129" s="139" t="n">
        <v>-1</v>
      </c>
      <c r="BY129" s="138" t="n">
        <v>0</v>
      </c>
      <c r="BZ129" s="139" t="n">
        <v>-1</v>
      </c>
      <c r="CA129" s="140"/>
      <c r="CB129" s="138" t="n">
        <v>0</v>
      </c>
      <c r="CC129" s="139" t="n">
        <v>0</v>
      </c>
      <c r="CD129" s="138" t="n">
        <v>0</v>
      </c>
      <c r="CE129" s="139" t="n">
        <v>0</v>
      </c>
      <c r="CF129" s="138" t="n">
        <v>0</v>
      </c>
      <c r="CG129" s="139" t="n">
        <v>-1</v>
      </c>
      <c r="CH129" s="138" t="n">
        <v>0</v>
      </c>
      <c r="CI129" s="139" t="n">
        <v>-1</v>
      </c>
      <c r="CK129" s="143"/>
      <c r="CL129" s="137"/>
      <c r="CM129" s="144" t="str">
        <f aca="false">IFERROR(+$H129-($J129+$K129*$G129),"-")</f>
        <v>-</v>
      </c>
      <c r="CN129" s="137"/>
      <c r="CO129" s="144" t="str">
        <f aca="false">IFERROR(+$H129-($M129+$N129*$G129),"-")</f>
        <v>-</v>
      </c>
      <c r="CP129" s="144" t="str">
        <f aca="false">IFERROR(+$H129-($O129+$P129*$G129),"-")</f>
        <v>-</v>
      </c>
      <c r="CQ129" s="144" t="str">
        <f aca="false">IFERROR(+$H129-($Q129+$R129*$G129),"-")</f>
        <v>-</v>
      </c>
      <c r="CR129" s="144" t="str">
        <f aca="false">IFERROR(+$H129-($Q129+$R129*$G129),"-")</f>
        <v>-</v>
      </c>
      <c r="CS129" s="137"/>
      <c r="CT129" s="144" t="str">
        <f aca="false">IFERROR(+$H129-($V129+$W129*$G129),"-")</f>
        <v>-</v>
      </c>
      <c r="CU129" s="144" t="str">
        <f aca="false">IFERROR(+$H129-($X129+$Y129*$G129),"-")</f>
        <v>-</v>
      </c>
      <c r="CV129" s="144" t="str">
        <f aca="false">IFERROR(+$H129-($Z129+$AA129*$G129),"-")</f>
        <v>-</v>
      </c>
      <c r="CW129" s="144" t="str">
        <f aca="false">IFERROR(+$H129-($AB129+$AC129*$G129),"-")</f>
        <v>-</v>
      </c>
    </row>
    <row r="130" s="156" customFormat="true" ht="12.75" hidden="false" customHeight="true" outlineLevel="0" collapsed="false">
      <c r="A130" s="1"/>
      <c r="B130" s="145" t="s">
        <v>209</v>
      </c>
      <c r="C130" s="146" t="s">
        <v>210</v>
      </c>
      <c r="D130" s="147" t="e">
        <f aca="false">VLOOKUP($C130,#REF!,5,0)</f>
        <v>#VALUE!</v>
      </c>
      <c r="E130" s="148" t="e">
        <f aca="false">VLOOKUP($C130,#REF!,6,0)</f>
        <v>#VALUE!</v>
      </c>
      <c r="F130" s="146" t="e">
        <f aca="false">VLOOKUP($C130,#REF!,7,0)</f>
        <v>#VALUE!</v>
      </c>
      <c r="G130" s="146" t="e">
        <f aca="false">VLOOKUP($C130,#REF!,8,0)</f>
        <v>#VALUE!</v>
      </c>
      <c r="H130" s="149" t="e">
        <f aca="false">VLOOKUP($C130,#REF!,9,0)</f>
        <v>#VALUE!</v>
      </c>
      <c r="I130" s="137"/>
      <c r="J130" s="150" t="e">
        <f aca="false">VLOOKUP($C130,#REF!,10,0)</f>
        <v>#VALUE!</v>
      </c>
      <c r="K130" s="151" t="e">
        <f aca="false">VLOOKUP($C130,#REF!,11,0)</f>
        <v>#VALUE!</v>
      </c>
      <c r="L130" s="140"/>
      <c r="M130" s="150" t="e">
        <f aca="false">VLOOKUP($C130,#REF!,12,0)</f>
        <v>#VALUE!</v>
      </c>
      <c r="N130" s="152" t="e">
        <f aca="false">VLOOKUP($C130,#REF!,13,0)</f>
        <v>#VALUE!</v>
      </c>
      <c r="O130" s="150" t="e">
        <f aca="false">VLOOKUP($C130,#REF!,14,0)</f>
        <v>#VALUE!</v>
      </c>
      <c r="P130" s="152" t="e">
        <f aca="false">VLOOKUP($C130,#REF!,15,0)</f>
        <v>#VALUE!</v>
      </c>
      <c r="Q130" s="150" t="e">
        <f aca="false">VLOOKUP($C130,#REF!,16,0)</f>
        <v>#VALUE!</v>
      </c>
      <c r="R130" s="151" t="e">
        <f aca="false">VLOOKUP($C130,#REF!,17,0)</f>
        <v>#VALUE!</v>
      </c>
      <c r="S130" s="152" t="e">
        <f aca="false">VLOOKUP($C130,#REF!,18,0)</f>
        <v>#VALUE!</v>
      </c>
      <c r="T130" s="151" t="e">
        <f aca="false">VLOOKUP($C130,#REF!,19,0)</f>
        <v>#VALUE!</v>
      </c>
      <c r="U130" s="140"/>
      <c r="V130" s="150" t="e">
        <f aca="false">VLOOKUP($C130,#REF!,20,0)</f>
        <v>#VALUE!</v>
      </c>
      <c r="W130" s="152" t="e">
        <f aca="false">VLOOKUP($C130,#REF!,21,0)</f>
        <v>#VALUE!</v>
      </c>
      <c r="X130" s="150" t="e">
        <f aca="false">VLOOKUP($C130,#REF!,22,0)</f>
        <v>#VALUE!</v>
      </c>
      <c r="Y130" s="152" t="e">
        <f aca="false">VLOOKUP($C130,#REF!,23,0)</f>
        <v>#VALUE!</v>
      </c>
      <c r="Z130" s="150" t="e">
        <f aca="false">VLOOKUP($C130,#REF!,24,0)</f>
        <v>#VALUE!</v>
      </c>
      <c r="AA130" s="151" t="e">
        <f aca="false">VLOOKUP($C130,#REF!,25,0)</f>
        <v>#VALUE!</v>
      </c>
      <c r="AB130" s="152" t="e">
        <f aca="false">VLOOKUP($C130,#REF!,26,0)</f>
        <v>#VALUE!</v>
      </c>
      <c r="AC130" s="151" t="e">
        <f aca="false">VLOOKUP($C130,#REF!,27,0)</f>
        <v>#VALUE!</v>
      </c>
      <c r="AD130" s="1"/>
      <c r="AE130" s="150" t="e">
        <f aca="false">IF(M130="-","-","0,5 GB")</f>
        <v>#VALUE!</v>
      </c>
      <c r="AF130" s="153" t="s">
        <v>92</v>
      </c>
      <c r="AG130" s="153" t="s">
        <v>93</v>
      </c>
      <c r="AH130" s="151" t="s">
        <v>94</v>
      </c>
      <c r="AI130" s="1"/>
      <c r="AJ130" s="150" t="s">
        <v>95</v>
      </c>
      <c r="AK130" s="153" t="s">
        <v>96</v>
      </c>
      <c r="AL130" s="153" t="s">
        <v>97</v>
      </c>
      <c r="AM130" s="153" t="s">
        <v>98</v>
      </c>
      <c r="AN130" s="153" t="s">
        <v>98</v>
      </c>
      <c r="AO130" s="151" t="s">
        <v>92</v>
      </c>
      <c r="AP130" s="1"/>
      <c r="AQ130" s="154" t="n">
        <v>25</v>
      </c>
      <c r="AR130" s="137"/>
      <c r="AS130" s="150" t="n">
        <v>0</v>
      </c>
      <c r="AT130" s="151" t="n">
        <v>0</v>
      </c>
      <c r="AU130" s="140"/>
      <c r="AV130" s="150" t="n">
        <f aca="false">IFERROR(ROUND($D130-M130-AW130,0),0)</f>
        <v>0</v>
      </c>
      <c r="AW130" s="151" t="n">
        <f aca="false">IFERROR(N130*$G130,0)</f>
        <v>0</v>
      </c>
      <c r="AX130" s="150" t="n">
        <f aca="false">IFERROR(ROUND($D130-O130-AY130,0),0)</f>
        <v>0</v>
      </c>
      <c r="AY130" s="151" t="n">
        <f aca="false">IFERROR(P130*$G130,0)</f>
        <v>0</v>
      </c>
      <c r="AZ130" s="150" t="n">
        <f aca="false">IFERROR(ROUND($D130-Q130-BA130,0),0)</f>
        <v>0</v>
      </c>
      <c r="BA130" s="151" t="n">
        <f aca="false">IFERROR(R130*$G130,0)</f>
        <v>0</v>
      </c>
      <c r="BB130" s="152" t="n">
        <f aca="false">IFERROR(ROUND($D130-S130-BC130,0),0)</f>
        <v>0</v>
      </c>
      <c r="BC130" s="151" t="n">
        <f aca="false">IFERROR(T130*$G130,0)</f>
        <v>0</v>
      </c>
      <c r="BD130" s="140"/>
      <c r="BE130" s="150" t="n">
        <f aca="false">IFERROR(ROUND($D130-V130-BF130,0),0)</f>
        <v>0</v>
      </c>
      <c r="BF130" s="151" t="n">
        <f aca="false">IFERROR(W130*$G130,0)</f>
        <v>0</v>
      </c>
      <c r="BG130" s="150" t="n">
        <f aca="false">IFERROR(ROUND($D130-X130-BH130,0),0)</f>
        <v>0</v>
      </c>
      <c r="BH130" s="151" t="n">
        <f aca="false">IFERROR(Y130*$G130,0)</f>
        <v>0</v>
      </c>
      <c r="BI130" s="152" t="n">
        <f aca="false">IFERROR(ROUND($D130-Z130-BJ130,0),0)</f>
        <v>0</v>
      </c>
      <c r="BJ130" s="151" t="n">
        <f aca="false">IFERROR(AA130*$G130,0)</f>
        <v>0</v>
      </c>
      <c r="BK130" s="152" t="n">
        <f aca="false">IFERROR(ROUND($D130-AB130-BL130,0),0)</f>
        <v>0</v>
      </c>
      <c r="BL130" s="151" t="n">
        <f aca="false">IFERROR(AC130*$G130,0)</f>
        <v>0</v>
      </c>
      <c r="BM130" s="1"/>
      <c r="BN130" s="154" t="n">
        <v>0</v>
      </c>
      <c r="BO130" s="155"/>
      <c r="BP130" s="150" t="n">
        <v>0</v>
      </c>
      <c r="BQ130" s="151" t="n">
        <v>0</v>
      </c>
      <c r="BR130" s="152"/>
      <c r="BS130" s="150" t="n">
        <v>0</v>
      </c>
      <c r="BT130" s="151" t="n">
        <v>0</v>
      </c>
      <c r="BU130" s="150" t="n">
        <v>0</v>
      </c>
      <c r="BV130" s="151" t="n">
        <v>0</v>
      </c>
      <c r="BW130" s="150" t="n">
        <v>0</v>
      </c>
      <c r="BX130" s="151" t="n">
        <v>0</v>
      </c>
      <c r="BY130" s="150" t="n">
        <v>0</v>
      </c>
      <c r="BZ130" s="151" t="n">
        <v>0</v>
      </c>
      <c r="CA130" s="152"/>
      <c r="CB130" s="150" t="n">
        <v>0</v>
      </c>
      <c r="CC130" s="151" t="n">
        <v>0</v>
      </c>
      <c r="CD130" s="150" t="n">
        <v>0</v>
      </c>
      <c r="CE130" s="151" t="n">
        <v>0</v>
      </c>
      <c r="CF130" s="150" t="n">
        <v>0</v>
      </c>
      <c r="CG130" s="151" t="n">
        <v>0</v>
      </c>
      <c r="CH130" s="150" t="n">
        <v>0</v>
      </c>
      <c r="CI130" s="151" t="n">
        <v>0</v>
      </c>
      <c r="CJ130" s="1"/>
      <c r="CK130" s="149"/>
      <c r="CL130" s="137"/>
      <c r="CM130" s="154" t="str">
        <f aca="false">IFERROR(+$H130-($J130+$K130*$G130),"-")</f>
        <v>-</v>
      </c>
      <c r="CN130" s="137"/>
      <c r="CO130" s="154" t="str">
        <f aca="false">IFERROR(+$H130-($M130+$N130*$G130),"-")</f>
        <v>-</v>
      </c>
      <c r="CP130" s="154" t="str">
        <f aca="false">IFERROR(+$H130-($O130+$P130*$G130),"-")</f>
        <v>-</v>
      </c>
      <c r="CQ130" s="154" t="str">
        <f aca="false">IFERROR(+$H130-($Q130+$R130*$G130),"-")</f>
        <v>-</v>
      </c>
      <c r="CR130" s="154" t="str">
        <f aca="false">IFERROR(+$H130-($Q130+$R130*$G130),"-")</f>
        <v>-</v>
      </c>
      <c r="CS130" s="137"/>
      <c r="CT130" s="154" t="str">
        <f aca="false">IFERROR(+$H130-($V130+$W130*$G130),"-")</f>
        <v>-</v>
      </c>
      <c r="CU130" s="154" t="str">
        <f aca="false">IFERROR(+$H130-($X130+$Y130*$G130),"-")</f>
        <v>-</v>
      </c>
      <c r="CV130" s="154" t="str">
        <f aca="false">IFERROR(+$H130-($Z130+$AA130*$G130),"-")</f>
        <v>-</v>
      </c>
      <c r="CW130" s="154" t="str">
        <f aca="false">IFERROR(+$H130-($AB130+$AC130*$G130),"-")</f>
        <v>-</v>
      </c>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row>
    <row r="131" s="1" customFormat="true" ht="12.75" hidden="false" customHeight="true" outlineLevel="0" collapsed="false">
      <c r="B131" s="134" t="s">
        <v>211</v>
      </c>
      <c r="C131" s="135" t="s">
        <v>212</v>
      </c>
      <c r="D131" s="136" t="e">
        <f aca="false">VLOOKUP($C131,#REF!,5,0)</f>
        <v>#VALUE!</v>
      </c>
      <c r="E131" s="157" t="e">
        <f aca="false">VLOOKUP($C131,#REF!,6,0)</f>
        <v>#VALUE!</v>
      </c>
      <c r="F131" s="135" t="e">
        <f aca="false">VLOOKUP($C131,#REF!,7,0)</f>
        <v>#VALUE!</v>
      </c>
      <c r="G131" s="135" t="e">
        <f aca="false">VLOOKUP($C131,#REF!,8,0)</f>
        <v>#VALUE!</v>
      </c>
      <c r="H131" s="158" t="e">
        <f aca="false">VLOOKUP($C131,#REF!,9,0)</f>
        <v>#VALUE!</v>
      </c>
      <c r="I131" s="137"/>
      <c r="J131" s="138" t="e">
        <f aca="false">VLOOKUP($C131,#REF!,10,0)</f>
        <v>#VALUE!</v>
      </c>
      <c r="K131" s="139" t="e">
        <f aca="false">VLOOKUP($C131,#REF!,11,0)</f>
        <v>#VALUE!</v>
      </c>
      <c r="L131" s="140"/>
      <c r="M131" s="138" t="e">
        <f aca="false">VLOOKUP($C131,#REF!,12,0)</f>
        <v>#VALUE!</v>
      </c>
      <c r="N131" s="140" t="e">
        <f aca="false">VLOOKUP($C131,#REF!,13,0)</f>
        <v>#VALUE!</v>
      </c>
      <c r="O131" s="138" t="e">
        <f aca="false">VLOOKUP($C131,#REF!,14,0)</f>
        <v>#VALUE!</v>
      </c>
      <c r="P131" s="140" t="e">
        <f aca="false">VLOOKUP($C131,#REF!,15,0)</f>
        <v>#VALUE!</v>
      </c>
      <c r="Q131" s="138" t="e">
        <f aca="false">VLOOKUP($C131,#REF!,16,0)</f>
        <v>#VALUE!</v>
      </c>
      <c r="R131" s="139" t="e">
        <f aca="false">VLOOKUP($C131,#REF!,17,0)</f>
        <v>#VALUE!</v>
      </c>
      <c r="S131" s="140" t="e">
        <f aca="false">VLOOKUP($C131,#REF!,18,0)</f>
        <v>#VALUE!</v>
      </c>
      <c r="T131" s="139" t="e">
        <f aca="false">VLOOKUP($C131,#REF!,19,0)</f>
        <v>#VALUE!</v>
      </c>
      <c r="U131" s="140"/>
      <c r="V131" s="138" t="e">
        <f aca="false">VLOOKUP($C131,#REF!,20,0)</f>
        <v>#VALUE!</v>
      </c>
      <c r="W131" s="140" t="e">
        <f aca="false">VLOOKUP($C131,#REF!,21,0)</f>
        <v>#VALUE!</v>
      </c>
      <c r="X131" s="138" t="e">
        <f aca="false">VLOOKUP($C131,#REF!,22,0)</f>
        <v>#VALUE!</v>
      </c>
      <c r="Y131" s="140" t="e">
        <f aca="false">VLOOKUP($C131,#REF!,23,0)</f>
        <v>#VALUE!</v>
      </c>
      <c r="Z131" s="138" t="e">
        <f aca="false">VLOOKUP($C131,#REF!,24,0)</f>
        <v>#VALUE!</v>
      </c>
      <c r="AA131" s="139" t="e">
        <f aca="false">VLOOKUP($C131,#REF!,25,0)</f>
        <v>#VALUE!</v>
      </c>
      <c r="AB131" s="140" t="e">
        <f aca="false">VLOOKUP($C131,#REF!,26,0)</f>
        <v>#VALUE!</v>
      </c>
      <c r="AC131" s="139" t="e">
        <f aca="false">VLOOKUP($C131,#REF!,27,0)</f>
        <v>#VALUE!</v>
      </c>
      <c r="AE131" s="138" t="e">
        <f aca="false">IF(M131="-","-","0,5 GB")</f>
        <v>#VALUE!</v>
      </c>
      <c r="AF131" s="141" t="s">
        <v>92</v>
      </c>
      <c r="AG131" s="141" t="s">
        <v>93</v>
      </c>
      <c r="AH131" s="139" t="s">
        <v>94</v>
      </c>
      <c r="AJ131" s="138" t="s">
        <v>95</v>
      </c>
      <c r="AK131" s="141" t="s">
        <v>96</v>
      </c>
      <c r="AL131" s="141" t="s">
        <v>97</v>
      </c>
      <c r="AM131" s="141" t="s">
        <v>98</v>
      </c>
      <c r="AN131" s="141" t="s">
        <v>98</v>
      </c>
      <c r="AO131" s="139" t="s">
        <v>92</v>
      </c>
      <c r="AQ131" s="142" t="n">
        <v>50</v>
      </c>
      <c r="AR131" s="137"/>
      <c r="AS131" s="138" t="n">
        <v>0</v>
      </c>
      <c r="AT131" s="139" t="n">
        <v>0</v>
      </c>
      <c r="AU131" s="140"/>
      <c r="AV131" s="138" t="n">
        <f aca="false">IFERROR(ROUND($D131-M131-AW131,0),0)</f>
        <v>0</v>
      </c>
      <c r="AW131" s="139" t="n">
        <f aca="false">IFERROR(N131*$G131,0)</f>
        <v>0</v>
      </c>
      <c r="AX131" s="138" t="n">
        <f aca="false">IFERROR(ROUND($D131-O131-AY131,0),0)</f>
        <v>0</v>
      </c>
      <c r="AY131" s="139" t="n">
        <f aca="false">IFERROR(P131*$G131,0)</f>
        <v>0</v>
      </c>
      <c r="AZ131" s="138" t="n">
        <f aca="false">IFERROR(ROUND($D131-Q131-BA131,0),0)</f>
        <v>0</v>
      </c>
      <c r="BA131" s="139" t="n">
        <f aca="false">IFERROR(R131*$G131,0)</f>
        <v>0</v>
      </c>
      <c r="BB131" s="140" t="n">
        <f aca="false">IFERROR(ROUND($D131-S131-BC131,0),0)</f>
        <v>0</v>
      </c>
      <c r="BC131" s="139" t="n">
        <f aca="false">IFERROR(T131*$G131,0)</f>
        <v>0</v>
      </c>
      <c r="BD131" s="140"/>
      <c r="BE131" s="138" t="n">
        <f aca="false">IFERROR(ROUND($D131-V131-BF131,0),0)</f>
        <v>0</v>
      </c>
      <c r="BF131" s="139" t="n">
        <f aca="false">IFERROR(W131*$G131,0)</f>
        <v>0</v>
      </c>
      <c r="BG131" s="138" t="n">
        <f aca="false">IFERROR(ROUND($D131-X131-BH131,0),0)</f>
        <v>0</v>
      </c>
      <c r="BH131" s="139" t="n">
        <f aca="false">IFERROR(Y131*$G131,0)</f>
        <v>0</v>
      </c>
      <c r="BI131" s="140" t="n">
        <f aca="false">IFERROR(ROUND($D131-Z131-BJ131,0),0)</f>
        <v>0</v>
      </c>
      <c r="BJ131" s="139" t="n">
        <f aca="false">IFERROR(AA131*$G131,0)</f>
        <v>0</v>
      </c>
      <c r="BK131" s="140" t="n">
        <f aca="false">IFERROR(ROUND($D131-AB131-BL131,0),0)</f>
        <v>0</v>
      </c>
      <c r="BL131" s="139" t="n">
        <f aca="false">IFERROR(AC131*$G131,0)</f>
        <v>0</v>
      </c>
      <c r="BN131" s="142" t="n">
        <v>0</v>
      </c>
      <c r="BO131" s="137"/>
      <c r="BP131" s="138" t="n">
        <v>0</v>
      </c>
      <c r="BQ131" s="139" t="n">
        <v>0</v>
      </c>
      <c r="BR131" s="140"/>
      <c r="BS131" s="138" t="n">
        <v>0</v>
      </c>
      <c r="BT131" s="139" t="n">
        <v>0</v>
      </c>
      <c r="BU131" s="138" t="n">
        <v>0</v>
      </c>
      <c r="BV131" s="139" t="n">
        <v>0</v>
      </c>
      <c r="BW131" s="138" t="n">
        <v>0</v>
      </c>
      <c r="BX131" s="139" t="n">
        <v>0</v>
      </c>
      <c r="BY131" s="138" t="n">
        <v>0</v>
      </c>
      <c r="BZ131" s="139" t="n">
        <v>0</v>
      </c>
      <c r="CA131" s="140"/>
      <c r="CB131" s="138" t="n">
        <v>0</v>
      </c>
      <c r="CC131" s="139" t="n">
        <v>0</v>
      </c>
      <c r="CD131" s="138" t="n">
        <v>0</v>
      </c>
      <c r="CE131" s="139" t="n">
        <v>0</v>
      </c>
      <c r="CF131" s="138" t="n">
        <v>0</v>
      </c>
      <c r="CG131" s="139" t="n">
        <v>0</v>
      </c>
      <c r="CH131" s="138" t="n">
        <v>0</v>
      </c>
      <c r="CI131" s="139" t="n">
        <v>0</v>
      </c>
      <c r="CK131" s="143"/>
      <c r="CL131" s="137"/>
      <c r="CM131" s="144" t="str">
        <f aca="false">IFERROR(+$H131-($J131+$K131*$G131),"-")</f>
        <v>-</v>
      </c>
      <c r="CN131" s="137"/>
      <c r="CO131" s="144" t="str">
        <f aca="false">IFERROR(+$H131-($M131+$N131*$G131),"-")</f>
        <v>-</v>
      </c>
      <c r="CP131" s="144" t="str">
        <f aca="false">IFERROR(+$H131-($O131+$P131*$G131),"-")</f>
        <v>-</v>
      </c>
      <c r="CQ131" s="144" t="str">
        <f aca="false">IFERROR(+$H131-($Q131+$R131*$G131),"-")</f>
        <v>-</v>
      </c>
      <c r="CR131" s="144" t="str">
        <f aca="false">IFERROR(+$H131-($Q131+$R131*$G131),"-")</f>
        <v>-</v>
      </c>
      <c r="CS131" s="137"/>
      <c r="CT131" s="144" t="str">
        <f aca="false">IFERROR(+$H131-($V131+$W131*$G131),"-")</f>
        <v>-</v>
      </c>
      <c r="CU131" s="144" t="str">
        <f aca="false">IFERROR(+$H131-($X131+$Y131*$G131),"-")</f>
        <v>-</v>
      </c>
      <c r="CV131" s="144" t="str">
        <f aca="false">IFERROR(+$H131-($Z131+$AA131*$G131),"-")</f>
        <v>-</v>
      </c>
      <c r="CW131" s="144" t="str">
        <f aca="false">IFERROR(+$H131-($AB131+$AC131*$G131),"-")</f>
        <v>-</v>
      </c>
    </row>
    <row r="132" s="156" customFormat="true" ht="12.75" hidden="false" customHeight="true" outlineLevel="0" collapsed="false">
      <c r="A132" s="1"/>
      <c r="B132" s="145" t="s">
        <v>211</v>
      </c>
      <c r="C132" s="146" t="s">
        <v>213</v>
      </c>
      <c r="D132" s="147" t="e">
        <f aca="false">VLOOKUP($C132,#REF!,5,0)</f>
        <v>#VALUE!</v>
      </c>
      <c r="E132" s="148" t="e">
        <f aca="false">VLOOKUP($C132,#REF!,6,0)</f>
        <v>#VALUE!</v>
      </c>
      <c r="F132" s="146" t="e">
        <f aca="false">VLOOKUP($C132,#REF!,7,0)</f>
        <v>#VALUE!</v>
      </c>
      <c r="G132" s="146" t="e">
        <f aca="false">VLOOKUP($C132,#REF!,8,0)</f>
        <v>#VALUE!</v>
      </c>
      <c r="H132" s="149" t="e">
        <f aca="false">VLOOKUP($C132,#REF!,9,0)</f>
        <v>#VALUE!</v>
      </c>
      <c r="I132" s="137"/>
      <c r="J132" s="150" t="e">
        <f aca="false">VLOOKUP($C132,#REF!,10,0)</f>
        <v>#VALUE!</v>
      </c>
      <c r="K132" s="151" t="e">
        <f aca="false">VLOOKUP($C132,#REF!,11,0)</f>
        <v>#VALUE!</v>
      </c>
      <c r="L132" s="140"/>
      <c r="M132" s="150" t="e">
        <f aca="false">VLOOKUP($C132,#REF!,12,0)</f>
        <v>#VALUE!</v>
      </c>
      <c r="N132" s="152" t="e">
        <f aca="false">VLOOKUP($C132,#REF!,13,0)</f>
        <v>#VALUE!</v>
      </c>
      <c r="O132" s="150" t="e">
        <f aca="false">VLOOKUP($C132,#REF!,14,0)</f>
        <v>#VALUE!</v>
      </c>
      <c r="P132" s="152" t="e">
        <f aca="false">VLOOKUP($C132,#REF!,15,0)</f>
        <v>#VALUE!</v>
      </c>
      <c r="Q132" s="150" t="e">
        <f aca="false">VLOOKUP($C132,#REF!,16,0)</f>
        <v>#VALUE!</v>
      </c>
      <c r="R132" s="151" t="e">
        <f aca="false">VLOOKUP($C132,#REF!,17,0)</f>
        <v>#VALUE!</v>
      </c>
      <c r="S132" s="152" t="e">
        <f aca="false">VLOOKUP($C132,#REF!,18,0)</f>
        <v>#VALUE!</v>
      </c>
      <c r="T132" s="151" t="e">
        <f aca="false">VLOOKUP($C132,#REF!,19,0)</f>
        <v>#VALUE!</v>
      </c>
      <c r="U132" s="140"/>
      <c r="V132" s="150" t="e">
        <f aca="false">VLOOKUP($C132,#REF!,20,0)</f>
        <v>#VALUE!</v>
      </c>
      <c r="W132" s="152" t="e">
        <f aca="false">VLOOKUP($C132,#REF!,21,0)</f>
        <v>#VALUE!</v>
      </c>
      <c r="X132" s="150" t="e">
        <f aca="false">VLOOKUP($C132,#REF!,22,0)</f>
        <v>#VALUE!</v>
      </c>
      <c r="Y132" s="152" t="e">
        <f aca="false">VLOOKUP($C132,#REF!,23,0)</f>
        <v>#VALUE!</v>
      </c>
      <c r="Z132" s="150" t="e">
        <f aca="false">VLOOKUP($C132,#REF!,24,0)</f>
        <v>#VALUE!</v>
      </c>
      <c r="AA132" s="151" t="e">
        <f aca="false">VLOOKUP($C132,#REF!,25,0)</f>
        <v>#VALUE!</v>
      </c>
      <c r="AB132" s="152" t="e">
        <f aca="false">VLOOKUP($C132,#REF!,26,0)</f>
        <v>#VALUE!</v>
      </c>
      <c r="AC132" s="151" t="e">
        <f aca="false">VLOOKUP($C132,#REF!,27,0)</f>
        <v>#VALUE!</v>
      </c>
      <c r="AD132" s="1"/>
      <c r="AE132" s="150" t="e">
        <f aca="false">IF(M132="-","-","0,5 GB")</f>
        <v>#VALUE!</v>
      </c>
      <c r="AF132" s="153" t="s">
        <v>92</v>
      </c>
      <c r="AG132" s="153" t="s">
        <v>93</v>
      </c>
      <c r="AH132" s="151" t="s">
        <v>94</v>
      </c>
      <c r="AI132" s="1"/>
      <c r="AJ132" s="150" t="s">
        <v>95</v>
      </c>
      <c r="AK132" s="153" t="s">
        <v>96</v>
      </c>
      <c r="AL132" s="153" t="s">
        <v>97</v>
      </c>
      <c r="AM132" s="153" t="s">
        <v>98</v>
      </c>
      <c r="AN132" s="153" t="s">
        <v>98</v>
      </c>
      <c r="AO132" s="151" t="s">
        <v>92</v>
      </c>
      <c r="AP132" s="1"/>
      <c r="AQ132" s="154" t="n">
        <v>0</v>
      </c>
      <c r="AR132" s="137"/>
      <c r="AS132" s="150" t="n">
        <v>0</v>
      </c>
      <c r="AT132" s="151" t="n">
        <v>0</v>
      </c>
      <c r="AU132" s="140"/>
      <c r="AV132" s="150" t="n">
        <f aca="false">IFERROR(ROUND($D132-M132-AW132,0),0)</f>
        <v>0</v>
      </c>
      <c r="AW132" s="151" t="n">
        <f aca="false">IFERROR(N132*$G132,0)</f>
        <v>0</v>
      </c>
      <c r="AX132" s="150" t="n">
        <f aca="false">IFERROR(ROUND($D132-O132-AY132,0),0)</f>
        <v>0</v>
      </c>
      <c r="AY132" s="151" t="n">
        <f aca="false">IFERROR(P132*$G132,0)</f>
        <v>0</v>
      </c>
      <c r="AZ132" s="150" t="n">
        <f aca="false">IFERROR(ROUND($D132-Q132-BA132,0),0)</f>
        <v>0</v>
      </c>
      <c r="BA132" s="151" t="n">
        <f aca="false">IFERROR(R132*$G132,0)</f>
        <v>0</v>
      </c>
      <c r="BB132" s="152" t="n">
        <f aca="false">IFERROR(ROUND($D132-S132-BC132,0),0)</f>
        <v>0</v>
      </c>
      <c r="BC132" s="151" t="n">
        <f aca="false">IFERROR(T132*$G132,0)</f>
        <v>0</v>
      </c>
      <c r="BD132" s="140"/>
      <c r="BE132" s="150" t="n">
        <f aca="false">IFERROR(ROUND($D132-V132-BF132,0),0)</f>
        <v>0</v>
      </c>
      <c r="BF132" s="151" t="n">
        <f aca="false">IFERROR(W132*$G132,0)</f>
        <v>0</v>
      </c>
      <c r="BG132" s="150" t="n">
        <f aca="false">IFERROR(ROUND($D132-X132-BH132,0),0)</f>
        <v>0</v>
      </c>
      <c r="BH132" s="151" t="n">
        <f aca="false">IFERROR(Y132*$G132,0)</f>
        <v>0</v>
      </c>
      <c r="BI132" s="152" t="n">
        <f aca="false">IFERROR(ROUND($D132-Z132-BJ132,0),0)</f>
        <v>0</v>
      </c>
      <c r="BJ132" s="151" t="n">
        <f aca="false">IFERROR(AA132*$G132,0)</f>
        <v>0</v>
      </c>
      <c r="BK132" s="152" t="n">
        <f aca="false">IFERROR(ROUND($D132-AB132-BL132,0),0)</f>
        <v>0</v>
      </c>
      <c r="BL132" s="151" t="n">
        <f aca="false">IFERROR(AC132*$G132,0)</f>
        <v>0</v>
      </c>
      <c r="BM132" s="1"/>
      <c r="BN132" s="154" t="n">
        <v>0</v>
      </c>
      <c r="BO132" s="155"/>
      <c r="BP132" s="150" t="n">
        <v>0</v>
      </c>
      <c r="BQ132" s="151" t="n">
        <v>0</v>
      </c>
      <c r="BR132" s="152"/>
      <c r="BS132" s="150" t="n">
        <v>0</v>
      </c>
      <c r="BT132" s="151" t="n">
        <v>0</v>
      </c>
      <c r="BU132" s="150" t="n">
        <v>0</v>
      </c>
      <c r="BV132" s="151" t="n">
        <v>0</v>
      </c>
      <c r="BW132" s="150" t="n">
        <v>0</v>
      </c>
      <c r="BX132" s="151" t="n">
        <v>-1</v>
      </c>
      <c r="BY132" s="150" t="n">
        <v>0</v>
      </c>
      <c r="BZ132" s="151" t="n">
        <v>-1</v>
      </c>
      <c r="CA132" s="152"/>
      <c r="CB132" s="150" t="n">
        <v>0</v>
      </c>
      <c r="CC132" s="151" t="n">
        <v>0</v>
      </c>
      <c r="CD132" s="150" t="n">
        <v>0</v>
      </c>
      <c r="CE132" s="151" t="n">
        <v>0</v>
      </c>
      <c r="CF132" s="150" t="n">
        <v>0</v>
      </c>
      <c r="CG132" s="151" t="n">
        <v>-1</v>
      </c>
      <c r="CH132" s="150" t="n">
        <v>0</v>
      </c>
      <c r="CI132" s="151" t="n">
        <v>-1</v>
      </c>
      <c r="CJ132" s="1"/>
      <c r="CK132" s="149"/>
      <c r="CL132" s="137"/>
      <c r="CM132" s="154" t="str">
        <f aca="false">IFERROR(+$H132-($J132+$K132*$G132),"-")</f>
        <v>-</v>
      </c>
      <c r="CN132" s="137"/>
      <c r="CO132" s="154" t="str">
        <f aca="false">IFERROR(+$H132-($M132+$N132*$G132),"-")</f>
        <v>-</v>
      </c>
      <c r="CP132" s="154" t="str">
        <f aca="false">IFERROR(+$H132-($O132+$P132*$G132),"-")</f>
        <v>-</v>
      </c>
      <c r="CQ132" s="154" t="str">
        <f aca="false">IFERROR(+$H132-($Q132+$R132*$G132),"-")</f>
        <v>-</v>
      </c>
      <c r="CR132" s="154" t="str">
        <f aca="false">IFERROR(+$H132-($Q132+$R132*$G132),"-")</f>
        <v>-</v>
      </c>
      <c r="CS132" s="137"/>
      <c r="CT132" s="154" t="str">
        <f aca="false">IFERROR(+$H132-($V132+$W132*$G132),"-")</f>
        <v>-</v>
      </c>
      <c r="CU132" s="154" t="str">
        <f aca="false">IFERROR(+$H132-($X132+$Y132*$G132),"-")</f>
        <v>-</v>
      </c>
      <c r="CV132" s="154" t="str">
        <f aca="false">IFERROR(+$H132-($Z132+$AA132*$G132),"-")</f>
        <v>-</v>
      </c>
      <c r="CW132" s="154" t="str">
        <f aca="false">IFERROR(+$H132-($AB132+$AC132*$G132),"-")</f>
        <v>-</v>
      </c>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row>
    <row r="133" s="1" customFormat="true" ht="12.75" hidden="false" customHeight="true" outlineLevel="0" collapsed="false">
      <c r="B133" s="134" t="s">
        <v>211</v>
      </c>
      <c r="C133" s="135" t="s">
        <v>214</v>
      </c>
      <c r="D133" s="136" t="e">
        <f aca="false">VLOOKUP($C133,#REF!,5,0)</f>
        <v>#VALUE!</v>
      </c>
      <c r="E133" s="157" t="e">
        <f aca="false">VLOOKUP($C133,#REF!,6,0)</f>
        <v>#VALUE!</v>
      </c>
      <c r="F133" s="135" t="e">
        <f aca="false">VLOOKUP($C133,#REF!,7,0)</f>
        <v>#VALUE!</v>
      </c>
      <c r="G133" s="135" t="e">
        <f aca="false">VLOOKUP($C133,#REF!,8,0)</f>
        <v>#VALUE!</v>
      </c>
      <c r="H133" s="158" t="e">
        <f aca="false">VLOOKUP($C133,#REF!,9,0)</f>
        <v>#VALUE!</v>
      </c>
      <c r="I133" s="137"/>
      <c r="J133" s="138" t="e">
        <f aca="false">VLOOKUP($C133,#REF!,10,0)</f>
        <v>#VALUE!</v>
      </c>
      <c r="K133" s="139" t="e">
        <f aca="false">VLOOKUP($C133,#REF!,11,0)</f>
        <v>#VALUE!</v>
      </c>
      <c r="L133" s="140"/>
      <c r="M133" s="138" t="e">
        <f aca="false">VLOOKUP($C133,#REF!,12,0)</f>
        <v>#VALUE!</v>
      </c>
      <c r="N133" s="140" t="e">
        <f aca="false">VLOOKUP($C133,#REF!,13,0)</f>
        <v>#VALUE!</v>
      </c>
      <c r="O133" s="138" t="e">
        <f aca="false">VLOOKUP($C133,#REF!,14,0)</f>
        <v>#VALUE!</v>
      </c>
      <c r="P133" s="140" t="e">
        <f aca="false">VLOOKUP($C133,#REF!,15,0)</f>
        <v>#VALUE!</v>
      </c>
      <c r="Q133" s="138" t="e">
        <f aca="false">VLOOKUP($C133,#REF!,16,0)</f>
        <v>#VALUE!</v>
      </c>
      <c r="R133" s="139" t="e">
        <f aca="false">VLOOKUP($C133,#REF!,17,0)</f>
        <v>#VALUE!</v>
      </c>
      <c r="S133" s="140" t="e">
        <f aca="false">VLOOKUP($C133,#REF!,18,0)</f>
        <v>#VALUE!</v>
      </c>
      <c r="T133" s="139" t="e">
        <f aca="false">VLOOKUP($C133,#REF!,19,0)</f>
        <v>#VALUE!</v>
      </c>
      <c r="U133" s="140"/>
      <c r="V133" s="138" t="e">
        <f aca="false">VLOOKUP($C133,#REF!,20,0)</f>
        <v>#VALUE!</v>
      </c>
      <c r="W133" s="140" t="e">
        <f aca="false">VLOOKUP($C133,#REF!,21,0)</f>
        <v>#VALUE!</v>
      </c>
      <c r="X133" s="138" t="e">
        <f aca="false">VLOOKUP($C133,#REF!,22,0)</f>
        <v>#VALUE!</v>
      </c>
      <c r="Y133" s="140" t="e">
        <f aca="false">VLOOKUP($C133,#REF!,23,0)</f>
        <v>#VALUE!</v>
      </c>
      <c r="Z133" s="138" t="e">
        <f aca="false">VLOOKUP($C133,#REF!,24,0)</f>
        <v>#VALUE!</v>
      </c>
      <c r="AA133" s="139" t="e">
        <f aca="false">VLOOKUP($C133,#REF!,25,0)</f>
        <v>#VALUE!</v>
      </c>
      <c r="AB133" s="140" t="e">
        <f aca="false">VLOOKUP($C133,#REF!,26,0)</f>
        <v>#VALUE!</v>
      </c>
      <c r="AC133" s="139" t="e">
        <f aca="false">VLOOKUP($C133,#REF!,27,0)</f>
        <v>#VALUE!</v>
      </c>
      <c r="AE133" s="138" t="e">
        <f aca="false">IF(M133="-","-","0,5 GB")</f>
        <v>#VALUE!</v>
      </c>
      <c r="AF133" s="141" t="s">
        <v>92</v>
      </c>
      <c r="AG133" s="141" t="s">
        <v>93</v>
      </c>
      <c r="AH133" s="139" t="s">
        <v>94</v>
      </c>
      <c r="AJ133" s="138" t="s">
        <v>95</v>
      </c>
      <c r="AK133" s="141" t="s">
        <v>96</v>
      </c>
      <c r="AL133" s="141" t="s">
        <v>97</v>
      </c>
      <c r="AM133" s="141" t="s">
        <v>98</v>
      </c>
      <c r="AN133" s="141" t="s">
        <v>98</v>
      </c>
      <c r="AO133" s="139" t="s">
        <v>92</v>
      </c>
      <c r="AQ133" s="142" t="n">
        <v>25</v>
      </c>
      <c r="AR133" s="137"/>
      <c r="AS133" s="138" t="n">
        <v>0</v>
      </c>
      <c r="AT133" s="139" t="n">
        <v>0</v>
      </c>
      <c r="AU133" s="140"/>
      <c r="AV133" s="138" t="n">
        <f aca="false">IFERROR(ROUND($D133-M133-AW133,0),0)</f>
        <v>0</v>
      </c>
      <c r="AW133" s="139" t="n">
        <f aca="false">IFERROR(N133*$G133,0)</f>
        <v>0</v>
      </c>
      <c r="AX133" s="138" t="n">
        <f aca="false">IFERROR(ROUND($D133-O133-AY133,0),0)</f>
        <v>0</v>
      </c>
      <c r="AY133" s="139" t="n">
        <f aca="false">IFERROR(P133*$G133,0)</f>
        <v>0</v>
      </c>
      <c r="AZ133" s="138" t="n">
        <f aca="false">IFERROR(ROUND($D133-Q133-BA133,0),0)</f>
        <v>0</v>
      </c>
      <c r="BA133" s="139" t="n">
        <f aca="false">IFERROR(R133*$G133,0)</f>
        <v>0</v>
      </c>
      <c r="BB133" s="140" t="n">
        <f aca="false">IFERROR(ROUND($D133-S133-BC133,0),0)</f>
        <v>0</v>
      </c>
      <c r="BC133" s="139" t="n">
        <f aca="false">IFERROR(T133*$G133,0)</f>
        <v>0</v>
      </c>
      <c r="BD133" s="140"/>
      <c r="BE133" s="138" t="n">
        <f aca="false">IFERROR(ROUND($D133-V133-BF133,0),0)</f>
        <v>0</v>
      </c>
      <c r="BF133" s="139" t="n">
        <f aca="false">IFERROR(W133*$G133,0)</f>
        <v>0</v>
      </c>
      <c r="BG133" s="138" t="n">
        <f aca="false">IFERROR(ROUND($D133-X133-BH133,0),0)</f>
        <v>0</v>
      </c>
      <c r="BH133" s="139" t="n">
        <f aca="false">IFERROR(Y133*$G133,0)</f>
        <v>0</v>
      </c>
      <c r="BI133" s="140" t="n">
        <f aca="false">IFERROR(ROUND($D133-Z133-BJ133,0),0)</f>
        <v>0</v>
      </c>
      <c r="BJ133" s="139" t="n">
        <f aca="false">IFERROR(AA133*$G133,0)</f>
        <v>0</v>
      </c>
      <c r="BK133" s="140" t="n">
        <f aca="false">IFERROR(ROUND($D133-AB133-BL133,0),0)</f>
        <v>0</v>
      </c>
      <c r="BL133" s="139" t="n">
        <f aca="false">IFERROR(AC133*$G133,0)</f>
        <v>0</v>
      </c>
      <c r="BN133" s="142" t="n">
        <v>0</v>
      </c>
      <c r="BO133" s="137"/>
      <c r="BP133" s="138" t="n">
        <v>0</v>
      </c>
      <c r="BQ133" s="139" t="n">
        <v>0</v>
      </c>
      <c r="BR133" s="140"/>
      <c r="BS133" s="138" t="n">
        <v>0</v>
      </c>
      <c r="BT133" s="139" t="n">
        <v>0</v>
      </c>
      <c r="BU133" s="138" t="n">
        <v>0</v>
      </c>
      <c r="BV133" s="139" t="n">
        <v>0</v>
      </c>
      <c r="BW133" s="138" t="n">
        <v>0</v>
      </c>
      <c r="BX133" s="139" t="n">
        <v>-1</v>
      </c>
      <c r="BY133" s="138" t="n">
        <v>0</v>
      </c>
      <c r="BZ133" s="139" t="n">
        <v>-1</v>
      </c>
      <c r="CA133" s="140"/>
      <c r="CB133" s="138" t="n">
        <v>0</v>
      </c>
      <c r="CC133" s="139" t="n">
        <v>0</v>
      </c>
      <c r="CD133" s="138" t="n">
        <v>0</v>
      </c>
      <c r="CE133" s="139" t="n">
        <v>0</v>
      </c>
      <c r="CF133" s="138" t="n">
        <v>0</v>
      </c>
      <c r="CG133" s="139" t="n">
        <v>-1</v>
      </c>
      <c r="CH133" s="138" t="n">
        <v>0</v>
      </c>
      <c r="CI133" s="139" t="n">
        <v>-1</v>
      </c>
      <c r="CK133" s="143"/>
      <c r="CL133" s="137"/>
      <c r="CM133" s="144" t="str">
        <f aca="false">IFERROR(+$H133-($J133+$K133*$G133),"-")</f>
        <v>-</v>
      </c>
      <c r="CN133" s="137"/>
      <c r="CO133" s="144" t="str">
        <f aca="false">IFERROR(+$H133-($M133+$N133*$G133),"-")</f>
        <v>-</v>
      </c>
      <c r="CP133" s="144" t="str">
        <f aca="false">IFERROR(+$H133-($O133+$P133*$G133),"-")</f>
        <v>-</v>
      </c>
      <c r="CQ133" s="144" t="str">
        <f aca="false">IFERROR(+$H133-($Q133+$R133*$G133),"-")</f>
        <v>-</v>
      </c>
      <c r="CR133" s="144" t="str">
        <f aca="false">IFERROR(+$H133-($Q133+$R133*$G133),"-")</f>
        <v>-</v>
      </c>
      <c r="CS133" s="137"/>
      <c r="CT133" s="144" t="str">
        <f aca="false">IFERROR(+$H133-($V133+$W133*$G133),"-")</f>
        <v>-</v>
      </c>
      <c r="CU133" s="144" t="str">
        <f aca="false">IFERROR(+$H133-($X133+$Y133*$G133),"-")</f>
        <v>-</v>
      </c>
      <c r="CV133" s="144" t="str">
        <f aca="false">IFERROR(+$H133-($Z133+$AA133*$G133),"-")</f>
        <v>-</v>
      </c>
      <c r="CW133" s="144" t="str">
        <f aca="false">IFERROR(+$H133-($AB133+$AC133*$G133),"-")</f>
        <v>-</v>
      </c>
    </row>
    <row r="134" s="156" customFormat="true" ht="12.75" hidden="false" customHeight="true" outlineLevel="0" collapsed="false">
      <c r="A134" s="1"/>
      <c r="B134" s="145" t="s">
        <v>211</v>
      </c>
      <c r="C134" s="146" t="s">
        <v>215</v>
      </c>
      <c r="D134" s="147" t="e">
        <f aca="false">VLOOKUP($C134,#REF!,5,0)</f>
        <v>#VALUE!</v>
      </c>
      <c r="E134" s="148" t="e">
        <f aca="false">VLOOKUP($C134,#REF!,6,0)</f>
        <v>#VALUE!</v>
      </c>
      <c r="F134" s="146" t="e">
        <f aca="false">VLOOKUP($C134,#REF!,7,0)</f>
        <v>#VALUE!</v>
      </c>
      <c r="G134" s="146" t="e">
        <f aca="false">VLOOKUP($C134,#REF!,8,0)</f>
        <v>#VALUE!</v>
      </c>
      <c r="H134" s="149" t="e">
        <f aca="false">VLOOKUP($C134,#REF!,9,0)</f>
        <v>#VALUE!</v>
      </c>
      <c r="I134" s="137"/>
      <c r="J134" s="150" t="e">
        <f aca="false">VLOOKUP($C134,#REF!,10,0)</f>
        <v>#VALUE!</v>
      </c>
      <c r="K134" s="151" t="e">
        <f aca="false">VLOOKUP($C134,#REF!,11,0)</f>
        <v>#VALUE!</v>
      </c>
      <c r="L134" s="140"/>
      <c r="M134" s="150" t="e">
        <f aca="false">VLOOKUP($C134,#REF!,12,0)</f>
        <v>#VALUE!</v>
      </c>
      <c r="N134" s="152" t="e">
        <f aca="false">VLOOKUP($C134,#REF!,13,0)</f>
        <v>#VALUE!</v>
      </c>
      <c r="O134" s="150" t="e">
        <f aca="false">VLOOKUP($C134,#REF!,14,0)</f>
        <v>#VALUE!</v>
      </c>
      <c r="P134" s="152" t="e">
        <f aca="false">VLOOKUP($C134,#REF!,15,0)</f>
        <v>#VALUE!</v>
      </c>
      <c r="Q134" s="150" t="e">
        <f aca="false">VLOOKUP($C134,#REF!,16,0)</f>
        <v>#VALUE!</v>
      </c>
      <c r="R134" s="151" t="e">
        <f aca="false">VLOOKUP($C134,#REF!,17,0)</f>
        <v>#VALUE!</v>
      </c>
      <c r="S134" s="152" t="e">
        <f aca="false">VLOOKUP($C134,#REF!,18,0)</f>
        <v>#VALUE!</v>
      </c>
      <c r="T134" s="151" t="e">
        <f aca="false">VLOOKUP($C134,#REF!,19,0)</f>
        <v>#VALUE!</v>
      </c>
      <c r="U134" s="140"/>
      <c r="V134" s="150" t="e">
        <f aca="false">VLOOKUP($C134,#REF!,20,0)</f>
        <v>#VALUE!</v>
      </c>
      <c r="W134" s="152" t="e">
        <f aca="false">VLOOKUP($C134,#REF!,21,0)</f>
        <v>#VALUE!</v>
      </c>
      <c r="X134" s="150" t="e">
        <f aca="false">VLOOKUP($C134,#REF!,22,0)</f>
        <v>#VALUE!</v>
      </c>
      <c r="Y134" s="152" t="e">
        <f aca="false">VLOOKUP($C134,#REF!,23,0)</f>
        <v>#VALUE!</v>
      </c>
      <c r="Z134" s="150" t="e">
        <f aca="false">VLOOKUP($C134,#REF!,24,0)</f>
        <v>#VALUE!</v>
      </c>
      <c r="AA134" s="151" t="e">
        <f aca="false">VLOOKUP($C134,#REF!,25,0)</f>
        <v>#VALUE!</v>
      </c>
      <c r="AB134" s="152" t="e">
        <f aca="false">VLOOKUP($C134,#REF!,26,0)</f>
        <v>#VALUE!</v>
      </c>
      <c r="AC134" s="151" t="e">
        <f aca="false">VLOOKUP($C134,#REF!,27,0)</f>
        <v>#VALUE!</v>
      </c>
      <c r="AD134" s="1"/>
      <c r="AE134" s="150" t="e">
        <f aca="false">IF(M134="-","-","0,5 GB")</f>
        <v>#VALUE!</v>
      </c>
      <c r="AF134" s="153" t="s">
        <v>92</v>
      </c>
      <c r="AG134" s="153" t="s">
        <v>93</v>
      </c>
      <c r="AH134" s="151" t="s">
        <v>94</v>
      </c>
      <c r="AI134" s="1"/>
      <c r="AJ134" s="150" t="s">
        <v>95</v>
      </c>
      <c r="AK134" s="153" t="s">
        <v>96</v>
      </c>
      <c r="AL134" s="153" t="s">
        <v>97</v>
      </c>
      <c r="AM134" s="153" t="s">
        <v>98</v>
      </c>
      <c r="AN134" s="153" t="s">
        <v>98</v>
      </c>
      <c r="AO134" s="151" t="s">
        <v>92</v>
      </c>
      <c r="AP134" s="1"/>
      <c r="AQ134" s="154" t="n">
        <v>51</v>
      </c>
      <c r="AR134" s="137"/>
      <c r="AS134" s="150" t="n">
        <v>0</v>
      </c>
      <c r="AT134" s="151" t="n">
        <v>0</v>
      </c>
      <c r="AU134" s="140"/>
      <c r="AV134" s="150" t="n">
        <f aca="false">IFERROR(ROUND($D134-M134-AW134,0),0)</f>
        <v>0</v>
      </c>
      <c r="AW134" s="151" t="n">
        <f aca="false">IFERROR(N134*$G134,0)</f>
        <v>0</v>
      </c>
      <c r="AX134" s="150" t="n">
        <f aca="false">IFERROR(ROUND($D134-O134-AY134,0),0)</f>
        <v>0</v>
      </c>
      <c r="AY134" s="151" t="n">
        <f aca="false">IFERROR(P134*$G134,0)</f>
        <v>0</v>
      </c>
      <c r="AZ134" s="150" t="n">
        <f aca="false">IFERROR(ROUND($D134-Q134-BA134,0),0)</f>
        <v>0</v>
      </c>
      <c r="BA134" s="151" t="n">
        <f aca="false">IFERROR(R134*$G134,0)</f>
        <v>0</v>
      </c>
      <c r="BB134" s="152" t="n">
        <f aca="false">IFERROR(ROUND($D134-S134-BC134,0),0)</f>
        <v>0</v>
      </c>
      <c r="BC134" s="151" t="n">
        <f aca="false">IFERROR(T134*$G134,0)</f>
        <v>0</v>
      </c>
      <c r="BD134" s="140"/>
      <c r="BE134" s="150" t="n">
        <f aca="false">IFERROR(ROUND($D134-V134-BF134,0),0)</f>
        <v>0</v>
      </c>
      <c r="BF134" s="151" t="n">
        <f aca="false">IFERROR(W134*$G134,0)</f>
        <v>0</v>
      </c>
      <c r="BG134" s="150" t="n">
        <f aca="false">IFERROR(ROUND($D134-X134-BH134,0),0)</f>
        <v>0</v>
      </c>
      <c r="BH134" s="151" t="n">
        <f aca="false">IFERROR(Y134*$G134,0)</f>
        <v>0</v>
      </c>
      <c r="BI134" s="152" t="n">
        <f aca="false">IFERROR(ROUND($D134-Z134-BJ134,0),0)</f>
        <v>0</v>
      </c>
      <c r="BJ134" s="151" t="n">
        <f aca="false">IFERROR(AA134*$G134,0)</f>
        <v>0</v>
      </c>
      <c r="BK134" s="152" t="n">
        <f aca="false">IFERROR(ROUND($D134-AB134-BL134,0),0)</f>
        <v>0</v>
      </c>
      <c r="BL134" s="151" t="n">
        <f aca="false">IFERROR(AC134*$G134,0)</f>
        <v>0</v>
      </c>
      <c r="BM134" s="1"/>
      <c r="BN134" s="154" t="n">
        <v>0</v>
      </c>
      <c r="BO134" s="155"/>
      <c r="BP134" s="150" t="n">
        <v>0</v>
      </c>
      <c r="BQ134" s="151" t="n">
        <v>0</v>
      </c>
      <c r="BR134" s="152"/>
      <c r="BS134" s="150" t="n">
        <v>0</v>
      </c>
      <c r="BT134" s="151" t="n">
        <v>0</v>
      </c>
      <c r="BU134" s="150" t="n">
        <v>0</v>
      </c>
      <c r="BV134" s="151" t="n">
        <v>0</v>
      </c>
      <c r="BW134" s="150" t="n">
        <v>0</v>
      </c>
      <c r="BX134" s="151" t="n">
        <v>-1</v>
      </c>
      <c r="BY134" s="150" t="n">
        <v>0</v>
      </c>
      <c r="BZ134" s="151" t="n">
        <v>-1</v>
      </c>
      <c r="CA134" s="152"/>
      <c r="CB134" s="150" t="n">
        <v>0</v>
      </c>
      <c r="CC134" s="151" t="n">
        <v>0</v>
      </c>
      <c r="CD134" s="150" t="n">
        <v>0</v>
      </c>
      <c r="CE134" s="151" t="n">
        <v>0</v>
      </c>
      <c r="CF134" s="150" t="n">
        <v>0</v>
      </c>
      <c r="CG134" s="151" t="n">
        <v>-1</v>
      </c>
      <c r="CH134" s="150" t="n">
        <v>0</v>
      </c>
      <c r="CI134" s="151" t="n">
        <v>-1</v>
      </c>
      <c r="CJ134" s="1"/>
      <c r="CK134" s="149"/>
      <c r="CL134" s="137"/>
      <c r="CM134" s="154" t="str">
        <f aca="false">IFERROR(+$H134-($J134+$K134*$G134),"-")</f>
        <v>-</v>
      </c>
      <c r="CN134" s="137"/>
      <c r="CO134" s="154" t="str">
        <f aca="false">IFERROR(+$H134-($M134+$N134*$G134),"-")</f>
        <v>-</v>
      </c>
      <c r="CP134" s="154" t="str">
        <f aca="false">IFERROR(+$H134-($O134+$P134*$G134),"-")</f>
        <v>-</v>
      </c>
      <c r="CQ134" s="154" t="str">
        <f aca="false">IFERROR(+$H134-($Q134+$R134*$G134),"-")</f>
        <v>-</v>
      </c>
      <c r="CR134" s="154" t="str">
        <f aca="false">IFERROR(+$H134-($Q134+$R134*$G134),"-")</f>
        <v>-</v>
      </c>
      <c r="CS134" s="137"/>
      <c r="CT134" s="154" t="str">
        <f aca="false">IFERROR(+$H134-($V134+$W134*$G134),"-")</f>
        <v>-</v>
      </c>
      <c r="CU134" s="154" t="str">
        <f aca="false">IFERROR(+$H134-($X134+$Y134*$G134),"-")</f>
        <v>-</v>
      </c>
      <c r="CV134" s="154" t="str">
        <f aca="false">IFERROR(+$H134-($Z134+$AA134*$G134),"-")</f>
        <v>-</v>
      </c>
      <c r="CW134" s="154" t="str">
        <f aca="false">IFERROR(+$H134-($AB134+$AC134*$G134),"-")</f>
        <v>-</v>
      </c>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row>
    <row r="135" s="1" customFormat="true" ht="12.75" hidden="false" customHeight="true" outlineLevel="0" collapsed="false">
      <c r="B135" s="134" t="s">
        <v>216</v>
      </c>
      <c r="C135" s="135" t="s">
        <v>217</v>
      </c>
      <c r="D135" s="136" t="e">
        <f aca="false">VLOOKUP($C135,#REF!,5,0)</f>
        <v>#VALUE!</v>
      </c>
      <c r="E135" s="157" t="e">
        <f aca="false">VLOOKUP($C135,#REF!,6,0)</f>
        <v>#VALUE!</v>
      </c>
      <c r="F135" s="135" t="e">
        <f aca="false">VLOOKUP($C135,#REF!,7,0)</f>
        <v>#VALUE!</v>
      </c>
      <c r="G135" s="135" t="e">
        <f aca="false">VLOOKUP($C135,#REF!,8,0)</f>
        <v>#VALUE!</v>
      </c>
      <c r="H135" s="158" t="e">
        <f aca="false">VLOOKUP($C135,#REF!,9,0)</f>
        <v>#VALUE!</v>
      </c>
      <c r="I135" s="137"/>
      <c r="J135" s="138" t="e">
        <f aca="false">VLOOKUP($C135,#REF!,10,0)</f>
        <v>#VALUE!</v>
      </c>
      <c r="K135" s="139" t="e">
        <f aca="false">VLOOKUP($C135,#REF!,11,0)</f>
        <v>#VALUE!</v>
      </c>
      <c r="L135" s="140"/>
      <c r="M135" s="138" t="e">
        <f aca="false">VLOOKUP($C135,#REF!,12,0)</f>
        <v>#VALUE!</v>
      </c>
      <c r="N135" s="140" t="e">
        <f aca="false">VLOOKUP($C135,#REF!,13,0)</f>
        <v>#VALUE!</v>
      </c>
      <c r="O135" s="138" t="e">
        <f aca="false">VLOOKUP($C135,#REF!,14,0)</f>
        <v>#VALUE!</v>
      </c>
      <c r="P135" s="140" t="e">
        <f aca="false">VLOOKUP($C135,#REF!,15,0)</f>
        <v>#VALUE!</v>
      </c>
      <c r="Q135" s="138" t="e">
        <f aca="false">VLOOKUP($C135,#REF!,16,0)</f>
        <v>#VALUE!</v>
      </c>
      <c r="R135" s="139" t="e">
        <f aca="false">VLOOKUP($C135,#REF!,17,0)</f>
        <v>#VALUE!</v>
      </c>
      <c r="S135" s="140" t="e">
        <f aca="false">VLOOKUP($C135,#REF!,18,0)</f>
        <v>#VALUE!</v>
      </c>
      <c r="T135" s="139" t="e">
        <f aca="false">VLOOKUP($C135,#REF!,19,0)</f>
        <v>#VALUE!</v>
      </c>
      <c r="U135" s="140"/>
      <c r="V135" s="138" t="e">
        <f aca="false">VLOOKUP($C135,#REF!,20,0)</f>
        <v>#VALUE!</v>
      </c>
      <c r="W135" s="140" t="e">
        <f aca="false">VLOOKUP($C135,#REF!,21,0)</f>
        <v>#VALUE!</v>
      </c>
      <c r="X135" s="138" t="e">
        <f aca="false">VLOOKUP($C135,#REF!,22,0)</f>
        <v>#VALUE!</v>
      </c>
      <c r="Y135" s="140" t="e">
        <f aca="false">VLOOKUP($C135,#REF!,23,0)</f>
        <v>#VALUE!</v>
      </c>
      <c r="Z135" s="138" t="e">
        <f aca="false">VLOOKUP($C135,#REF!,24,0)</f>
        <v>#VALUE!</v>
      </c>
      <c r="AA135" s="139" t="e">
        <f aca="false">VLOOKUP($C135,#REF!,25,0)</f>
        <v>#VALUE!</v>
      </c>
      <c r="AB135" s="140" t="e">
        <f aca="false">VLOOKUP($C135,#REF!,26,0)</f>
        <v>#VALUE!</v>
      </c>
      <c r="AC135" s="139" t="e">
        <f aca="false">VLOOKUP($C135,#REF!,27,0)</f>
        <v>#VALUE!</v>
      </c>
      <c r="AE135" s="138" t="e">
        <f aca="false">IF(M135="-","-","0,5 GB")</f>
        <v>#VALUE!</v>
      </c>
      <c r="AF135" s="141" t="s">
        <v>92</v>
      </c>
      <c r="AG135" s="141" t="s">
        <v>93</v>
      </c>
      <c r="AH135" s="139" t="s">
        <v>94</v>
      </c>
      <c r="AJ135" s="138" t="s">
        <v>95</v>
      </c>
      <c r="AK135" s="141" t="s">
        <v>96</v>
      </c>
      <c r="AL135" s="141" t="s">
        <v>97</v>
      </c>
      <c r="AM135" s="141" t="s">
        <v>98</v>
      </c>
      <c r="AN135" s="141" t="s">
        <v>98</v>
      </c>
      <c r="AO135" s="139" t="s">
        <v>92</v>
      </c>
      <c r="AQ135" s="142" t="n">
        <v>34</v>
      </c>
      <c r="AR135" s="137"/>
      <c r="AS135" s="138" t="n">
        <v>0</v>
      </c>
      <c r="AT135" s="139" t="n">
        <v>0</v>
      </c>
      <c r="AU135" s="140"/>
      <c r="AV135" s="138" t="n">
        <f aca="false">IFERROR(ROUND($D135-M135-AW135,0),0)</f>
        <v>0</v>
      </c>
      <c r="AW135" s="139" t="n">
        <f aca="false">IFERROR(N135*$G135,0)</f>
        <v>0</v>
      </c>
      <c r="AX135" s="138" t="n">
        <f aca="false">IFERROR(ROUND($D135-O135-AY135,0),0)</f>
        <v>0</v>
      </c>
      <c r="AY135" s="139" t="n">
        <f aca="false">IFERROR(P135*$G135,0)</f>
        <v>0</v>
      </c>
      <c r="AZ135" s="138" t="n">
        <f aca="false">IFERROR(ROUND($D135-Q135-BA135,0),0)</f>
        <v>0</v>
      </c>
      <c r="BA135" s="139" t="n">
        <f aca="false">IFERROR(R135*$G135,0)</f>
        <v>0</v>
      </c>
      <c r="BB135" s="140" t="n">
        <f aca="false">IFERROR(ROUND($D135-S135-BC135,0),0)</f>
        <v>0</v>
      </c>
      <c r="BC135" s="139" t="n">
        <f aca="false">IFERROR(T135*$G135,0)</f>
        <v>0</v>
      </c>
      <c r="BD135" s="140"/>
      <c r="BE135" s="138" t="n">
        <f aca="false">IFERROR(ROUND($D135-V135-BF135,0),0)</f>
        <v>0</v>
      </c>
      <c r="BF135" s="139" t="n">
        <f aca="false">IFERROR(W135*$G135,0)</f>
        <v>0</v>
      </c>
      <c r="BG135" s="138" t="n">
        <f aca="false">IFERROR(ROUND($D135-X135-BH135,0),0)</f>
        <v>0</v>
      </c>
      <c r="BH135" s="139" t="n">
        <f aca="false">IFERROR(Y135*$G135,0)</f>
        <v>0</v>
      </c>
      <c r="BI135" s="140" t="n">
        <f aca="false">IFERROR(ROUND($D135-Z135-BJ135,0),0)</f>
        <v>0</v>
      </c>
      <c r="BJ135" s="139" t="n">
        <f aca="false">IFERROR(AA135*$G135,0)</f>
        <v>0</v>
      </c>
      <c r="BK135" s="140" t="n">
        <f aca="false">IFERROR(ROUND($D135-AB135-BL135,0),0)</f>
        <v>0</v>
      </c>
      <c r="BL135" s="139" t="n">
        <f aca="false">IFERROR(AC135*$G135,0)</f>
        <v>0</v>
      </c>
      <c r="BN135" s="142" t="n">
        <v>0</v>
      </c>
      <c r="BO135" s="137"/>
      <c r="BP135" s="138" t="n">
        <v>0</v>
      </c>
      <c r="BQ135" s="139" t="n">
        <v>0</v>
      </c>
      <c r="BR135" s="140"/>
      <c r="BS135" s="138" t="n">
        <v>0</v>
      </c>
      <c r="BT135" s="139" t="n">
        <v>0</v>
      </c>
      <c r="BU135" s="138" t="n">
        <v>0</v>
      </c>
      <c r="BV135" s="139" t="n">
        <v>0</v>
      </c>
      <c r="BW135" s="138" t="n">
        <v>0</v>
      </c>
      <c r="BX135" s="139" t="n">
        <v>0</v>
      </c>
      <c r="BY135" s="138" t="n">
        <v>0</v>
      </c>
      <c r="BZ135" s="139" t="n">
        <v>0</v>
      </c>
      <c r="CA135" s="140"/>
      <c r="CB135" s="138" t="n">
        <v>0</v>
      </c>
      <c r="CC135" s="139" t="n">
        <v>0</v>
      </c>
      <c r="CD135" s="138" t="n">
        <v>0</v>
      </c>
      <c r="CE135" s="139" t="n">
        <v>0</v>
      </c>
      <c r="CF135" s="138" t="n">
        <v>0</v>
      </c>
      <c r="CG135" s="139" t="n">
        <v>0</v>
      </c>
      <c r="CH135" s="138" t="n">
        <v>0</v>
      </c>
      <c r="CI135" s="139" t="n">
        <v>0</v>
      </c>
      <c r="CK135" s="143"/>
      <c r="CL135" s="137"/>
      <c r="CM135" s="144" t="str">
        <f aca="false">IFERROR(+$H135-($J135+$K135*$G135),"-")</f>
        <v>-</v>
      </c>
      <c r="CN135" s="137"/>
      <c r="CO135" s="144" t="str">
        <f aca="false">IFERROR(+$H135-($M135+$N135*$G135),"-")</f>
        <v>-</v>
      </c>
      <c r="CP135" s="144" t="str">
        <f aca="false">IFERROR(+$H135-($O135+$P135*$G135),"-")</f>
        <v>-</v>
      </c>
      <c r="CQ135" s="144" t="str">
        <f aca="false">IFERROR(+$H135-($Q135+$R135*$G135),"-")</f>
        <v>-</v>
      </c>
      <c r="CR135" s="144" t="str">
        <f aca="false">IFERROR(+$H135-($Q135+$R135*$G135),"-")</f>
        <v>-</v>
      </c>
      <c r="CS135" s="137"/>
      <c r="CT135" s="144" t="str">
        <f aca="false">IFERROR(+$H135-($V135+$W135*$G135),"-")</f>
        <v>-</v>
      </c>
      <c r="CU135" s="144" t="str">
        <f aca="false">IFERROR(+$H135-($X135+$Y135*$G135),"-")</f>
        <v>-</v>
      </c>
      <c r="CV135" s="144" t="str">
        <f aca="false">IFERROR(+$H135-($Z135+$AA135*$G135),"-")</f>
        <v>-</v>
      </c>
      <c r="CW135" s="144" t="str">
        <f aca="false">IFERROR(+$H135-($AB135+$AC135*$G135),"-")</f>
        <v>-</v>
      </c>
    </row>
    <row r="136" s="156" customFormat="true" ht="12.75" hidden="false" customHeight="true" outlineLevel="0" collapsed="false">
      <c r="A136" s="1"/>
      <c r="B136" s="145" t="s">
        <v>216</v>
      </c>
      <c r="C136" s="146" t="s">
        <v>218</v>
      </c>
      <c r="D136" s="147" t="e">
        <f aca="false">VLOOKUP($C136,#REF!,5,0)</f>
        <v>#VALUE!</v>
      </c>
      <c r="E136" s="148" t="e">
        <f aca="false">VLOOKUP($C136,#REF!,6,0)</f>
        <v>#VALUE!</v>
      </c>
      <c r="F136" s="146" t="e">
        <f aca="false">VLOOKUP($C136,#REF!,7,0)</f>
        <v>#VALUE!</v>
      </c>
      <c r="G136" s="146" t="e">
        <f aca="false">VLOOKUP($C136,#REF!,8,0)</f>
        <v>#VALUE!</v>
      </c>
      <c r="H136" s="149" t="e">
        <f aca="false">VLOOKUP($C136,#REF!,9,0)</f>
        <v>#VALUE!</v>
      </c>
      <c r="I136" s="137"/>
      <c r="J136" s="150" t="e">
        <f aca="false">VLOOKUP($C136,#REF!,10,0)</f>
        <v>#VALUE!</v>
      </c>
      <c r="K136" s="151" t="e">
        <f aca="false">VLOOKUP($C136,#REF!,11,0)</f>
        <v>#VALUE!</v>
      </c>
      <c r="L136" s="140"/>
      <c r="M136" s="150" t="e">
        <f aca="false">VLOOKUP($C136,#REF!,12,0)</f>
        <v>#VALUE!</v>
      </c>
      <c r="N136" s="152" t="e">
        <f aca="false">VLOOKUP($C136,#REF!,13,0)</f>
        <v>#VALUE!</v>
      </c>
      <c r="O136" s="150" t="e">
        <f aca="false">VLOOKUP($C136,#REF!,14,0)</f>
        <v>#VALUE!</v>
      </c>
      <c r="P136" s="152" t="e">
        <f aca="false">VLOOKUP($C136,#REF!,15,0)</f>
        <v>#VALUE!</v>
      </c>
      <c r="Q136" s="150" t="e">
        <f aca="false">VLOOKUP($C136,#REF!,16,0)</f>
        <v>#VALUE!</v>
      </c>
      <c r="R136" s="151" t="e">
        <f aca="false">VLOOKUP($C136,#REF!,17,0)</f>
        <v>#VALUE!</v>
      </c>
      <c r="S136" s="152" t="e">
        <f aca="false">VLOOKUP($C136,#REF!,18,0)</f>
        <v>#VALUE!</v>
      </c>
      <c r="T136" s="151" t="e">
        <f aca="false">VLOOKUP($C136,#REF!,19,0)</f>
        <v>#VALUE!</v>
      </c>
      <c r="U136" s="140"/>
      <c r="V136" s="150" t="e">
        <f aca="false">VLOOKUP($C136,#REF!,20,0)</f>
        <v>#VALUE!</v>
      </c>
      <c r="W136" s="152" t="e">
        <f aca="false">VLOOKUP($C136,#REF!,21,0)</f>
        <v>#VALUE!</v>
      </c>
      <c r="X136" s="150" t="e">
        <f aca="false">VLOOKUP($C136,#REF!,22,0)</f>
        <v>#VALUE!</v>
      </c>
      <c r="Y136" s="152" t="e">
        <f aca="false">VLOOKUP($C136,#REF!,23,0)</f>
        <v>#VALUE!</v>
      </c>
      <c r="Z136" s="150" t="e">
        <f aca="false">VLOOKUP($C136,#REF!,24,0)</f>
        <v>#VALUE!</v>
      </c>
      <c r="AA136" s="151" t="e">
        <f aca="false">VLOOKUP($C136,#REF!,25,0)</f>
        <v>#VALUE!</v>
      </c>
      <c r="AB136" s="152" t="e">
        <f aca="false">VLOOKUP($C136,#REF!,26,0)</f>
        <v>#VALUE!</v>
      </c>
      <c r="AC136" s="151" t="e">
        <f aca="false">VLOOKUP($C136,#REF!,27,0)</f>
        <v>#VALUE!</v>
      </c>
      <c r="AD136" s="1"/>
      <c r="AE136" s="150" t="e">
        <f aca="false">IF(M136="-","-","0,5 GB")</f>
        <v>#VALUE!</v>
      </c>
      <c r="AF136" s="153" t="s">
        <v>92</v>
      </c>
      <c r="AG136" s="153" t="s">
        <v>93</v>
      </c>
      <c r="AH136" s="151" t="s">
        <v>94</v>
      </c>
      <c r="AI136" s="1"/>
      <c r="AJ136" s="150" t="s">
        <v>95</v>
      </c>
      <c r="AK136" s="153" t="s">
        <v>96</v>
      </c>
      <c r="AL136" s="153" t="s">
        <v>97</v>
      </c>
      <c r="AM136" s="153" t="s">
        <v>98</v>
      </c>
      <c r="AN136" s="153" t="s">
        <v>98</v>
      </c>
      <c r="AO136" s="151" t="s">
        <v>92</v>
      </c>
      <c r="AP136" s="1"/>
      <c r="AQ136" s="154" t="n">
        <v>0</v>
      </c>
      <c r="AR136" s="137"/>
      <c r="AS136" s="150" t="n">
        <v>0</v>
      </c>
      <c r="AT136" s="151" t="n">
        <v>0</v>
      </c>
      <c r="AU136" s="140"/>
      <c r="AV136" s="150" t="n">
        <f aca="false">IFERROR(ROUND($D136-M136-AW136,0),0)</f>
        <v>0</v>
      </c>
      <c r="AW136" s="151" t="n">
        <f aca="false">IFERROR(N136*$G136,0)</f>
        <v>0</v>
      </c>
      <c r="AX136" s="150" t="n">
        <f aca="false">IFERROR(ROUND($D136-O136-AY136,0),0)</f>
        <v>0</v>
      </c>
      <c r="AY136" s="151" t="n">
        <f aca="false">IFERROR(P136*$G136,0)</f>
        <v>0</v>
      </c>
      <c r="AZ136" s="150" t="n">
        <f aca="false">IFERROR(ROUND($D136-Q136-BA136,0),0)</f>
        <v>0</v>
      </c>
      <c r="BA136" s="151" t="n">
        <f aca="false">IFERROR(R136*$G136,0)</f>
        <v>0</v>
      </c>
      <c r="BB136" s="152" t="n">
        <f aca="false">IFERROR(ROUND($D136-S136-BC136,0),0)</f>
        <v>0</v>
      </c>
      <c r="BC136" s="151" t="n">
        <f aca="false">IFERROR(T136*$G136,0)</f>
        <v>0</v>
      </c>
      <c r="BD136" s="140"/>
      <c r="BE136" s="150" t="n">
        <f aca="false">IFERROR(ROUND($D136-V136-BF136,0),0)</f>
        <v>0</v>
      </c>
      <c r="BF136" s="151" t="n">
        <f aca="false">IFERROR(W136*$G136,0)</f>
        <v>0</v>
      </c>
      <c r="BG136" s="150" t="n">
        <f aca="false">IFERROR(ROUND($D136-X136-BH136,0),0)</f>
        <v>0</v>
      </c>
      <c r="BH136" s="151" t="n">
        <f aca="false">IFERROR(Y136*$G136,0)</f>
        <v>0</v>
      </c>
      <c r="BI136" s="152" t="n">
        <f aca="false">IFERROR(ROUND($D136-Z136-BJ136,0),0)</f>
        <v>0</v>
      </c>
      <c r="BJ136" s="151" t="n">
        <f aca="false">IFERROR(AA136*$G136,0)</f>
        <v>0</v>
      </c>
      <c r="BK136" s="152" t="n">
        <f aca="false">IFERROR(ROUND($D136-AB136-BL136,0),0)</f>
        <v>0</v>
      </c>
      <c r="BL136" s="151" t="n">
        <f aca="false">IFERROR(AC136*$G136,0)</f>
        <v>0</v>
      </c>
      <c r="BM136" s="1"/>
      <c r="BN136" s="154" t="n">
        <v>0</v>
      </c>
      <c r="BO136" s="155"/>
      <c r="BP136" s="150" t="n">
        <v>0</v>
      </c>
      <c r="BQ136" s="151" t="n">
        <v>0</v>
      </c>
      <c r="BR136" s="152"/>
      <c r="BS136" s="150" t="n">
        <v>0</v>
      </c>
      <c r="BT136" s="151" t="n">
        <v>0</v>
      </c>
      <c r="BU136" s="150" t="n">
        <v>0</v>
      </c>
      <c r="BV136" s="151" t="n">
        <v>0</v>
      </c>
      <c r="BW136" s="150" t="n">
        <v>0</v>
      </c>
      <c r="BX136" s="151" t="n">
        <v>0</v>
      </c>
      <c r="BY136" s="150" t="n">
        <v>0</v>
      </c>
      <c r="BZ136" s="151" t="n">
        <v>0</v>
      </c>
      <c r="CA136" s="152"/>
      <c r="CB136" s="150" t="n">
        <v>0</v>
      </c>
      <c r="CC136" s="151" t="n">
        <v>0</v>
      </c>
      <c r="CD136" s="150" t="n">
        <v>0</v>
      </c>
      <c r="CE136" s="151" t="n">
        <v>0</v>
      </c>
      <c r="CF136" s="150" t="n">
        <v>0</v>
      </c>
      <c r="CG136" s="151" t="n">
        <v>0</v>
      </c>
      <c r="CH136" s="150" t="n">
        <v>0</v>
      </c>
      <c r="CI136" s="151" t="n">
        <v>0</v>
      </c>
      <c r="CJ136" s="1"/>
      <c r="CK136" s="149"/>
      <c r="CL136" s="137"/>
      <c r="CM136" s="154" t="str">
        <f aca="false">IFERROR(+$H136-($J136+$K136*$G136),"-")</f>
        <v>-</v>
      </c>
      <c r="CN136" s="137"/>
      <c r="CO136" s="154" t="str">
        <f aca="false">IFERROR(+$H136-($M136+$N136*$G136),"-")</f>
        <v>-</v>
      </c>
      <c r="CP136" s="154" t="str">
        <f aca="false">IFERROR(+$H136-($O136+$P136*$G136),"-")</f>
        <v>-</v>
      </c>
      <c r="CQ136" s="154" t="str">
        <f aca="false">IFERROR(+$H136-($Q136+$R136*$G136),"-")</f>
        <v>-</v>
      </c>
      <c r="CR136" s="154" t="str">
        <f aca="false">IFERROR(+$H136-($Q136+$R136*$G136),"-")</f>
        <v>-</v>
      </c>
      <c r="CS136" s="137"/>
      <c r="CT136" s="154" t="str">
        <f aca="false">IFERROR(+$H136-($V136+$W136*$G136),"-")</f>
        <v>-</v>
      </c>
      <c r="CU136" s="154" t="str">
        <f aca="false">IFERROR(+$H136-($X136+$Y136*$G136),"-")</f>
        <v>-</v>
      </c>
      <c r="CV136" s="154" t="str">
        <f aca="false">IFERROR(+$H136-($Z136+$AA136*$G136),"-")</f>
        <v>-</v>
      </c>
      <c r="CW136" s="154" t="str">
        <f aca="false">IFERROR(+$H136-($AB136+$AC136*$G136),"-")</f>
        <v>-</v>
      </c>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row>
    <row r="137" s="1" customFormat="true" ht="12.75" hidden="false" customHeight="true" outlineLevel="0" collapsed="false">
      <c r="B137" s="134" t="s">
        <v>219</v>
      </c>
      <c r="C137" s="135" t="s">
        <v>220</v>
      </c>
      <c r="D137" s="136" t="e">
        <f aca="false">VLOOKUP($C137,#REF!,5,0)</f>
        <v>#VALUE!</v>
      </c>
      <c r="E137" s="157" t="e">
        <f aca="false">VLOOKUP($C137,#REF!,6,0)</f>
        <v>#VALUE!</v>
      </c>
      <c r="F137" s="135" t="e">
        <f aca="false">VLOOKUP($C137,#REF!,7,0)</f>
        <v>#VALUE!</v>
      </c>
      <c r="G137" s="135" t="e">
        <f aca="false">VLOOKUP($C137,#REF!,8,0)</f>
        <v>#VALUE!</v>
      </c>
      <c r="H137" s="158" t="e">
        <f aca="false">VLOOKUP($C137,#REF!,9,0)</f>
        <v>#VALUE!</v>
      </c>
      <c r="I137" s="137"/>
      <c r="J137" s="138" t="e">
        <f aca="false">VLOOKUP($C137,#REF!,10,0)</f>
        <v>#VALUE!</v>
      </c>
      <c r="K137" s="139" t="e">
        <f aca="false">VLOOKUP($C137,#REF!,11,0)</f>
        <v>#VALUE!</v>
      </c>
      <c r="L137" s="140"/>
      <c r="M137" s="138" t="e">
        <f aca="false">VLOOKUP($C137,#REF!,12,0)</f>
        <v>#VALUE!</v>
      </c>
      <c r="N137" s="140" t="e">
        <f aca="false">VLOOKUP($C137,#REF!,13,0)</f>
        <v>#VALUE!</v>
      </c>
      <c r="O137" s="138" t="e">
        <f aca="false">VLOOKUP($C137,#REF!,14,0)</f>
        <v>#VALUE!</v>
      </c>
      <c r="P137" s="140" t="e">
        <f aca="false">VLOOKUP($C137,#REF!,15,0)</f>
        <v>#VALUE!</v>
      </c>
      <c r="Q137" s="138" t="e">
        <f aca="false">VLOOKUP($C137,#REF!,16,0)</f>
        <v>#VALUE!</v>
      </c>
      <c r="R137" s="139" t="e">
        <f aca="false">VLOOKUP($C137,#REF!,17,0)</f>
        <v>#VALUE!</v>
      </c>
      <c r="S137" s="140" t="e">
        <f aca="false">VLOOKUP($C137,#REF!,18,0)</f>
        <v>#VALUE!</v>
      </c>
      <c r="T137" s="139" t="e">
        <f aca="false">VLOOKUP($C137,#REF!,19,0)</f>
        <v>#VALUE!</v>
      </c>
      <c r="U137" s="140"/>
      <c r="V137" s="138" t="e">
        <f aca="false">VLOOKUP($C137,#REF!,20,0)</f>
        <v>#VALUE!</v>
      </c>
      <c r="W137" s="140" t="e">
        <f aca="false">VLOOKUP($C137,#REF!,21,0)</f>
        <v>#VALUE!</v>
      </c>
      <c r="X137" s="138" t="e">
        <f aca="false">VLOOKUP($C137,#REF!,22,0)</f>
        <v>#VALUE!</v>
      </c>
      <c r="Y137" s="140" t="e">
        <f aca="false">VLOOKUP($C137,#REF!,23,0)</f>
        <v>#VALUE!</v>
      </c>
      <c r="Z137" s="138" t="e">
        <f aca="false">VLOOKUP($C137,#REF!,24,0)</f>
        <v>#VALUE!</v>
      </c>
      <c r="AA137" s="139" t="e">
        <f aca="false">VLOOKUP($C137,#REF!,25,0)</f>
        <v>#VALUE!</v>
      </c>
      <c r="AB137" s="140" t="e">
        <f aca="false">VLOOKUP($C137,#REF!,26,0)</f>
        <v>#VALUE!</v>
      </c>
      <c r="AC137" s="139" t="e">
        <f aca="false">VLOOKUP($C137,#REF!,27,0)</f>
        <v>#VALUE!</v>
      </c>
      <c r="AE137" s="138" t="e">
        <f aca="false">IF(M137="-","-","0,5 GB")</f>
        <v>#VALUE!</v>
      </c>
      <c r="AF137" s="141" t="s">
        <v>92</v>
      </c>
      <c r="AG137" s="141" t="s">
        <v>93</v>
      </c>
      <c r="AH137" s="139" t="s">
        <v>94</v>
      </c>
      <c r="AJ137" s="138" t="s">
        <v>95</v>
      </c>
      <c r="AK137" s="141" t="s">
        <v>96</v>
      </c>
      <c r="AL137" s="141" t="s">
        <v>97</v>
      </c>
      <c r="AM137" s="141" t="s">
        <v>98</v>
      </c>
      <c r="AN137" s="141" t="s">
        <v>98</v>
      </c>
      <c r="AO137" s="139" t="s">
        <v>92</v>
      </c>
      <c r="AQ137" s="142" t="n">
        <v>0</v>
      </c>
      <c r="AR137" s="137"/>
      <c r="AS137" s="138" t="n">
        <v>0</v>
      </c>
      <c r="AT137" s="139" t="n">
        <v>0</v>
      </c>
      <c r="AU137" s="140"/>
      <c r="AV137" s="138" t="n">
        <f aca="false">IFERROR(ROUND($D137-M137-AW137,0),0)</f>
        <v>0</v>
      </c>
      <c r="AW137" s="139" t="n">
        <f aca="false">IFERROR(N137*$G137,0)</f>
        <v>0</v>
      </c>
      <c r="AX137" s="138" t="n">
        <f aca="false">IFERROR(ROUND($D137-O137-AY137,0),0)</f>
        <v>0</v>
      </c>
      <c r="AY137" s="139" t="n">
        <f aca="false">IFERROR(P137*$G137,0)</f>
        <v>0</v>
      </c>
      <c r="AZ137" s="138" t="n">
        <f aca="false">IFERROR(ROUND($D137-Q137-BA137,0),0)</f>
        <v>0</v>
      </c>
      <c r="BA137" s="139" t="n">
        <f aca="false">IFERROR(R137*$G137,0)</f>
        <v>0</v>
      </c>
      <c r="BB137" s="140" t="n">
        <f aca="false">IFERROR(ROUND($D137-S137-BC137,0),0)</f>
        <v>0</v>
      </c>
      <c r="BC137" s="139" t="n">
        <f aca="false">IFERROR(T137*$G137,0)</f>
        <v>0</v>
      </c>
      <c r="BD137" s="140"/>
      <c r="BE137" s="138" t="n">
        <f aca="false">IFERROR(ROUND($D137-V137-BF137,0),0)</f>
        <v>0</v>
      </c>
      <c r="BF137" s="139" t="n">
        <f aca="false">IFERROR(W137*$G137,0)</f>
        <v>0</v>
      </c>
      <c r="BG137" s="138" t="n">
        <f aca="false">IFERROR(ROUND($D137-X137-BH137,0),0)</f>
        <v>0</v>
      </c>
      <c r="BH137" s="139" t="n">
        <f aca="false">IFERROR(Y137*$G137,0)</f>
        <v>0</v>
      </c>
      <c r="BI137" s="140" t="n">
        <f aca="false">IFERROR(ROUND($D137-Z137-BJ137,0),0)</f>
        <v>0</v>
      </c>
      <c r="BJ137" s="139" t="n">
        <f aca="false">IFERROR(AA137*$G137,0)</f>
        <v>0</v>
      </c>
      <c r="BK137" s="140" t="n">
        <f aca="false">IFERROR(ROUND($D137-AB137-BL137,0),0)</f>
        <v>0</v>
      </c>
      <c r="BL137" s="139" t="n">
        <f aca="false">IFERROR(AC137*$G137,0)</f>
        <v>0</v>
      </c>
      <c r="BN137" s="142" t="n">
        <v>0</v>
      </c>
      <c r="BO137" s="137"/>
      <c r="BP137" s="138" t="n">
        <v>0</v>
      </c>
      <c r="BQ137" s="139" t="n">
        <v>0</v>
      </c>
      <c r="BR137" s="140"/>
      <c r="BS137" s="138" t="n">
        <v>0</v>
      </c>
      <c r="BT137" s="139" t="n">
        <v>0</v>
      </c>
      <c r="BU137" s="138" t="n">
        <v>0</v>
      </c>
      <c r="BV137" s="139" t="n">
        <v>0</v>
      </c>
      <c r="BW137" s="138" t="n">
        <v>0</v>
      </c>
      <c r="BX137" s="139" t="n">
        <v>0</v>
      </c>
      <c r="BY137" s="138" t="n">
        <v>0</v>
      </c>
      <c r="BZ137" s="139" t="n">
        <v>0</v>
      </c>
      <c r="CA137" s="140"/>
      <c r="CB137" s="138" t="n">
        <v>0</v>
      </c>
      <c r="CC137" s="139" t="n">
        <v>0</v>
      </c>
      <c r="CD137" s="138" t="n">
        <v>0</v>
      </c>
      <c r="CE137" s="139" t="n">
        <v>0</v>
      </c>
      <c r="CF137" s="138" t="n">
        <v>0</v>
      </c>
      <c r="CG137" s="139" t="n">
        <v>0</v>
      </c>
      <c r="CH137" s="138" t="n">
        <v>0</v>
      </c>
      <c r="CI137" s="139" t="n">
        <v>0</v>
      </c>
      <c r="CK137" s="143"/>
      <c r="CL137" s="137"/>
      <c r="CM137" s="144" t="str">
        <f aca="false">IFERROR(+$H137-($J137+$K137*$G137),"-")</f>
        <v>-</v>
      </c>
      <c r="CN137" s="137"/>
      <c r="CO137" s="144" t="str">
        <f aca="false">IFERROR(+$H137-($M137+$N137*$G137),"-")</f>
        <v>-</v>
      </c>
      <c r="CP137" s="144" t="str">
        <f aca="false">IFERROR(+$H137-($O137+$P137*$G137),"-")</f>
        <v>-</v>
      </c>
      <c r="CQ137" s="144" t="str">
        <f aca="false">IFERROR(+$H137-($Q137+$R137*$G137),"-")</f>
        <v>-</v>
      </c>
      <c r="CR137" s="144" t="str">
        <f aca="false">IFERROR(+$H137-($Q137+$R137*$G137),"-")</f>
        <v>-</v>
      </c>
      <c r="CS137" s="137"/>
      <c r="CT137" s="144" t="str">
        <f aca="false">IFERROR(+$H137-($V137+$W137*$G137),"-")</f>
        <v>-</v>
      </c>
      <c r="CU137" s="144" t="str">
        <f aca="false">IFERROR(+$H137-($X137+$Y137*$G137),"-")</f>
        <v>-</v>
      </c>
      <c r="CV137" s="144" t="str">
        <f aca="false">IFERROR(+$H137-($Z137+$AA137*$G137),"-")</f>
        <v>-</v>
      </c>
      <c r="CW137" s="144" t="str">
        <f aca="false">IFERROR(+$H137-($AB137+$AC137*$G137),"-")</f>
        <v>-</v>
      </c>
    </row>
    <row r="138" s="156" customFormat="true" ht="12.75" hidden="false" customHeight="true" outlineLevel="0" collapsed="false">
      <c r="A138" s="1"/>
      <c r="B138" s="145" t="s">
        <v>219</v>
      </c>
      <c r="C138" s="146" t="s">
        <v>221</v>
      </c>
      <c r="D138" s="147" t="e">
        <f aca="false">VLOOKUP($C138,#REF!,5,0)</f>
        <v>#VALUE!</v>
      </c>
      <c r="E138" s="148" t="e">
        <f aca="false">VLOOKUP($C138,#REF!,6,0)</f>
        <v>#VALUE!</v>
      </c>
      <c r="F138" s="146" t="e">
        <f aca="false">VLOOKUP($C138,#REF!,7,0)</f>
        <v>#VALUE!</v>
      </c>
      <c r="G138" s="146" t="e">
        <f aca="false">VLOOKUP($C138,#REF!,8,0)</f>
        <v>#VALUE!</v>
      </c>
      <c r="H138" s="149" t="e">
        <f aca="false">VLOOKUP($C138,#REF!,9,0)</f>
        <v>#VALUE!</v>
      </c>
      <c r="I138" s="137"/>
      <c r="J138" s="150" t="e">
        <f aca="false">VLOOKUP($C138,#REF!,10,0)</f>
        <v>#VALUE!</v>
      </c>
      <c r="K138" s="151" t="e">
        <f aca="false">VLOOKUP($C138,#REF!,11,0)</f>
        <v>#VALUE!</v>
      </c>
      <c r="L138" s="140"/>
      <c r="M138" s="150" t="e">
        <f aca="false">VLOOKUP($C138,#REF!,12,0)</f>
        <v>#VALUE!</v>
      </c>
      <c r="N138" s="152" t="e">
        <f aca="false">VLOOKUP($C138,#REF!,13,0)</f>
        <v>#VALUE!</v>
      </c>
      <c r="O138" s="150" t="e">
        <f aca="false">VLOOKUP($C138,#REF!,14,0)</f>
        <v>#VALUE!</v>
      </c>
      <c r="P138" s="152" t="e">
        <f aca="false">VLOOKUP($C138,#REF!,15,0)</f>
        <v>#VALUE!</v>
      </c>
      <c r="Q138" s="150" t="e">
        <f aca="false">VLOOKUP($C138,#REF!,16,0)</f>
        <v>#VALUE!</v>
      </c>
      <c r="R138" s="151" t="e">
        <f aca="false">VLOOKUP($C138,#REF!,17,0)</f>
        <v>#VALUE!</v>
      </c>
      <c r="S138" s="152" t="e">
        <f aca="false">VLOOKUP($C138,#REF!,18,0)</f>
        <v>#VALUE!</v>
      </c>
      <c r="T138" s="151" t="e">
        <f aca="false">VLOOKUP($C138,#REF!,19,0)</f>
        <v>#VALUE!</v>
      </c>
      <c r="U138" s="140"/>
      <c r="V138" s="150" t="e">
        <f aca="false">VLOOKUP($C138,#REF!,20,0)</f>
        <v>#VALUE!</v>
      </c>
      <c r="W138" s="152" t="e">
        <f aca="false">VLOOKUP($C138,#REF!,21,0)</f>
        <v>#VALUE!</v>
      </c>
      <c r="X138" s="150" t="e">
        <f aca="false">VLOOKUP($C138,#REF!,22,0)</f>
        <v>#VALUE!</v>
      </c>
      <c r="Y138" s="152" t="e">
        <f aca="false">VLOOKUP($C138,#REF!,23,0)</f>
        <v>#VALUE!</v>
      </c>
      <c r="Z138" s="150" t="e">
        <f aca="false">VLOOKUP($C138,#REF!,24,0)</f>
        <v>#VALUE!</v>
      </c>
      <c r="AA138" s="151" t="e">
        <f aca="false">VLOOKUP($C138,#REF!,25,0)</f>
        <v>#VALUE!</v>
      </c>
      <c r="AB138" s="152" t="e">
        <f aca="false">VLOOKUP($C138,#REF!,26,0)</f>
        <v>#VALUE!</v>
      </c>
      <c r="AC138" s="151" t="e">
        <f aca="false">VLOOKUP($C138,#REF!,27,0)</f>
        <v>#VALUE!</v>
      </c>
      <c r="AD138" s="1"/>
      <c r="AE138" s="150" t="e">
        <f aca="false">IF(M138="-","-","0,5 GB")</f>
        <v>#VALUE!</v>
      </c>
      <c r="AF138" s="153" t="s">
        <v>92</v>
      </c>
      <c r="AG138" s="153" t="s">
        <v>93</v>
      </c>
      <c r="AH138" s="151" t="s">
        <v>94</v>
      </c>
      <c r="AI138" s="1"/>
      <c r="AJ138" s="150" t="s">
        <v>95</v>
      </c>
      <c r="AK138" s="153" t="s">
        <v>96</v>
      </c>
      <c r="AL138" s="153" t="s">
        <v>97</v>
      </c>
      <c r="AM138" s="153" t="s">
        <v>98</v>
      </c>
      <c r="AN138" s="153" t="s">
        <v>98</v>
      </c>
      <c r="AO138" s="151" t="s">
        <v>92</v>
      </c>
      <c r="AP138" s="1"/>
      <c r="AQ138" s="154" t="n">
        <v>0</v>
      </c>
      <c r="AR138" s="137"/>
      <c r="AS138" s="150" t="n">
        <v>0</v>
      </c>
      <c r="AT138" s="151" t="n">
        <v>0</v>
      </c>
      <c r="AU138" s="140"/>
      <c r="AV138" s="150" t="n">
        <f aca="false">IFERROR(ROUND($D138-M138-AW138,0),0)</f>
        <v>0</v>
      </c>
      <c r="AW138" s="151" t="n">
        <f aca="false">IFERROR(N138*$G138,0)</f>
        <v>0</v>
      </c>
      <c r="AX138" s="150" t="n">
        <f aca="false">IFERROR(ROUND($D138-O138-AY138,0),0)</f>
        <v>0</v>
      </c>
      <c r="AY138" s="151" t="n">
        <f aca="false">IFERROR(P138*$G138,0)</f>
        <v>0</v>
      </c>
      <c r="AZ138" s="150" t="n">
        <f aca="false">IFERROR(ROUND($D138-Q138-BA138,0),0)</f>
        <v>0</v>
      </c>
      <c r="BA138" s="151" t="n">
        <f aca="false">IFERROR(R138*$G138,0)</f>
        <v>0</v>
      </c>
      <c r="BB138" s="152" t="n">
        <f aca="false">IFERROR(ROUND($D138-S138-BC138,0),0)</f>
        <v>0</v>
      </c>
      <c r="BC138" s="151" t="n">
        <f aca="false">IFERROR(T138*$G138,0)</f>
        <v>0</v>
      </c>
      <c r="BD138" s="140"/>
      <c r="BE138" s="150" t="n">
        <f aca="false">IFERROR(ROUND($D138-V138-BF138,0),0)</f>
        <v>0</v>
      </c>
      <c r="BF138" s="151" t="n">
        <f aca="false">IFERROR(W138*$G138,0)</f>
        <v>0</v>
      </c>
      <c r="BG138" s="150" t="n">
        <f aca="false">IFERROR(ROUND($D138-X138-BH138,0),0)</f>
        <v>0</v>
      </c>
      <c r="BH138" s="151" t="n">
        <f aca="false">IFERROR(Y138*$G138,0)</f>
        <v>0</v>
      </c>
      <c r="BI138" s="152" t="n">
        <f aca="false">IFERROR(ROUND($D138-Z138-BJ138,0),0)</f>
        <v>0</v>
      </c>
      <c r="BJ138" s="151" t="n">
        <f aca="false">IFERROR(AA138*$G138,0)</f>
        <v>0</v>
      </c>
      <c r="BK138" s="152" t="n">
        <f aca="false">IFERROR(ROUND($D138-AB138-BL138,0),0)</f>
        <v>0</v>
      </c>
      <c r="BL138" s="151" t="n">
        <f aca="false">IFERROR(AC138*$G138,0)</f>
        <v>0</v>
      </c>
      <c r="BM138" s="1"/>
      <c r="BN138" s="154" t="n">
        <v>0</v>
      </c>
      <c r="BO138" s="155"/>
      <c r="BP138" s="150" t="n">
        <v>0</v>
      </c>
      <c r="BQ138" s="151" t="n">
        <v>0</v>
      </c>
      <c r="BR138" s="152"/>
      <c r="BS138" s="150" t="n">
        <v>0</v>
      </c>
      <c r="BT138" s="151" t="n">
        <v>0</v>
      </c>
      <c r="BU138" s="150" t="n">
        <v>0</v>
      </c>
      <c r="BV138" s="151" t="n">
        <v>0</v>
      </c>
      <c r="BW138" s="150" t="n">
        <v>0</v>
      </c>
      <c r="BX138" s="151" t="n">
        <v>0</v>
      </c>
      <c r="BY138" s="150" t="n">
        <v>0</v>
      </c>
      <c r="BZ138" s="151" t="n">
        <v>0</v>
      </c>
      <c r="CA138" s="152"/>
      <c r="CB138" s="150" t="n">
        <v>0</v>
      </c>
      <c r="CC138" s="151" t="n">
        <v>0</v>
      </c>
      <c r="CD138" s="150" t="n">
        <v>0</v>
      </c>
      <c r="CE138" s="151" t="n">
        <v>0</v>
      </c>
      <c r="CF138" s="150" t="n">
        <v>0</v>
      </c>
      <c r="CG138" s="151" t="n">
        <v>0</v>
      </c>
      <c r="CH138" s="150" t="n">
        <v>0</v>
      </c>
      <c r="CI138" s="151" t="n">
        <v>0</v>
      </c>
      <c r="CJ138" s="1"/>
      <c r="CK138" s="149"/>
      <c r="CL138" s="137"/>
      <c r="CM138" s="154" t="str">
        <f aca="false">IFERROR(+$H138-($J138+$K138*$G138),"-")</f>
        <v>-</v>
      </c>
      <c r="CN138" s="137"/>
      <c r="CO138" s="154" t="str">
        <f aca="false">IFERROR(+$H138-($M138+$N138*$G138),"-")</f>
        <v>-</v>
      </c>
      <c r="CP138" s="154" t="str">
        <f aca="false">IFERROR(+$H138-($O138+$P138*$G138),"-")</f>
        <v>-</v>
      </c>
      <c r="CQ138" s="154" t="str">
        <f aca="false">IFERROR(+$H138-($Q138+$R138*$G138),"-")</f>
        <v>-</v>
      </c>
      <c r="CR138" s="154" t="str">
        <f aca="false">IFERROR(+$H138-($Q138+$R138*$G138),"-")</f>
        <v>-</v>
      </c>
      <c r="CS138" s="137"/>
      <c r="CT138" s="154" t="str">
        <f aca="false">IFERROR(+$H138-($V138+$W138*$G138),"-")</f>
        <v>-</v>
      </c>
      <c r="CU138" s="154" t="str">
        <f aca="false">IFERROR(+$H138-($X138+$Y138*$G138),"-")</f>
        <v>-</v>
      </c>
      <c r="CV138" s="154" t="str">
        <f aca="false">IFERROR(+$H138-($Z138+$AA138*$G138),"-")</f>
        <v>-</v>
      </c>
      <c r="CW138" s="154" t="str">
        <f aca="false">IFERROR(+$H138-($AB138+$AC138*$G138),"-")</f>
        <v>-</v>
      </c>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row>
    <row r="139" s="1" customFormat="true" ht="12.75" hidden="false" customHeight="true" outlineLevel="0" collapsed="false">
      <c r="B139" s="134" t="s">
        <v>219</v>
      </c>
      <c r="C139" s="135" t="s">
        <v>222</v>
      </c>
      <c r="D139" s="136" t="e">
        <f aca="false">VLOOKUP($C139,#REF!,5,0)</f>
        <v>#VALUE!</v>
      </c>
      <c r="E139" s="157" t="e">
        <f aca="false">VLOOKUP($C139,#REF!,6,0)</f>
        <v>#VALUE!</v>
      </c>
      <c r="F139" s="135" t="e">
        <f aca="false">VLOOKUP($C139,#REF!,7,0)</f>
        <v>#VALUE!</v>
      </c>
      <c r="G139" s="135" t="e">
        <f aca="false">VLOOKUP($C139,#REF!,8,0)</f>
        <v>#VALUE!</v>
      </c>
      <c r="H139" s="158" t="e">
        <f aca="false">VLOOKUP($C139,#REF!,9,0)</f>
        <v>#VALUE!</v>
      </c>
      <c r="I139" s="137"/>
      <c r="J139" s="138" t="e">
        <f aca="false">VLOOKUP($C139,#REF!,10,0)</f>
        <v>#VALUE!</v>
      </c>
      <c r="K139" s="139" t="e">
        <f aca="false">VLOOKUP($C139,#REF!,11,0)</f>
        <v>#VALUE!</v>
      </c>
      <c r="L139" s="140"/>
      <c r="M139" s="138" t="e">
        <f aca="false">VLOOKUP($C139,#REF!,12,0)</f>
        <v>#VALUE!</v>
      </c>
      <c r="N139" s="140" t="e">
        <f aca="false">VLOOKUP($C139,#REF!,13,0)</f>
        <v>#VALUE!</v>
      </c>
      <c r="O139" s="138" t="e">
        <f aca="false">VLOOKUP($C139,#REF!,14,0)</f>
        <v>#VALUE!</v>
      </c>
      <c r="P139" s="140" t="e">
        <f aca="false">VLOOKUP($C139,#REF!,15,0)</f>
        <v>#VALUE!</v>
      </c>
      <c r="Q139" s="138" t="e">
        <f aca="false">VLOOKUP($C139,#REF!,16,0)</f>
        <v>#VALUE!</v>
      </c>
      <c r="R139" s="139" t="e">
        <f aca="false">VLOOKUP($C139,#REF!,17,0)</f>
        <v>#VALUE!</v>
      </c>
      <c r="S139" s="140" t="e">
        <f aca="false">VLOOKUP($C139,#REF!,18,0)</f>
        <v>#VALUE!</v>
      </c>
      <c r="T139" s="139" t="e">
        <f aca="false">VLOOKUP($C139,#REF!,19,0)</f>
        <v>#VALUE!</v>
      </c>
      <c r="U139" s="140"/>
      <c r="V139" s="138" t="e">
        <f aca="false">VLOOKUP($C139,#REF!,20,0)</f>
        <v>#VALUE!</v>
      </c>
      <c r="W139" s="140" t="e">
        <f aca="false">VLOOKUP($C139,#REF!,21,0)</f>
        <v>#VALUE!</v>
      </c>
      <c r="X139" s="138" t="e">
        <f aca="false">VLOOKUP($C139,#REF!,22,0)</f>
        <v>#VALUE!</v>
      </c>
      <c r="Y139" s="140" t="e">
        <f aca="false">VLOOKUP($C139,#REF!,23,0)</f>
        <v>#VALUE!</v>
      </c>
      <c r="Z139" s="138" t="e">
        <f aca="false">VLOOKUP($C139,#REF!,24,0)</f>
        <v>#VALUE!</v>
      </c>
      <c r="AA139" s="139" t="e">
        <f aca="false">VLOOKUP($C139,#REF!,25,0)</f>
        <v>#VALUE!</v>
      </c>
      <c r="AB139" s="140" t="e">
        <f aca="false">VLOOKUP($C139,#REF!,26,0)</f>
        <v>#VALUE!</v>
      </c>
      <c r="AC139" s="139" t="e">
        <f aca="false">VLOOKUP($C139,#REF!,27,0)</f>
        <v>#VALUE!</v>
      </c>
      <c r="AE139" s="138" t="e">
        <f aca="false">IF(M139="-","-","0,5 GB")</f>
        <v>#VALUE!</v>
      </c>
      <c r="AF139" s="141" t="s">
        <v>92</v>
      </c>
      <c r="AG139" s="141" t="s">
        <v>93</v>
      </c>
      <c r="AH139" s="139" t="s">
        <v>94</v>
      </c>
      <c r="AJ139" s="138" t="s">
        <v>95</v>
      </c>
      <c r="AK139" s="141" t="s">
        <v>96</v>
      </c>
      <c r="AL139" s="141" t="s">
        <v>97</v>
      </c>
      <c r="AM139" s="141" t="s">
        <v>98</v>
      </c>
      <c r="AN139" s="141" t="s">
        <v>98</v>
      </c>
      <c r="AO139" s="139" t="s">
        <v>92</v>
      </c>
      <c r="AQ139" s="142" t="n">
        <v>1</v>
      </c>
      <c r="AR139" s="137"/>
      <c r="AS139" s="138" t="n">
        <v>0</v>
      </c>
      <c r="AT139" s="139" t="n">
        <v>0</v>
      </c>
      <c r="AU139" s="140"/>
      <c r="AV139" s="138" t="n">
        <f aca="false">IFERROR(ROUND($D139-M139-AW139,0),0)</f>
        <v>0</v>
      </c>
      <c r="AW139" s="139" t="n">
        <f aca="false">IFERROR(N139*$G139,0)</f>
        <v>0</v>
      </c>
      <c r="AX139" s="138" t="n">
        <f aca="false">IFERROR(ROUND($D139-O139-AY139,0),0)</f>
        <v>0</v>
      </c>
      <c r="AY139" s="139" t="n">
        <f aca="false">IFERROR(P139*$G139,0)</f>
        <v>0</v>
      </c>
      <c r="AZ139" s="138" t="n">
        <f aca="false">IFERROR(ROUND($D139-Q139-BA139,0),0)</f>
        <v>0</v>
      </c>
      <c r="BA139" s="139" t="n">
        <f aca="false">IFERROR(R139*$G139,0)</f>
        <v>0</v>
      </c>
      <c r="BB139" s="140" t="n">
        <f aca="false">IFERROR(ROUND($D139-S139-BC139,0),0)</f>
        <v>0</v>
      </c>
      <c r="BC139" s="139" t="n">
        <f aca="false">IFERROR(T139*$G139,0)</f>
        <v>0</v>
      </c>
      <c r="BD139" s="140"/>
      <c r="BE139" s="138" t="n">
        <f aca="false">IFERROR(ROUND($D139-V139-BF139,0),0)</f>
        <v>0</v>
      </c>
      <c r="BF139" s="139" t="n">
        <f aca="false">IFERROR(W139*$G139,0)</f>
        <v>0</v>
      </c>
      <c r="BG139" s="138" t="n">
        <f aca="false">IFERROR(ROUND($D139-X139-BH139,0),0)</f>
        <v>0</v>
      </c>
      <c r="BH139" s="139" t="n">
        <f aca="false">IFERROR(Y139*$G139,0)</f>
        <v>0</v>
      </c>
      <c r="BI139" s="140" t="n">
        <f aca="false">IFERROR(ROUND($D139-Z139-BJ139,0),0)</f>
        <v>0</v>
      </c>
      <c r="BJ139" s="139" t="n">
        <f aca="false">IFERROR(AA139*$G139,0)</f>
        <v>0</v>
      </c>
      <c r="BK139" s="140" t="n">
        <f aca="false">IFERROR(ROUND($D139-AB139-BL139,0),0)</f>
        <v>0</v>
      </c>
      <c r="BL139" s="139" t="n">
        <f aca="false">IFERROR(AC139*$G139,0)</f>
        <v>0</v>
      </c>
      <c r="BN139" s="142" t="n">
        <v>0</v>
      </c>
      <c r="BO139" s="137"/>
      <c r="BP139" s="138" t="n">
        <v>0</v>
      </c>
      <c r="BQ139" s="139" t="n">
        <v>0</v>
      </c>
      <c r="BR139" s="140"/>
      <c r="BS139" s="138" t="n">
        <v>0</v>
      </c>
      <c r="BT139" s="139" t="n">
        <v>0</v>
      </c>
      <c r="BU139" s="138" t="n">
        <v>0</v>
      </c>
      <c r="BV139" s="139" t="n">
        <v>0</v>
      </c>
      <c r="BW139" s="138" t="n">
        <v>0</v>
      </c>
      <c r="BX139" s="139" t="n">
        <v>0</v>
      </c>
      <c r="BY139" s="138" t="n">
        <v>0</v>
      </c>
      <c r="BZ139" s="139" t="n">
        <v>0</v>
      </c>
      <c r="CA139" s="140"/>
      <c r="CB139" s="138" t="n">
        <v>0</v>
      </c>
      <c r="CC139" s="139" t="n">
        <v>0</v>
      </c>
      <c r="CD139" s="138" t="n">
        <v>0</v>
      </c>
      <c r="CE139" s="139" t="n">
        <v>0</v>
      </c>
      <c r="CF139" s="138" t="n">
        <v>0</v>
      </c>
      <c r="CG139" s="139" t="n">
        <v>0</v>
      </c>
      <c r="CH139" s="138" t="n">
        <v>0</v>
      </c>
      <c r="CI139" s="139" t="n">
        <v>0</v>
      </c>
      <c r="CK139" s="143"/>
      <c r="CL139" s="137"/>
      <c r="CM139" s="144" t="str">
        <f aca="false">IFERROR(+$H139-($J139+$K139*$G139),"-")</f>
        <v>-</v>
      </c>
      <c r="CN139" s="137"/>
      <c r="CO139" s="144" t="str">
        <f aca="false">IFERROR(+$H139-($M139+$N139*$G139),"-")</f>
        <v>-</v>
      </c>
      <c r="CP139" s="144" t="str">
        <f aca="false">IFERROR(+$H139-($O139+$P139*$G139),"-")</f>
        <v>-</v>
      </c>
      <c r="CQ139" s="144" t="str">
        <f aca="false">IFERROR(+$H139-($Q139+$R139*$G139),"-")</f>
        <v>-</v>
      </c>
      <c r="CR139" s="144" t="str">
        <f aca="false">IFERROR(+$H139-($Q139+$R139*$G139),"-")</f>
        <v>-</v>
      </c>
      <c r="CS139" s="137"/>
      <c r="CT139" s="144" t="str">
        <f aca="false">IFERROR(+$H139-($V139+$W139*$G139),"-")</f>
        <v>-</v>
      </c>
      <c r="CU139" s="144" t="str">
        <f aca="false">IFERROR(+$H139-($X139+$Y139*$G139),"-")</f>
        <v>-</v>
      </c>
      <c r="CV139" s="144" t="str">
        <f aca="false">IFERROR(+$H139-($Z139+$AA139*$G139),"-")</f>
        <v>-</v>
      </c>
      <c r="CW139" s="144" t="str">
        <f aca="false">IFERROR(+$H139-($AB139+$AC139*$G139),"-")</f>
        <v>-</v>
      </c>
    </row>
    <row r="140" s="156" customFormat="true" ht="12.75" hidden="false" customHeight="true" outlineLevel="0" collapsed="false">
      <c r="A140" s="1"/>
      <c r="B140" s="145" t="s">
        <v>124</v>
      </c>
      <c r="C140" s="146" t="s">
        <v>223</v>
      </c>
      <c r="D140" s="147" t="e">
        <f aca="false">VLOOKUP($C140,#REF!,5,0)</f>
        <v>#VALUE!</v>
      </c>
      <c r="E140" s="148" t="e">
        <f aca="false">VLOOKUP($C140,#REF!,6,0)</f>
        <v>#VALUE!</v>
      </c>
      <c r="F140" s="146" t="e">
        <f aca="false">VLOOKUP($C140,#REF!,7,0)</f>
        <v>#VALUE!</v>
      </c>
      <c r="G140" s="146" t="e">
        <f aca="false">VLOOKUP($C140,#REF!,8,0)</f>
        <v>#VALUE!</v>
      </c>
      <c r="H140" s="149" t="e">
        <f aca="false">VLOOKUP($C140,#REF!,9,0)</f>
        <v>#VALUE!</v>
      </c>
      <c r="I140" s="137"/>
      <c r="J140" s="150" t="e">
        <f aca="false">VLOOKUP($C140,#REF!,10,0)</f>
        <v>#VALUE!</v>
      </c>
      <c r="K140" s="151" t="e">
        <f aca="false">VLOOKUP($C140,#REF!,11,0)</f>
        <v>#VALUE!</v>
      </c>
      <c r="L140" s="140"/>
      <c r="M140" s="150" t="e">
        <f aca="false">VLOOKUP($C140,#REF!,12,0)</f>
        <v>#VALUE!</v>
      </c>
      <c r="N140" s="152" t="e">
        <f aca="false">VLOOKUP($C140,#REF!,13,0)</f>
        <v>#VALUE!</v>
      </c>
      <c r="O140" s="150" t="e">
        <f aca="false">VLOOKUP($C140,#REF!,14,0)</f>
        <v>#VALUE!</v>
      </c>
      <c r="P140" s="152" t="e">
        <f aca="false">VLOOKUP($C140,#REF!,15,0)</f>
        <v>#VALUE!</v>
      </c>
      <c r="Q140" s="150" t="e">
        <f aca="false">VLOOKUP($C140,#REF!,16,0)</f>
        <v>#VALUE!</v>
      </c>
      <c r="R140" s="151" t="e">
        <f aca="false">VLOOKUP($C140,#REF!,17,0)</f>
        <v>#VALUE!</v>
      </c>
      <c r="S140" s="152" t="e">
        <f aca="false">VLOOKUP($C140,#REF!,18,0)</f>
        <v>#VALUE!</v>
      </c>
      <c r="T140" s="151" t="e">
        <f aca="false">VLOOKUP($C140,#REF!,19,0)</f>
        <v>#VALUE!</v>
      </c>
      <c r="U140" s="140"/>
      <c r="V140" s="150" t="e">
        <f aca="false">VLOOKUP($C140,#REF!,20,0)</f>
        <v>#VALUE!</v>
      </c>
      <c r="W140" s="152" t="e">
        <f aca="false">VLOOKUP($C140,#REF!,21,0)</f>
        <v>#VALUE!</v>
      </c>
      <c r="X140" s="150" t="e">
        <f aca="false">VLOOKUP($C140,#REF!,22,0)</f>
        <v>#VALUE!</v>
      </c>
      <c r="Y140" s="152" t="e">
        <f aca="false">VLOOKUP($C140,#REF!,23,0)</f>
        <v>#VALUE!</v>
      </c>
      <c r="Z140" s="150" t="e">
        <f aca="false">VLOOKUP($C140,#REF!,24,0)</f>
        <v>#VALUE!</v>
      </c>
      <c r="AA140" s="151" t="e">
        <f aca="false">VLOOKUP($C140,#REF!,25,0)</f>
        <v>#VALUE!</v>
      </c>
      <c r="AB140" s="152" t="e">
        <f aca="false">VLOOKUP($C140,#REF!,26,0)</f>
        <v>#VALUE!</v>
      </c>
      <c r="AC140" s="151" t="e">
        <f aca="false">VLOOKUP($C140,#REF!,27,0)</f>
        <v>#VALUE!</v>
      </c>
      <c r="AD140" s="1"/>
      <c r="AE140" s="150" t="e">
        <f aca="false">IF(M140="-","-","0,5 GB")</f>
        <v>#VALUE!</v>
      </c>
      <c r="AF140" s="153" t="s">
        <v>92</v>
      </c>
      <c r="AG140" s="153" t="s">
        <v>93</v>
      </c>
      <c r="AH140" s="151" t="s">
        <v>94</v>
      </c>
      <c r="AI140" s="1"/>
      <c r="AJ140" s="150" t="s">
        <v>95</v>
      </c>
      <c r="AK140" s="153" t="s">
        <v>96</v>
      </c>
      <c r="AL140" s="153" t="s">
        <v>97</v>
      </c>
      <c r="AM140" s="153" t="s">
        <v>98</v>
      </c>
      <c r="AN140" s="153" t="s">
        <v>98</v>
      </c>
      <c r="AO140" s="151" t="s">
        <v>92</v>
      </c>
      <c r="AP140" s="1"/>
      <c r="AQ140" s="154" t="n">
        <v>8</v>
      </c>
      <c r="AR140" s="137"/>
      <c r="AS140" s="150" t="n">
        <v>0</v>
      </c>
      <c r="AT140" s="151" t="n">
        <v>0</v>
      </c>
      <c r="AU140" s="140"/>
      <c r="AV140" s="150" t="n">
        <f aca="false">IFERROR(ROUND($D140-M140-AW140,0),0)</f>
        <v>0</v>
      </c>
      <c r="AW140" s="151" t="n">
        <f aca="false">IFERROR(N140*$G140,0)</f>
        <v>0</v>
      </c>
      <c r="AX140" s="150" t="n">
        <f aca="false">IFERROR(ROUND($D140-O140-AY140,0),0)</f>
        <v>0</v>
      </c>
      <c r="AY140" s="151" t="n">
        <f aca="false">IFERROR(P140*$G140,0)</f>
        <v>0</v>
      </c>
      <c r="AZ140" s="150" t="n">
        <f aca="false">IFERROR(ROUND($D140-Q140-BA140,0),0)</f>
        <v>0</v>
      </c>
      <c r="BA140" s="151" t="n">
        <f aca="false">IFERROR(R140*$G140,0)</f>
        <v>0</v>
      </c>
      <c r="BB140" s="152" t="n">
        <f aca="false">IFERROR(ROUND($D140-S140-BC140,0),0)</f>
        <v>0</v>
      </c>
      <c r="BC140" s="151" t="n">
        <f aca="false">IFERROR(T140*$G140,0)</f>
        <v>0</v>
      </c>
      <c r="BD140" s="140"/>
      <c r="BE140" s="150" t="n">
        <f aca="false">IFERROR(ROUND($D140-V140-BF140,0),0)</f>
        <v>0</v>
      </c>
      <c r="BF140" s="151" t="n">
        <f aca="false">IFERROR(W140*$G140,0)</f>
        <v>0</v>
      </c>
      <c r="BG140" s="150" t="n">
        <f aca="false">IFERROR(ROUND($D140-X140-BH140,0),0)</f>
        <v>0</v>
      </c>
      <c r="BH140" s="151" t="n">
        <f aca="false">IFERROR(Y140*$G140,0)</f>
        <v>0</v>
      </c>
      <c r="BI140" s="152" t="n">
        <f aca="false">IFERROR(ROUND($D140-Z140-BJ140,0),0)</f>
        <v>0</v>
      </c>
      <c r="BJ140" s="151" t="n">
        <f aca="false">IFERROR(AA140*$G140,0)</f>
        <v>0</v>
      </c>
      <c r="BK140" s="152" t="n">
        <f aca="false">IFERROR(ROUND($D140-AB140-BL140,0),0)</f>
        <v>0</v>
      </c>
      <c r="BL140" s="151" t="n">
        <f aca="false">IFERROR(AC140*$G140,0)</f>
        <v>0</v>
      </c>
      <c r="BM140" s="1"/>
      <c r="BN140" s="154" t="n">
        <v>-8.27</v>
      </c>
      <c r="BO140" s="155"/>
      <c r="BP140" s="150" t="n">
        <v>-8.27</v>
      </c>
      <c r="BQ140" s="151" t="n">
        <v>0</v>
      </c>
      <c r="BR140" s="152"/>
      <c r="BS140" s="150" t="n">
        <v>0</v>
      </c>
      <c r="BT140" s="151" t="n">
        <v>0</v>
      </c>
      <c r="BU140" s="150" t="n">
        <v>0</v>
      </c>
      <c r="BV140" s="151" t="n">
        <v>0</v>
      </c>
      <c r="BW140" s="150" t="n">
        <v>0</v>
      </c>
      <c r="BX140" s="151" t="n">
        <v>0</v>
      </c>
      <c r="BY140" s="150" t="n">
        <v>0</v>
      </c>
      <c r="BZ140" s="151" t="n">
        <v>0</v>
      </c>
      <c r="CA140" s="152"/>
      <c r="CB140" s="150" t="n">
        <v>0</v>
      </c>
      <c r="CC140" s="151" t="n">
        <v>0</v>
      </c>
      <c r="CD140" s="150" t="n">
        <v>0</v>
      </c>
      <c r="CE140" s="151" t="n">
        <v>0</v>
      </c>
      <c r="CF140" s="150" t="n">
        <v>0</v>
      </c>
      <c r="CG140" s="151" t="n">
        <v>0</v>
      </c>
      <c r="CH140" s="150" t="n">
        <v>0</v>
      </c>
      <c r="CI140" s="151" t="n">
        <v>0</v>
      </c>
      <c r="CJ140" s="1"/>
      <c r="CK140" s="149"/>
      <c r="CL140" s="137"/>
      <c r="CM140" s="154" t="str">
        <f aca="false">IFERROR(+$H140-($J140+$K140*$G140),"-")</f>
        <v>-</v>
      </c>
      <c r="CN140" s="137"/>
      <c r="CO140" s="154" t="str">
        <f aca="false">IFERROR(+$H140-($M140+$N140*$G140),"-")</f>
        <v>-</v>
      </c>
      <c r="CP140" s="154" t="str">
        <f aca="false">IFERROR(+$H140-($O140+$P140*$G140),"-")</f>
        <v>-</v>
      </c>
      <c r="CQ140" s="154" t="str">
        <f aca="false">IFERROR(+$H140-($Q140+$R140*$G140),"-")</f>
        <v>-</v>
      </c>
      <c r="CR140" s="154" t="str">
        <f aca="false">IFERROR(+$H140-($Q140+$R140*$G140),"-")</f>
        <v>-</v>
      </c>
      <c r="CS140" s="137"/>
      <c r="CT140" s="154" t="str">
        <f aca="false">IFERROR(+$H140-($V140+$W140*$G140),"-")</f>
        <v>-</v>
      </c>
      <c r="CU140" s="154" t="str">
        <f aca="false">IFERROR(+$H140-($X140+$Y140*$G140),"-")</f>
        <v>-</v>
      </c>
      <c r="CV140" s="154" t="str">
        <f aca="false">IFERROR(+$H140-($Z140+$AA140*$G140),"-")</f>
        <v>-</v>
      </c>
      <c r="CW140" s="154" t="str">
        <f aca="false">IFERROR(+$H140-($AB140+$AC140*$G140),"-")</f>
        <v>-</v>
      </c>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row>
    <row r="141" s="1" customFormat="true" ht="12.75" hidden="false" customHeight="true" outlineLevel="0" collapsed="false">
      <c r="B141" s="134" t="s">
        <v>124</v>
      </c>
      <c r="C141" s="135" t="s">
        <v>224</v>
      </c>
      <c r="D141" s="136" t="e">
        <f aca="false">VLOOKUP($C141,#REF!,5,0)</f>
        <v>#VALUE!</v>
      </c>
      <c r="E141" s="157" t="e">
        <f aca="false">VLOOKUP($C141,#REF!,6,0)</f>
        <v>#VALUE!</v>
      </c>
      <c r="F141" s="135" t="e">
        <f aca="false">VLOOKUP($C141,#REF!,7,0)</f>
        <v>#VALUE!</v>
      </c>
      <c r="G141" s="135" t="e">
        <f aca="false">VLOOKUP($C141,#REF!,8,0)</f>
        <v>#VALUE!</v>
      </c>
      <c r="H141" s="158" t="e">
        <f aca="false">VLOOKUP($C141,#REF!,9,0)</f>
        <v>#VALUE!</v>
      </c>
      <c r="I141" s="137"/>
      <c r="J141" s="138" t="e">
        <f aca="false">VLOOKUP($C141,#REF!,10,0)</f>
        <v>#VALUE!</v>
      </c>
      <c r="K141" s="139" t="e">
        <f aca="false">VLOOKUP($C141,#REF!,11,0)</f>
        <v>#VALUE!</v>
      </c>
      <c r="L141" s="140"/>
      <c r="M141" s="138" t="e">
        <f aca="false">VLOOKUP($C141,#REF!,12,0)</f>
        <v>#VALUE!</v>
      </c>
      <c r="N141" s="140" t="e">
        <f aca="false">VLOOKUP($C141,#REF!,13,0)</f>
        <v>#VALUE!</v>
      </c>
      <c r="O141" s="138" t="e">
        <f aca="false">VLOOKUP($C141,#REF!,14,0)</f>
        <v>#VALUE!</v>
      </c>
      <c r="P141" s="140" t="e">
        <f aca="false">VLOOKUP($C141,#REF!,15,0)</f>
        <v>#VALUE!</v>
      </c>
      <c r="Q141" s="138" t="e">
        <f aca="false">VLOOKUP($C141,#REF!,16,0)</f>
        <v>#VALUE!</v>
      </c>
      <c r="R141" s="139" t="e">
        <f aca="false">VLOOKUP($C141,#REF!,17,0)</f>
        <v>#VALUE!</v>
      </c>
      <c r="S141" s="140" t="e">
        <f aca="false">VLOOKUP($C141,#REF!,18,0)</f>
        <v>#VALUE!</v>
      </c>
      <c r="T141" s="139" t="e">
        <f aca="false">VLOOKUP($C141,#REF!,19,0)</f>
        <v>#VALUE!</v>
      </c>
      <c r="U141" s="140"/>
      <c r="V141" s="138" t="e">
        <f aca="false">VLOOKUP($C141,#REF!,20,0)</f>
        <v>#VALUE!</v>
      </c>
      <c r="W141" s="140" t="e">
        <f aca="false">VLOOKUP($C141,#REF!,21,0)</f>
        <v>#VALUE!</v>
      </c>
      <c r="X141" s="138" t="e">
        <f aca="false">VLOOKUP($C141,#REF!,22,0)</f>
        <v>#VALUE!</v>
      </c>
      <c r="Y141" s="140" t="e">
        <f aca="false">VLOOKUP($C141,#REF!,23,0)</f>
        <v>#VALUE!</v>
      </c>
      <c r="Z141" s="138" t="e">
        <f aca="false">VLOOKUP($C141,#REF!,24,0)</f>
        <v>#VALUE!</v>
      </c>
      <c r="AA141" s="139" t="e">
        <f aca="false">VLOOKUP($C141,#REF!,25,0)</f>
        <v>#VALUE!</v>
      </c>
      <c r="AB141" s="140" t="e">
        <f aca="false">VLOOKUP($C141,#REF!,26,0)</f>
        <v>#VALUE!</v>
      </c>
      <c r="AC141" s="139" t="e">
        <f aca="false">VLOOKUP($C141,#REF!,27,0)</f>
        <v>#VALUE!</v>
      </c>
      <c r="AE141" s="138" t="e">
        <f aca="false">IF(M141="-","-","0,5 GB")</f>
        <v>#VALUE!</v>
      </c>
      <c r="AF141" s="141" t="s">
        <v>92</v>
      </c>
      <c r="AG141" s="141" t="s">
        <v>93</v>
      </c>
      <c r="AH141" s="139" t="s">
        <v>94</v>
      </c>
      <c r="AJ141" s="138" t="s">
        <v>95</v>
      </c>
      <c r="AK141" s="141" t="s">
        <v>96</v>
      </c>
      <c r="AL141" s="141" t="s">
        <v>97</v>
      </c>
      <c r="AM141" s="141" t="s">
        <v>98</v>
      </c>
      <c r="AN141" s="141" t="s">
        <v>98</v>
      </c>
      <c r="AO141" s="139" t="s">
        <v>92</v>
      </c>
      <c r="AQ141" s="142" t="n">
        <v>1</v>
      </c>
      <c r="AR141" s="137"/>
      <c r="AS141" s="138" t="n">
        <v>0</v>
      </c>
      <c r="AT141" s="139" t="n">
        <v>0</v>
      </c>
      <c r="AU141" s="140"/>
      <c r="AV141" s="138" t="n">
        <f aca="false">IFERROR(ROUND($D141-M141-AW141,0),0)</f>
        <v>0</v>
      </c>
      <c r="AW141" s="139" t="n">
        <f aca="false">IFERROR(N141*$G141,0)</f>
        <v>0</v>
      </c>
      <c r="AX141" s="138" t="n">
        <f aca="false">IFERROR(ROUND($D141-O141-AY141,0),0)</f>
        <v>0</v>
      </c>
      <c r="AY141" s="139" t="n">
        <f aca="false">IFERROR(P141*$G141,0)</f>
        <v>0</v>
      </c>
      <c r="AZ141" s="138" t="n">
        <f aca="false">IFERROR(ROUND($D141-Q141-BA141,0),0)</f>
        <v>0</v>
      </c>
      <c r="BA141" s="139" t="n">
        <f aca="false">IFERROR(R141*$G141,0)</f>
        <v>0</v>
      </c>
      <c r="BB141" s="140" t="n">
        <f aca="false">IFERROR(ROUND($D141-S141-BC141,0),0)</f>
        <v>0</v>
      </c>
      <c r="BC141" s="139" t="n">
        <f aca="false">IFERROR(T141*$G141,0)</f>
        <v>0</v>
      </c>
      <c r="BD141" s="140"/>
      <c r="BE141" s="138" t="n">
        <f aca="false">IFERROR(ROUND($D141-V141-BF141,0),0)</f>
        <v>0</v>
      </c>
      <c r="BF141" s="139" t="n">
        <f aca="false">IFERROR(W141*$G141,0)</f>
        <v>0</v>
      </c>
      <c r="BG141" s="138" t="n">
        <f aca="false">IFERROR(ROUND($D141-X141-BH141,0),0)</f>
        <v>0</v>
      </c>
      <c r="BH141" s="139" t="n">
        <f aca="false">IFERROR(Y141*$G141,0)</f>
        <v>0</v>
      </c>
      <c r="BI141" s="140" t="n">
        <f aca="false">IFERROR(ROUND($D141-Z141-BJ141,0),0)</f>
        <v>0</v>
      </c>
      <c r="BJ141" s="139" t="n">
        <f aca="false">IFERROR(AA141*$G141,0)</f>
        <v>0</v>
      </c>
      <c r="BK141" s="140" t="n">
        <f aca="false">IFERROR(ROUND($D141-AB141-BL141,0),0)</f>
        <v>0</v>
      </c>
      <c r="BL141" s="139" t="n">
        <f aca="false">IFERROR(AC141*$G141,0)</f>
        <v>0</v>
      </c>
      <c r="BN141" s="142" t="n">
        <v>0</v>
      </c>
      <c r="BO141" s="137"/>
      <c r="BP141" s="138" t="n">
        <v>0</v>
      </c>
      <c r="BQ141" s="139" t="n">
        <v>0</v>
      </c>
      <c r="BR141" s="140"/>
      <c r="BS141" s="138" t="n">
        <v>0</v>
      </c>
      <c r="BT141" s="139" t="n">
        <v>0</v>
      </c>
      <c r="BU141" s="138" t="n">
        <v>0</v>
      </c>
      <c r="BV141" s="139" t="n">
        <v>0</v>
      </c>
      <c r="BW141" s="138" t="n">
        <v>0</v>
      </c>
      <c r="BX141" s="139" t="n">
        <v>0</v>
      </c>
      <c r="BY141" s="138" t="n">
        <v>0</v>
      </c>
      <c r="BZ141" s="139" t="n">
        <v>0</v>
      </c>
      <c r="CA141" s="140"/>
      <c r="CB141" s="138" t="n">
        <v>0</v>
      </c>
      <c r="CC141" s="139" t="n">
        <v>0</v>
      </c>
      <c r="CD141" s="138" t="n">
        <v>0</v>
      </c>
      <c r="CE141" s="139" t="n">
        <v>0</v>
      </c>
      <c r="CF141" s="138" t="n">
        <v>0</v>
      </c>
      <c r="CG141" s="139" t="n">
        <v>0</v>
      </c>
      <c r="CH141" s="138" t="n">
        <v>0</v>
      </c>
      <c r="CI141" s="139" t="n">
        <v>0</v>
      </c>
      <c r="CK141" s="143"/>
      <c r="CL141" s="137"/>
      <c r="CM141" s="144" t="str">
        <f aca="false">IFERROR(+$H141-($J141+$K141*$G141),"-")</f>
        <v>-</v>
      </c>
      <c r="CN141" s="137"/>
      <c r="CO141" s="144" t="str">
        <f aca="false">IFERROR(+$H141-($M141+$N141*$G141),"-")</f>
        <v>-</v>
      </c>
      <c r="CP141" s="144" t="str">
        <f aca="false">IFERROR(+$H141-($O141+$P141*$G141),"-")</f>
        <v>-</v>
      </c>
      <c r="CQ141" s="144" t="str">
        <f aca="false">IFERROR(+$H141-($Q141+$R141*$G141),"-")</f>
        <v>-</v>
      </c>
      <c r="CR141" s="144" t="str">
        <f aca="false">IFERROR(+$H141-($Q141+$R141*$G141),"-")</f>
        <v>-</v>
      </c>
      <c r="CS141" s="137"/>
      <c r="CT141" s="144" t="str">
        <f aca="false">IFERROR(+$H141-($V141+$W141*$G141),"-")</f>
        <v>-</v>
      </c>
      <c r="CU141" s="144" t="str">
        <f aca="false">IFERROR(+$H141-($X141+$Y141*$G141),"-")</f>
        <v>-</v>
      </c>
      <c r="CV141" s="144" t="str">
        <f aca="false">IFERROR(+$H141-($Z141+$AA141*$G141),"-")</f>
        <v>-</v>
      </c>
      <c r="CW141" s="144" t="str">
        <f aca="false">IFERROR(+$H141-($AB141+$AC141*$G141),"-")</f>
        <v>-</v>
      </c>
    </row>
    <row r="142" s="156" customFormat="true" ht="12.75" hidden="false" customHeight="true" outlineLevel="0" collapsed="false">
      <c r="A142" s="1"/>
      <c r="B142" s="145" t="s">
        <v>124</v>
      </c>
      <c r="C142" s="146" t="s">
        <v>225</v>
      </c>
      <c r="D142" s="147" t="e">
        <f aca="false">VLOOKUP($C142,#REF!,5,0)</f>
        <v>#VALUE!</v>
      </c>
      <c r="E142" s="148" t="e">
        <f aca="false">VLOOKUP($C142,#REF!,6,0)</f>
        <v>#VALUE!</v>
      </c>
      <c r="F142" s="146" t="e">
        <f aca="false">VLOOKUP($C142,#REF!,7,0)</f>
        <v>#VALUE!</v>
      </c>
      <c r="G142" s="146" t="e">
        <f aca="false">VLOOKUP($C142,#REF!,8,0)</f>
        <v>#VALUE!</v>
      </c>
      <c r="H142" s="149" t="e">
        <f aca="false">VLOOKUP($C142,#REF!,9,0)</f>
        <v>#VALUE!</v>
      </c>
      <c r="I142" s="137"/>
      <c r="J142" s="150" t="e">
        <f aca="false">VLOOKUP($C142,#REF!,10,0)</f>
        <v>#VALUE!</v>
      </c>
      <c r="K142" s="151" t="e">
        <f aca="false">VLOOKUP($C142,#REF!,11,0)</f>
        <v>#VALUE!</v>
      </c>
      <c r="L142" s="140"/>
      <c r="M142" s="150" t="e">
        <f aca="false">VLOOKUP($C142,#REF!,12,0)</f>
        <v>#VALUE!</v>
      </c>
      <c r="N142" s="152" t="e">
        <f aca="false">VLOOKUP($C142,#REF!,13,0)</f>
        <v>#VALUE!</v>
      </c>
      <c r="O142" s="150" t="e">
        <f aca="false">VLOOKUP($C142,#REF!,14,0)</f>
        <v>#VALUE!</v>
      </c>
      <c r="P142" s="152" t="e">
        <f aca="false">VLOOKUP($C142,#REF!,15,0)</f>
        <v>#VALUE!</v>
      </c>
      <c r="Q142" s="150" t="e">
        <f aca="false">VLOOKUP($C142,#REF!,16,0)</f>
        <v>#VALUE!</v>
      </c>
      <c r="R142" s="151" t="e">
        <f aca="false">VLOOKUP($C142,#REF!,17,0)</f>
        <v>#VALUE!</v>
      </c>
      <c r="S142" s="152" t="e">
        <f aca="false">VLOOKUP($C142,#REF!,18,0)</f>
        <v>#VALUE!</v>
      </c>
      <c r="T142" s="151" t="e">
        <f aca="false">VLOOKUP($C142,#REF!,19,0)</f>
        <v>#VALUE!</v>
      </c>
      <c r="U142" s="140"/>
      <c r="V142" s="150" t="e">
        <f aca="false">VLOOKUP($C142,#REF!,20,0)</f>
        <v>#VALUE!</v>
      </c>
      <c r="W142" s="152" t="e">
        <f aca="false">VLOOKUP($C142,#REF!,21,0)</f>
        <v>#VALUE!</v>
      </c>
      <c r="X142" s="150" t="e">
        <f aca="false">VLOOKUP($C142,#REF!,22,0)</f>
        <v>#VALUE!</v>
      </c>
      <c r="Y142" s="152" t="e">
        <f aca="false">VLOOKUP($C142,#REF!,23,0)</f>
        <v>#VALUE!</v>
      </c>
      <c r="Z142" s="150" t="e">
        <f aca="false">VLOOKUP($C142,#REF!,24,0)</f>
        <v>#VALUE!</v>
      </c>
      <c r="AA142" s="151" t="e">
        <f aca="false">VLOOKUP($C142,#REF!,25,0)</f>
        <v>#VALUE!</v>
      </c>
      <c r="AB142" s="152" t="e">
        <f aca="false">VLOOKUP($C142,#REF!,26,0)</f>
        <v>#VALUE!</v>
      </c>
      <c r="AC142" s="151" t="e">
        <f aca="false">VLOOKUP($C142,#REF!,27,0)</f>
        <v>#VALUE!</v>
      </c>
      <c r="AD142" s="1"/>
      <c r="AE142" s="150" t="e">
        <f aca="false">IF(M142="-","-","0,5 GB")</f>
        <v>#VALUE!</v>
      </c>
      <c r="AF142" s="153" t="s">
        <v>92</v>
      </c>
      <c r="AG142" s="153" t="s">
        <v>93</v>
      </c>
      <c r="AH142" s="151" t="s">
        <v>94</v>
      </c>
      <c r="AI142" s="1"/>
      <c r="AJ142" s="150" t="s">
        <v>95</v>
      </c>
      <c r="AK142" s="153" t="s">
        <v>96</v>
      </c>
      <c r="AL142" s="153" t="s">
        <v>97</v>
      </c>
      <c r="AM142" s="153" t="s">
        <v>98</v>
      </c>
      <c r="AN142" s="153" t="s">
        <v>98</v>
      </c>
      <c r="AO142" s="151" t="s">
        <v>92</v>
      </c>
      <c r="AP142" s="1"/>
      <c r="AQ142" s="154" t="n">
        <v>207</v>
      </c>
      <c r="AR142" s="137"/>
      <c r="AS142" s="150" t="n">
        <v>0</v>
      </c>
      <c r="AT142" s="151" t="n">
        <v>0</v>
      </c>
      <c r="AU142" s="140"/>
      <c r="AV142" s="150" t="n">
        <f aca="false">IFERROR(ROUND($D142-M142-AW142,0),0)</f>
        <v>0</v>
      </c>
      <c r="AW142" s="151" t="n">
        <f aca="false">IFERROR(N142*$G142,0)</f>
        <v>0</v>
      </c>
      <c r="AX142" s="150" t="n">
        <f aca="false">IFERROR(ROUND($D142-O142-AY142,0),0)</f>
        <v>0</v>
      </c>
      <c r="AY142" s="151" t="n">
        <f aca="false">IFERROR(P142*$G142,0)</f>
        <v>0</v>
      </c>
      <c r="AZ142" s="150" t="n">
        <f aca="false">IFERROR(ROUND($D142-Q142-BA142,0),0)</f>
        <v>0</v>
      </c>
      <c r="BA142" s="151" t="n">
        <f aca="false">IFERROR(R142*$G142,0)</f>
        <v>0</v>
      </c>
      <c r="BB142" s="152" t="n">
        <f aca="false">IFERROR(ROUND($D142-S142-BC142,0),0)</f>
        <v>0</v>
      </c>
      <c r="BC142" s="151" t="n">
        <f aca="false">IFERROR(T142*$G142,0)</f>
        <v>0</v>
      </c>
      <c r="BD142" s="140"/>
      <c r="BE142" s="150" t="n">
        <f aca="false">IFERROR(ROUND($D142-V142-BF142,0),0)</f>
        <v>0</v>
      </c>
      <c r="BF142" s="151" t="n">
        <f aca="false">IFERROR(W142*$G142,0)</f>
        <v>0</v>
      </c>
      <c r="BG142" s="150" t="n">
        <f aca="false">IFERROR(ROUND($D142-X142-BH142,0),0)</f>
        <v>0</v>
      </c>
      <c r="BH142" s="151" t="n">
        <f aca="false">IFERROR(Y142*$G142,0)</f>
        <v>0</v>
      </c>
      <c r="BI142" s="152" t="n">
        <f aca="false">IFERROR(ROUND($D142-Z142-BJ142,0),0)</f>
        <v>0</v>
      </c>
      <c r="BJ142" s="151" t="n">
        <f aca="false">IFERROR(AA142*$G142,0)</f>
        <v>0</v>
      </c>
      <c r="BK142" s="152" t="n">
        <f aca="false">IFERROR(ROUND($D142-AB142-BL142,0),0)</f>
        <v>0</v>
      </c>
      <c r="BL142" s="151" t="n">
        <f aca="false">IFERROR(AC142*$G142,0)</f>
        <v>0</v>
      </c>
      <c r="BM142" s="1"/>
      <c r="BN142" s="154" t="n">
        <v>0</v>
      </c>
      <c r="BO142" s="155"/>
      <c r="BP142" s="150" t="n">
        <v>0</v>
      </c>
      <c r="BQ142" s="151" t="n">
        <v>0</v>
      </c>
      <c r="BR142" s="152"/>
      <c r="BS142" s="150" t="n">
        <v>0</v>
      </c>
      <c r="BT142" s="151" t="n">
        <v>0</v>
      </c>
      <c r="BU142" s="150" t="n">
        <v>0</v>
      </c>
      <c r="BV142" s="151" t="n">
        <v>0</v>
      </c>
      <c r="BW142" s="150" t="n">
        <v>-80</v>
      </c>
      <c r="BX142" s="151" t="n">
        <v>-4</v>
      </c>
      <c r="BY142" s="150" t="n">
        <v>-80</v>
      </c>
      <c r="BZ142" s="151" t="n">
        <v>-4</v>
      </c>
      <c r="CA142" s="152"/>
      <c r="CB142" s="150" t="n">
        <v>0</v>
      </c>
      <c r="CC142" s="151" t="n">
        <v>0</v>
      </c>
      <c r="CD142" s="150" t="n">
        <v>0</v>
      </c>
      <c r="CE142" s="151" t="n">
        <v>0</v>
      </c>
      <c r="CF142" s="150" t="n">
        <v>0</v>
      </c>
      <c r="CG142" s="151" t="n">
        <v>-3</v>
      </c>
      <c r="CH142" s="150" t="n">
        <v>0</v>
      </c>
      <c r="CI142" s="151" t="n">
        <v>-3</v>
      </c>
      <c r="CJ142" s="1"/>
      <c r="CK142" s="149"/>
      <c r="CL142" s="137"/>
      <c r="CM142" s="154" t="str">
        <f aca="false">IFERROR(+$H142-($J142+$K142*$G142),"-")</f>
        <v>-</v>
      </c>
      <c r="CN142" s="137"/>
      <c r="CO142" s="154" t="str">
        <f aca="false">IFERROR(+$H142-($M142+$N142*$G142),"-")</f>
        <v>-</v>
      </c>
      <c r="CP142" s="154" t="str">
        <f aca="false">IFERROR(+$H142-($O142+$P142*$G142),"-")</f>
        <v>-</v>
      </c>
      <c r="CQ142" s="154" t="str">
        <f aca="false">IFERROR(+$H142-($Q142+$R142*$G142),"-")</f>
        <v>-</v>
      </c>
      <c r="CR142" s="154" t="str">
        <f aca="false">IFERROR(+$H142-($Q142+$R142*$G142),"-")</f>
        <v>-</v>
      </c>
      <c r="CS142" s="137"/>
      <c r="CT142" s="154" t="str">
        <f aca="false">IFERROR(+$H142-($V142+$W142*$G142),"-")</f>
        <v>-</v>
      </c>
      <c r="CU142" s="154" t="str">
        <f aca="false">IFERROR(+$H142-($X142+$Y142*$G142),"-")</f>
        <v>-</v>
      </c>
      <c r="CV142" s="154" t="str">
        <f aca="false">IFERROR(+$H142-($Z142+$AA142*$G142),"-")</f>
        <v>-</v>
      </c>
      <c r="CW142" s="154" t="str">
        <f aca="false">IFERROR(+$H142-($AB142+$AC142*$G142),"-")</f>
        <v>-</v>
      </c>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row>
    <row r="143" s="1" customFormat="true" ht="12.75" hidden="false" customHeight="true" outlineLevel="0" collapsed="false">
      <c r="B143" s="134" t="s">
        <v>200</v>
      </c>
      <c r="C143" s="135" t="s">
        <v>226</v>
      </c>
      <c r="D143" s="136" t="e">
        <f aca="false">VLOOKUP($C143,#REF!,5,0)</f>
        <v>#VALUE!</v>
      </c>
      <c r="E143" s="157" t="e">
        <f aca="false">VLOOKUP($C143,#REF!,6,0)</f>
        <v>#VALUE!</v>
      </c>
      <c r="F143" s="135" t="e">
        <f aca="false">VLOOKUP($C143,#REF!,7,0)</f>
        <v>#VALUE!</v>
      </c>
      <c r="G143" s="135" t="e">
        <f aca="false">VLOOKUP($C143,#REF!,8,0)</f>
        <v>#VALUE!</v>
      </c>
      <c r="H143" s="158" t="e">
        <f aca="false">VLOOKUP($C143,#REF!,9,0)</f>
        <v>#VALUE!</v>
      </c>
      <c r="I143" s="137"/>
      <c r="J143" s="138" t="e">
        <f aca="false">VLOOKUP($C143,#REF!,10,0)</f>
        <v>#VALUE!</v>
      </c>
      <c r="K143" s="139" t="e">
        <f aca="false">VLOOKUP($C143,#REF!,11,0)</f>
        <v>#VALUE!</v>
      </c>
      <c r="L143" s="140"/>
      <c r="M143" s="138" t="e">
        <f aca="false">VLOOKUP($C143,#REF!,12,0)</f>
        <v>#VALUE!</v>
      </c>
      <c r="N143" s="140" t="e">
        <f aca="false">VLOOKUP($C143,#REF!,13,0)</f>
        <v>#VALUE!</v>
      </c>
      <c r="O143" s="138" t="e">
        <f aca="false">VLOOKUP($C143,#REF!,14,0)</f>
        <v>#VALUE!</v>
      </c>
      <c r="P143" s="140" t="e">
        <f aca="false">VLOOKUP($C143,#REF!,15,0)</f>
        <v>#VALUE!</v>
      </c>
      <c r="Q143" s="138" t="e">
        <f aca="false">VLOOKUP($C143,#REF!,16,0)</f>
        <v>#VALUE!</v>
      </c>
      <c r="R143" s="139" t="e">
        <f aca="false">VLOOKUP($C143,#REF!,17,0)</f>
        <v>#VALUE!</v>
      </c>
      <c r="S143" s="140" t="e">
        <f aca="false">VLOOKUP($C143,#REF!,18,0)</f>
        <v>#VALUE!</v>
      </c>
      <c r="T143" s="139" t="e">
        <f aca="false">VLOOKUP($C143,#REF!,19,0)</f>
        <v>#VALUE!</v>
      </c>
      <c r="U143" s="140"/>
      <c r="V143" s="138" t="e">
        <f aca="false">VLOOKUP($C143,#REF!,20,0)</f>
        <v>#VALUE!</v>
      </c>
      <c r="W143" s="140" t="e">
        <f aca="false">VLOOKUP($C143,#REF!,21,0)</f>
        <v>#VALUE!</v>
      </c>
      <c r="X143" s="138" t="e">
        <f aca="false">VLOOKUP($C143,#REF!,22,0)</f>
        <v>#VALUE!</v>
      </c>
      <c r="Y143" s="140" t="e">
        <f aca="false">VLOOKUP($C143,#REF!,23,0)</f>
        <v>#VALUE!</v>
      </c>
      <c r="Z143" s="138" t="e">
        <f aca="false">VLOOKUP($C143,#REF!,24,0)</f>
        <v>#VALUE!</v>
      </c>
      <c r="AA143" s="139" t="e">
        <f aca="false">VLOOKUP($C143,#REF!,25,0)</f>
        <v>#VALUE!</v>
      </c>
      <c r="AB143" s="140" t="e">
        <f aca="false">VLOOKUP($C143,#REF!,26,0)</f>
        <v>#VALUE!</v>
      </c>
      <c r="AC143" s="139" t="e">
        <f aca="false">VLOOKUP($C143,#REF!,27,0)</f>
        <v>#VALUE!</v>
      </c>
      <c r="AE143" s="138" t="e">
        <f aca="false">IF(M143="-","-","0,5 GB")</f>
        <v>#VALUE!</v>
      </c>
      <c r="AF143" s="141" t="s">
        <v>92</v>
      </c>
      <c r="AG143" s="141" t="s">
        <v>93</v>
      </c>
      <c r="AH143" s="139" t="s">
        <v>94</v>
      </c>
      <c r="AJ143" s="138" t="s">
        <v>95</v>
      </c>
      <c r="AK143" s="141" t="s">
        <v>96</v>
      </c>
      <c r="AL143" s="141" t="s">
        <v>97</v>
      </c>
      <c r="AM143" s="141" t="s">
        <v>98</v>
      </c>
      <c r="AN143" s="141" t="s">
        <v>98</v>
      </c>
      <c r="AO143" s="139" t="s">
        <v>92</v>
      </c>
      <c r="AQ143" s="142" t="n">
        <v>207</v>
      </c>
      <c r="AR143" s="137"/>
      <c r="AS143" s="138" t="n">
        <v>0</v>
      </c>
      <c r="AT143" s="139" t="n">
        <v>0</v>
      </c>
      <c r="AU143" s="140"/>
      <c r="AV143" s="138" t="n">
        <f aca="false">IFERROR(ROUND($D143-M143-AW143,0),0)</f>
        <v>0</v>
      </c>
      <c r="AW143" s="139" t="n">
        <f aca="false">IFERROR(N143*$G143,0)</f>
        <v>0</v>
      </c>
      <c r="AX143" s="138" t="n">
        <f aca="false">IFERROR(ROUND($D143-O143-AY143,0),0)</f>
        <v>0</v>
      </c>
      <c r="AY143" s="139" t="n">
        <f aca="false">IFERROR(P143*$G143,0)</f>
        <v>0</v>
      </c>
      <c r="AZ143" s="138" t="n">
        <f aca="false">IFERROR(ROUND($D143-Q143-BA143,0),0)</f>
        <v>0</v>
      </c>
      <c r="BA143" s="139" t="n">
        <f aca="false">IFERROR(R143*$G143,0)</f>
        <v>0</v>
      </c>
      <c r="BB143" s="140" t="n">
        <f aca="false">IFERROR(ROUND($D143-S143-BC143,0),0)</f>
        <v>0</v>
      </c>
      <c r="BC143" s="139" t="n">
        <f aca="false">IFERROR(T143*$G143,0)</f>
        <v>0</v>
      </c>
      <c r="BD143" s="140"/>
      <c r="BE143" s="138" t="n">
        <f aca="false">IFERROR(ROUND($D143-V143-BF143,0),0)</f>
        <v>0</v>
      </c>
      <c r="BF143" s="139" t="n">
        <f aca="false">IFERROR(W143*$G143,0)</f>
        <v>0</v>
      </c>
      <c r="BG143" s="138" t="n">
        <f aca="false">IFERROR(ROUND($D143-X143-BH143,0),0)</f>
        <v>0</v>
      </c>
      <c r="BH143" s="139" t="n">
        <f aca="false">IFERROR(Y143*$G143,0)</f>
        <v>0</v>
      </c>
      <c r="BI143" s="140" t="n">
        <f aca="false">IFERROR(ROUND($D143-Z143-BJ143,0),0)</f>
        <v>0</v>
      </c>
      <c r="BJ143" s="139" t="n">
        <f aca="false">IFERROR(AA143*$G143,0)</f>
        <v>0</v>
      </c>
      <c r="BK143" s="140" t="n">
        <f aca="false">IFERROR(ROUND($D143-AB143-BL143,0),0)</f>
        <v>0</v>
      </c>
      <c r="BL143" s="139" t="n">
        <f aca="false">IFERROR(AC143*$G143,0)</f>
        <v>0</v>
      </c>
      <c r="BN143" s="142" t="n">
        <v>0</v>
      </c>
      <c r="BO143" s="137"/>
      <c r="BP143" s="138" t="n">
        <v>0</v>
      </c>
      <c r="BQ143" s="139" t="n">
        <v>0</v>
      </c>
      <c r="BR143" s="140"/>
      <c r="BS143" s="138" t="n">
        <v>0</v>
      </c>
      <c r="BT143" s="139" t="n">
        <v>0</v>
      </c>
      <c r="BU143" s="138" t="n">
        <v>0</v>
      </c>
      <c r="BV143" s="139" t="n">
        <v>0</v>
      </c>
      <c r="BW143" s="138" t="n">
        <v>-80</v>
      </c>
      <c r="BX143" s="139" t="n">
        <v>-4</v>
      </c>
      <c r="BY143" s="138" t="n">
        <v>-80</v>
      </c>
      <c r="BZ143" s="139" t="n">
        <v>-4</v>
      </c>
      <c r="CA143" s="140"/>
      <c r="CB143" s="138" t="n">
        <v>0</v>
      </c>
      <c r="CC143" s="139" t="n">
        <v>0</v>
      </c>
      <c r="CD143" s="138" t="n">
        <v>0</v>
      </c>
      <c r="CE143" s="139" t="n">
        <v>0</v>
      </c>
      <c r="CF143" s="138" t="n">
        <v>0</v>
      </c>
      <c r="CG143" s="139" t="n">
        <v>-3</v>
      </c>
      <c r="CH143" s="138" t="n">
        <v>0</v>
      </c>
      <c r="CI143" s="139" t="n">
        <v>-3</v>
      </c>
      <c r="CK143" s="143"/>
      <c r="CL143" s="137"/>
      <c r="CM143" s="144" t="str">
        <f aca="false">IFERROR(+$H143-($J143+$K143*$G143),"-")</f>
        <v>-</v>
      </c>
      <c r="CN143" s="137"/>
      <c r="CO143" s="144" t="str">
        <f aca="false">IFERROR(+$H143-($M143+$N143*$G143),"-")</f>
        <v>-</v>
      </c>
      <c r="CP143" s="144" t="str">
        <f aca="false">IFERROR(+$H143-($O143+$P143*$G143),"-")</f>
        <v>-</v>
      </c>
      <c r="CQ143" s="144" t="str">
        <f aca="false">IFERROR(+$H143-($Q143+$R143*$G143),"-")</f>
        <v>-</v>
      </c>
      <c r="CR143" s="144" t="str">
        <f aca="false">IFERROR(+$H143-($Q143+$R143*$G143),"-")</f>
        <v>-</v>
      </c>
      <c r="CS143" s="137"/>
      <c r="CT143" s="144" t="str">
        <f aca="false">IFERROR(+$H143-($V143+$W143*$G143),"-")</f>
        <v>-</v>
      </c>
      <c r="CU143" s="144" t="str">
        <f aca="false">IFERROR(+$H143-($X143+$Y143*$G143),"-")</f>
        <v>-</v>
      </c>
      <c r="CV143" s="144" t="str">
        <f aca="false">IFERROR(+$H143-($Z143+$AA143*$G143),"-")</f>
        <v>-</v>
      </c>
      <c r="CW143" s="144" t="str">
        <f aca="false">IFERROR(+$H143-($AB143+$AC143*$G143),"-")</f>
        <v>-</v>
      </c>
    </row>
    <row r="144" s="156" customFormat="true" ht="12.75" hidden="false" customHeight="true" outlineLevel="0" collapsed="false">
      <c r="A144" s="1"/>
      <c r="B144" s="145" t="s">
        <v>200</v>
      </c>
      <c r="C144" s="146" t="s">
        <v>227</v>
      </c>
      <c r="D144" s="147" t="e">
        <f aca="false">VLOOKUP($C144,#REF!,5,0)</f>
        <v>#VALUE!</v>
      </c>
      <c r="E144" s="148" t="e">
        <f aca="false">VLOOKUP($C144,#REF!,6,0)</f>
        <v>#VALUE!</v>
      </c>
      <c r="F144" s="146" t="e">
        <f aca="false">VLOOKUP($C144,#REF!,7,0)</f>
        <v>#VALUE!</v>
      </c>
      <c r="G144" s="146" t="e">
        <f aca="false">VLOOKUP($C144,#REF!,8,0)</f>
        <v>#VALUE!</v>
      </c>
      <c r="H144" s="149" t="e">
        <f aca="false">VLOOKUP($C144,#REF!,9,0)</f>
        <v>#VALUE!</v>
      </c>
      <c r="I144" s="137"/>
      <c r="J144" s="150" t="e">
        <f aca="false">VLOOKUP($C144,#REF!,10,0)</f>
        <v>#VALUE!</v>
      </c>
      <c r="K144" s="151" t="e">
        <f aca="false">VLOOKUP($C144,#REF!,11,0)</f>
        <v>#VALUE!</v>
      </c>
      <c r="L144" s="140"/>
      <c r="M144" s="150" t="e">
        <f aca="false">VLOOKUP($C144,#REF!,12,0)</f>
        <v>#VALUE!</v>
      </c>
      <c r="N144" s="152" t="e">
        <f aca="false">VLOOKUP($C144,#REF!,13,0)</f>
        <v>#VALUE!</v>
      </c>
      <c r="O144" s="150" t="e">
        <f aca="false">VLOOKUP($C144,#REF!,14,0)</f>
        <v>#VALUE!</v>
      </c>
      <c r="P144" s="152" t="e">
        <f aca="false">VLOOKUP($C144,#REF!,15,0)</f>
        <v>#VALUE!</v>
      </c>
      <c r="Q144" s="150" t="e">
        <f aca="false">VLOOKUP($C144,#REF!,16,0)</f>
        <v>#VALUE!</v>
      </c>
      <c r="R144" s="151" t="e">
        <f aca="false">VLOOKUP($C144,#REF!,17,0)</f>
        <v>#VALUE!</v>
      </c>
      <c r="S144" s="152" t="e">
        <f aca="false">VLOOKUP($C144,#REF!,18,0)</f>
        <v>#VALUE!</v>
      </c>
      <c r="T144" s="151" t="e">
        <f aca="false">VLOOKUP($C144,#REF!,19,0)</f>
        <v>#VALUE!</v>
      </c>
      <c r="U144" s="140"/>
      <c r="V144" s="150" t="e">
        <f aca="false">VLOOKUP($C144,#REF!,20,0)</f>
        <v>#VALUE!</v>
      </c>
      <c r="W144" s="152" t="e">
        <f aca="false">VLOOKUP($C144,#REF!,21,0)</f>
        <v>#VALUE!</v>
      </c>
      <c r="X144" s="150" t="e">
        <f aca="false">VLOOKUP($C144,#REF!,22,0)</f>
        <v>#VALUE!</v>
      </c>
      <c r="Y144" s="152" t="e">
        <f aca="false">VLOOKUP($C144,#REF!,23,0)</f>
        <v>#VALUE!</v>
      </c>
      <c r="Z144" s="150" t="e">
        <f aca="false">VLOOKUP($C144,#REF!,24,0)</f>
        <v>#VALUE!</v>
      </c>
      <c r="AA144" s="151" t="e">
        <f aca="false">VLOOKUP($C144,#REF!,25,0)</f>
        <v>#VALUE!</v>
      </c>
      <c r="AB144" s="152" t="e">
        <f aca="false">VLOOKUP($C144,#REF!,26,0)</f>
        <v>#VALUE!</v>
      </c>
      <c r="AC144" s="151" t="e">
        <f aca="false">VLOOKUP($C144,#REF!,27,0)</f>
        <v>#VALUE!</v>
      </c>
      <c r="AD144" s="1"/>
      <c r="AE144" s="150" t="e">
        <f aca="false">IF(M144="-","-","0,5 GB")</f>
        <v>#VALUE!</v>
      </c>
      <c r="AF144" s="153" t="s">
        <v>92</v>
      </c>
      <c r="AG144" s="153" t="s">
        <v>93</v>
      </c>
      <c r="AH144" s="151" t="s">
        <v>94</v>
      </c>
      <c r="AI144" s="1"/>
      <c r="AJ144" s="150" t="s">
        <v>95</v>
      </c>
      <c r="AK144" s="153" t="s">
        <v>96</v>
      </c>
      <c r="AL144" s="153" t="s">
        <v>97</v>
      </c>
      <c r="AM144" s="153" t="s">
        <v>98</v>
      </c>
      <c r="AN144" s="153" t="s">
        <v>98</v>
      </c>
      <c r="AO144" s="151" t="s">
        <v>92</v>
      </c>
      <c r="AP144" s="1"/>
      <c r="AQ144" s="154" t="n">
        <v>9</v>
      </c>
      <c r="AR144" s="137"/>
      <c r="AS144" s="150" t="n">
        <v>0</v>
      </c>
      <c r="AT144" s="151" t="n">
        <v>0</v>
      </c>
      <c r="AU144" s="140"/>
      <c r="AV144" s="150" t="n">
        <f aca="false">IFERROR(ROUND($D144-M144-AW144,0),0)</f>
        <v>0</v>
      </c>
      <c r="AW144" s="151" t="n">
        <f aca="false">IFERROR(N144*$G144,0)</f>
        <v>0</v>
      </c>
      <c r="AX144" s="150" t="n">
        <f aca="false">IFERROR(ROUND($D144-O144-AY144,0),0)</f>
        <v>0</v>
      </c>
      <c r="AY144" s="151" t="n">
        <f aca="false">IFERROR(P144*$G144,0)</f>
        <v>0</v>
      </c>
      <c r="AZ144" s="150" t="n">
        <f aca="false">IFERROR(ROUND($D144-Q144-BA144,0),0)</f>
        <v>0</v>
      </c>
      <c r="BA144" s="151" t="n">
        <f aca="false">IFERROR(R144*$G144,0)</f>
        <v>0</v>
      </c>
      <c r="BB144" s="152" t="n">
        <f aca="false">IFERROR(ROUND($D144-S144-BC144,0),0)</f>
        <v>0</v>
      </c>
      <c r="BC144" s="151" t="n">
        <f aca="false">IFERROR(T144*$G144,0)</f>
        <v>0</v>
      </c>
      <c r="BD144" s="140"/>
      <c r="BE144" s="150" t="n">
        <f aca="false">IFERROR(ROUND($D144-V144-BF144,0),0)</f>
        <v>0</v>
      </c>
      <c r="BF144" s="151" t="n">
        <f aca="false">IFERROR(W144*$G144,0)</f>
        <v>0</v>
      </c>
      <c r="BG144" s="150" t="n">
        <f aca="false">IFERROR(ROUND($D144-X144-BH144,0),0)</f>
        <v>0</v>
      </c>
      <c r="BH144" s="151" t="n">
        <f aca="false">IFERROR(Y144*$G144,0)</f>
        <v>0</v>
      </c>
      <c r="BI144" s="152" t="n">
        <f aca="false">IFERROR(ROUND($D144-Z144-BJ144,0),0)</f>
        <v>0</v>
      </c>
      <c r="BJ144" s="151" t="n">
        <f aca="false">IFERROR(AA144*$G144,0)</f>
        <v>0</v>
      </c>
      <c r="BK144" s="152" t="n">
        <f aca="false">IFERROR(ROUND($D144-AB144-BL144,0),0)</f>
        <v>0</v>
      </c>
      <c r="BL144" s="151" t="n">
        <f aca="false">IFERROR(AC144*$G144,0)</f>
        <v>0</v>
      </c>
      <c r="BM144" s="1"/>
      <c r="BN144" s="154" t="e">
        <f aca="false">#N/A</f>
        <v>#N/A</v>
      </c>
      <c r="BO144" s="155"/>
      <c r="BP144" s="150" t="e">
        <f aca="false">#N/A</f>
        <v>#N/A</v>
      </c>
      <c r="BQ144" s="151" t="e">
        <f aca="false">#N/A</f>
        <v>#N/A</v>
      </c>
      <c r="BR144" s="152"/>
      <c r="BS144" s="150" t="e">
        <f aca="false">#N/A</f>
        <v>#N/A</v>
      </c>
      <c r="BT144" s="151" t="e">
        <f aca="false">#N/A</f>
        <v>#N/A</v>
      </c>
      <c r="BU144" s="150" t="e">
        <f aca="false">#N/A</f>
        <v>#N/A</v>
      </c>
      <c r="BV144" s="151" t="e">
        <f aca="false">#N/A</f>
        <v>#N/A</v>
      </c>
      <c r="BW144" s="150" t="e">
        <f aca="false">#N/A</f>
        <v>#N/A</v>
      </c>
      <c r="BX144" s="151" t="e">
        <f aca="false">#N/A</f>
        <v>#N/A</v>
      </c>
      <c r="BY144" s="150" t="e">
        <f aca="false">#N/A</f>
        <v>#N/A</v>
      </c>
      <c r="BZ144" s="151" t="e">
        <f aca="false">#N/A</f>
        <v>#N/A</v>
      </c>
      <c r="CA144" s="152"/>
      <c r="CB144" s="150" t="e">
        <f aca="false">#N/A</f>
        <v>#N/A</v>
      </c>
      <c r="CC144" s="151" t="e">
        <f aca="false">#N/A</f>
        <v>#N/A</v>
      </c>
      <c r="CD144" s="150" t="e">
        <f aca="false">#N/A</f>
        <v>#N/A</v>
      </c>
      <c r="CE144" s="151" t="e">
        <f aca="false">#N/A</f>
        <v>#N/A</v>
      </c>
      <c r="CF144" s="150" t="e">
        <f aca="false">#N/A</f>
        <v>#N/A</v>
      </c>
      <c r="CG144" s="151" t="e">
        <f aca="false">#N/A</f>
        <v>#N/A</v>
      </c>
      <c r="CH144" s="150" t="e">
        <f aca="false">#N/A</f>
        <v>#N/A</v>
      </c>
      <c r="CI144" s="151" t="e">
        <f aca="false">#N/A</f>
        <v>#N/A</v>
      </c>
      <c r="CJ144" s="1"/>
      <c r="CK144" s="149"/>
      <c r="CL144" s="137"/>
      <c r="CM144" s="154" t="str">
        <f aca="false">IFERROR(+$H144-($J144+$K144*$G144),"-")</f>
        <v>-</v>
      </c>
      <c r="CN144" s="137"/>
      <c r="CO144" s="154" t="str">
        <f aca="false">IFERROR(+$H144-($M144+$N144*$G144),"-")</f>
        <v>-</v>
      </c>
      <c r="CP144" s="154" t="str">
        <f aca="false">IFERROR(+$H144-($O144+$P144*$G144),"-")</f>
        <v>-</v>
      </c>
      <c r="CQ144" s="154" t="str">
        <f aca="false">IFERROR(+$H144-($Q144+$R144*$G144),"-")</f>
        <v>-</v>
      </c>
      <c r="CR144" s="154" t="str">
        <f aca="false">IFERROR(+$H144-($Q144+$R144*$G144),"-")</f>
        <v>-</v>
      </c>
      <c r="CS144" s="137"/>
      <c r="CT144" s="154" t="str">
        <f aca="false">IFERROR(+$H144-($V144+$W144*$G144),"-")</f>
        <v>-</v>
      </c>
      <c r="CU144" s="154" t="str">
        <f aca="false">IFERROR(+$H144-($X144+$Y144*$G144),"-")</f>
        <v>-</v>
      </c>
      <c r="CV144" s="154" t="str">
        <f aca="false">IFERROR(+$H144-($Z144+$AA144*$G144),"-")</f>
        <v>-</v>
      </c>
      <c r="CW144" s="154" t="str">
        <f aca="false">IFERROR(+$H144-($AB144+$AC144*$G144),"-")</f>
        <v>-</v>
      </c>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row>
    <row r="145" s="1" customFormat="true" ht="12.75" hidden="false" customHeight="true" outlineLevel="0" collapsed="false">
      <c r="B145" s="134" t="s">
        <v>200</v>
      </c>
      <c r="C145" s="135" t="s">
        <v>228</v>
      </c>
      <c r="D145" s="136" t="e">
        <f aca="false">VLOOKUP($C145,#REF!,5,0)</f>
        <v>#VALUE!</v>
      </c>
      <c r="E145" s="157" t="e">
        <f aca="false">VLOOKUP($C145,#REF!,6,0)</f>
        <v>#VALUE!</v>
      </c>
      <c r="F145" s="135" t="e">
        <f aca="false">VLOOKUP($C145,#REF!,7,0)</f>
        <v>#VALUE!</v>
      </c>
      <c r="G145" s="135" t="e">
        <f aca="false">VLOOKUP($C145,#REF!,8,0)</f>
        <v>#VALUE!</v>
      </c>
      <c r="H145" s="158" t="e">
        <f aca="false">VLOOKUP($C145,#REF!,9,0)</f>
        <v>#VALUE!</v>
      </c>
      <c r="I145" s="137"/>
      <c r="J145" s="138" t="e">
        <f aca="false">VLOOKUP($C145,#REF!,10,0)</f>
        <v>#VALUE!</v>
      </c>
      <c r="K145" s="139" t="e">
        <f aca="false">VLOOKUP($C145,#REF!,11,0)</f>
        <v>#VALUE!</v>
      </c>
      <c r="L145" s="140"/>
      <c r="M145" s="138" t="e">
        <f aca="false">VLOOKUP($C145,#REF!,12,0)</f>
        <v>#VALUE!</v>
      </c>
      <c r="N145" s="140" t="e">
        <f aca="false">VLOOKUP($C145,#REF!,13,0)</f>
        <v>#VALUE!</v>
      </c>
      <c r="O145" s="138" t="e">
        <f aca="false">VLOOKUP($C145,#REF!,14,0)</f>
        <v>#VALUE!</v>
      </c>
      <c r="P145" s="140" t="e">
        <f aca="false">VLOOKUP($C145,#REF!,15,0)</f>
        <v>#VALUE!</v>
      </c>
      <c r="Q145" s="138" t="e">
        <f aca="false">VLOOKUP($C145,#REF!,16,0)</f>
        <v>#VALUE!</v>
      </c>
      <c r="R145" s="139" t="e">
        <f aca="false">VLOOKUP($C145,#REF!,17,0)</f>
        <v>#VALUE!</v>
      </c>
      <c r="S145" s="140" t="e">
        <f aca="false">VLOOKUP($C145,#REF!,18,0)</f>
        <v>#VALUE!</v>
      </c>
      <c r="T145" s="139" t="e">
        <f aca="false">VLOOKUP($C145,#REF!,19,0)</f>
        <v>#VALUE!</v>
      </c>
      <c r="U145" s="140"/>
      <c r="V145" s="138" t="e">
        <f aca="false">VLOOKUP($C145,#REF!,20,0)</f>
        <v>#VALUE!</v>
      </c>
      <c r="W145" s="140" t="e">
        <f aca="false">VLOOKUP($C145,#REF!,21,0)</f>
        <v>#VALUE!</v>
      </c>
      <c r="X145" s="138" t="e">
        <f aca="false">VLOOKUP($C145,#REF!,22,0)</f>
        <v>#VALUE!</v>
      </c>
      <c r="Y145" s="140" t="e">
        <f aca="false">VLOOKUP($C145,#REF!,23,0)</f>
        <v>#VALUE!</v>
      </c>
      <c r="Z145" s="138" t="e">
        <f aca="false">VLOOKUP($C145,#REF!,24,0)</f>
        <v>#VALUE!</v>
      </c>
      <c r="AA145" s="139" t="e">
        <f aca="false">VLOOKUP($C145,#REF!,25,0)</f>
        <v>#VALUE!</v>
      </c>
      <c r="AB145" s="140" t="e">
        <f aca="false">VLOOKUP($C145,#REF!,26,0)</f>
        <v>#VALUE!</v>
      </c>
      <c r="AC145" s="139" t="e">
        <f aca="false">VLOOKUP($C145,#REF!,27,0)</f>
        <v>#VALUE!</v>
      </c>
      <c r="AE145" s="138" t="e">
        <f aca="false">IF(M145="-","-","0,5 GB")</f>
        <v>#VALUE!</v>
      </c>
      <c r="AF145" s="141" t="s">
        <v>92</v>
      </c>
      <c r="AG145" s="141" t="s">
        <v>93</v>
      </c>
      <c r="AH145" s="139" t="s">
        <v>94</v>
      </c>
      <c r="AJ145" s="138" t="s">
        <v>95</v>
      </c>
      <c r="AK145" s="141" t="s">
        <v>96</v>
      </c>
      <c r="AL145" s="141" t="s">
        <v>97</v>
      </c>
      <c r="AM145" s="141" t="s">
        <v>98</v>
      </c>
      <c r="AN145" s="141" t="s">
        <v>98</v>
      </c>
      <c r="AO145" s="139" t="s">
        <v>92</v>
      </c>
      <c r="AQ145" s="142" t="n">
        <v>100</v>
      </c>
      <c r="AR145" s="137"/>
      <c r="AS145" s="138" t="n">
        <v>0</v>
      </c>
      <c r="AT145" s="139" t="n">
        <v>0</v>
      </c>
      <c r="AU145" s="140"/>
      <c r="AV145" s="138" t="n">
        <f aca="false">IFERROR(ROUND($D145-M145-AW145,0),0)</f>
        <v>0</v>
      </c>
      <c r="AW145" s="139" t="n">
        <f aca="false">IFERROR(N145*$G145,0)</f>
        <v>0</v>
      </c>
      <c r="AX145" s="138" t="n">
        <f aca="false">IFERROR(ROUND($D145-O145-AY145,0),0)</f>
        <v>0</v>
      </c>
      <c r="AY145" s="139" t="n">
        <f aca="false">IFERROR(P145*$G145,0)</f>
        <v>0</v>
      </c>
      <c r="AZ145" s="138" t="n">
        <f aca="false">IFERROR(ROUND($D145-Q145-BA145,0),0)</f>
        <v>0</v>
      </c>
      <c r="BA145" s="139" t="n">
        <f aca="false">IFERROR(R145*$G145,0)</f>
        <v>0</v>
      </c>
      <c r="BB145" s="140" t="n">
        <f aca="false">IFERROR(ROUND($D145-S145-BC145,0),0)</f>
        <v>0</v>
      </c>
      <c r="BC145" s="139" t="n">
        <f aca="false">IFERROR(T145*$G145,0)</f>
        <v>0</v>
      </c>
      <c r="BD145" s="140"/>
      <c r="BE145" s="138" t="n">
        <f aca="false">IFERROR(ROUND($D145-V145-BF145,0),0)</f>
        <v>0</v>
      </c>
      <c r="BF145" s="139" t="n">
        <f aca="false">IFERROR(W145*$G145,0)</f>
        <v>0</v>
      </c>
      <c r="BG145" s="138" t="n">
        <f aca="false">IFERROR(ROUND($D145-X145-BH145,0),0)</f>
        <v>0</v>
      </c>
      <c r="BH145" s="139" t="n">
        <f aca="false">IFERROR(Y145*$G145,0)</f>
        <v>0</v>
      </c>
      <c r="BI145" s="140" t="n">
        <f aca="false">IFERROR(ROUND($D145-Z145-BJ145,0),0)</f>
        <v>0</v>
      </c>
      <c r="BJ145" s="139" t="n">
        <f aca="false">IFERROR(AA145*$G145,0)</f>
        <v>0</v>
      </c>
      <c r="BK145" s="140" t="n">
        <f aca="false">IFERROR(ROUND($D145-AB145-BL145,0),0)</f>
        <v>0</v>
      </c>
      <c r="BL145" s="139" t="n">
        <f aca="false">IFERROR(AC145*$G145,0)</f>
        <v>0</v>
      </c>
      <c r="BN145" s="142" t="n">
        <v>-8.26000000000001</v>
      </c>
      <c r="BO145" s="137"/>
      <c r="BP145" s="138" t="n">
        <v>-8.26000000000001</v>
      </c>
      <c r="BQ145" s="139" t="n">
        <v>0</v>
      </c>
      <c r="BR145" s="140"/>
      <c r="BS145" s="138" t="n">
        <v>0</v>
      </c>
      <c r="BT145" s="139" t="n">
        <v>0</v>
      </c>
      <c r="BU145" s="138" t="n">
        <v>0</v>
      </c>
      <c r="BV145" s="139" t="n">
        <v>-2</v>
      </c>
      <c r="BW145" s="138" t="n">
        <v>0</v>
      </c>
      <c r="BX145" s="139" t="n">
        <v>-2</v>
      </c>
      <c r="BY145" s="138" t="n">
        <v>0</v>
      </c>
      <c r="BZ145" s="139" t="n">
        <v>-2</v>
      </c>
      <c r="CA145" s="140"/>
      <c r="CB145" s="138" t="n">
        <v>0</v>
      </c>
      <c r="CC145" s="139" t="n">
        <v>0</v>
      </c>
      <c r="CD145" s="138" t="n">
        <v>0</v>
      </c>
      <c r="CE145" s="139" t="n">
        <v>-2</v>
      </c>
      <c r="CF145" s="138" t="n">
        <v>0</v>
      </c>
      <c r="CG145" s="139" t="n">
        <v>-2</v>
      </c>
      <c r="CH145" s="138" t="n">
        <v>0</v>
      </c>
      <c r="CI145" s="139" t="n">
        <v>-2</v>
      </c>
      <c r="CK145" s="143"/>
      <c r="CL145" s="137"/>
      <c r="CM145" s="144" t="str">
        <f aca="false">IFERROR(+$H145-($J145+$K145*$G145),"-")</f>
        <v>-</v>
      </c>
      <c r="CN145" s="137"/>
      <c r="CO145" s="144" t="str">
        <f aca="false">IFERROR(+$H145-($M145+$N145*$G145),"-")</f>
        <v>-</v>
      </c>
      <c r="CP145" s="144" t="str">
        <f aca="false">IFERROR(+$H145-($O145+$P145*$G145),"-")</f>
        <v>-</v>
      </c>
      <c r="CQ145" s="144" t="str">
        <f aca="false">IFERROR(+$H145-($Q145+$R145*$G145),"-")</f>
        <v>-</v>
      </c>
      <c r="CR145" s="144" t="str">
        <f aca="false">IFERROR(+$H145-($Q145+$R145*$G145),"-")</f>
        <v>-</v>
      </c>
      <c r="CS145" s="137"/>
      <c r="CT145" s="144" t="str">
        <f aca="false">IFERROR(+$H145-($V145+$W145*$G145),"-")</f>
        <v>-</v>
      </c>
      <c r="CU145" s="144" t="str">
        <f aca="false">IFERROR(+$H145-($X145+$Y145*$G145),"-")</f>
        <v>-</v>
      </c>
      <c r="CV145" s="144" t="str">
        <f aca="false">IFERROR(+$H145-($Z145+$AA145*$G145),"-")</f>
        <v>-</v>
      </c>
      <c r="CW145" s="144" t="str">
        <f aca="false">IFERROR(+$H145-($AB145+$AC145*$G145),"-")</f>
        <v>-</v>
      </c>
    </row>
    <row r="146" s="156" customFormat="true" ht="12.75" hidden="false" customHeight="true" outlineLevel="0" collapsed="false">
      <c r="A146" s="1"/>
      <c r="B146" s="145" t="s">
        <v>200</v>
      </c>
      <c r="C146" s="146" t="s">
        <v>229</v>
      </c>
      <c r="D146" s="147" t="e">
        <f aca="false">VLOOKUP($C146,#REF!,5,0)</f>
        <v>#VALUE!</v>
      </c>
      <c r="E146" s="148" t="e">
        <f aca="false">VLOOKUP($C146,#REF!,6,0)</f>
        <v>#VALUE!</v>
      </c>
      <c r="F146" s="146" t="e">
        <f aca="false">VLOOKUP($C146,#REF!,7,0)</f>
        <v>#VALUE!</v>
      </c>
      <c r="G146" s="146" t="e">
        <f aca="false">VLOOKUP($C146,#REF!,8,0)</f>
        <v>#VALUE!</v>
      </c>
      <c r="H146" s="149" t="e">
        <f aca="false">VLOOKUP($C146,#REF!,9,0)</f>
        <v>#VALUE!</v>
      </c>
      <c r="I146" s="137"/>
      <c r="J146" s="150" t="e">
        <f aca="false">VLOOKUP($C146,#REF!,10,0)</f>
        <v>#VALUE!</v>
      </c>
      <c r="K146" s="151" t="e">
        <f aca="false">VLOOKUP($C146,#REF!,11,0)</f>
        <v>#VALUE!</v>
      </c>
      <c r="L146" s="140"/>
      <c r="M146" s="150" t="e">
        <f aca="false">VLOOKUP($C146,#REF!,12,0)</f>
        <v>#VALUE!</v>
      </c>
      <c r="N146" s="152" t="e">
        <f aca="false">VLOOKUP($C146,#REF!,13,0)</f>
        <v>#VALUE!</v>
      </c>
      <c r="O146" s="150" t="e">
        <f aca="false">VLOOKUP($C146,#REF!,14,0)</f>
        <v>#VALUE!</v>
      </c>
      <c r="P146" s="152" t="e">
        <f aca="false">VLOOKUP($C146,#REF!,15,0)</f>
        <v>#VALUE!</v>
      </c>
      <c r="Q146" s="150" t="e">
        <f aca="false">VLOOKUP($C146,#REF!,16,0)</f>
        <v>#VALUE!</v>
      </c>
      <c r="R146" s="151" t="e">
        <f aca="false">VLOOKUP($C146,#REF!,17,0)</f>
        <v>#VALUE!</v>
      </c>
      <c r="S146" s="152" t="e">
        <f aca="false">VLOOKUP($C146,#REF!,18,0)</f>
        <v>#VALUE!</v>
      </c>
      <c r="T146" s="151" t="e">
        <f aca="false">VLOOKUP($C146,#REF!,19,0)</f>
        <v>#VALUE!</v>
      </c>
      <c r="U146" s="140"/>
      <c r="V146" s="150" t="e">
        <f aca="false">VLOOKUP($C146,#REF!,20,0)</f>
        <v>#VALUE!</v>
      </c>
      <c r="W146" s="152" t="e">
        <f aca="false">VLOOKUP($C146,#REF!,21,0)</f>
        <v>#VALUE!</v>
      </c>
      <c r="X146" s="150" t="e">
        <f aca="false">VLOOKUP($C146,#REF!,22,0)</f>
        <v>#VALUE!</v>
      </c>
      <c r="Y146" s="152" t="e">
        <f aca="false">VLOOKUP($C146,#REF!,23,0)</f>
        <v>#VALUE!</v>
      </c>
      <c r="Z146" s="150" t="e">
        <f aca="false">VLOOKUP($C146,#REF!,24,0)</f>
        <v>#VALUE!</v>
      </c>
      <c r="AA146" s="151" t="e">
        <f aca="false">VLOOKUP($C146,#REF!,25,0)</f>
        <v>#VALUE!</v>
      </c>
      <c r="AB146" s="152" t="e">
        <f aca="false">VLOOKUP($C146,#REF!,26,0)</f>
        <v>#VALUE!</v>
      </c>
      <c r="AC146" s="151" t="e">
        <f aca="false">VLOOKUP($C146,#REF!,27,0)</f>
        <v>#VALUE!</v>
      </c>
      <c r="AD146" s="1"/>
      <c r="AE146" s="150" t="e">
        <f aca="false">IF(M146="-","-","0,5 GB")</f>
        <v>#VALUE!</v>
      </c>
      <c r="AF146" s="153" t="s">
        <v>92</v>
      </c>
      <c r="AG146" s="153" t="s">
        <v>93</v>
      </c>
      <c r="AH146" s="151" t="s">
        <v>94</v>
      </c>
      <c r="AI146" s="1"/>
      <c r="AJ146" s="150" t="s">
        <v>95</v>
      </c>
      <c r="AK146" s="153" t="s">
        <v>96</v>
      </c>
      <c r="AL146" s="153" t="s">
        <v>97</v>
      </c>
      <c r="AM146" s="153" t="s">
        <v>98</v>
      </c>
      <c r="AN146" s="153" t="s">
        <v>98</v>
      </c>
      <c r="AO146" s="151" t="s">
        <v>92</v>
      </c>
      <c r="AP146" s="1"/>
      <c r="AQ146" s="154" t="n">
        <v>16</v>
      </c>
      <c r="AR146" s="137"/>
      <c r="AS146" s="150" t="n">
        <v>0</v>
      </c>
      <c r="AT146" s="151" t="n">
        <v>0</v>
      </c>
      <c r="AU146" s="140"/>
      <c r="AV146" s="150" t="n">
        <f aca="false">IFERROR(ROUND($D146-M146-AW146,0),0)</f>
        <v>0</v>
      </c>
      <c r="AW146" s="151" t="n">
        <f aca="false">IFERROR(N146*$G146,0)</f>
        <v>0</v>
      </c>
      <c r="AX146" s="150" t="n">
        <f aca="false">IFERROR(ROUND($D146-O146-AY146,0),0)</f>
        <v>0</v>
      </c>
      <c r="AY146" s="151" t="n">
        <f aca="false">IFERROR(P146*$G146,0)</f>
        <v>0</v>
      </c>
      <c r="AZ146" s="150" t="n">
        <f aca="false">IFERROR(ROUND($D146-Q146-BA146,0),0)</f>
        <v>0</v>
      </c>
      <c r="BA146" s="151" t="n">
        <f aca="false">IFERROR(R146*$G146,0)</f>
        <v>0</v>
      </c>
      <c r="BB146" s="152" t="n">
        <f aca="false">IFERROR(ROUND($D146-S146-BC146,0),0)</f>
        <v>0</v>
      </c>
      <c r="BC146" s="151" t="n">
        <f aca="false">IFERROR(T146*$G146,0)</f>
        <v>0</v>
      </c>
      <c r="BD146" s="140"/>
      <c r="BE146" s="150" t="n">
        <f aca="false">IFERROR(ROUND($D146-V146-BF146,0),0)</f>
        <v>0</v>
      </c>
      <c r="BF146" s="151" t="n">
        <f aca="false">IFERROR(W146*$G146,0)</f>
        <v>0</v>
      </c>
      <c r="BG146" s="150" t="n">
        <f aca="false">IFERROR(ROUND($D146-X146-BH146,0),0)</f>
        <v>0</v>
      </c>
      <c r="BH146" s="151" t="n">
        <f aca="false">IFERROR(Y146*$G146,0)</f>
        <v>0</v>
      </c>
      <c r="BI146" s="152" t="n">
        <f aca="false">IFERROR(ROUND($D146-Z146-BJ146,0),0)</f>
        <v>0</v>
      </c>
      <c r="BJ146" s="151" t="n">
        <f aca="false">IFERROR(AA146*$G146,0)</f>
        <v>0</v>
      </c>
      <c r="BK146" s="152" t="n">
        <f aca="false">IFERROR(ROUND($D146-AB146-BL146,0),0)</f>
        <v>0</v>
      </c>
      <c r="BL146" s="151" t="n">
        <f aca="false">IFERROR(AC146*$G146,0)</f>
        <v>0</v>
      </c>
      <c r="BM146" s="1"/>
      <c r="BN146" s="154" t="n">
        <v>0</v>
      </c>
      <c r="BO146" s="155"/>
      <c r="BP146" s="150" t="n">
        <v>0</v>
      </c>
      <c r="BQ146" s="151" t="n">
        <v>0</v>
      </c>
      <c r="BR146" s="152"/>
      <c r="BS146" s="150" t="n">
        <v>0</v>
      </c>
      <c r="BT146" s="151" t="n">
        <v>0</v>
      </c>
      <c r="BU146" s="150" t="n">
        <v>0</v>
      </c>
      <c r="BV146" s="151" t="n">
        <v>0</v>
      </c>
      <c r="BW146" s="150" t="n">
        <v>0</v>
      </c>
      <c r="BX146" s="151" t="n">
        <v>0</v>
      </c>
      <c r="BY146" s="150" t="n">
        <v>0</v>
      </c>
      <c r="BZ146" s="151" t="n">
        <v>0</v>
      </c>
      <c r="CA146" s="152"/>
      <c r="CB146" s="150" t="n">
        <v>0</v>
      </c>
      <c r="CC146" s="151" t="n">
        <v>0</v>
      </c>
      <c r="CD146" s="150" t="n">
        <v>0</v>
      </c>
      <c r="CE146" s="151" t="n">
        <v>0</v>
      </c>
      <c r="CF146" s="150" t="n">
        <v>0</v>
      </c>
      <c r="CG146" s="151" t="n">
        <v>0</v>
      </c>
      <c r="CH146" s="150" t="n">
        <v>0</v>
      </c>
      <c r="CI146" s="151" t="n">
        <v>0</v>
      </c>
      <c r="CJ146" s="1"/>
      <c r="CK146" s="149"/>
      <c r="CL146" s="137"/>
      <c r="CM146" s="154" t="str">
        <f aca="false">IFERROR(+$H146-($J146+$K146*$G146),"-")</f>
        <v>-</v>
      </c>
      <c r="CN146" s="137"/>
      <c r="CO146" s="154" t="str">
        <f aca="false">IFERROR(+$H146-($M146+$N146*$G146),"-")</f>
        <v>-</v>
      </c>
      <c r="CP146" s="154" t="str">
        <f aca="false">IFERROR(+$H146-($O146+$P146*$G146),"-")</f>
        <v>-</v>
      </c>
      <c r="CQ146" s="154" t="str">
        <f aca="false">IFERROR(+$H146-($Q146+$R146*$G146),"-")</f>
        <v>-</v>
      </c>
      <c r="CR146" s="154" t="str">
        <f aca="false">IFERROR(+$H146-($Q146+$R146*$G146),"-")</f>
        <v>-</v>
      </c>
      <c r="CS146" s="137"/>
      <c r="CT146" s="154" t="str">
        <f aca="false">IFERROR(+$H146-($V146+$W146*$G146),"-")</f>
        <v>-</v>
      </c>
      <c r="CU146" s="154" t="str">
        <f aca="false">IFERROR(+$H146-($X146+$Y146*$G146),"-")</f>
        <v>-</v>
      </c>
      <c r="CV146" s="154" t="str">
        <f aca="false">IFERROR(+$H146-($Z146+$AA146*$G146),"-")</f>
        <v>-</v>
      </c>
      <c r="CW146" s="154" t="str">
        <f aca="false">IFERROR(+$H146-($AB146+$AC146*$G146),"-")</f>
        <v>-</v>
      </c>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row>
    <row r="147" s="1" customFormat="true" ht="12.75" hidden="false" customHeight="true" outlineLevel="0" collapsed="false">
      <c r="B147" s="134" t="s">
        <v>200</v>
      </c>
      <c r="C147" s="135" t="s">
        <v>230</v>
      </c>
      <c r="D147" s="136" t="e">
        <f aca="false">VLOOKUP($C147,#REF!,5,0)</f>
        <v>#VALUE!</v>
      </c>
      <c r="E147" s="157" t="e">
        <f aca="false">VLOOKUP($C147,#REF!,6,0)</f>
        <v>#VALUE!</v>
      </c>
      <c r="F147" s="135" t="e">
        <f aca="false">VLOOKUP($C147,#REF!,7,0)</f>
        <v>#VALUE!</v>
      </c>
      <c r="G147" s="135" t="e">
        <f aca="false">VLOOKUP($C147,#REF!,8,0)</f>
        <v>#VALUE!</v>
      </c>
      <c r="H147" s="158" t="e">
        <f aca="false">VLOOKUP($C147,#REF!,9,0)</f>
        <v>#VALUE!</v>
      </c>
      <c r="I147" s="137"/>
      <c r="J147" s="138" t="e">
        <f aca="false">VLOOKUP($C147,#REF!,10,0)</f>
        <v>#VALUE!</v>
      </c>
      <c r="K147" s="139" t="e">
        <f aca="false">VLOOKUP($C147,#REF!,11,0)</f>
        <v>#VALUE!</v>
      </c>
      <c r="L147" s="140"/>
      <c r="M147" s="138" t="e">
        <f aca="false">VLOOKUP($C147,#REF!,12,0)</f>
        <v>#VALUE!</v>
      </c>
      <c r="N147" s="140" t="e">
        <f aca="false">VLOOKUP($C147,#REF!,13,0)</f>
        <v>#VALUE!</v>
      </c>
      <c r="O147" s="138" t="e">
        <f aca="false">VLOOKUP($C147,#REF!,14,0)</f>
        <v>#VALUE!</v>
      </c>
      <c r="P147" s="140" t="e">
        <f aca="false">VLOOKUP($C147,#REF!,15,0)</f>
        <v>#VALUE!</v>
      </c>
      <c r="Q147" s="138" t="e">
        <f aca="false">VLOOKUP($C147,#REF!,16,0)</f>
        <v>#VALUE!</v>
      </c>
      <c r="R147" s="139" t="e">
        <f aca="false">VLOOKUP($C147,#REF!,17,0)</f>
        <v>#VALUE!</v>
      </c>
      <c r="S147" s="140" t="e">
        <f aca="false">VLOOKUP($C147,#REF!,18,0)</f>
        <v>#VALUE!</v>
      </c>
      <c r="T147" s="139" t="e">
        <f aca="false">VLOOKUP($C147,#REF!,19,0)</f>
        <v>#VALUE!</v>
      </c>
      <c r="U147" s="140"/>
      <c r="V147" s="138" t="e">
        <f aca="false">VLOOKUP($C147,#REF!,20,0)</f>
        <v>#VALUE!</v>
      </c>
      <c r="W147" s="140" t="e">
        <f aca="false">VLOOKUP($C147,#REF!,21,0)</f>
        <v>#VALUE!</v>
      </c>
      <c r="X147" s="138" t="e">
        <f aca="false">VLOOKUP($C147,#REF!,22,0)</f>
        <v>#VALUE!</v>
      </c>
      <c r="Y147" s="140" t="e">
        <f aca="false">VLOOKUP($C147,#REF!,23,0)</f>
        <v>#VALUE!</v>
      </c>
      <c r="Z147" s="138" t="e">
        <f aca="false">VLOOKUP($C147,#REF!,24,0)</f>
        <v>#VALUE!</v>
      </c>
      <c r="AA147" s="139" t="e">
        <f aca="false">VLOOKUP($C147,#REF!,25,0)</f>
        <v>#VALUE!</v>
      </c>
      <c r="AB147" s="140" t="e">
        <f aca="false">VLOOKUP($C147,#REF!,26,0)</f>
        <v>#VALUE!</v>
      </c>
      <c r="AC147" s="139" t="e">
        <f aca="false">VLOOKUP($C147,#REF!,27,0)</f>
        <v>#VALUE!</v>
      </c>
      <c r="AE147" s="138" t="e">
        <f aca="false">IF(M147="-","-","0,5 GB")</f>
        <v>#VALUE!</v>
      </c>
      <c r="AF147" s="141" t="s">
        <v>92</v>
      </c>
      <c r="AG147" s="141" t="s">
        <v>93</v>
      </c>
      <c r="AH147" s="139" t="s">
        <v>94</v>
      </c>
      <c r="AJ147" s="138" t="s">
        <v>95</v>
      </c>
      <c r="AK147" s="141" t="s">
        <v>96</v>
      </c>
      <c r="AL147" s="141" t="s">
        <v>97</v>
      </c>
      <c r="AM147" s="141" t="s">
        <v>98</v>
      </c>
      <c r="AN147" s="141" t="s">
        <v>98</v>
      </c>
      <c r="AO147" s="139" t="s">
        <v>92</v>
      </c>
      <c r="AQ147" s="142" t="n">
        <v>41</v>
      </c>
      <c r="AR147" s="137"/>
      <c r="AS147" s="138" t="n">
        <v>0</v>
      </c>
      <c r="AT147" s="139" t="n">
        <v>0</v>
      </c>
      <c r="AU147" s="140"/>
      <c r="AV147" s="138" t="n">
        <f aca="false">IFERROR(ROUND($D147-M147-AW147,0),0)</f>
        <v>0</v>
      </c>
      <c r="AW147" s="139" t="n">
        <f aca="false">IFERROR(N147*$G147,0)</f>
        <v>0</v>
      </c>
      <c r="AX147" s="138" t="n">
        <f aca="false">IFERROR(ROUND($D147-O147-AY147,0),0)</f>
        <v>0</v>
      </c>
      <c r="AY147" s="139" t="n">
        <f aca="false">IFERROR(P147*$G147,0)</f>
        <v>0</v>
      </c>
      <c r="AZ147" s="138" t="n">
        <f aca="false">IFERROR(ROUND($D147-Q147-BA147,0),0)</f>
        <v>0</v>
      </c>
      <c r="BA147" s="139" t="n">
        <f aca="false">IFERROR(R147*$G147,0)</f>
        <v>0</v>
      </c>
      <c r="BB147" s="140" t="n">
        <f aca="false">IFERROR(ROUND($D147-S147-BC147,0),0)</f>
        <v>0</v>
      </c>
      <c r="BC147" s="139" t="n">
        <f aca="false">IFERROR(T147*$G147,0)</f>
        <v>0</v>
      </c>
      <c r="BD147" s="140"/>
      <c r="BE147" s="138" t="n">
        <f aca="false">IFERROR(ROUND($D147-V147-BF147,0),0)</f>
        <v>0</v>
      </c>
      <c r="BF147" s="139" t="n">
        <f aca="false">IFERROR(W147*$G147,0)</f>
        <v>0</v>
      </c>
      <c r="BG147" s="138" t="n">
        <f aca="false">IFERROR(ROUND($D147-X147-BH147,0),0)</f>
        <v>0</v>
      </c>
      <c r="BH147" s="139" t="n">
        <f aca="false">IFERROR(Y147*$G147,0)</f>
        <v>0</v>
      </c>
      <c r="BI147" s="140" t="n">
        <f aca="false">IFERROR(ROUND($D147-Z147-BJ147,0),0)</f>
        <v>0</v>
      </c>
      <c r="BJ147" s="139" t="n">
        <f aca="false">IFERROR(AA147*$G147,0)</f>
        <v>0</v>
      </c>
      <c r="BK147" s="140" t="n">
        <f aca="false">IFERROR(ROUND($D147-AB147-BL147,0),0)</f>
        <v>0</v>
      </c>
      <c r="BL147" s="139" t="n">
        <f aca="false">IFERROR(AC147*$G147,0)</f>
        <v>0</v>
      </c>
      <c r="BN147" s="142" t="n">
        <v>0</v>
      </c>
      <c r="BO147" s="137"/>
      <c r="BP147" s="138" t="n">
        <v>0</v>
      </c>
      <c r="BQ147" s="139" t="n">
        <v>0</v>
      </c>
      <c r="BR147" s="140"/>
      <c r="BS147" s="138" t="n">
        <v>0</v>
      </c>
      <c r="BT147" s="139" t="n">
        <v>0</v>
      </c>
      <c r="BU147" s="138" t="n">
        <v>0</v>
      </c>
      <c r="BV147" s="139" t="n">
        <v>0</v>
      </c>
      <c r="BW147" s="138" t="n">
        <v>0</v>
      </c>
      <c r="BX147" s="139" t="n">
        <v>0</v>
      </c>
      <c r="BY147" s="138" t="n">
        <v>0</v>
      </c>
      <c r="BZ147" s="139" t="n">
        <v>0</v>
      </c>
      <c r="CA147" s="140"/>
      <c r="CB147" s="138" t="n">
        <v>0</v>
      </c>
      <c r="CC147" s="139" t="n">
        <v>0</v>
      </c>
      <c r="CD147" s="138" t="n">
        <v>0</v>
      </c>
      <c r="CE147" s="139" t="n">
        <v>0</v>
      </c>
      <c r="CF147" s="138" t="n">
        <v>0</v>
      </c>
      <c r="CG147" s="139" t="n">
        <v>0</v>
      </c>
      <c r="CH147" s="138" t="n">
        <v>0</v>
      </c>
      <c r="CI147" s="139" t="n">
        <v>0</v>
      </c>
      <c r="CK147" s="143"/>
      <c r="CL147" s="137"/>
      <c r="CM147" s="144" t="str">
        <f aca="false">IFERROR(+$H147-($J147+$K147*$G147),"-")</f>
        <v>-</v>
      </c>
      <c r="CN147" s="137"/>
      <c r="CO147" s="144" t="str">
        <f aca="false">IFERROR(+$H147-($M147+$N147*$G147),"-")</f>
        <v>-</v>
      </c>
      <c r="CP147" s="144" t="str">
        <f aca="false">IFERROR(+$H147-($O147+$P147*$G147),"-")</f>
        <v>-</v>
      </c>
      <c r="CQ147" s="144" t="str">
        <f aca="false">IFERROR(+$H147-($Q147+$R147*$G147),"-")</f>
        <v>-</v>
      </c>
      <c r="CR147" s="144" t="str">
        <f aca="false">IFERROR(+$H147-($Q147+$R147*$G147),"-")</f>
        <v>-</v>
      </c>
      <c r="CS147" s="137"/>
      <c r="CT147" s="144" t="str">
        <f aca="false">IFERROR(+$H147-($V147+$W147*$G147),"-")</f>
        <v>-</v>
      </c>
      <c r="CU147" s="144" t="str">
        <f aca="false">IFERROR(+$H147-($X147+$Y147*$G147),"-")</f>
        <v>-</v>
      </c>
      <c r="CV147" s="144" t="str">
        <f aca="false">IFERROR(+$H147-($Z147+$AA147*$G147),"-")</f>
        <v>-</v>
      </c>
      <c r="CW147" s="144" t="str">
        <f aca="false">IFERROR(+$H147-($AB147+$AC147*$G147),"-")</f>
        <v>-</v>
      </c>
    </row>
    <row r="148" s="156" customFormat="true" ht="12.75" hidden="false" customHeight="true" outlineLevel="0" collapsed="false">
      <c r="A148" s="1"/>
      <c r="B148" s="145" t="s">
        <v>200</v>
      </c>
      <c r="C148" s="146" t="s">
        <v>231</v>
      </c>
      <c r="D148" s="147" t="e">
        <f aca="false">VLOOKUP($C148,#REF!,5,0)</f>
        <v>#VALUE!</v>
      </c>
      <c r="E148" s="148" t="e">
        <f aca="false">VLOOKUP($C148,#REF!,6,0)</f>
        <v>#VALUE!</v>
      </c>
      <c r="F148" s="146" t="e">
        <f aca="false">VLOOKUP($C148,#REF!,7,0)</f>
        <v>#VALUE!</v>
      </c>
      <c r="G148" s="146" t="e">
        <f aca="false">VLOOKUP($C148,#REF!,8,0)</f>
        <v>#VALUE!</v>
      </c>
      <c r="H148" s="149" t="e">
        <f aca="false">VLOOKUP($C148,#REF!,9,0)</f>
        <v>#VALUE!</v>
      </c>
      <c r="I148" s="137"/>
      <c r="J148" s="150" t="e">
        <f aca="false">VLOOKUP($C148,#REF!,10,0)</f>
        <v>#VALUE!</v>
      </c>
      <c r="K148" s="151" t="e">
        <f aca="false">VLOOKUP($C148,#REF!,11,0)</f>
        <v>#VALUE!</v>
      </c>
      <c r="L148" s="140"/>
      <c r="M148" s="150" t="e">
        <f aca="false">VLOOKUP($C148,#REF!,12,0)</f>
        <v>#VALUE!</v>
      </c>
      <c r="N148" s="152" t="e">
        <f aca="false">VLOOKUP($C148,#REF!,13,0)</f>
        <v>#VALUE!</v>
      </c>
      <c r="O148" s="150" t="e">
        <f aca="false">VLOOKUP($C148,#REF!,14,0)</f>
        <v>#VALUE!</v>
      </c>
      <c r="P148" s="152" t="e">
        <f aca="false">VLOOKUP($C148,#REF!,15,0)</f>
        <v>#VALUE!</v>
      </c>
      <c r="Q148" s="150" t="e">
        <f aca="false">VLOOKUP($C148,#REF!,16,0)</f>
        <v>#VALUE!</v>
      </c>
      <c r="R148" s="151" t="e">
        <f aca="false">VLOOKUP($C148,#REF!,17,0)</f>
        <v>#VALUE!</v>
      </c>
      <c r="S148" s="152" t="e">
        <f aca="false">VLOOKUP($C148,#REF!,18,0)</f>
        <v>#VALUE!</v>
      </c>
      <c r="T148" s="151" t="e">
        <f aca="false">VLOOKUP($C148,#REF!,19,0)</f>
        <v>#VALUE!</v>
      </c>
      <c r="U148" s="140"/>
      <c r="V148" s="150" t="e">
        <f aca="false">VLOOKUP($C148,#REF!,20,0)</f>
        <v>#VALUE!</v>
      </c>
      <c r="W148" s="152" t="e">
        <f aca="false">VLOOKUP($C148,#REF!,21,0)</f>
        <v>#VALUE!</v>
      </c>
      <c r="X148" s="150" t="e">
        <f aca="false">VLOOKUP($C148,#REF!,22,0)</f>
        <v>#VALUE!</v>
      </c>
      <c r="Y148" s="152" t="e">
        <f aca="false">VLOOKUP($C148,#REF!,23,0)</f>
        <v>#VALUE!</v>
      </c>
      <c r="Z148" s="150" t="e">
        <f aca="false">VLOOKUP($C148,#REF!,24,0)</f>
        <v>#VALUE!</v>
      </c>
      <c r="AA148" s="151" t="e">
        <f aca="false">VLOOKUP($C148,#REF!,25,0)</f>
        <v>#VALUE!</v>
      </c>
      <c r="AB148" s="152" t="e">
        <f aca="false">VLOOKUP($C148,#REF!,26,0)</f>
        <v>#VALUE!</v>
      </c>
      <c r="AC148" s="151" t="e">
        <f aca="false">VLOOKUP($C148,#REF!,27,0)</f>
        <v>#VALUE!</v>
      </c>
      <c r="AD148" s="1"/>
      <c r="AE148" s="150" t="e">
        <f aca="false">IF(M148="-","-","0,5 GB")</f>
        <v>#VALUE!</v>
      </c>
      <c r="AF148" s="153" t="s">
        <v>92</v>
      </c>
      <c r="AG148" s="153" t="s">
        <v>93</v>
      </c>
      <c r="AH148" s="151" t="s">
        <v>94</v>
      </c>
      <c r="AI148" s="1"/>
      <c r="AJ148" s="150" t="s">
        <v>95</v>
      </c>
      <c r="AK148" s="153" t="s">
        <v>96</v>
      </c>
      <c r="AL148" s="153" t="s">
        <v>97</v>
      </c>
      <c r="AM148" s="153" t="s">
        <v>98</v>
      </c>
      <c r="AN148" s="153" t="s">
        <v>98</v>
      </c>
      <c r="AO148" s="151" t="s">
        <v>92</v>
      </c>
      <c r="AP148" s="1"/>
      <c r="AQ148" s="154" t="n">
        <v>26</v>
      </c>
      <c r="AR148" s="137"/>
      <c r="AS148" s="150" t="n">
        <v>0</v>
      </c>
      <c r="AT148" s="151" t="n">
        <v>0</v>
      </c>
      <c r="AU148" s="140"/>
      <c r="AV148" s="150" t="n">
        <f aca="false">IFERROR(ROUND($D148-M148-AW148,0),0)</f>
        <v>0</v>
      </c>
      <c r="AW148" s="151" t="n">
        <f aca="false">IFERROR(N148*$G148,0)</f>
        <v>0</v>
      </c>
      <c r="AX148" s="150" t="n">
        <f aca="false">IFERROR(ROUND($D148-O148-AY148,0),0)</f>
        <v>0</v>
      </c>
      <c r="AY148" s="151" t="n">
        <f aca="false">IFERROR(P148*$G148,0)</f>
        <v>0</v>
      </c>
      <c r="AZ148" s="150" t="n">
        <f aca="false">IFERROR(ROUND($D148-Q148-BA148,0),0)</f>
        <v>0</v>
      </c>
      <c r="BA148" s="151" t="n">
        <f aca="false">IFERROR(R148*$G148,0)</f>
        <v>0</v>
      </c>
      <c r="BB148" s="152" t="n">
        <f aca="false">IFERROR(ROUND($D148-S148-BC148,0),0)</f>
        <v>0</v>
      </c>
      <c r="BC148" s="151" t="n">
        <f aca="false">IFERROR(T148*$G148,0)</f>
        <v>0</v>
      </c>
      <c r="BD148" s="140"/>
      <c r="BE148" s="150" t="n">
        <f aca="false">IFERROR(ROUND($D148-V148-BF148,0),0)</f>
        <v>0</v>
      </c>
      <c r="BF148" s="151" t="n">
        <f aca="false">IFERROR(W148*$G148,0)</f>
        <v>0</v>
      </c>
      <c r="BG148" s="150" t="n">
        <f aca="false">IFERROR(ROUND($D148-X148-BH148,0),0)</f>
        <v>0</v>
      </c>
      <c r="BH148" s="151" t="n">
        <f aca="false">IFERROR(Y148*$G148,0)</f>
        <v>0</v>
      </c>
      <c r="BI148" s="152" t="n">
        <f aca="false">IFERROR(ROUND($D148-Z148-BJ148,0),0)</f>
        <v>0</v>
      </c>
      <c r="BJ148" s="151" t="n">
        <f aca="false">IFERROR(AA148*$G148,0)</f>
        <v>0</v>
      </c>
      <c r="BK148" s="152" t="n">
        <f aca="false">IFERROR(ROUND($D148-AB148-BL148,0),0)</f>
        <v>0</v>
      </c>
      <c r="BL148" s="151" t="n">
        <f aca="false">IFERROR(AC148*$G148,0)</f>
        <v>0</v>
      </c>
      <c r="BM148" s="1"/>
      <c r="BN148" s="154" t="n">
        <v>0</v>
      </c>
      <c r="BO148" s="155"/>
      <c r="BP148" s="150" t="n">
        <v>0</v>
      </c>
      <c r="BQ148" s="151" t="n">
        <v>0</v>
      </c>
      <c r="BR148" s="152"/>
      <c r="BS148" s="150" t="n">
        <v>0</v>
      </c>
      <c r="BT148" s="151" t="n">
        <v>0</v>
      </c>
      <c r="BU148" s="150" t="n">
        <v>0</v>
      </c>
      <c r="BV148" s="151" t="n">
        <v>0</v>
      </c>
      <c r="BW148" s="150" t="n">
        <v>0</v>
      </c>
      <c r="BX148" s="151" t="n">
        <v>0</v>
      </c>
      <c r="BY148" s="150" t="n">
        <v>0</v>
      </c>
      <c r="BZ148" s="151" t="n">
        <v>0</v>
      </c>
      <c r="CA148" s="152"/>
      <c r="CB148" s="150" t="n">
        <v>0</v>
      </c>
      <c r="CC148" s="151" t="n">
        <v>0</v>
      </c>
      <c r="CD148" s="150" t="n">
        <v>0</v>
      </c>
      <c r="CE148" s="151" t="n">
        <v>0</v>
      </c>
      <c r="CF148" s="150" t="n">
        <v>0</v>
      </c>
      <c r="CG148" s="151" t="n">
        <v>0</v>
      </c>
      <c r="CH148" s="150" t="n">
        <v>0</v>
      </c>
      <c r="CI148" s="151" t="n">
        <v>0</v>
      </c>
      <c r="CJ148" s="1"/>
      <c r="CK148" s="149"/>
      <c r="CL148" s="137"/>
      <c r="CM148" s="154" t="str">
        <f aca="false">IFERROR(+$H148-($J148+$K148*$G148),"-")</f>
        <v>-</v>
      </c>
      <c r="CN148" s="137"/>
      <c r="CO148" s="154" t="str">
        <f aca="false">IFERROR(+$H148-($M148+$N148*$G148),"-")</f>
        <v>-</v>
      </c>
      <c r="CP148" s="154" t="str">
        <f aca="false">IFERROR(+$H148-($O148+$P148*$G148),"-")</f>
        <v>-</v>
      </c>
      <c r="CQ148" s="154" t="str">
        <f aca="false">IFERROR(+$H148-($Q148+$R148*$G148),"-")</f>
        <v>-</v>
      </c>
      <c r="CR148" s="154" t="str">
        <f aca="false">IFERROR(+$H148-($Q148+$R148*$G148),"-")</f>
        <v>-</v>
      </c>
      <c r="CS148" s="137"/>
      <c r="CT148" s="154" t="str">
        <f aca="false">IFERROR(+$H148-($V148+$W148*$G148),"-")</f>
        <v>-</v>
      </c>
      <c r="CU148" s="154" t="str">
        <f aca="false">IFERROR(+$H148-($X148+$Y148*$G148),"-")</f>
        <v>-</v>
      </c>
      <c r="CV148" s="154" t="str">
        <f aca="false">IFERROR(+$H148-($Z148+$AA148*$G148),"-")</f>
        <v>-</v>
      </c>
      <c r="CW148" s="154" t="str">
        <f aca="false">IFERROR(+$H148-($AB148+$AC148*$G148),"-")</f>
        <v>-</v>
      </c>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row>
    <row r="149" s="1" customFormat="true" ht="12.75" hidden="false" customHeight="true" outlineLevel="0" collapsed="false">
      <c r="B149" s="134" t="s">
        <v>200</v>
      </c>
      <c r="C149" s="135" t="s">
        <v>232</v>
      </c>
      <c r="D149" s="136" t="e">
        <f aca="false">VLOOKUP($C149,#REF!,5,0)</f>
        <v>#VALUE!</v>
      </c>
      <c r="E149" s="157" t="e">
        <f aca="false">VLOOKUP($C149,#REF!,6,0)</f>
        <v>#VALUE!</v>
      </c>
      <c r="F149" s="135" t="e">
        <f aca="false">VLOOKUP($C149,#REF!,7,0)</f>
        <v>#VALUE!</v>
      </c>
      <c r="G149" s="135" t="e">
        <f aca="false">VLOOKUP($C149,#REF!,8,0)</f>
        <v>#VALUE!</v>
      </c>
      <c r="H149" s="158" t="e">
        <f aca="false">VLOOKUP($C149,#REF!,9,0)</f>
        <v>#VALUE!</v>
      </c>
      <c r="I149" s="137"/>
      <c r="J149" s="138" t="e">
        <f aca="false">VLOOKUP($C149,#REF!,10,0)</f>
        <v>#VALUE!</v>
      </c>
      <c r="K149" s="139" t="e">
        <f aca="false">VLOOKUP($C149,#REF!,11,0)</f>
        <v>#VALUE!</v>
      </c>
      <c r="L149" s="140"/>
      <c r="M149" s="138" t="e">
        <f aca="false">VLOOKUP($C149,#REF!,12,0)</f>
        <v>#VALUE!</v>
      </c>
      <c r="N149" s="140" t="e">
        <f aca="false">VLOOKUP($C149,#REF!,13,0)</f>
        <v>#VALUE!</v>
      </c>
      <c r="O149" s="138" t="e">
        <f aca="false">VLOOKUP($C149,#REF!,14,0)</f>
        <v>#VALUE!</v>
      </c>
      <c r="P149" s="140" t="e">
        <f aca="false">VLOOKUP($C149,#REF!,15,0)</f>
        <v>#VALUE!</v>
      </c>
      <c r="Q149" s="138" t="e">
        <f aca="false">VLOOKUP($C149,#REF!,16,0)</f>
        <v>#VALUE!</v>
      </c>
      <c r="R149" s="139" t="e">
        <f aca="false">VLOOKUP($C149,#REF!,17,0)</f>
        <v>#VALUE!</v>
      </c>
      <c r="S149" s="140" t="e">
        <f aca="false">VLOOKUP($C149,#REF!,18,0)</f>
        <v>#VALUE!</v>
      </c>
      <c r="T149" s="139" t="e">
        <f aca="false">VLOOKUP($C149,#REF!,19,0)</f>
        <v>#VALUE!</v>
      </c>
      <c r="U149" s="140"/>
      <c r="V149" s="138" t="e">
        <f aca="false">VLOOKUP($C149,#REF!,20,0)</f>
        <v>#VALUE!</v>
      </c>
      <c r="W149" s="140" t="e">
        <f aca="false">VLOOKUP($C149,#REF!,21,0)</f>
        <v>#VALUE!</v>
      </c>
      <c r="X149" s="138" t="e">
        <f aca="false">VLOOKUP($C149,#REF!,22,0)</f>
        <v>#VALUE!</v>
      </c>
      <c r="Y149" s="140" t="e">
        <f aca="false">VLOOKUP($C149,#REF!,23,0)</f>
        <v>#VALUE!</v>
      </c>
      <c r="Z149" s="138" t="e">
        <f aca="false">VLOOKUP($C149,#REF!,24,0)</f>
        <v>#VALUE!</v>
      </c>
      <c r="AA149" s="139" t="e">
        <f aca="false">VLOOKUP($C149,#REF!,25,0)</f>
        <v>#VALUE!</v>
      </c>
      <c r="AB149" s="140" t="e">
        <f aca="false">VLOOKUP($C149,#REF!,26,0)</f>
        <v>#VALUE!</v>
      </c>
      <c r="AC149" s="139" t="e">
        <f aca="false">VLOOKUP($C149,#REF!,27,0)</f>
        <v>#VALUE!</v>
      </c>
      <c r="AE149" s="138" t="e">
        <f aca="false">IF(M149="-","-","0,5 GB")</f>
        <v>#VALUE!</v>
      </c>
      <c r="AF149" s="141" t="s">
        <v>92</v>
      </c>
      <c r="AG149" s="141" t="s">
        <v>93</v>
      </c>
      <c r="AH149" s="139" t="s">
        <v>94</v>
      </c>
      <c r="AJ149" s="138" t="s">
        <v>95</v>
      </c>
      <c r="AK149" s="141" t="s">
        <v>96</v>
      </c>
      <c r="AL149" s="141" t="s">
        <v>97</v>
      </c>
      <c r="AM149" s="141" t="s">
        <v>98</v>
      </c>
      <c r="AN149" s="141" t="s">
        <v>98</v>
      </c>
      <c r="AO149" s="139" t="s">
        <v>92</v>
      </c>
      <c r="AQ149" s="142" t="n">
        <v>140</v>
      </c>
      <c r="AR149" s="137"/>
      <c r="AS149" s="138" t="n">
        <v>0</v>
      </c>
      <c r="AT149" s="139" t="n">
        <v>0</v>
      </c>
      <c r="AU149" s="140"/>
      <c r="AV149" s="138" t="n">
        <f aca="false">IFERROR(ROUND($D149-M149-AW149,0),0)</f>
        <v>0</v>
      </c>
      <c r="AW149" s="139" t="n">
        <f aca="false">IFERROR(N149*$G149,0)</f>
        <v>0</v>
      </c>
      <c r="AX149" s="138" t="n">
        <f aca="false">IFERROR(ROUND($D149-O149-AY149,0),0)</f>
        <v>0</v>
      </c>
      <c r="AY149" s="139" t="n">
        <f aca="false">IFERROR(P149*$G149,0)</f>
        <v>0</v>
      </c>
      <c r="AZ149" s="138" t="n">
        <f aca="false">IFERROR(ROUND($D149-Q149-BA149,0),0)</f>
        <v>0</v>
      </c>
      <c r="BA149" s="139" t="n">
        <f aca="false">IFERROR(R149*$G149,0)</f>
        <v>0</v>
      </c>
      <c r="BB149" s="140" t="n">
        <f aca="false">IFERROR(ROUND($D149-S149-BC149,0),0)</f>
        <v>0</v>
      </c>
      <c r="BC149" s="139" t="n">
        <f aca="false">IFERROR(T149*$G149,0)</f>
        <v>0</v>
      </c>
      <c r="BD149" s="140"/>
      <c r="BE149" s="138" t="n">
        <f aca="false">IFERROR(ROUND($D149-V149-BF149,0),0)</f>
        <v>0</v>
      </c>
      <c r="BF149" s="139" t="n">
        <f aca="false">IFERROR(W149*$G149,0)</f>
        <v>0</v>
      </c>
      <c r="BG149" s="138" t="n">
        <f aca="false">IFERROR(ROUND($D149-X149-BH149,0),0)</f>
        <v>0</v>
      </c>
      <c r="BH149" s="139" t="n">
        <f aca="false">IFERROR(Y149*$G149,0)</f>
        <v>0</v>
      </c>
      <c r="BI149" s="140" t="n">
        <f aca="false">IFERROR(ROUND($D149-Z149-BJ149,0),0)</f>
        <v>0</v>
      </c>
      <c r="BJ149" s="139" t="n">
        <f aca="false">IFERROR(AA149*$G149,0)</f>
        <v>0</v>
      </c>
      <c r="BK149" s="140" t="n">
        <f aca="false">IFERROR(ROUND($D149-AB149-BL149,0),0)</f>
        <v>0</v>
      </c>
      <c r="BL149" s="139" t="n">
        <f aca="false">IFERROR(AC149*$G149,0)</f>
        <v>0</v>
      </c>
      <c r="BN149" s="142" t="n">
        <v>0</v>
      </c>
      <c r="BO149" s="137"/>
      <c r="BP149" s="138" t="n">
        <v>0</v>
      </c>
      <c r="BQ149" s="139" t="n">
        <v>0</v>
      </c>
      <c r="BR149" s="140"/>
      <c r="BS149" s="138" t="n">
        <v>0</v>
      </c>
      <c r="BT149" s="139" t="n">
        <v>0</v>
      </c>
      <c r="BU149" s="138" t="n">
        <v>0</v>
      </c>
      <c r="BV149" s="139" t="n">
        <v>0</v>
      </c>
      <c r="BW149" s="138" t="n">
        <v>0</v>
      </c>
      <c r="BX149" s="139" t="n">
        <v>0</v>
      </c>
      <c r="BY149" s="138" t="n">
        <v>0</v>
      </c>
      <c r="BZ149" s="139" t="n">
        <v>0</v>
      </c>
      <c r="CA149" s="140"/>
      <c r="CB149" s="138" t="n">
        <v>0</v>
      </c>
      <c r="CC149" s="139" t="n">
        <v>0</v>
      </c>
      <c r="CD149" s="138" t="n">
        <v>0</v>
      </c>
      <c r="CE149" s="139" t="n">
        <v>0</v>
      </c>
      <c r="CF149" s="138" t="n">
        <v>0</v>
      </c>
      <c r="CG149" s="139" t="n">
        <v>0</v>
      </c>
      <c r="CH149" s="138" t="n">
        <v>0</v>
      </c>
      <c r="CI149" s="139" t="n">
        <v>0</v>
      </c>
      <c r="CK149" s="143"/>
      <c r="CL149" s="137"/>
      <c r="CM149" s="144" t="str">
        <f aca="false">IFERROR(+$H149-($J149+$K149*$G149),"-")</f>
        <v>-</v>
      </c>
      <c r="CN149" s="137"/>
      <c r="CO149" s="144" t="str">
        <f aca="false">IFERROR(+$H149-($M149+$N149*$G149),"-")</f>
        <v>-</v>
      </c>
      <c r="CP149" s="144" t="str">
        <f aca="false">IFERROR(+$H149-($O149+$P149*$G149),"-")</f>
        <v>-</v>
      </c>
      <c r="CQ149" s="144" t="str">
        <f aca="false">IFERROR(+$H149-($Q149+$R149*$G149),"-")</f>
        <v>-</v>
      </c>
      <c r="CR149" s="144" t="str">
        <f aca="false">IFERROR(+$H149-($Q149+$R149*$G149),"-")</f>
        <v>-</v>
      </c>
      <c r="CS149" s="137"/>
      <c r="CT149" s="144" t="str">
        <f aca="false">IFERROR(+$H149-($V149+$W149*$G149),"-")</f>
        <v>-</v>
      </c>
      <c r="CU149" s="144" t="str">
        <f aca="false">IFERROR(+$H149-($X149+$Y149*$G149),"-")</f>
        <v>-</v>
      </c>
      <c r="CV149" s="144" t="str">
        <f aca="false">IFERROR(+$H149-($Z149+$AA149*$G149),"-")</f>
        <v>-</v>
      </c>
      <c r="CW149" s="144" t="str">
        <f aca="false">IFERROR(+$H149-($AB149+$AC149*$G149),"-")</f>
        <v>-</v>
      </c>
    </row>
    <row r="150" s="156" customFormat="true" ht="12.75" hidden="false" customHeight="true" outlineLevel="0" collapsed="false">
      <c r="A150" s="1"/>
      <c r="B150" s="145" t="s">
        <v>200</v>
      </c>
      <c r="C150" s="146" t="s">
        <v>233</v>
      </c>
      <c r="D150" s="147" t="e">
        <f aca="false">VLOOKUP($C150,#REF!,5,0)</f>
        <v>#VALUE!</v>
      </c>
      <c r="E150" s="148" t="e">
        <f aca="false">VLOOKUP($C150,#REF!,6,0)</f>
        <v>#VALUE!</v>
      </c>
      <c r="F150" s="146" t="e">
        <f aca="false">VLOOKUP($C150,#REF!,7,0)</f>
        <v>#VALUE!</v>
      </c>
      <c r="G150" s="146" t="e">
        <f aca="false">VLOOKUP($C150,#REF!,8,0)</f>
        <v>#VALUE!</v>
      </c>
      <c r="H150" s="149" t="e">
        <f aca="false">VLOOKUP($C150,#REF!,9,0)</f>
        <v>#VALUE!</v>
      </c>
      <c r="I150" s="137"/>
      <c r="J150" s="150" t="e">
        <f aca="false">VLOOKUP($C150,#REF!,10,0)</f>
        <v>#VALUE!</v>
      </c>
      <c r="K150" s="151" t="e">
        <f aca="false">VLOOKUP($C150,#REF!,11,0)</f>
        <v>#VALUE!</v>
      </c>
      <c r="L150" s="140"/>
      <c r="M150" s="150" t="e">
        <f aca="false">VLOOKUP($C150,#REF!,12,0)</f>
        <v>#VALUE!</v>
      </c>
      <c r="N150" s="152" t="e">
        <f aca="false">VLOOKUP($C150,#REF!,13,0)</f>
        <v>#VALUE!</v>
      </c>
      <c r="O150" s="150" t="e">
        <f aca="false">VLOOKUP($C150,#REF!,14,0)</f>
        <v>#VALUE!</v>
      </c>
      <c r="P150" s="152" t="e">
        <f aca="false">VLOOKUP($C150,#REF!,15,0)</f>
        <v>#VALUE!</v>
      </c>
      <c r="Q150" s="150" t="e">
        <f aca="false">VLOOKUP($C150,#REF!,16,0)</f>
        <v>#VALUE!</v>
      </c>
      <c r="R150" s="151" t="e">
        <f aca="false">VLOOKUP($C150,#REF!,17,0)</f>
        <v>#VALUE!</v>
      </c>
      <c r="S150" s="152" t="e">
        <f aca="false">VLOOKUP($C150,#REF!,18,0)</f>
        <v>#VALUE!</v>
      </c>
      <c r="T150" s="151" t="e">
        <f aca="false">VLOOKUP($C150,#REF!,19,0)</f>
        <v>#VALUE!</v>
      </c>
      <c r="U150" s="140"/>
      <c r="V150" s="150" t="e">
        <f aca="false">VLOOKUP($C150,#REF!,20,0)</f>
        <v>#VALUE!</v>
      </c>
      <c r="W150" s="152" t="e">
        <f aca="false">VLOOKUP($C150,#REF!,21,0)</f>
        <v>#VALUE!</v>
      </c>
      <c r="X150" s="150" t="e">
        <f aca="false">VLOOKUP($C150,#REF!,22,0)</f>
        <v>#VALUE!</v>
      </c>
      <c r="Y150" s="152" t="e">
        <f aca="false">VLOOKUP($C150,#REF!,23,0)</f>
        <v>#VALUE!</v>
      </c>
      <c r="Z150" s="150" t="e">
        <f aca="false">VLOOKUP($C150,#REF!,24,0)</f>
        <v>#VALUE!</v>
      </c>
      <c r="AA150" s="151" t="e">
        <f aca="false">VLOOKUP($C150,#REF!,25,0)</f>
        <v>#VALUE!</v>
      </c>
      <c r="AB150" s="152" t="e">
        <f aca="false">VLOOKUP($C150,#REF!,26,0)</f>
        <v>#VALUE!</v>
      </c>
      <c r="AC150" s="151" t="e">
        <f aca="false">VLOOKUP($C150,#REF!,27,0)</f>
        <v>#VALUE!</v>
      </c>
      <c r="AD150" s="1"/>
      <c r="AE150" s="150" t="e">
        <f aca="false">IF(M150="-","-","0,5 GB")</f>
        <v>#VALUE!</v>
      </c>
      <c r="AF150" s="153" t="s">
        <v>92</v>
      </c>
      <c r="AG150" s="153" t="s">
        <v>93</v>
      </c>
      <c r="AH150" s="151" t="s">
        <v>94</v>
      </c>
      <c r="AI150" s="1"/>
      <c r="AJ150" s="150" t="s">
        <v>95</v>
      </c>
      <c r="AK150" s="153" t="s">
        <v>96</v>
      </c>
      <c r="AL150" s="153" t="s">
        <v>97</v>
      </c>
      <c r="AM150" s="153" t="s">
        <v>98</v>
      </c>
      <c r="AN150" s="153" t="s">
        <v>98</v>
      </c>
      <c r="AO150" s="151" t="s">
        <v>92</v>
      </c>
      <c r="AP150" s="1"/>
      <c r="AQ150" s="154" t="n">
        <v>108</v>
      </c>
      <c r="AR150" s="137"/>
      <c r="AS150" s="150" t="n">
        <v>0</v>
      </c>
      <c r="AT150" s="151" t="n">
        <v>0</v>
      </c>
      <c r="AU150" s="140"/>
      <c r="AV150" s="150" t="n">
        <f aca="false">IFERROR(ROUND($D150-M150-AW150,0),0)</f>
        <v>0</v>
      </c>
      <c r="AW150" s="151" t="n">
        <f aca="false">IFERROR(N150*$G150,0)</f>
        <v>0</v>
      </c>
      <c r="AX150" s="150" t="n">
        <f aca="false">IFERROR(ROUND($D150-O150-AY150,0),0)</f>
        <v>0</v>
      </c>
      <c r="AY150" s="151" t="n">
        <f aca="false">IFERROR(P150*$G150,0)</f>
        <v>0</v>
      </c>
      <c r="AZ150" s="150" t="n">
        <f aca="false">IFERROR(ROUND($D150-Q150-BA150,0),0)</f>
        <v>0</v>
      </c>
      <c r="BA150" s="151" t="n">
        <f aca="false">IFERROR(R150*$G150,0)</f>
        <v>0</v>
      </c>
      <c r="BB150" s="152" t="n">
        <f aca="false">IFERROR(ROUND($D150-S150-BC150,0),0)</f>
        <v>0</v>
      </c>
      <c r="BC150" s="151" t="n">
        <f aca="false">IFERROR(T150*$G150,0)</f>
        <v>0</v>
      </c>
      <c r="BD150" s="140"/>
      <c r="BE150" s="150" t="n">
        <f aca="false">IFERROR(ROUND($D150-V150-BF150,0),0)</f>
        <v>0</v>
      </c>
      <c r="BF150" s="151" t="n">
        <f aca="false">IFERROR(W150*$G150,0)</f>
        <v>0</v>
      </c>
      <c r="BG150" s="150" t="n">
        <f aca="false">IFERROR(ROUND($D150-X150-BH150,0),0)</f>
        <v>0</v>
      </c>
      <c r="BH150" s="151" t="n">
        <f aca="false">IFERROR(Y150*$G150,0)</f>
        <v>0</v>
      </c>
      <c r="BI150" s="152" t="n">
        <f aca="false">IFERROR(ROUND($D150-Z150-BJ150,0),0)</f>
        <v>0</v>
      </c>
      <c r="BJ150" s="151" t="n">
        <f aca="false">IFERROR(AA150*$G150,0)</f>
        <v>0</v>
      </c>
      <c r="BK150" s="152" t="n">
        <f aca="false">IFERROR(ROUND($D150-AB150-BL150,0),0)</f>
        <v>0</v>
      </c>
      <c r="BL150" s="151" t="n">
        <f aca="false">IFERROR(AC150*$G150,0)</f>
        <v>0</v>
      </c>
      <c r="BM150" s="1"/>
      <c r="BN150" s="154" t="n">
        <v>-66.12</v>
      </c>
      <c r="BO150" s="155"/>
      <c r="BP150" s="150" t="n">
        <v>-66.12</v>
      </c>
      <c r="BQ150" s="151" t="n">
        <v>0</v>
      </c>
      <c r="BR150" s="152"/>
      <c r="BS150" s="150" t="n">
        <v>0</v>
      </c>
      <c r="BT150" s="151" t="n">
        <v>0</v>
      </c>
      <c r="BU150" s="150" t="n">
        <v>-10</v>
      </c>
      <c r="BV150" s="151" t="n">
        <v>-3</v>
      </c>
      <c r="BW150" s="150" t="n">
        <v>0</v>
      </c>
      <c r="BX150" s="151" t="n">
        <v>0</v>
      </c>
      <c r="BY150" s="150" t="n">
        <v>0</v>
      </c>
      <c r="BZ150" s="151" t="n">
        <v>0</v>
      </c>
      <c r="CA150" s="152"/>
      <c r="CB150" s="150" t="n">
        <v>0</v>
      </c>
      <c r="CC150" s="151" t="n">
        <v>0</v>
      </c>
      <c r="CD150" s="150" t="n">
        <v>-10</v>
      </c>
      <c r="CE150" s="151" t="n">
        <v>-3</v>
      </c>
      <c r="CF150" s="150" t="n">
        <v>0</v>
      </c>
      <c r="CG150" s="151" t="n">
        <v>0</v>
      </c>
      <c r="CH150" s="150" t="n">
        <v>0</v>
      </c>
      <c r="CI150" s="151" t="n">
        <v>0</v>
      </c>
      <c r="CJ150" s="1"/>
      <c r="CK150" s="149"/>
      <c r="CL150" s="137"/>
      <c r="CM150" s="154" t="str">
        <f aca="false">IFERROR(+$H150-($J150+$K150*$G150),"-")</f>
        <v>-</v>
      </c>
      <c r="CN150" s="137"/>
      <c r="CO150" s="154" t="str">
        <f aca="false">IFERROR(+$H150-($M150+$N150*$G150),"-")</f>
        <v>-</v>
      </c>
      <c r="CP150" s="154" t="str">
        <f aca="false">IFERROR(+$H150-($O150+$P150*$G150),"-")</f>
        <v>-</v>
      </c>
      <c r="CQ150" s="154" t="str">
        <f aca="false">IFERROR(+$H150-($Q150+$R150*$G150),"-")</f>
        <v>-</v>
      </c>
      <c r="CR150" s="154" t="str">
        <f aca="false">IFERROR(+$H150-($Q150+$R150*$G150),"-")</f>
        <v>-</v>
      </c>
      <c r="CS150" s="137"/>
      <c r="CT150" s="154" t="str">
        <f aca="false">IFERROR(+$H150-($V150+$W150*$G150),"-")</f>
        <v>-</v>
      </c>
      <c r="CU150" s="154" t="str">
        <f aca="false">IFERROR(+$H150-($X150+$Y150*$G150),"-")</f>
        <v>-</v>
      </c>
      <c r="CV150" s="154" t="str">
        <f aca="false">IFERROR(+$H150-($Z150+$AA150*$G150),"-")</f>
        <v>-</v>
      </c>
      <c r="CW150" s="154" t="str">
        <f aca="false">IFERROR(+$H150-($AB150+$AC150*$G150),"-")</f>
        <v>-</v>
      </c>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row>
    <row r="151" s="1" customFormat="true" ht="12.75" hidden="false" customHeight="true" outlineLevel="0" collapsed="false">
      <c r="B151" s="134" t="s">
        <v>200</v>
      </c>
      <c r="C151" s="135" t="s">
        <v>234</v>
      </c>
      <c r="D151" s="136" t="e">
        <f aca="false">VLOOKUP($C151,#REF!,5,0)</f>
        <v>#VALUE!</v>
      </c>
      <c r="E151" s="157" t="e">
        <f aca="false">VLOOKUP($C151,#REF!,6,0)</f>
        <v>#VALUE!</v>
      </c>
      <c r="F151" s="135" t="e">
        <f aca="false">VLOOKUP($C151,#REF!,7,0)</f>
        <v>#VALUE!</v>
      </c>
      <c r="G151" s="135" t="e">
        <f aca="false">VLOOKUP($C151,#REF!,8,0)</f>
        <v>#VALUE!</v>
      </c>
      <c r="H151" s="158" t="e">
        <f aca="false">VLOOKUP($C151,#REF!,9,0)</f>
        <v>#VALUE!</v>
      </c>
      <c r="I151" s="137"/>
      <c r="J151" s="138" t="e">
        <f aca="false">VLOOKUP($C151,#REF!,10,0)</f>
        <v>#VALUE!</v>
      </c>
      <c r="K151" s="139" t="e">
        <f aca="false">VLOOKUP($C151,#REF!,11,0)</f>
        <v>#VALUE!</v>
      </c>
      <c r="L151" s="140"/>
      <c r="M151" s="138" t="e">
        <f aca="false">VLOOKUP($C151,#REF!,12,0)</f>
        <v>#VALUE!</v>
      </c>
      <c r="N151" s="140" t="e">
        <f aca="false">VLOOKUP($C151,#REF!,13,0)</f>
        <v>#VALUE!</v>
      </c>
      <c r="O151" s="138" t="e">
        <f aca="false">VLOOKUP($C151,#REF!,14,0)</f>
        <v>#VALUE!</v>
      </c>
      <c r="P151" s="140" t="e">
        <f aca="false">VLOOKUP($C151,#REF!,15,0)</f>
        <v>#VALUE!</v>
      </c>
      <c r="Q151" s="138" t="e">
        <f aca="false">VLOOKUP($C151,#REF!,16,0)</f>
        <v>#VALUE!</v>
      </c>
      <c r="R151" s="139" t="e">
        <f aca="false">VLOOKUP($C151,#REF!,17,0)</f>
        <v>#VALUE!</v>
      </c>
      <c r="S151" s="140" t="e">
        <f aca="false">VLOOKUP($C151,#REF!,18,0)</f>
        <v>#VALUE!</v>
      </c>
      <c r="T151" s="139" t="e">
        <f aca="false">VLOOKUP($C151,#REF!,19,0)</f>
        <v>#VALUE!</v>
      </c>
      <c r="U151" s="140"/>
      <c r="V151" s="138" t="e">
        <f aca="false">VLOOKUP($C151,#REF!,20,0)</f>
        <v>#VALUE!</v>
      </c>
      <c r="W151" s="140" t="e">
        <f aca="false">VLOOKUP($C151,#REF!,21,0)</f>
        <v>#VALUE!</v>
      </c>
      <c r="X151" s="138" t="e">
        <f aca="false">VLOOKUP($C151,#REF!,22,0)</f>
        <v>#VALUE!</v>
      </c>
      <c r="Y151" s="140" t="e">
        <f aca="false">VLOOKUP($C151,#REF!,23,0)</f>
        <v>#VALUE!</v>
      </c>
      <c r="Z151" s="138" t="e">
        <f aca="false">VLOOKUP($C151,#REF!,24,0)</f>
        <v>#VALUE!</v>
      </c>
      <c r="AA151" s="139" t="e">
        <f aca="false">VLOOKUP($C151,#REF!,25,0)</f>
        <v>#VALUE!</v>
      </c>
      <c r="AB151" s="140" t="e">
        <f aca="false">VLOOKUP($C151,#REF!,26,0)</f>
        <v>#VALUE!</v>
      </c>
      <c r="AC151" s="139" t="e">
        <f aca="false">VLOOKUP($C151,#REF!,27,0)</f>
        <v>#VALUE!</v>
      </c>
      <c r="AE151" s="138" t="e">
        <f aca="false">IF(M151="-","-","0,5 GB")</f>
        <v>#VALUE!</v>
      </c>
      <c r="AF151" s="141" t="s">
        <v>92</v>
      </c>
      <c r="AG151" s="141" t="s">
        <v>93</v>
      </c>
      <c r="AH151" s="139" t="s">
        <v>94</v>
      </c>
      <c r="AJ151" s="138" t="s">
        <v>95</v>
      </c>
      <c r="AK151" s="141" t="s">
        <v>96</v>
      </c>
      <c r="AL151" s="141" t="s">
        <v>97</v>
      </c>
      <c r="AM151" s="141" t="s">
        <v>98</v>
      </c>
      <c r="AN151" s="141" t="s">
        <v>98</v>
      </c>
      <c r="AO151" s="139" t="s">
        <v>92</v>
      </c>
      <c r="AQ151" s="142" t="n">
        <v>25</v>
      </c>
      <c r="AR151" s="137"/>
      <c r="AS151" s="138" t="n">
        <v>0</v>
      </c>
      <c r="AT151" s="139" t="n">
        <v>0</v>
      </c>
      <c r="AU151" s="140"/>
      <c r="AV151" s="138" t="n">
        <f aca="false">IFERROR(ROUND($D151-M151-AW151,0),0)</f>
        <v>0</v>
      </c>
      <c r="AW151" s="139" t="n">
        <f aca="false">IFERROR(N151*$G151,0)</f>
        <v>0</v>
      </c>
      <c r="AX151" s="138" t="n">
        <f aca="false">IFERROR(ROUND($D151-O151-AY151,0),0)</f>
        <v>0</v>
      </c>
      <c r="AY151" s="139" t="n">
        <f aca="false">IFERROR(P151*$G151,0)</f>
        <v>0</v>
      </c>
      <c r="AZ151" s="138" t="n">
        <f aca="false">IFERROR(ROUND($D151-Q151-BA151,0),0)</f>
        <v>0</v>
      </c>
      <c r="BA151" s="139" t="n">
        <f aca="false">IFERROR(R151*$G151,0)</f>
        <v>0</v>
      </c>
      <c r="BB151" s="140" t="n">
        <f aca="false">IFERROR(ROUND($D151-S151-BC151,0),0)</f>
        <v>0</v>
      </c>
      <c r="BC151" s="139" t="n">
        <f aca="false">IFERROR(T151*$G151,0)</f>
        <v>0</v>
      </c>
      <c r="BD151" s="140"/>
      <c r="BE151" s="138" t="n">
        <f aca="false">IFERROR(ROUND($D151-V151-BF151,0),0)</f>
        <v>0</v>
      </c>
      <c r="BF151" s="139" t="n">
        <f aca="false">IFERROR(W151*$G151,0)</f>
        <v>0</v>
      </c>
      <c r="BG151" s="138" t="n">
        <f aca="false">IFERROR(ROUND($D151-X151-BH151,0),0)</f>
        <v>0</v>
      </c>
      <c r="BH151" s="139" t="n">
        <f aca="false">IFERROR(Y151*$G151,0)</f>
        <v>0</v>
      </c>
      <c r="BI151" s="140" t="n">
        <f aca="false">IFERROR(ROUND($D151-Z151-BJ151,0),0)</f>
        <v>0</v>
      </c>
      <c r="BJ151" s="139" t="n">
        <f aca="false">IFERROR(AA151*$G151,0)</f>
        <v>0</v>
      </c>
      <c r="BK151" s="140" t="n">
        <f aca="false">IFERROR(ROUND($D151-AB151-BL151,0),0)</f>
        <v>0</v>
      </c>
      <c r="BL151" s="139" t="n">
        <f aca="false">IFERROR(AC151*$G151,0)</f>
        <v>0</v>
      </c>
      <c r="BN151" s="142" t="n">
        <v>0</v>
      </c>
      <c r="BO151" s="137"/>
      <c r="BP151" s="138" t="n">
        <v>0</v>
      </c>
      <c r="BQ151" s="139" t="n">
        <v>0</v>
      </c>
      <c r="BR151" s="140"/>
      <c r="BS151" s="138" t="n">
        <v>0</v>
      </c>
      <c r="BT151" s="139" t="n">
        <v>0</v>
      </c>
      <c r="BU151" s="138" t="n">
        <v>0</v>
      </c>
      <c r="BV151" s="139" t="n">
        <v>0</v>
      </c>
      <c r="BW151" s="138" t="n">
        <v>0</v>
      </c>
      <c r="BX151" s="139" t="n">
        <v>0</v>
      </c>
      <c r="BY151" s="138" t="n">
        <v>0</v>
      </c>
      <c r="BZ151" s="139" t="n">
        <v>0</v>
      </c>
      <c r="CA151" s="140"/>
      <c r="CB151" s="138" t="n">
        <v>0</v>
      </c>
      <c r="CC151" s="139" t="n">
        <v>0</v>
      </c>
      <c r="CD151" s="138" t="n">
        <v>0</v>
      </c>
      <c r="CE151" s="139" t="n">
        <v>0</v>
      </c>
      <c r="CF151" s="138" t="n">
        <v>0</v>
      </c>
      <c r="CG151" s="139" t="n">
        <v>0</v>
      </c>
      <c r="CH151" s="138" t="n">
        <v>0</v>
      </c>
      <c r="CI151" s="139" t="n">
        <v>0</v>
      </c>
      <c r="CK151" s="143"/>
      <c r="CL151" s="137"/>
      <c r="CM151" s="144" t="str">
        <f aca="false">IFERROR(+$H151-($J151+$K151*$G151),"-")</f>
        <v>-</v>
      </c>
      <c r="CN151" s="137"/>
      <c r="CO151" s="144" t="str">
        <f aca="false">IFERROR(+$H151-($M151+$N151*$G151),"-")</f>
        <v>-</v>
      </c>
      <c r="CP151" s="144" t="str">
        <f aca="false">IFERROR(+$H151-($O151+$P151*$G151),"-")</f>
        <v>-</v>
      </c>
      <c r="CQ151" s="144" t="str">
        <f aca="false">IFERROR(+$H151-($Q151+$R151*$G151),"-")</f>
        <v>-</v>
      </c>
      <c r="CR151" s="144" t="str">
        <f aca="false">IFERROR(+$H151-($Q151+$R151*$G151),"-")</f>
        <v>-</v>
      </c>
      <c r="CS151" s="137"/>
      <c r="CT151" s="144" t="str">
        <f aca="false">IFERROR(+$H151-($V151+$W151*$G151),"-")</f>
        <v>-</v>
      </c>
      <c r="CU151" s="144" t="str">
        <f aca="false">IFERROR(+$H151-($X151+$Y151*$G151),"-")</f>
        <v>-</v>
      </c>
      <c r="CV151" s="144" t="str">
        <f aca="false">IFERROR(+$H151-($Z151+$AA151*$G151),"-")</f>
        <v>-</v>
      </c>
      <c r="CW151" s="144" t="str">
        <f aca="false">IFERROR(+$H151-($AB151+$AC151*$G151),"-")</f>
        <v>-</v>
      </c>
    </row>
    <row r="152" s="156" customFormat="true" ht="12.75" hidden="false" customHeight="true" outlineLevel="0" collapsed="false">
      <c r="A152" s="1"/>
      <c r="B152" s="145" t="s">
        <v>200</v>
      </c>
      <c r="C152" s="146" t="s">
        <v>235</v>
      </c>
      <c r="D152" s="147" t="e">
        <f aca="false">VLOOKUP($C152,#REF!,5,0)</f>
        <v>#VALUE!</v>
      </c>
      <c r="E152" s="148" t="e">
        <f aca="false">VLOOKUP($C152,#REF!,6,0)</f>
        <v>#VALUE!</v>
      </c>
      <c r="F152" s="146" t="e">
        <f aca="false">VLOOKUP($C152,#REF!,7,0)</f>
        <v>#VALUE!</v>
      </c>
      <c r="G152" s="146" t="e">
        <f aca="false">VLOOKUP($C152,#REF!,8,0)</f>
        <v>#VALUE!</v>
      </c>
      <c r="H152" s="149" t="e">
        <f aca="false">VLOOKUP($C152,#REF!,9,0)</f>
        <v>#VALUE!</v>
      </c>
      <c r="I152" s="137"/>
      <c r="J152" s="150" t="e">
        <f aca="false">VLOOKUP($C152,#REF!,10,0)</f>
        <v>#VALUE!</v>
      </c>
      <c r="K152" s="151" t="e">
        <f aca="false">VLOOKUP($C152,#REF!,11,0)</f>
        <v>#VALUE!</v>
      </c>
      <c r="L152" s="140"/>
      <c r="M152" s="150" t="e">
        <f aca="false">VLOOKUP($C152,#REF!,12,0)</f>
        <v>#VALUE!</v>
      </c>
      <c r="N152" s="152" t="e">
        <f aca="false">VLOOKUP($C152,#REF!,13,0)</f>
        <v>#VALUE!</v>
      </c>
      <c r="O152" s="150" t="e">
        <f aca="false">VLOOKUP($C152,#REF!,14,0)</f>
        <v>#VALUE!</v>
      </c>
      <c r="P152" s="152" t="e">
        <f aca="false">VLOOKUP($C152,#REF!,15,0)</f>
        <v>#VALUE!</v>
      </c>
      <c r="Q152" s="150" t="e">
        <f aca="false">VLOOKUP($C152,#REF!,16,0)</f>
        <v>#VALUE!</v>
      </c>
      <c r="R152" s="151" t="e">
        <f aca="false">VLOOKUP($C152,#REF!,17,0)</f>
        <v>#VALUE!</v>
      </c>
      <c r="S152" s="152" t="e">
        <f aca="false">VLOOKUP($C152,#REF!,18,0)</f>
        <v>#VALUE!</v>
      </c>
      <c r="T152" s="151" t="e">
        <f aca="false">VLOOKUP($C152,#REF!,19,0)</f>
        <v>#VALUE!</v>
      </c>
      <c r="U152" s="140"/>
      <c r="V152" s="150" t="e">
        <f aca="false">VLOOKUP($C152,#REF!,20,0)</f>
        <v>#VALUE!</v>
      </c>
      <c r="W152" s="152" t="e">
        <f aca="false">VLOOKUP($C152,#REF!,21,0)</f>
        <v>#VALUE!</v>
      </c>
      <c r="X152" s="150" t="e">
        <f aca="false">VLOOKUP($C152,#REF!,22,0)</f>
        <v>#VALUE!</v>
      </c>
      <c r="Y152" s="152" t="e">
        <f aca="false">VLOOKUP($C152,#REF!,23,0)</f>
        <v>#VALUE!</v>
      </c>
      <c r="Z152" s="150" t="e">
        <f aca="false">VLOOKUP($C152,#REF!,24,0)</f>
        <v>#VALUE!</v>
      </c>
      <c r="AA152" s="151" t="e">
        <f aca="false">VLOOKUP($C152,#REF!,25,0)</f>
        <v>#VALUE!</v>
      </c>
      <c r="AB152" s="152" t="e">
        <f aca="false">VLOOKUP($C152,#REF!,26,0)</f>
        <v>#VALUE!</v>
      </c>
      <c r="AC152" s="151" t="e">
        <f aca="false">VLOOKUP($C152,#REF!,27,0)</f>
        <v>#VALUE!</v>
      </c>
      <c r="AD152" s="1"/>
      <c r="AE152" s="150" t="e">
        <f aca="false">IF(M152="-","-","0,5 GB")</f>
        <v>#VALUE!</v>
      </c>
      <c r="AF152" s="153" t="s">
        <v>92</v>
      </c>
      <c r="AG152" s="153" t="s">
        <v>93</v>
      </c>
      <c r="AH152" s="151" t="s">
        <v>94</v>
      </c>
      <c r="AI152" s="1"/>
      <c r="AJ152" s="150" t="s">
        <v>95</v>
      </c>
      <c r="AK152" s="153" t="s">
        <v>96</v>
      </c>
      <c r="AL152" s="153" t="s">
        <v>97</v>
      </c>
      <c r="AM152" s="153" t="s">
        <v>98</v>
      </c>
      <c r="AN152" s="153" t="s">
        <v>98</v>
      </c>
      <c r="AO152" s="151" t="s">
        <v>92</v>
      </c>
      <c r="AP152" s="1"/>
      <c r="AQ152" s="154" t="n">
        <v>67</v>
      </c>
      <c r="AR152" s="137"/>
      <c r="AS152" s="150" t="n">
        <v>0</v>
      </c>
      <c r="AT152" s="151" t="n">
        <v>0</v>
      </c>
      <c r="AU152" s="140"/>
      <c r="AV152" s="150" t="n">
        <f aca="false">IFERROR(ROUND($D152-M152-AW152,0),0)</f>
        <v>0</v>
      </c>
      <c r="AW152" s="151" t="n">
        <f aca="false">IFERROR(N152*$G152,0)</f>
        <v>0</v>
      </c>
      <c r="AX152" s="150" t="n">
        <f aca="false">IFERROR(ROUND($D152-O152-AY152,0),0)</f>
        <v>0</v>
      </c>
      <c r="AY152" s="151" t="n">
        <f aca="false">IFERROR(P152*$G152,0)</f>
        <v>0</v>
      </c>
      <c r="AZ152" s="150" t="n">
        <f aca="false">IFERROR(ROUND($D152-Q152-BA152,0),0)</f>
        <v>0</v>
      </c>
      <c r="BA152" s="151" t="n">
        <f aca="false">IFERROR(R152*$G152,0)</f>
        <v>0</v>
      </c>
      <c r="BB152" s="152" t="n">
        <f aca="false">IFERROR(ROUND($D152-S152-BC152,0),0)</f>
        <v>0</v>
      </c>
      <c r="BC152" s="151" t="n">
        <f aca="false">IFERROR(T152*$G152,0)</f>
        <v>0</v>
      </c>
      <c r="BD152" s="140"/>
      <c r="BE152" s="150" t="n">
        <f aca="false">IFERROR(ROUND($D152-V152-BF152,0),0)</f>
        <v>0</v>
      </c>
      <c r="BF152" s="151" t="n">
        <f aca="false">IFERROR(W152*$G152,0)</f>
        <v>0</v>
      </c>
      <c r="BG152" s="150" t="n">
        <f aca="false">IFERROR(ROUND($D152-X152-BH152,0),0)</f>
        <v>0</v>
      </c>
      <c r="BH152" s="151" t="n">
        <f aca="false">IFERROR(Y152*$G152,0)</f>
        <v>0</v>
      </c>
      <c r="BI152" s="152" t="n">
        <f aca="false">IFERROR(ROUND($D152-Z152-BJ152,0),0)</f>
        <v>0</v>
      </c>
      <c r="BJ152" s="151" t="n">
        <f aca="false">IFERROR(AA152*$G152,0)</f>
        <v>0</v>
      </c>
      <c r="BK152" s="152" t="n">
        <f aca="false">IFERROR(ROUND($D152-AB152-BL152,0),0)</f>
        <v>0</v>
      </c>
      <c r="BL152" s="151" t="n">
        <f aca="false">IFERROR(AC152*$G152,0)</f>
        <v>0</v>
      </c>
      <c r="BM152" s="1"/>
      <c r="BN152" s="154" t="n">
        <v>0</v>
      </c>
      <c r="BO152" s="155"/>
      <c r="BP152" s="150" t="n">
        <v>0</v>
      </c>
      <c r="BQ152" s="151" t="n">
        <v>0</v>
      </c>
      <c r="BR152" s="152"/>
      <c r="BS152" s="150" t="n">
        <v>0</v>
      </c>
      <c r="BT152" s="151" t="n">
        <v>0</v>
      </c>
      <c r="BU152" s="150" t="n">
        <v>0</v>
      </c>
      <c r="BV152" s="151" t="n">
        <v>0</v>
      </c>
      <c r="BW152" s="150" t="n">
        <v>0</v>
      </c>
      <c r="BX152" s="151" t="n">
        <v>0</v>
      </c>
      <c r="BY152" s="150" t="n">
        <v>0</v>
      </c>
      <c r="BZ152" s="151" t="n">
        <v>0</v>
      </c>
      <c r="CA152" s="152"/>
      <c r="CB152" s="150" t="n">
        <v>0</v>
      </c>
      <c r="CC152" s="151" t="n">
        <v>0</v>
      </c>
      <c r="CD152" s="150" t="n">
        <v>0</v>
      </c>
      <c r="CE152" s="151" t="n">
        <v>0</v>
      </c>
      <c r="CF152" s="150" t="n">
        <v>0</v>
      </c>
      <c r="CG152" s="151" t="n">
        <v>0</v>
      </c>
      <c r="CH152" s="150" t="n">
        <v>0</v>
      </c>
      <c r="CI152" s="151" t="n">
        <v>0</v>
      </c>
      <c r="CJ152" s="1"/>
      <c r="CK152" s="149"/>
      <c r="CL152" s="137"/>
      <c r="CM152" s="154" t="str">
        <f aca="false">IFERROR(+$H152-($J152+$K152*$G152),"-")</f>
        <v>-</v>
      </c>
      <c r="CN152" s="137"/>
      <c r="CO152" s="154" t="str">
        <f aca="false">IFERROR(+$H152-($M152+$N152*$G152),"-")</f>
        <v>-</v>
      </c>
      <c r="CP152" s="154" t="str">
        <f aca="false">IFERROR(+$H152-($O152+$P152*$G152),"-")</f>
        <v>-</v>
      </c>
      <c r="CQ152" s="154" t="str">
        <f aca="false">IFERROR(+$H152-($Q152+$R152*$G152),"-")</f>
        <v>-</v>
      </c>
      <c r="CR152" s="154" t="str">
        <f aca="false">IFERROR(+$H152-($Q152+$R152*$G152),"-")</f>
        <v>-</v>
      </c>
      <c r="CS152" s="137"/>
      <c r="CT152" s="154" t="str">
        <f aca="false">IFERROR(+$H152-($V152+$W152*$G152),"-")</f>
        <v>-</v>
      </c>
      <c r="CU152" s="154" t="str">
        <f aca="false">IFERROR(+$H152-($X152+$Y152*$G152),"-")</f>
        <v>-</v>
      </c>
      <c r="CV152" s="154" t="str">
        <f aca="false">IFERROR(+$H152-($Z152+$AA152*$G152),"-")</f>
        <v>-</v>
      </c>
      <c r="CW152" s="154" t="str">
        <f aca="false">IFERROR(+$H152-($AB152+$AC152*$G152),"-")</f>
        <v>-</v>
      </c>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row>
    <row r="153" s="1" customFormat="true" ht="12.75" hidden="false" customHeight="true" outlineLevel="0" collapsed="false">
      <c r="B153" s="134" t="s">
        <v>200</v>
      </c>
      <c r="C153" s="135" t="s">
        <v>236</v>
      </c>
      <c r="D153" s="136" t="e">
        <f aca="false">VLOOKUP($C153,#REF!,5,0)</f>
        <v>#VALUE!</v>
      </c>
      <c r="E153" s="157" t="e">
        <f aca="false">VLOOKUP($C153,#REF!,6,0)</f>
        <v>#VALUE!</v>
      </c>
      <c r="F153" s="135" t="e">
        <f aca="false">VLOOKUP($C153,#REF!,7,0)</f>
        <v>#VALUE!</v>
      </c>
      <c r="G153" s="135" t="e">
        <f aca="false">VLOOKUP($C153,#REF!,8,0)</f>
        <v>#VALUE!</v>
      </c>
      <c r="H153" s="158" t="e">
        <f aca="false">VLOOKUP($C153,#REF!,9,0)</f>
        <v>#VALUE!</v>
      </c>
      <c r="I153" s="137"/>
      <c r="J153" s="138" t="e">
        <f aca="false">VLOOKUP($C153,#REF!,10,0)</f>
        <v>#VALUE!</v>
      </c>
      <c r="K153" s="139" t="e">
        <f aca="false">VLOOKUP($C153,#REF!,11,0)</f>
        <v>#VALUE!</v>
      </c>
      <c r="L153" s="140"/>
      <c r="M153" s="138" t="e">
        <f aca="false">VLOOKUP($C153,#REF!,12,0)</f>
        <v>#VALUE!</v>
      </c>
      <c r="N153" s="140" t="e">
        <f aca="false">VLOOKUP($C153,#REF!,13,0)</f>
        <v>#VALUE!</v>
      </c>
      <c r="O153" s="138" t="e">
        <f aca="false">VLOOKUP($C153,#REF!,14,0)</f>
        <v>#VALUE!</v>
      </c>
      <c r="P153" s="140" t="e">
        <f aca="false">VLOOKUP($C153,#REF!,15,0)</f>
        <v>#VALUE!</v>
      </c>
      <c r="Q153" s="138" t="e">
        <f aca="false">VLOOKUP($C153,#REF!,16,0)</f>
        <v>#VALUE!</v>
      </c>
      <c r="R153" s="139" t="e">
        <f aca="false">VLOOKUP($C153,#REF!,17,0)</f>
        <v>#VALUE!</v>
      </c>
      <c r="S153" s="140" t="e">
        <f aca="false">VLOOKUP($C153,#REF!,18,0)</f>
        <v>#VALUE!</v>
      </c>
      <c r="T153" s="139" t="e">
        <f aca="false">VLOOKUP($C153,#REF!,19,0)</f>
        <v>#VALUE!</v>
      </c>
      <c r="U153" s="140"/>
      <c r="V153" s="138" t="e">
        <f aca="false">VLOOKUP($C153,#REF!,20,0)</f>
        <v>#VALUE!</v>
      </c>
      <c r="W153" s="140" t="e">
        <f aca="false">VLOOKUP($C153,#REF!,21,0)</f>
        <v>#VALUE!</v>
      </c>
      <c r="X153" s="138" t="e">
        <f aca="false">VLOOKUP($C153,#REF!,22,0)</f>
        <v>#VALUE!</v>
      </c>
      <c r="Y153" s="140" t="e">
        <f aca="false">VLOOKUP($C153,#REF!,23,0)</f>
        <v>#VALUE!</v>
      </c>
      <c r="Z153" s="138" t="e">
        <f aca="false">VLOOKUP($C153,#REF!,24,0)</f>
        <v>#VALUE!</v>
      </c>
      <c r="AA153" s="139" t="e">
        <f aca="false">VLOOKUP($C153,#REF!,25,0)</f>
        <v>#VALUE!</v>
      </c>
      <c r="AB153" s="140" t="e">
        <f aca="false">VLOOKUP($C153,#REF!,26,0)</f>
        <v>#VALUE!</v>
      </c>
      <c r="AC153" s="139" t="e">
        <f aca="false">VLOOKUP($C153,#REF!,27,0)</f>
        <v>#VALUE!</v>
      </c>
      <c r="AE153" s="138" t="e">
        <f aca="false">IF(M153="-","-","0,5 GB")</f>
        <v>#VALUE!</v>
      </c>
      <c r="AF153" s="141" t="s">
        <v>92</v>
      </c>
      <c r="AG153" s="141" t="s">
        <v>93</v>
      </c>
      <c r="AH153" s="139" t="s">
        <v>94</v>
      </c>
      <c r="AJ153" s="138" t="s">
        <v>95</v>
      </c>
      <c r="AK153" s="141" t="s">
        <v>96</v>
      </c>
      <c r="AL153" s="141" t="s">
        <v>97</v>
      </c>
      <c r="AM153" s="141" t="s">
        <v>98</v>
      </c>
      <c r="AN153" s="141" t="s">
        <v>98</v>
      </c>
      <c r="AO153" s="139" t="s">
        <v>92</v>
      </c>
      <c r="AQ153" s="142" t="n">
        <v>58</v>
      </c>
      <c r="AR153" s="137"/>
      <c r="AS153" s="138" t="n">
        <v>0</v>
      </c>
      <c r="AT153" s="139" t="n">
        <v>0</v>
      </c>
      <c r="AU153" s="140"/>
      <c r="AV153" s="138" t="n">
        <f aca="false">IFERROR(ROUND($D153-M153-AW153,0),0)</f>
        <v>0</v>
      </c>
      <c r="AW153" s="139" t="n">
        <f aca="false">IFERROR(N153*$G153,0)</f>
        <v>0</v>
      </c>
      <c r="AX153" s="138" t="n">
        <f aca="false">IFERROR(ROUND($D153-O153-AY153,0),0)</f>
        <v>0</v>
      </c>
      <c r="AY153" s="139" t="n">
        <f aca="false">IFERROR(P153*$G153,0)</f>
        <v>0</v>
      </c>
      <c r="AZ153" s="138" t="n">
        <f aca="false">IFERROR(ROUND($D153-Q153-BA153,0),0)</f>
        <v>0</v>
      </c>
      <c r="BA153" s="139" t="n">
        <f aca="false">IFERROR(R153*$G153,0)</f>
        <v>0</v>
      </c>
      <c r="BB153" s="140" t="n">
        <f aca="false">IFERROR(ROUND($D153-S153-BC153,0),0)</f>
        <v>0</v>
      </c>
      <c r="BC153" s="139" t="n">
        <f aca="false">IFERROR(T153*$G153,0)</f>
        <v>0</v>
      </c>
      <c r="BD153" s="140"/>
      <c r="BE153" s="138" t="n">
        <f aca="false">IFERROR(ROUND($D153-V153-BF153,0),0)</f>
        <v>0</v>
      </c>
      <c r="BF153" s="139" t="n">
        <f aca="false">IFERROR(W153*$G153,0)</f>
        <v>0</v>
      </c>
      <c r="BG153" s="138" t="n">
        <f aca="false">IFERROR(ROUND($D153-X153-BH153,0),0)</f>
        <v>0</v>
      </c>
      <c r="BH153" s="139" t="n">
        <f aca="false">IFERROR(Y153*$G153,0)</f>
        <v>0</v>
      </c>
      <c r="BI153" s="140" t="n">
        <f aca="false">IFERROR(ROUND($D153-Z153-BJ153,0),0)</f>
        <v>0</v>
      </c>
      <c r="BJ153" s="139" t="n">
        <f aca="false">IFERROR(AA153*$G153,0)</f>
        <v>0</v>
      </c>
      <c r="BK153" s="140" t="n">
        <f aca="false">IFERROR(ROUND($D153-AB153-BL153,0),0)</f>
        <v>0</v>
      </c>
      <c r="BL153" s="139" t="n">
        <f aca="false">IFERROR(AC153*$G153,0)</f>
        <v>0</v>
      </c>
      <c r="BN153" s="142" t="n">
        <v>0</v>
      </c>
      <c r="BO153" s="137"/>
      <c r="BP153" s="138" t="n">
        <v>0</v>
      </c>
      <c r="BQ153" s="139" t="n">
        <v>0</v>
      </c>
      <c r="BR153" s="140"/>
      <c r="BS153" s="138" t="n">
        <v>0</v>
      </c>
      <c r="BT153" s="139" t="n">
        <v>0</v>
      </c>
      <c r="BU153" s="138" t="n">
        <v>0</v>
      </c>
      <c r="BV153" s="139" t="n">
        <v>0</v>
      </c>
      <c r="BW153" s="138" t="n">
        <v>0</v>
      </c>
      <c r="BX153" s="139" t="n">
        <v>0</v>
      </c>
      <c r="BY153" s="138" t="n">
        <v>0</v>
      </c>
      <c r="BZ153" s="139" t="n">
        <v>0</v>
      </c>
      <c r="CA153" s="140"/>
      <c r="CB153" s="138" t="n">
        <v>0</v>
      </c>
      <c r="CC153" s="139" t="n">
        <v>0</v>
      </c>
      <c r="CD153" s="138" t="n">
        <v>0</v>
      </c>
      <c r="CE153" s="139" t="n">
        <v>0</v>
      </c>
      <c r="CF153" s="138" t="n">
        <v>0</v>
      </c>
      <c r="CG153" s="139" t="n">
        <v>0</v>
      </c>
      <c r="CH153" s="138" t="n">
        <v>0</v>
      </c>
      <c r="CI153" s="139" t="n">
        <v>0</v>
      </c>
      <c r="CK153" s="143"/>
      <c r="CL153" s="137"/>
      <c r="CM153" s="144" t="str">
        <f aca="false">IFERROR(+$H153-($J153+$K153*$G153),"-")</f>
        <v>-</v>
      </c>
      <c r="CN153" s="137"/>
      <c r="CO153" s="144" t="str">
        <f aca="false">IFERROR(+$H153-($M153+$N153*$G153),"-")</f>
        <v>-</v>
      </c>
      <c r="CP153" s="144" t="str">
        <f aca="false">IFERROR(+$H153-($O153+$P153*$G153),"-")</f>
        <v>-</v>
      </c>
      <c r="CQ153" s="144" t="str">
        <f aca="false">IFERROR(+$H153-($Q153+$R153*$G153),"-")</f>
        <v>-</v>
      </c>
      <c r="CR153" s="144" t="str">
        <f aca="false">IFERROR(+$H153-($Q153+$R153*$G153),"-")</f>
        <v>-</v>
      </c>
      <c r="CS153" s="137"/>
      <c r="CT153" s="144" t="str">
        <f aca="false">IFERROR(+$H153-($V153+$W153*$G153),"-")</f>
        <v>-</v>
      </c>
      <c r="CU153" s="144" t="str">
        <f aca="false">IFERROR(+$H153-($X153+$Y153*$G153),"-")</f>
        <v>-</v>
      </c>
      <c r="CV153" s="144" t="str">
        <f aca="false">IFERROR(+$H153-($Z153+$AA153*$G153),"-")</f>
        <v>-</v>
      </c>
      <c r="CW153" s="144" t="str">
        <f aca="false">IFERROR(+$H153-($AB153+$AC153*$G153),"-")</f>
        <v>-</v>
      </c>
    </row>
    <row r="154" s="156" customFormat="true" ht="12.75" hidden="false" customHeight="true" outlineLevel="0" collapsed="false">
      <c r="A154" s="1"/>
      <c r="B154" s="145" t="s">
        <v>200</v>
      </c>
      <c r="C154" s="146" t="s">
        <v>237</v>
      </c>
      <c r="D154" s="147" t="e">
        <f aca="false">VLOOKUP($C154,#REF!,5,0)</f>
        <v>#VALUE!</v>
      </c>
      <c r="E154" s="148" t="e">
        <f aca="false">VLOOKUP($C154,#REF!,6,0)</f>
        <v>#VALUE!</v>
      </c>
      <c r="F154" s="146" t="e">
        <f aca="false">VLOOKUP($C154,#REF!,7,0)</f>
        <v>#VALUE!</v>
      </c>
      <c r="G154" s="146" t="e">
        <f aca="false">VLOOKUP($C154,#REF!,8,0)</f>
        <v>#VALUE!</v>
      </c>
      <c r="H154" s="149" t="e">
        <f aca="false">VLOOKUP($C154,#REF!,9,0)</f>
        <v>#VALUE!</v>
      </c>
      <c r="I154" s="137"/>
      <c r="J154" s="150" t="e">
        <f aca="false">VLOOKUP($C154,#REF!,10,0)</f>
        <v>#VALUE!</v>
      </c>
      <c r="K154" s="151" t="e">
        <f aca="false">VLOOKUP($C154,#REF!,11,0)</f>
        <v>#VALUE!</v>
      </c>
      <c r="L154" s="140"/>
      <c r="M154" s="150" t="e">
        <f aca="false">VLOOKUP($C154,#REF!,12,0)</f>
        <v>#VALUE!</v>
      </c>
      <c r="N154" s="152" t="e">
        <f aca="false">VLOOKUP($C154,#REF!,13,0)</f>
        <v>#VALUE!</v>
      </c>
      <c r="O154" s="150" t="e">
        <f aca="false">VLOOKUP($C154,#REF!,14,0)</f>
        <v>#VALUE!</v>
      </c>
      <c r="P154" s="152" t="e">
        <f aca="false">VLOOKUP($C154,#REF!,15,0)</f>
        <v>#VALUE!</v>
      </c>
      <c r="Q154" s="150" t="e">
        <f aca="false">VLOOKUP($C154,#REF!,16,0)</f>
        <v>#VALUE!</v>
      </c>
      <c r="R154" s="151" t="e">
        <f aca="false">VLOOKUP($C154,#REF!,17,0)</f>
        <v>#VALUE!</v>
      </c>
      <c r="S154" s="152" t="e">
        <f aca="false">VLOOKUP($C154,#REF!,18,0)</f>
        <v>#VALUE!</v>
      </c>
      <c r="T154" s="151" t="e">
        <f aca="false">VLOOKUP($C154,#REF!,19,0)</f>
        <v>#VALUE!</v>
      </c>
      <c r="U154" s="140"/>
      <c r="V154" s="150" t="e">
        <f aca="false">VLOOKUP($C154,#REF!,20,0)</f>
        <v>#VALUE!</v>
      </c>
      <c r="W154" s="152" t="e">
        <f aca="false">VLOOKUP($C154,#REF!,21,0)</f>
        <v>#VALUE!</v>
      </c>
      <c r="X154" s="150" t="e">
        <f aca="false">VLOOKUP($C154,#REF!,22,0)</f>
        <v>#VALUE!</v>
      </c>
      <c r="Y154" s="152" t="e">
        <f aca="false">VLOOKUP($C154,#REF!,23,0)</f>
        <v>#VALUE!</v>
      </c>
      <c r="Z154" s="150" t="e">
        <f aca="false">VLOOKUP($C154,#REF!,24,0)</f>
        <v>#VALUE!</v>
      </c>
      <c r="AA154" s="151" t="e">
        <f aca="false">VLOOKUP($C154,#REF!,25,0)</f>
        <v>#VALUE!</v>
      </c>
      <c r="AB154" s="152" t="e">
        <f aca="false">VLOOKUP($C154,#REF!,26,0)</f>
        <v>#VALUE!</v>
      </c>
      <c r="AC154" s="151" t="e">
        <f aca="false">VLOOKUP($C154,#REF!,27,0)</f>
        <v>#VALUE!</v>
      </c>
      <c r="AD154" s="1"/>
      <c r="AE154" s="150" t="e">
        <f aca="false">IF(M154="-","-","0,5 GB")</f>
        <v>#VALUE!</v>
      </c>
      <c r="AF154" s="153" t="s">
        <v>92</v>
      </c>
      <c r="AG154" s="153" t="s">
        <v>93</v>
      </c>
      <c r="AH154" s="151" t="s">
        <v>94</v>
      </c>
      <c r="AI154" s="1"/>
      <c r="AJ154" s="150" t="s">
        <v>95</v>
      </c>
      <c r="AK154" s="153" t="s">
        <v>96</v>
      </c>
      <c r="AL154" s="153" t="s">
        <v>97</v>
      </c>
      <c r="AM154" s="153" t="s">
        <v>98</v>
      </c>
      <c r="AN154" s="153" t="s">
        <v>98</v>
      </c>
      <c r="AO154" s="151" t="s">
        <v>92</v>
      </c>
      <c r="AP154" s="1"/>
      <c r="AQ154" s="154" t="n">
        <v>272</v>
      </c>
      <c r="AR154" s="137"/>
      <c r="AS154" s="150" t="n">
        <v>0</v>
      </c>
      <c r="AT154" s="151" t="n">
        <v>0</v>
      </c>
      <c r="AU154" s="140"/>
      <c r="AV154" s="150" t="n">
        <f aca="false">IFERROR(ROUND($D154-M154-AW154,0),0)</f>
        <v>0</v>
      </c>
      <c r="AW154" s="151" t="n">
        <f aca="false">IFERROR(N154*$G154,0)</f>
        <v>0</v>
      </c>
      <c r="AX154" s="150" t="n">
        <f aca="false">IFERROR(ROUND($D154-O154-AY154,0),0)</f>
        <v>0</v>
      </c>
      <c r="AY154" s="151" t="n">
        <f aca="false">IFERROR(P154*$G154,0)</f>
        <v>0</v>
      </c>
      <c r="AZ154" s="150" t="n">
        <f aca="false">IFERROR(ROUND($D154-Q154-BA154,0),0)</f>
        <v>0</v>
      </c>
      <c r="BA154" s="151" t="n">
        <f aca="false">IFERROR(R154*$G154,0)</f>
        <v>0</v>
      </c>
      <c r="BB154" s="152" t="n">
        <f aca="false">IFERROR(ROUND($D154-S154-BC154,0),0)</f>
        <v>0</v>
      </c>
      <c r="BC154" s="151" t="n">
        <f aca="false">IFERROR(T154*$G154,0)</f>
        <v>0</v>
      </c>
      <c r="BD154" s="140"/>
      <c r="BE154" s="150" t="n">
        <f aca="false">IFERROR(ROUND($D154-V154-BF154,0),0)</f>
        <v>0</v>
      </c>
      <c r="BF154" s="151" t="n">
        <f aca="false">IFERROR(W154*$G154,0)</f>
        <v>0</v>
      </c>
      <c r="BG154" s="150" t="n">
        <f aca="false">IFERROR(ROUND($D154-X154-BH154,0),0)</f>
        <v>0</v>
      </c>
      <c r="BH154" s="151" t="n">
        <f aca="false">IFERROR(Y154*$G154,0)</f>
        <v>0</v>
      </c>
      <c r="BI154" s="152" t="n">
        <f aca="false">IFERROR(ROUND($D154-Z154-BJ154,0),0)</f>
        <v>0</v>
      </c>
      <c r="BJ154" s="151" t="n">
        <f aca="false">IFERROR(AA154*$G154,0)</f>
        <v>0</v>
      </c>
      <c r="BK154" s="152" t="n">
        <f aca="false">IFERROR(ROUND($D154-AB154-BL154,0),0)</f>
        <v>0</v>
      </c>
      <c r="BL154" s="151" t="n">
        <f aca="false">IFERROR(AC154*$G154,0)</f>
        <v>0</v>
      </c>
      <c r="BM154" s="1"/>
      <c r="BN154" s="154" t="n">
        <v>0</v>
      </c>
      <c r="BO154" s="155"/>
      <c r="BP154" s="150" t="n">
        <v>0</v>
      </c>
      <c r="BQ154" s="151" t="n">
        <v>0</v>
      </c>
      <c r="BR154" s="152"/>
      <c r="BS154" s="150" t="n">
        <v>0</v>
      </c>
      <c r="BT154" s="151" t="n">
        <v>0</v>
      </c>
      <c r="BU154" s="150" t="n">
        <v>0</v>
      </c>
      <c r="BV154" s="151" t="n">
        <v>0</v>
      </c>
      <c r="BW154" s="150" t="n">
        <v>0</v>
      </c>
      <c r="BX154" s="151" t="n">
        <v>0</v>
      </c>
      <c r="BY154" s="150" t="n">
        <v>0</v>
      </c>
      <c r="BZ154" s="151" t="n">
        <v>0</v>
      </c>
      <c r="CA154" s="152"/>
      <c r="CB154" s="150" t="n">
        <v>0</v>
      </c>
      <c r="CC154" s="151" t="n">
        <v>0</v>
      </c>
      <c r="CD154" s="150" t="n">
        <v>0</v>
      </c>
      <c r="CE154" s="151" t="n">
        <v>0</v>
      </c>
      <c r="CF154" s="150" t="n">
        <v>0</v>
      </c>
      <c r="CG154" s="151" t="n">
        <v>0</v>
      </c>
      <c r="CH154" s="150" t="n">
        <v>0</v>
      </c>
      <c r="CI154" s="151" t="n">
        <v>0</v>
      </c>
      <c r="CJ154" s="1"/>
      <c r="CK154" s="149"/>
      <c r="CL154" s="137"/>
      <c r="CM154" s="154" t="str">
        <f aca="false">IFERROR(+$H154-($J154+$K154*$G154),"-")</f>
        <v>-</v>
      </c>
      <c r="CN154" s="137"/>
      <c r="CO154" s="154" t="str">
        <f aca="false">IFERROR(+$H154-($M154+$N154*$G154),"-")</f>
        <v>-</v>
      </c>
      <c r="CP154" s="154" t="str">
        <f aca="false">IFERROR(+$H154-($O154+$P154*$G154),"-")</f>
        <v>-</v>
      </c>
      <c r="CQ154" s="154" t="str">
        <f aca="false">IFERROR(+$H154-($Q154+$R154*$G154),"-")</f>
        <v>-</v>
      </c>
      <c r="CR154" s="154" t="str">
        <f aca="false">IFERROR(+$H154-($Q154+$R154*$G154),"-")</f>
        <v>-</v>
      </c>
      <c r="CS154" s="137"/>
      <c r="CT154" s="154" t="str">
        <f aca="false">IFERROR(+$H154-($V154+$W154*$G154),"-")</f>
        <v>-</v>
      </c>
      <c r="CU154" s="154" t="str">
        <f aca="false">IFERROR(+$H154-($X154+$Y154*$G154),"-")</f>
        <v>-</v>
      </c>
      <c r="CV154" s="154" t="str">
        <f aca="false">IFERROR(+$H154-($Z154+$AA154*$G154),"-")</f>
        <v>-</v>
      </c>
      <c r="CW154" s="154" t="str">
        <f aca="false">IFERROR(+$H154-($AB154+$AC154*$G154),"-")</f>
        <v>-</v>
      </c>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row>
    <row r="155" s="1" customFormat="true" ht="12.75" hidden="false" customHeight="true" outlineLevel="0" collapsed="false">
      <c r="B155" s="134" t="s">
        <v>200</v>
      </c>
      <c r="C155" s="135" t="s">
        <v>238</v>
      </c>
      <c r="D155" s="136" t="e">
        <f aca="false">VLOOKUP($C155,#REF!,5,0)</f>
        <v>#VALUE!</v>
      </c>
      <c r="E155" s="157" t="e">
        <f aca="false">VLOOKUP($C155,#REF!,6,0)</f>
        <v>#VALUE!</v>
      </c>
      <c r="F155" s="135" t="e">
        <f aca="false">VLOOKUP($C155,#REF!,7,0)</f>
        <v>#VALUE!</v>
      </c>
      <c r="G155" s="135" t="e">
        <f aca="false">VLOOKUP($C155,#REF!,8,0)</f>
        <v>#VALUE!</v>
      </c>
      <c r="H155" s="158" t="e">
        <f aca="false">VLOOKUP($C155,#REF!,9,0)</f>
        <v>#VALUE!</v>
      </c>
      <c r="I155" s="137"/>
      <c r="J155" s="138" t="e">
        <f aca="false">VLOOKUP($C155,#REF!,10,0)</f>
        <v>#VALUE!</v>
      </c>
      <c r="K155" s="139" t="e">
        <f aca="false">VLOOKUP($C155,#REF!,11,0)</f>
        <v>#VALUE!</v>
      </c>
      <c r="L155" s="140"/>
      <c r="M155" s="138" t="e">
        <f aca="false">VLOOKUP($C155,#REF!,12,0)</f>
        <v>#VALUE!</v>
      </c>
      <c r="N155" s="140" t="e">
        <f aca="false">VLOOKUP($C155,#REF!,13,0)</f>
        <v>#VALUE!</v>
      </c>
      <c r="O155" s="138" t="e">
        <f aca="false">VLOOKUP($C155,#REF!,14,0)</f>
        <v>#VALUE!</v>
      </c>
      <c r="P155" s="140" t="e">
        <f aca="false">VLOOKUP($C155,#REF!,15,0)</f>
        <v>#VALUE!</v>
      </c>
      <c r="Q155" s="138" t="e">
        <f aca="false">VLOOKUP($C155,#REF!,16,0)</f>
        <v>#VALUE!</v>
      </c>
      <c r="R155" s="139" t="e">
        <f aca="false">VLOOKUP($C155,#REF!,17,0)</f>
        <v>#VALUE!</v>
      </c>
      <c r="S155" s="140" t="e">
        <f aca="false">VLOOKUP($C155,#REF!,18,0)</f>
        <v>#VALUE!</v>
      </c>
      <c r="T155" s="139" t="e">
        <f aca="false">VLOOKUP($C155,#REF!,19,0)</f>
        <v>#VALUE!</v>
      </c>
      <c r="U155" s="140"/>
      <c r="V155" s="138" t="e">
        <f aca="false">VLOOKUP($C155,#REF!,20,0)</f>
        <v>#VALUE!</v>
      </c>
      <c r="W155" s="140" t="e">
        <f aca="false">VLOOKUP($C155,#REF!,21,0)</f>
        <v>#VALUE!</v>
      </c>
      <c r="X155" s="138" t="e">
        <f aca="false">VLOOKUP($C155,#REF!,22,0)</f>
        <v>#VALUE!</v>
      </c>
      <c r="Y155" s="140" t="e">
        <f aca="false">VLOOKUP($C155,#REF!,23,0)</f>
        <v>#VALUE!</v>
      </c>
      <c r="Z155" s="138" t="e">
        <f aca="false">VLOOKUP($C155,#REF!,24,0)</f>
        <v>#VALUE!</v>
      </c>
      <c r="AA155" s="139" t="e">
        <f aca="false">VLOOKUP($C155,#REF!,25,0)</f>
        <v>#VALUE!</v>
      </c>
      <c r="AB155" s="140" t="e">
        <f aca="false">VLOOKUP($C155,#REF!,26,0)</f>
        <v>#VALUE!</v>
      </c>
      <c r="AC155" s="139" t="e">
        <f aca="false">VLOOKUP($C155,#REF!,27,0)</f>
        <v>#VALUE!</v>
      </c>
      <c r="AE155" s="138" t="e">
        <f aca="false">IF(M155="-","-","0,5 GB")</f>
        <v>#VALUE!</v>
      </c>
      <c r="AF155" s="141" t="s">
        <v>92</v>
      </c>
      <c r="AG155" s="141" t="s">
        <v>93</v>
      </c>
      <c r="AH155" s="139" t="s">
        <v>94</v>
      </c>
      <c r="AJ155" s="138" t="s">
        <v>95</v>
      </c>
      <c r="AK155" s="141" t="s">
        <v>96</v>
      </c>
      <c r="AL155" s="141" t="s">
        <v>97</v>
      </c>
      <c r="AM155" s="141" t="s">
        <v>98</v>
      </c>
      <c r="AN155" s="141" t="s">
        <v>98</v>
      </c>
      <c r="AO155" s="139" t="s">
        <v>92</v>
      </c>
      <c r="AQ155" s="142" t="n">
        <v>331</v>
      </c>
      <c r="AR155" s="137"/>
      <c r="AS155" s="138" t="n">
        <v>0</v>
      </c>
      <c r="AT155" s="139" t="n">
        <v>0</v>
      </c>
      <c r="AU155" s="140"/>
      <c r="AV155" s="138" t="n">
        <f aca="false">IFERROR(ROUND($D155-M155-AW155,0),0)</f>
        <v>0</v>
      </c>
      <c r="AW155" s="139" t="n">
        <f aca="false">IFERROR(N155*$G155,0)</f>
        <v>0</v>
      </c>
      <c r="AX155" s="138" t="n">
        <f aca="false">IFERROR(ROUND($D155-O155-AY155,0),0)</f>
        <v>0</v>
      </c>
      <c r="AY155" s="139" t="n">
        <f aca="false">IFERROR(P155*$G155,0)</f>
        <v>0</v>
      </c>
      <c r="AZ155" s="138" t="n">
        <f aca="false">IFERROR(ROUND($D155-Q155-BA155,0),0)</f>
        <v>0</v>
      </c>
      <c r="BA155" s="139" t="n">
        <f aca="false">IFERROR(R155*$G155,0)</f>
        <v>0</v>
      </c>
      <c r="BB155" s="140" t="n">
        <f aca="false">IFERROR(ROUND($D155-S155-BC155,0),0)</f>
        <v>0</v>
      </c>
      <c r="BC155" s="139" t="n">
        <f aca="false">IFERROR(T155*$G155,0)</f>
        <v>0</v>
      </c>
      <c r="BD155" s="140"/>
      <c r="BE155" s="138" t="n">
        <f aca="false">IFERROR(ROUND($D155-V155-BF155,0),0)</f>
        <v>0</v>
      </c>
      <c r="BF155" s="139" t="n">
        <f aca="false">IFERROR(W155*$G155,0)</f>
        <v>0</v>
      </c>
      <c r="BG155" s="138" t="n">
        <f aca="false">IFERROR(ROUND($D155-X155-BH155,0),0)</f>
        <v>0</v>
      </c>
      <c r="BH155" s="139" t="n">
        <f aca="false">IFERROR(Y155*$G155,0)</f>
        <v>0</v>
      </c>
      <c r="BI155" s="140" t="n">
        <f aca="false">IFERROR(ROUND($D155-Z155-BJ155,0),0)</f>
        <v>0</v>
      </c>
      <c r="BJ155" s="139" t="n">
        <f aca="false">IFERROR(AA155*$G155,0)</f>
        <v>0</v>
      </c>
      <c r="BK155" s="140" t="n">
        <f aca="false">IFERROR(ROUND($D155-AB155-BL155,0),0)</f>
        <v>0</v>
      </c>
      <c r="BL155" s="139" t="n">
        <f aca="false">IFERROR(AC155*$G155,0)</f>
        <v>0</v>
      </c>
      <c r="BN155" s="142" t="n">
        <v>0</v>
      </c>
      <c r="BO155" s="137"/>
      <c r="BP155" s="138" t="n">
        <v>0</v>
      </c>
      <c r="BQ155" s="139" t="n">
        <v>0</v>
      </c>
      <c r="BR155" s="140"/>
      <c r="BS155" s="138" t="n">
        <v>0</v>
      </c>
      <c r="BT155" s="139" t="n">
        <v>0</v>
      </c>
      <c r="BU155" s="138" t="n">
        <v>0</v>
      </c>
      <c r="BV155" s="139" t="n">
        <v>0</v>
      </c>
      <c r="BW155" s="138" t="n">
        <v>0</v>
      </c>
      <c r="BX155" s="139" t="n">
        <v>0</v>
      </c>
      <c r="BY155" s="138" t="n">
        <v>0</v>
      </c>
      <c r="BZ155" s="139" t="n">
        <v>0</v>
      </c>
      <c r="CA155" s="140"/>
      <c r="CB155" s="138" t="n">
        <v>0</v>
      </c>
      <c r="CC155" s="139" t="n">
        <v>0</v>
      </c>
      <c r="CD155" s="138" t="n">
        <v>0</v>
      </c>
      <c r="CE155" s="139" t="n">
        <v>0</v>
      </c>
      <c r="CF155" s="138" t="n">
        <v>0</v>
      </c>
      <c r="CG155" s="139" t="n">
        <v>0</v>
      </c>
      <c r="CH155" s="138" t="n">
        <v>0</v>
      </c>
      <c r="CI155" s="139" t="n">
        <v>0</v>
      </c>
      <c r="CK155" s="143"/>
      <c r="CL155" s="137"/>
      <c r="CM155" s="144" t="str">
        <f aca="false">IFERROR(+$H155-($J155+$K155*$G155),"-")</f>
        <v>-</v>
      </c>
      <c r="CN155" s="137"/>
      <c r="CO155" s="144" t="str">
        <f aca="false">IFERROR(+$H155-($M155+$N155*$G155),"-")</f>
        <v>-</v>
      </c>
      <c r="CP155" s="144" t="str">
        <f aca="false">IFERROR(+$H155-($O155+$P155*$G155),"-")</f>
        <v>-</v>
      </c>
      <c r="CQ155" s="144" t="str">
        <f aca="false">IFERROR(+$H155-($Q155+$R155*$G155),"-")</f>
        <v>-</v>
      </c>
      <c r="CR155" s="144" t="str">
        <f aca="false">IFERROR(+$H155-($Q155+$R155*$G155),"-")</f>
        <v>-</v>
      </c>
      <c r="CS155" s="137"/>
      <c r="CT155" s="144" t="str">
        <f aca="false">IFERROR(+$H155-($V155+$W155*$G155),"-")</f>
        <v>-</v>
      </c>
      <c r="CU155" s="144" t="str">
        <f aca="false">IFERROR(+$H155-($X155+$Y155*$G155),"-")</f>
        <v>-</v>
      </c>
      <c r="CV155" s="144" t="str">
        <f aca="false">IFERROR(+$H155-($Z155+$AA155*$G155),"-")</f>
        <v>-</v>
      </c>
      <c r="CW155" s="144" t="str">
        <f aca="false">IFERROR(+$H155-($AB155+$AC155*$G155),"-")</f>
        <v>-</v>
      </c>
    </row>
    <row r="156" s="156" customFormat="true" ht="12.75" hidden="false" customHeight="true" outlineLevel="0" collapsed="false">
      <c r="A156" s="1"/>
      <c r="B156" s="145" t="s">
        <v>200</v>
      </c>
      <c r="C156" s="146" t="s">
        <v>239</v>
      </c>
      <c r="D156" s="147" t="e">
        <f aca="false">VLOOKUP($C156,#REF!,5,0)</f>
        <v>#VALUE!</v>
      </c>
      <c r="E156" s="148" t="e">
        <f aca="false">VLOOKUP($C156,#REF!,6,0)</f>
        <v>#VALUE!</v>
      </c>
      <c r="F156" s="146" t="e">
        <f aca="false">VLOOKUP($C156,#REF!,7,0)</f>
        <v>#VALUE!</v>
      </c>
      <c r="G156" s="146" t="e">
        <f aca="false">VLOOKUP($C156,#REF!,8,0)</f>
        <v>#VALUE!</v>
      </c>
      <c r="H156" s="149" t="e">
        <f aca="false">VLOOKUP($C156,#REF!,9,0)</f>
        <v>#VALUE!</v>
      </c>
      <c r="I156" s="137"/>
      <c r="J156" s="150" t="e">
        <f aca="false">VLOOKUP($C156,#REF!,10,0)</f>
        <v>#VALUE!</v>
      </c>
      <c r="K156" s="151" t="e">
        <f aca="false">VLOOKUP($C156,#REF!,11,0)</f>
        <v>#VALUE!</v>
      </c>
      <c r="L156" s="140"/>
      <c r="M156" s="150" t="e">
        <f aca="false">VLOOKUP($C156,#REF!,12,0)</f>
        <v>#VALUE!</v>
      </c>
      <c r="N156" s="152" t="e">
        <f aca="false">VLOOKUP($C156,#REF!,13,0)</f>
        <v>#VALUE!</v>
      </c>
      <c r="O156" s="150" t="e">
        <f aca="false">VLOOKUP($C156,#REF!,14,0)</f>
        <v>#VALUE!</v>
      </c>
      <c r="P156" s="152" t="e">
        <f aca="false">VLOOKUP($C156,#REF!,15,0)</f>
        <v>#VALUE!</v>
      </c>
      <c r="Q156" s="150" t="e">
        <f aca="false">VLOOKUP($C156,#REF!,16,0)</f>
        <v>#VALUE!</v>
      </c>
      <c r="R156" s="151" t="e">
        <f aca="false">VLOOKUP($C156,#REF!,17,0)</f>
        <v>#VALUE!</v>
      </c>
      <c r="S156" s="152" t="e">
        <f aca="false">VLOOKUP($C156,#REF!,18,0)</f>
        <v>#VALUE!</v>
      </c>
      <c r="T156" s="151" t="e">
        <f aca="false">VLOOKUP($C156,#REF!,19,0)</f>
        <v>#VALUE!</v>
      </c>
      <c r="U156" s="140"/>
      <c r="V156" s="150" t="e">
        <f aca="false">VLOOKUP($C156,#REF!,20,0)</f>
        <v>#VALUE!</v>
      </c>
      <c r="W156" s="152" t="e">
        <f aca="false">VLOOKUP($C156,#REF!,21,0)</f>
        <v>#VALUE!</v>
      </c>
      <c r="X156" s="150" t="e">
        <f aca="false">VLOOKUP($C156,#REF!,22,0)</f>
        <v>#VALUE!</v>
      </c>
      <c r="Y156" s="152" t="e">
        <f aca="false">VLOOKUP($C156,#REF!,23,0)</f>
        <v>#VALUE!</v>
      </c>
      <c r="Z156" s="150" t="e">
        <f aca="false">VLOOKUP($C156,#REF!,24,0)</f>
        <v>#VALUE!</v>
      </c>
      <c r="AA156" s="151" t="e">
        <f aca="false">VLOOKUP($C156,#REF!,25,0)</f>
        <v>#VALUE!</v>
      </c>
      <c r="AB156" s="152" t="e">
        <f aca="false">VLOOKUP($C156,#REF!,26,0)</f>
        <v>#VALUE!</v>
      </c>
      <c r="AC156" s="151" t="e">
        <f aca="false">VLOOKUP($C156,#REF!,27,0)</f>
        <v>#VALUE!</v>
      </c>
      <c r="AD156" s="1"/>
      <c r="AE156" s="150" t="e">
        <f aca="false">IF(M156="-","-","0,5 GB")</f>
        <v>#VALUE!</v>
      </c>
      <c r="AF156" s="153" t="s">
        <v>92</v>
      </c>
      <c r="AG156" s="153" t="s">
        <v>93</v>
      </c>
      <c r="AH156" s="151" t="s">
        <v>94</v>
      </c>
      <c r="AI156" s="1"/>
      <c r="AJ156" s="150" t="s">
        <v>95</v>
      </c>
      <c r="AK156" s="153" t="s">
        <v>96</v>
      </c>
      <c r="AL156" s="153" t="s">
        <v>97</v>
      </c>
      <c r="AM156" s="153" t="s">
        <v>98</v>
      </c>
      <c r="AN156" s="153" t="s">
        <v>98</v>
      </c>
      <c r="AO156" s="151" t="s">
        <v>92</v>
      </c>
      <c r="AP156" s="1"/>
      <c r="AQ156" s="154" t="n">
        <v>330</v>
      </c>
      <c r="AR156" s="137"/>
      <c r="AS156" s="150" t="n">
        <v>0</v>
      </c>
      <c r="AT156" s="151" t="n">
        <v>0</v>
      </c>
      <c r="AU156" s="140"/>
      <c r="AV156" s="150" t="n">
        <f aca="false">IFERROR(ROUND($D156-M156-AW156,0),0)</f>
        <v>0</v>
      </c>
      <c r="AW156" s="151" t="n">
        <f aca="false">IFERROR(N156*$G156,0)</f>
        <v>0</v>
      </c>
      <c r="AX156" s="150" t="n">
        <f aca="false">IFERROR(ROUND($D156-O156-AY156,0),0)</f>
        <v>0</v>
      </c>
      <c r="AY156" s="151" t="n">
        <f aca="false">IFERROR(P156*$G156,0)</f>
        <v>0</v>
      </c>
      <c r="AZ156" s="150" t="n">
        <f aca="false">IFERROR(ROUND($D156-Q156-BA156,0),0)</f>
        <v>0</v>
      </c>
      <c r="BA156" s="151" t="n">
        <f aca="false">IFERROR(R156*$G156,0)</f>
        <v>0</v>
      </c>
      <c r="BB156" s="152" t="n">
        <f aca="false">IFERROR(ROUND($D156-S156-BC156,0),0)</f>
        <v>0</v>
      </c>
      <c r="BC156" s="151" t="n">
        <f aca="false">IFERROR(T156*$G156,0)</f>
        <v>0</v>
      </c>
      <c r="BD156" s="140"/>
      <c r="BE156" s="150" t="n">
        <f aca="false">IFERROR(ROUND($D156-V156-BF156,0),0)</f>
        <v>0</v>
      </c>
      <c r="BF156" s="151" t="n">
        <f aca="false">IFERROR(W156*$G156,0)</f>
        <v>0</v>
      </c>
      <c r="BG156" s="150" t="n">
        <f aca="false">IFERROR(ROUND($D156-X156-BH156,0),0)</f>
        <v>0</v>
      </c>
      <c r="BH156" s="151" t="n">
        <f aca="false">IFERROR(Y156*$G156,0)</f>
        <v>0</v>
      </c>
      <c r="BI156" s="152" t="n">
        <f aca="false">IFERROR(ROUND($D156-Z156-BJ156,0),0)</f>
        <v>0</v>
      </c>
      <c r="BJ156" s="151" t="n">
        <f aca="false">IFERROR(AA156*$G156,0)</f>
        <v>0</v>
      </c>
      <c r="BK156" s="152" t="n">
        <f aca="false">IFERROR(ROUND($D156-AB156-BL156,0),0)</f>
        <v>0</v>
      </c>
      <c r="BL156" s="151" t="n">
        <f aca="false">IFERROR(AC156*$G156,0)</f>
        <v>0</v>
      </c>
      <c r="BM156" s="1"/>
      <c r="BN156" s="154" t="n">
        <v>0</v>
      </c>
      <c r="BO156" s="155"/>
      <c r="BP156" s="150" t="n">
        <v>0</v>
      </c>
      <c r="BQ156" s="151" t="n">
        <v>0</v>
      </c>
      <c r="BR156" s="152"/>
      <c r="BS156" s="150" t="n">
        <v>0</v>
      </c>
      <c r="BT156" s="151" t="n">
        <v>0</v>
      </c>
      <c r="BU156" s="150" t="n">
        <v>0</v>
      </c>
      <c r="BV156" s="151" t="n">
        <v>0</v>
      </c>
      <c r="BW156" s="150" t="n">
        <v>0</v>
      </c>
      <c r="BX156" s="151" t="n">
        <v>0</v>
      </c>
      <c r="BY156" s="150" t="n">
        <v>0</v>
      </c>
      <c r="BZ156" s="151" t="n">
        <v>0</v>
      </c>
      <c r="CA156" s="152"/>
      <c r="CB156" s="150" t="n">
        <v>0</v>
      </c>
      <c r="CC156" s="151" t="n">
        <v>0</v>
      </c>
      <c r="CD156" s="150" t="n">
        <v>0</v>
      </c>
      <c r="CE156" s="151" t="n">
        <v>0</v>
      </c>
      <c r="CF156" s="150" t="n">
        <v>0</v>
      </c>
      <c r="CG156" s="151" t="n">
        <v>0</v>
      </c>
      <c r="CH156" s="150" t="n">
        <v>0</v>
      </c>
      <c r="CI156" s="151" t="n">
        <v>0</v>
      </c>
      <c r="CJ156" s="1"/>
      <c r="CK156" s="149"/>
      <c r="CL156" s="137"/>
      <c r="CM156" s="154" t="str">
        <f aca="false">IFERROR(+$H156-($J156+$K156*$G156),"-")</f>
        <v>-</v>
      </c>
      <c r="CN156" s="137"/>
      <c r="CO156" s="154" t="str">
        <f aca="false">IFERROR(+$H156-($M156+$N156*$G156),"-")</f>
        <v>-</v>
      </c>
      <c r="CP156" s="154" t="str">
        <f aca="false">IFERROR(+$H156-($O156+$P156*$G156),"-")</f>
        <v>-</v>
      </c>
      <c r="CQ156" s="154" t="str">
        <f aca="false">IFERROR(+$H156-($Q156+$R156*$G156),"-")</f>
        <v>-</v>
      </c>
      <c r="CR156" s="154" t="str">
        <f aca="false">IFERROR(+$H156-($Q156+$R156*$G156),"-")</f>
        <v>-</v>
      </c>
      <c r="CS156" s="137"/>
      <c r="CT156" s="154" t="str">
        <f aca="false">IFERROR(+$H156-($V156+$W156*$G156),"-")</f>
        <v>-</v>
      </c>
      <c r="CU156" s="154" t="str">
        <f aca="false">IFERROR(+$H156-($X156+$Y156*$G156),"-")</f>
        <v>-</v>
      </c>
      <c r="CV156" s="154" t="str">
        <f aca="false">IFERROR(+$H156-($Z156+$AA156*$G156),"-")</f>
        <v>-</v>
      </c>
      <c r="CW156" s="154" t="str">
        <f aca="false">IFERROR(+$H156-($AB156+$AC156*$G156),"-")</f>
        <v>-</v>
      </c>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row>
    <row r="157" s="1" customFormat="true" ht="12.75" hidden="false" customHeight="true" outlineLevel="0" collapsed="false">
      <c r="B157" s="159" t="s">
        <v>200</v>
      </c>
      <c r="C157" s="160" t="s">
        <v>240</v>
      </c>
      <c r="D157" s="136" t="e">
        <f aca="false">VLOOKUP($C157,#REF!,5,0)</f>
        <v>#VALUE!</v>
      </c>
      <c r="E157" s="157" t="e">
        <f aca="false">VLOOKUP($C157,#REF!,6,0)</f>
        <v>#VALUE!</v>
      </c>
      <c r="F157" s="135" t="e">
        <f aca="false">VLOOKUP($C157,#REF!,7,0)</f>
        <v>#VALUE!</v>
      </c>
      <c r="G157" s="135" t="e">
        <f aca="false">VLOOKUP($C157,#REF!,8,0)</f>
        <v>#VALUE!</v>
      </c>
      <c r="H157" s="158" t="e">
        <f aca="false">VLOOKUP($C157,#REF!,9,0)</f>
        <v>#VALUE!</v>
      </c>
      <c r="I157" s="137"/>
      <c r="J157" s="138" t="e">
        <f aca="false">VLOOKUP($C157,#REF!,10,0)</f>
        <v>#VALUE!</v>
      </c>
      <c r="K157" s="139" t="e">
        <f aca="false">VLOOKUP($C157,#REF!,11,0)</f>
        <v>#VALUE!</v>
      </c>
      <c r="L157" s="140"/>
      <c r="M157" s="138" t="e">
        <f aca="false">VLOOKUP($C157,#REF!,12,0)</f>
        <v>#VALUE!</v>
      </c>
      <c r="N157" s="140" t="e">
        <f aca="false">VLOOKUP($C157,#REF!,13,0)</f>
        <v>#VALUE!</v>
      </c>
      <c r="O157" s="138" t="e">
        <f aca="false">VLOOKUP($C157,#REF!,14,0)</f>
        <v>#VALUE!</v>
      </c>
      <c r="P157" s="140" t="e">
        <f aca="false">VLOOKUP($C157,#REF!,15,0)</f>
        <v>#VALUE!</v>
      </c>
      <c r="Q157" s="138" t="e">
        <f aca="false">VLOOKUP($C157,#REF!,16,0)</f>
        <v>#VALUE!</v>
      </c>
      <c r="R157" s="139" t="e">
        <f aca="false">VLOOKUP($C157,#REF!,17,0)</f>
        <v>#VALUE!</v>
      </c>
      <c r="S157" s="140" t="e">
        <f aca="false">VLOOKUP($C157,#REF!,18,0)</f>
        <v>#VALUE!</v>
      </c>
      <c r="T157" s="139" t="e">
        <f aca="false">VLOOKUP($C157,#REF!,19,0)</f>
        <v>#VALUE!</v>
      </c>
      <c r="U157" s="140"/>
      <c r="V157" s="138" t="e">
        <f aca="false">VLOOKUP($C157,#REF!,20,0)</f>
        <v>#VALUE!</v>
      </c>
      <c r="W157" s="140" t="e">
        <f aca="false">VLOOKUP($C157,#REF!,21,0)</f>
        <v>#VALUE!</v>
      </c>
      <c r="X157" s="138" t="e">
        <f aca="false">VLOOKUP($C157,#REF!,22,0)</f>
        <v>#VALUE!</v>
      </c>
      <c r="Y157" s="140" t="e">
        <f aca="false">VLOOKUP($C157,#REF!,23,0)</f>
        <v>#VALUE!</v>
      </c>
      <c r="Z157" s="138" t="e">
        <f aca="false">VLOOKUP($C157,#REF!,24,0)</f>
        <v>#VALUE!</v>
      </c>
      <c r="AA157" s="139" t="e">
        <f aca="false">VLOOKUP($C157,#REF!,25,0)</f>
        <v>#VALUE!</v>
      </c>
      <c r="AB157" s="140" t="e">
        <f aca="false">VLOOKUP($C157,#REF!,26,0)</f>
        <v>#VALUE!</v>
      </c>
      <c r="AC157" s="139" t="e">
        <f aca="false">VLOOKUP($C157,#REF!,27,0)</f>
        <v>#VALUE!</v>
      </c>
      <c r="AE157" s="138" t="e">
        <f aca="false">IF(M157="-","-","0,5 GB")</f>
        <v>#VALUE!</v>
      </c>
      <c r="AF157" s="141" t="s">
        <v>92</v>
      </c>
      <c r="AG157" s="141" t="s">
        <v>93</v>
      </c>
      <c r="AH157" s="139" t="s">
        <v>94</v>
      </c>
      <c r="AJ157" s="138" t="s">
        <v>95</v>
      </c>
      <c r="AK157" s="141" t="s">
        <v>96</v>
      </c>
      <c r="AL157" s="141" t="s">
        <v>97</v>
      </c>
      <c r="AM157" s="141" t="s">
        <v>98</v>
      </c>
      <c r="AN157" s="141" t="s">
        <v>98</v>
      </c>
      <c r="AO157" s="139" t="s">
        <v>92</v>
      </c>
      <c r="AQ157" s="142" t="n">
        <v>247</v>
      </c>
      <c r="AR157" s="137"/>
      <c r="AS157" s="138" t="n">
        <v>0</v>
      </c>
      <c r="AT157" s="139" t="n">
        <v>0</v>
      </c>
      <c r="AU157" s="140"/>
      <c r="AV157" s="138" t="n">
        <f aca="false">IFERROR(ROUND($D157-M157-AW157,0),0)</f>
        <v>0</v>
      </c>
      <c r="AW157" s="139" t="n">
        <f aca="false">IFERROR(N157*$G157,0)</f>
        <v>0</v>
      </c>
      <c r="AX157" s="138" t="n">
        <f aca="false">IFERROR(ROUND($D157-O157-AY157,0),0)</f>
        <v>0</v>
      </c>
      <c r="AY157" s="139" t="n">
        <f aca="false">IFERROR(P157*$G157,0)</f>
        <v>0</v>
      </c>
      <c r="AZ157" s="138" t="n">
        <f aca="false">IFERROR(ROUND($D157-Q157-BA157,0),0)</f>
        <v>0</v>
      </c>
      <c r="BA157" s="139" t="n">
        <f aca="false">IFERROR(R157*$G157,0)</f>
        <v>0</v>
      </c>
      <c r="BB157" s="140" t="n">
        <f aca="false">IFERROR(ROUND($D157-S157-BC157,0),0)</f>
        <v>0</v>
      </c>
      <c r="BC157" s="139" t="n">
        <f aca="false">IFERROR(T157*$G157,0)</f>
        <v>0</v>
      </c>
      <c r="BD157" s="140"/>
      <c r="BE157" s="138" t="n">
        <f aca="false">IFERROR(ROUND($D157-V157-BF157,0),0)</f>
        <v>0</v>
      </c>
      <c r="BF157" s="139" t="n">
        <f aca="false">IFERROR(W157*$G157,0)</f>
        <v>0</v>
      </c>
      <c r="BG157" s="138" t="n">
        <f aca="false">IFERROR(ROUND($D157-X157-BH157,0),0)</f>
        <v>0</v>
      </c>
      <c r="BH157" s="139" t="n">
        <f aca="false">IFERROR(Y157*$G157,0)</f>
        <v>0</v>
      </c>
      <c r="BI157" s="140" t="n">
        <f aca="false">IFERROR(ROUND($D157-Z157-BJ157,0),0)</f>
        <v>0</v>
      </c>
      <c r="BJ157" s="139" t="n">
        <f aca="false">IFERROR(AA157*$G157,0)</f>
        <v>0</v>
      </c>
      <c r="BK157" s="140" t="n">
        <f aca="false">IFERROR(ROUND($D157-AB157-BL157,0),0)</f>
        <v>0</v>
      </c>
      <c r="BL157" s="139" t="n">
        <f aca="false">IFERROR(AC157*$G157,0)</f>
        <v>0</v>
      </c>
      <c r="BN157" s="142" t="n">
        <v>0</v>
      </c>
      <c r="BO157" s="137"/>
      <c r="BP157" s="138" t="n">
        <v>0</v>
      </c>
      <c r="BQ157" s="139" t="n">
        <v>0</v>
      </c>
      <c r="BR157" s="140"/>
      <c r="BS157" s="138" t="n">
        <v>0</v>
      </c>
      <c r="BT157" s="139" t="n">
        <v>0</v>
      </c>
      <c r="BU157" s="138" t="n">
        <v>0</v>
      </c>
      <c r="BV157" s="139" t="n">
        <v>0</v>
      </c>
      <c r="BW157" s="138" t="n">
        <v>0</v>
      </c>
      <c r="BX157" s="139" t="n">
        <v>0</v>
      </c>
      <c r="BY157" s="138" t="n">
        <v>0</v>
      </c>
      <c r="BZ157" s="139" t="n">
        <v>0</v>
      </c>
      <c r="CA157" s="140"/>
      <c r="CB157" s="138" t="n">
        <v>0</v>
      </c>
      <c r="CC157" s="139" t="n">
        <v>0</v>
      </c>
      <c r="CD157" s="138" t="n">
        <v>0</v>
      </c>
      <c r="CE157" s="139" t="n">
        <v>0</v>
      </c>
      <c r="CF157" s="138" t="n">
        <v>0</v>
      </c>
      <c r="CG157" s="139" t="n">
        <v>0</v>
      </c>
      <c r="CH157" s="138" t="n">
        <v>0</v>
      </c>
      <c r="CI157" s="139" t="n">
        <v>0</v>
      </c>
      <c r="CK157" s="143"/>
      <c r="CL157" s="137"/>
      <c r="CM157" s="144" t="str">
        <f aca="false">IFERROR(+$H157-($J157+$K157*$G157),"-")</f>
        <v>-</v>
      </c>
      <c r="CN157" s="137"/>
      <c r="CO157" s="144" t="str">
        <f aca="false">IFERROR(+$H157-($M157+$N157*$G157),"-")</f>
        <v>-</v>
      </c>
      <c r="CP157" s="144" t="str">
        <f aca="false">IFERROR(+$H157-($O157+$P157*$G157),"-")</f>
        <v>-</v>
      </c>
      <c r="CQ157" s="144" t="str">
        <f aca="false">IFERROR(+$H157-($Q157+$R157*$G157),"-")</f>
        <v>-</v>
      </c>
      <c r="CR157" s="144" t="str">
        <f aca="false">IFERROR(+$H157-($Q157+$R157*$G157),"-")</f>
        <v>-</v>
      </c>
      <c r="CS157" s="137"/>
      <c r="CT157" s="144" t="str">
        <f aca="false">IFERROR(+$H157-($V157+$W157*$G157),"-")</f>
        <v>-</v>
      </c>
      <c r="CU157" s="144" t="str">
        <f aca="false">IFERROR(+$H157-($X157+$Y157*$G157),"-")</f>
        <v>-</v>
      </c>
      <c r="CV157" s="144" t="str">
        <f aca="false">IFERROR(+$H157-($Z157+$AA157*$G157),"-")</f>
        <v>-</v>
      </c>
      <c r="CW157" s="144" t="str">
        <f aca="false">IFERROR(+$H157-($AB157+$AC157*$G157),"-")</f>
        <v>-</v>
      </c>
    </row>
    <row r="158" s="156" customFormat="true" ht="12.75" hidden="false" customHeight="true" outlineLevel="0" collapsed="false">
      <c r="A158" s="1"/>
      <c r="B158" s="161" t="s">
        <v>200</v>
      </c>
      <c r="C158" s="162" t="s">
        <v>241</v>
      </c>
      <c r="D158" s="147" t="e">
        <f aca="false">VLOOKUP($C158,#REF!,5,0)</f>
        <v>#VALUE!</v>
      </c>
      <c r="E158" s="148" t="e">
        <f aca="false">VLOOKUP($C158,#REF!,6,0)</f>
        <v>#VALUE!</v>
      </c>
      <c r="F158" s="146" t="e">
        <f aca="false">VLOOKUP($C158,#REF!,7,0)</f>
        <v>#VALUE!</v>
      </c>
      <c r="G158" s="146" t="e">
        <f aca="false">VLOOKUP($C158,#REF!,8,0)</f>
        <v>#VALUE!</v>
      </c>
      <c r="H158" s="149" t="e">
        <f aca="false">VLOOKUP($C158,#REF!,9,0)</f>
        <v>#VALUE!</v>
      </c>
      <c r="I158" s="137"/>
      <c r="J158" s="150" t="e">
        <f aca="false">VLOOKUP($C158,#REF!,10,0)</f>
        <v>#VALUE!</v>
      </c>
      <c r="K158" s="151" t="e">
        <f aca="false">VLOOKUP($C158,#REF!,11,0)</f>
        <v>#VALUE!</v>
      </c>
      <c r="L158" s="140"/>
      <c r="M158" s="150" t="e">
        <f aca="false">VLOOKUP($C158,#REF!,12,0)</f>
        <v>#VALUE!</v>
      </c>
      <c r="N158" s="152" t="e">
        <f aca="false">VLOOKUP($C158,#REF!,13,0)</f>
        <v>#VALUE!</v>
      </c>
      <c r="O158" s="150" t="e">
        <f aca="false">VLOOKUP($C158,#REF!,14,0)</f>
        <v>#VALUE!</v>
      </c>
      <c r="P158" s="152" t="e">
        <f aca="false">VLOOKUP($C158,#REF!,15,0)</f>
        <v>#VALUE!</v>
      </c>
      <c r="Q158" s="150" t="e">
        <f aca="false">VLOOKUP($C158,#REF!,16,0)</f>
        <v>#VALUE!</v>
      </c>
      <c r="R158" s="151" t="e">
        <f aca="false">VLOOKUP($C158,#REF!,17,0)</f>
        <v>#VALUE!</v>
      </c>
      <c r="S158" s="152" t="e">
        <f aca="false">VLOOKUP($C158,#REF!,18,0)</f>
        <v>#VALUE!</v>
      </c>
      <c r="T158" s="151" t="e">
        <f aca="false">VLOOKUP($C158,#REF!,19,0)</f>
        <v>#VALUE!</v>
      </c>
      <c r="U158" s="140"/>
      <c r="V158" s="150" t="e">
        <f aca="false">VLOOKUP($C158,#REF!,20,0)</f>
        <v>#VALUE!</v>
      </c>
      <c r="W158" s="152" t="e">
        <f aca="false">VLOOKUP($C158,#REF!,21,0)</f>
        <v>#VALUE!</v>
      </c>
      <c r="X158" s="150" t="e">
        <f aca="false">VLOOKUP($C158,#REF!,22,0)</f>
        <v>#VALUE!</v>
      </c>
      <c r="Y158" s="152" t="e">
        <f aca="false">VLOOKUP($C158,#REF!,23,0)</f>
        <v>#VALUE!</v>
      </c>
      <c r="Z158" s="150" t="e">
        <f aca="false">VLOOKUP($C158,#REF!,24,0)</f>
        <v>#VALUE!</v>
      </c>
      <c r="AA158" s="151" t="e">
        <f aca="false">VLOOKUP($C158,#REF!,25,0)</f>
        <v>#VALUE!</v>
      </c>
      <c r="AB158" s="152" t="e">
        <f aca="false">VLOOKUP($C158,#REF!,26,0)</f>
        <v>#VALUE!</v>
      </c>
      <c r="AC158" s="151" t="e">
        <f aca="false">VLOOKUP($C158,#REF!,27,0)</f>
        <v>#VALUE!</v>
      </c>
      <c r="AD158" s="1"/>
      <c r="AE158" s="150" t="e">
        <f aca="false">IF(M158="-","-","0,5 GB")</f>
        <v>#VALUE!</v>
      </c>
      <c r="AF158" s="153" t="s">
        <v>92</v>
      </c>
      <c r="AG158" s="153" t="s">
        <v>93</v>
      </c>
      <c r="AH158" s="151" t="s">
        <v>94</v>
      </c>
      <c r="AI158" s="1"/>
      <c r="AJ158" s="150" t="s">
        <v>95</v>
      </c>
      <c r="AK158" s="153" t="s">
        <v>96</v>
      </c>
      <c r="AL158" s="153" t="s">
        <v>97</v>
      </c>
      <c r="AM158" s="153" t="s">
        <v>98</v>
      </c>
      <c r="AN158" s="153" t="s">
        <v>98</v>
      </c>
      <c r="AO158" s="151" t="s">
        <v>92</v>
      </c>
      <c r="AP158" s="1"/>
      <c r="AQ158" s="154" t="n">
        <v>0</v>
      </c>
      <c r="AR158" s="137"/>
      <c r="AS158" s="150" t="n">
        <v>0</v>
      </c>
      <c r="AT158" s="151" t="n">
        <v>0</v>
      </c>
      <c r="AU158" s="140"/>
      <c r="AV158" s="150" t="n">
        <f aca="false">IFERROR(ROUND($D158-M158-AW158,0),0)</f>
        <v>0</v>
      </c>
      <c r="AW158" s="151" t="n">
        <f aca="false">IFERROR(N158*$G158,0)</f>
        <v>0</v>
      </c>
      <c r="AX158" s="150" t="n">
        <f aca="false">IFERROR(ROUND($D158-O158-AY158,0),0)</f>
        <v>0</v>
      </c>
      <c r="AY158" s="151" t="n">
        <f aca="false">IFERROR(P158*$G158,0)</f>
        <v>0</v>
      </c>
      <c r="AZ158" s="150" t="n">
        <f aca="false">IFERROR(ROUND($D158-Q158-BA158,0),0)</f>
        <v>0</v>
      </c>
      <c r="BA158" s="151" t="n">
        <f aca="false">IFERROR(R158*$G158,0)</f>
        <v>0</v>
      </c>
      <c r="BB158" s="152" t="n">
        <f aca="false">IFERROR(ROUND($D158-S158-BC158,0),0)</f>
        <v>0</v>
      </c>
      <c r="BC158" s="151" t="n">
        <f aca="false">IFERROR(T158*$G158,0)</f>
        <v>0</v>
      </c>
      <c r="BD158" s="140"/>
      <c r="BE158" s="150" t="n">
        <f aca="false">IFERROR(ROUND($D158-V158-BF158,0),0)</f>
        <v>0</v>
      </c>
      <c r="BF158" s="151" t="n">
        <f aca="false">IFERROR(W158*$G158,0)</f>
        <v>0</v>
      </c>
      <c r="BG158" s="150" t="n">
        <f aca="false">IFERROR(ROUND($D158-X158-BH158,0),0)</f>
        <v>0</v>
      </c>
      <c r="BH158" s="151" t="n">
        <f aca="false">IFERROR(Y158*$G158,0)</f>
        <v>0</v>
      </c>
      <c r="BI158" s="152" t="n">
        <f aca="false">IFERROR(ROUND($D158-Z158-BJ158,0),0)</f>
        <v>0</v>
      </c>
      <c r="BJ158" s="151" t="n">
        <f aca="false">IFERROR(AA158*$G158,0)</f>
        <v>0</v>
      </c>
      <c r="BK158" s="152" t="n">
        <f aca="false">IFERROR(ROUND($D158-AB158-BL158,0),0)</f>
        <v>0</v>
      </c>
      <c r="BL158" s="151" t="n">
        <f aca="false">IFERROR(AC158*$G158,0)</f>
        <v>0</v>
      </c>
      <c r="BM158" s="1"/>
      <c r="BN158" s="154" t="n">
        <v>0</v>
      </c>
      <c r="BO158" s="155"/>
      <c r="BP158" s="150" t="n">
        <v>0</v>
      </c>
      <c r="BQ158" s="151" t="n">
        <v>0</v>
      </c>
      <c r="BR158" s="152"/>
      <c r="BS158" s="150" t="n">
        <v>0</v>
      </c>
      <c r="BT158" s="151" t="n">
        <v>0</v>
      </c>
      <c r="BU158" s="150" t="n">
        <v>0</v>
      </c>
      <c r="BV158" s="151" t="n">
        <v>0</v>
      </c>
      <c r="BW158" s="150" t="n">
        <v>0</v>
      </c>
      <c r="BX158" s="151" t="n">
        <v>0</v>
      </c>
      <c r="BY158" s="150" t="n">
        <v>0</v>
      </c>
      <c r="BZ158" s="151" t="n">
        <v>0</v>
      </c>
      <c r="CA158" s="152"/>
      <c r="CB158" s="150" t="n">
        <v>0</v>
      </c>
      <c r="CC158" s="151" t="n">
        <v>0</v>
      </c>
      <c r="CD158" s="150" t="n">
        <v>0</v>
      </c>
      <c r="CE158" s="151" t="n">
        <v>0</v>
      </c>
      <c r="CF158" s="150" t="n">
        <v>0</v>
      </c>
      <c r="CG158" s="151" t="n">
        <v>0</v>
      </c>
      <c r="CH158" s="150" t="n">
        <v>0</v>
      </c>
      <c r="CI158" s="151" t="n">
        <v>0</v>
      </c>
      <c r="CJ158" s="1"/>
      <c r="CK158" s="149"/>
      <c r="CL158" s="137"/>
      <c r="CM158" s="154" t="str">
        <f aca="false">IFERROR(+$H158-($J158+$K158*$G158),"-")</f>
        <v>-</v>
      </c>
      <c r="CN158" s="137"/>
      <c r="CO158" s="154" t="str">
        <f aca="false">IFERROR(+$H158-($M158+$N158*$G158),"-")</f>
        <v>-</v>
      </c>
      <c r="CP158" s="154" t="str">
        <f aca="false">IFERROR(+$H158-($O158+$P158*$G158),"-")</f>
        <v>-</v>
      </c>
      <c r="CQ158" s="154" t="str">
        <f aca="false">IFERROR(+$H158-($Q158+$R158*$G158),"-")</f>
        <v>-</v>
      </c>
      <c r="CR158" s="154" t="str">
        <f aca="false">IFERROR(+$H158-($Q158+$R158*$G158),"-")</f>
        <v>-</v>
      </c>
      <c r="CS158" s="137"/>
      <c r="CT158" s="154" t="str">
        <f aca="false">IFERROR(+$H158-($V158+$W158*$G158),"-")</f>
        <v>-</v>
      </c>
      <c r="CU158" s="154" t="str">
        <f aca="false">IFERROR(+$H158-($X158+$Y158*$G158),"-")</f>
        <v>-</v>
      </c>
      <c r="CV158" s="154" t="str">
        <f aca="false">IFERROR(+$H158-($Z158+$AA158*$G158),"-")</f>
        <v>-</v>
      </c>
      <c r="CW158" s="154" t="str">
        <f aca="false">IFERROR(+$H158-($AB158+$AC158*$G158),"-")</f>
        <v>-</v>
      </c>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row>
    <row r="159" s="1" customFormat="true" ht="12.75" hidden="false" customHeight="true" outlineLevel="0" collapsed="false">
      <c r="B159" s="159" t="s">
        <v>200</v>
      </c>
      <c r="C159" s="160" t="s">
        <v>242</v>
      </c>
      <c r="D159" s="136" t="e">
        <f aca="false">VLOOKUP($C159,#REF!,5,0)</f>
        <v>#VALUE!</v>
      </c>
      <c r="E159" s="157" t="e">
        <f aca="false">VLOOKUP($C159,#REF!,6,0)</f>
        <v>#VALUE!</v>
      </c>
      <c r="F159" s="135" t="e">
        <f aca="false">VLOOKUP($C159,#REF!,7,0)</f>
        <v>#VALUE!</v>
      </c>
      <c r="G159" s="135" t="e">
        <f aca="false">VLOOKUP($C159,#REF!,8,0)</f>
        <v>#VALUE!</v>
      </c>
      <c r="H159" s="158" t="e">
        <f aca="false">VLOOKUP($C159,#REF!,9,0)</f>
        <v>#VALUE!</v>
      </c>
      <c r="I159" s="137"/>
      <c r="J159" s="138" t="e">
        <f aca="false">VLOOKUP($C159,#REF!,10,0)</f>
        <v>#VALUE!</v>
      </c>
      <c r="K159" s="139" t="e">
        <f aca="false">VLOOKUP($C159,#REF!,11,0)</f>
        <v>#VALUE!</v>
      </c>
      <c r="L159" s="140"/>
      <c r="M159" s="138" t="e">
        <f aca="false">VLOOKUP($C159,#REF!,12,0)</f>
        <v>#VALUE!</v>
      </c>
      <c r="N159" s="140" t="e">
        <f aca="false">VLOOKUP($C159,#REF!,13,0)</f>
        <v>#VALUE!</v>
      </c>
      <c r="O159" s="138" t="e">
        <f aca="false">VLOOKUP($C159,#REF!,14,0)</f>
        <v>#VALUE!</v>
      </c>
      <c r="P159" s="140" t="e">
        <f aca="false">VLOOKUP($C159,#REF!,15,0)</f>
        <v>#VALUE!</v>
      </c>
      <c r="Q159" s="138" t="e">
        <f aca="false">VLOOKUP($C159,#REF!,16,0)</f>
        <v>#VALUE!</v>
      </c>
      <c r="R159" s="139" t="e">
        <f aca="false">VLOOKUP($C159,#REF!,17,0)</f>
        <v>#VALUE!</v>
      </c>
      <c r="S159" s="140" t="e">
        <f aca="false">VLOOKUP($C159,#REF!,18,0)</f>
        <v>#VALUE!</v>
      </c>
      <c r="T159" s="139" t="e">
        <f aca="false">VLOOKUP($C159,#REF!,19,0)</f>
        <v>#VALUE!</v>
      </c>
      <c r="U159" s="140"/>
      <c r="V159" s="138" t="e">
        <f aca="false">VLOOKUP($C159,#REF!,20,0)</f>
        <v>#VALUE!</v>
      </c>
      <c r="W159" s="140" t="e">
        <f aca="false">VLOOKUP($C159,#REF!,21,0)</f>
        <v>#VALUE!</v>
      </c>
      <c r="X159" s="138" t="e">
        <f aca="false">VLOOKUP($C159,#REF!,22,0)</f>
        <v>#VALUE!</v>
      </c>
      <c r="Y159" s="140" t="e">
        <f aca="false">VLOOKUP($C159,#REF!,23,0)</f>
        <v>#VALUE!</v>
      </c>
      <c r="Z159" s="138" t="e">
        <f aca="false">VLOOKUP($C159,#REF!,24,0)</f>
        <v>#VALUE!</v>
      </c>
      <c r="AA159" s="139" t="e">
        <f aca="false">VLOOKUP($C159,#REF!,25,0)</f>
        <v>#VALUE!</v>
      </c>
      <c r="AB159" s="140" t="e">
        <f aca="false">VLOOKUP($C159,#REF!,26,0)</f>
        <v>#VALUE!</v>
      </c>
      <c r="AC159" s="139" t="e">
        <f aca="false">VLOOKUP($C159,#REF!,27,0)</f>
        <v>#VALUE!</v>
      </c>
      <c r="AE159" s="138" t="e">
        <f aca="false">IF(M159="-","-","0,5 GB")</f>
        <v>#VALUE!</v>
      </c>
      <c r="AF159" s="141" t="s">
        <v>92</v>
      </c>
      <c r="AG159" s="141" t="s">
        <v>93</v>
      </c>
      <c r="AH159" s="139" t="s">
        <v>94</v>
      </c>
      <c r="AJ159" s="138" t="s">
        <v>95</v>
      </c>
      <c r="AK159" s="141" t="s">
        <v>96</v>
      </c>
      <c r="AL159" s="141" t="s">
        <v>97</v>
      </c>
      <c r="AM159" s="141" t="s">
        <v>98</v>
      </c>
      <c r="AN159" s="141" t="s">
        <v>98</v>
      </c>
      <c r="AO159" s="139" t="s">
        <v>92</v>
      </c>
      <c r="AQ159" s="142" t="n">
        <v>9</v>
      </c>
      <c r="AR159" s="137"/>
      <c r="AS159" s="138" t="n">
        <v>0</v>
      </c>
      <c r="AT159" s="139" t="n">
        <v>0</v>
      </c>
      <c r="AU159" s="140"/>
      <c r="AV159" s="138" t="n">
        <f aca="false">IFERROR(ROUND($D159-M159-AW159,0),0)</f>
        <v>0</v>
      </c>
      <c r="AW159" s="139" t="n">
        <f aca="false">IFERROR(N159*$G159,0)</f>
        <v>0</v>
      </c>
      <c r="AX159" s="138" t="n">
        <f aca="false">IFERROR(ROUND($D159-O159-AY159,0),0)</f>
        <v>0</v>
      </c>
      <c r="AY159" s="139" t="n">
        <f aca="false">IFERROR(P159*$G159,0)</f>
        <v>0</v>
      </c>
      <c r="AZ159" s="138" t="n">
        <f aca="false">IFERROR(ROUND($D159-Q159-BA159,0),0)</f>
        <v>0</v>
      </c>
      <c r="BA159" s="139" t="n">
        <f aca="false">IFERROR(R159*$G159,0)</f>
        <v>0</v>
      </c>
      <c r="BB159" s="140" t="n">
        <f aca="false">IFERROR(ROUND($D159-S159-BC159,0),0)</f>
        <v>0</v>
      </c>
      <c r="BC159" s="139" t="n">
        <f aca="false">IFERROR(T159*$G159,0)</f>
        <v>0</v>
      </c>
      <c r="BD159" s="140"/>
      <c r="BE159" s="138" t="n">
        <f aca="false">IFERROR(ROUND($D159-V159-BF159,0),0)</f>
        <v>0</v>
      </c>
      <c r="BF159" s="139" t="n">
        <f aca="false">IFERROR(W159*$G159,0)</f>
        <v>0</v>
      </c>
      <c r="BG159" s="138" t="n">
        <f aca="false">IFERROR(ROUND($D159-X159-BH159,0),0)</f>
        <v>0</v>
      </c>
      <c r="BH159" s="139" t="n">
        <f aca="false">IFERROR(Y159*$G159,0)</f>
        <v>0</v>
      </c>
      <c r="BI159" s="140" t="n">
        <f aca="false">IFERROR(ROUND($D159-Z159-BJ159,0),0)</f>
        <v>0</v>
      </c>
      <c r="BJ159" s="139" t="n">
        <f aca="false">IFERROR(AA159*$G159,0)</f>
        <v>0</v>
      </c>
      <c r="BK159" s="140" t="n">
        <f aca="false">IFERROR(ROUND($D159-AB159-BL159,0),0)</f>
        <v>0</v>
      </c>
      <c r="BL159" s="139" t="n">
        <f aca="false">IFERROR(AC159*$G159,0)</f>
        <v>0</v>
      </c>
      <c r="BN159" s="142" t="n">
        <v>0</v>
      </c>
      <c r="BO159" s="137"/>
      <c r="BP159" s="138" t="n">
        <v>0</v>
      </c>
      <c r="BQ159" s="139" t="n">
        <v>0</v>
      </c>
      <c r="BR159" s="140"/>
      <c r="BS159" s="138" t="n">
        <v>0</v>
      </c>
      <c r="BT159" s="139" t="n">
        <v>0</v>
      </c>
      <c r="BU159" s="138" t="n">
        <v>0</v>
      </c>
      <c r="BV159" s="139" t="n">
        <v>0</v>
      </c>
      <c r="BW159" s="138" t="n">
        <v>0</v>
      </c>
      <c r="BX159" s="139" t="n">
        <v>0</v>
      </c>
      <c r="BY159" s="138" t="n">
        <v>0</v>
      </c>
      <c r="BZ159" s="139" t="n">
        <v>0</v>
      </c>
      <c r="CA159" s="140"/>
      <c r="CB159" s="138" t="n">
        <v>0</v>
      </c>
      <c r="CC159" s="139" t="n">
        <v>0</v>
      </c>
      <c r="CD159" s="138" t="n">
        <v>0</v>
      </c>
      <c r="CE159" s="139" t="n">
        <v>0</v>
      </c>
      <c r="CF159" s="138" t="n">
        <v>0</v>
      </c>
      <c r="CG159" s="139" t="n">
        <v>0</v>
      </c>
      <c r="CH159" s="138" t="n">
        <v>0</v>
      </c>
      <c r="CI159" s="139" t="n">
        <v>0</v>
      </c>
      <c r="CK159" s="143"/>
      <c r="CL159" s="137"/>
      <c r="CM159" s="144" t="str">
        <f aca="false">IFERROR(+$H159-($J159+$K159*$G159),"-")</f>
        <v>-</v>
      </c>
      <c r="CN159" s="137"/>
      <c r="CO159" s="144" t="str">
        <f aca="false">IFERROR(+$H159-($M159+$N159*$G159),"-")</f>
        <v>-</v>
      </c>
      <c r="CP159" s="144" t="str">
        <f aca="false">IFERROR(+$H159-($O159+$P159*$G159),"-")</f>
        <v>-</v>
      </c>
      <c r="CQ159" s="144" t="str">
        <f aca="false">IFERROR(+$H159-($Q159+$R159*$G159),"-")</f>
        <v>-</v>
      </c>
      <c r="CR159" s="144" t="str">
        <f aca="false">IFERROR(+$H159-($Q159+$R159*$G159),"-")</f>
        <v>-</v>
      </c>
      <c r="CS159" s="137"/>
      <c r="CT159" s="144" t="str">
        <f aca="false">IFERROR(+$H159-($V159+$W159*$G159),"-")</f>
        <v>-</v>
      </c>
      <c r="CU159" s="144" t="str">
        <f aca="false">IFERROR(+$H159-($X159+$Y159*$G159),"-")</f>
        <v>-</v>
      </c>
      <c r="CV159" s="144" t="str">
        <f aca="false">IFERROR(+$H159-($Z159+$AA159*$G159),"-")</f>
        <v>-</v>
      </c>
      <c r="CW159" s="144" t="str">
        <f aca="false">IFERROR(+$H159-($AB159+$AC159*$G159),"-")</f>
        <v>-</v>
      </c>
    </row>
    <row r="160" s="156" customFormat="true" ht="12.75" hidden="false" customHeight="true" outlineLevel="0" collapsed="false">
      <c r="A160" s="1"/>
      <c r="B160" s="161" t="s">
        <v>200</v>
      </c>
      <c r="C160" s="162" t="s">
        <v>243</v>
      </c>
      <c r="D160" s="147" t="e">
        <f aca="false">VLOOKUP($C160,#REF!,5,0)</f>
        <v>#VALUE!</v>
      </c>
      <c r="E160" s="148" t="e">
        <f aca="false">VLOOKUP($C160,#REF!,6,0)</f>
        <v>#VALUE!</v>
      </c>
      <c r="F160" s="146" t="e">
        <f aca="false">VLOOKUP($C160,#REF!,7,0)</f>
        <v>#VALUE!</v>
      </c>
      <c r="G160" s="146" t="e">
        <f aca="false">VLOOKUP($C160,#REF!,8,0)</f>
        <v>#VALUE!</v>
      </c>
      <c r="H160" s="149" t="e">
        <f aca="false">VLOOKUP($C160,#REF!,9,0)</f>
        <v>#VALUE!</v>
      </c>
      <c r="I160" s="137"/>
      <c r="J160" s="150" t="e">
        <f aca="false">VLOOKUP($C160,#REF!,10,0)</f>
        <v>#VALUE!</v>
      </c>
      <c r="K160" s="151" t="e">
        <f aca="false">VLOOKUP($C160,#REF!,11,0)</f>
        <v>#VALUE!</v>
      </c>
      <c r="L160" s="140"/>
      <c r="M160" s="150" t="e">
        <f aca="false">VLOOKUP($C160,#REF!,12,0)</f>
        <v>#VALUE!</v>
      </c>
      <c r="N160" s="152" t="e">
        <f aca="false">VLOOKUP($C160,#REF!,13,0)</f>
        <v>#VALUE!</v>
      </c>
      <c r="O160" s="150" t="e">
        <f aca="false">VLOOKUP($C160,#REF!,14,0)</f>
        <v>#VALUE!</v>
      </c>
      <c r="P160" s="152" t="e">
        <f aca="false">VLOOKUP($C160,#REF!,15,0)</f>
        <v>#VALUE!</v>
      </c>
      <c r="Q160" s="150" t="e">
        <f aca="false">VLOOKUP($C160,#REF!,16,0)</f>
        <v>#VALUE!</v>
      </c>
      <c r="R160" s="151" t="e">
        <f aca="false">VLOOKUP($C160,#REF!,17,0)</f>
        <v>#VALUE!</v>
      </c>
      <c r="S160" s="152" t="e">
        <f aca="false">VLOOKUP($C160,#REF!,18,0)</f>
        <v>#VALUE!</v>
      </c>
      <c r="T160" s="151" t="e">
        <f aca="false">VLOOKUP($C160,#REF!,19,0)</f>
        <v>#VALUE!</v>
      </c>
      <c r="U160" s="140"/>
      <c r="V160" s="150" t="e">
        <f aca="false">VLOOKUP($C160,#REF!,20,0)</f>
        <v>#VALUE!</v>
      </c>
      <c r="W160" s="152" t="e">
        <f aca="false">VLOOKUP($C160,#REF!,21,0)</f>
        <v>#VALUE!</v>
      </c>
      <c r="X160" s="150" t="e">
        <f aca="false">VLOOKUP($C160,#REF!,22,0)</f>
        <v>#VALUE!</v>
      </c>
      <c r="Y160" s="152" t="e">
        <f aca="false">VLOOKUP($C160,#REF!,23,0)</f>
        <v>#VALUE!</v>
      </c>
      <c r="Z160" s="150" t="e">
        <f aca="false">VLOOKUP($C160,#REF!,24,0)</f>
        <v>#VALUE!</v>
      </c>
      <c r="AA160" s="151" t="e">
        <f aca="false">VLOOKUP($C160,#REF!,25,0)</f>
        <v>#VALUE!</v>
      </c>
      <c r="AB160" s="152" t="e">
        <f aca="false">VLOOKUP($C160,#REF!,26,0)</f>
        <v>#VALUE!</v>
      </c>
      <c r="AC160" s="151" t="e">
        <f aca="false">VLOOKUP($C160,#REF!,27,0)</f>
        <v>#VALUE!</v>
      </c>
      <c r="AD160" s="1"/>
      <c r="AE160" s="150" t="e">
        <f aca="false">IF(M160="-","-","0,5 GB")</f>
        <v>#VALUE!</v>
      </c>
      <c r="AF160" s="153" t="s">
        <v>92</v>
      </c>
      <c r="AG160" s="153" t="s">
        <v>93</v>
      </c>
      <c r="AH160" s="151" t="s">
        <v>94</v>
      </c>
      <c r="AI160" s="1"/>
      <c r="AJ160" s="150" t="s">
        <v>95</v>
      </c>
      <c r="AK160" s="153" t="s">
        <v>96</v>
      </c>
      <c r="AL160" s="153" t="s">
        <v>97</v>
      </c>
      <c r="AM160" s="153" t="s">
        <v>98</v>
      </c>
      <c r="AN160" s="153" t="s">
        <v>98</v>
      </c>
      <c r="AO160" s="151" t="s">
        <v>92</v>
      </c>
      <c r="AP160" s="1"/>
      <c r="AQ160" s="154" t="n">
        <v>17</v>
      </c>
      <c r="AR160" s="137"/>
      <c r="AS160" s="150" t="n">
        <v>0</v>
      </c>
      <c r="AT160" s="151" t="n">
        <v>0</v>
      </c>
      <c r="AU160" s="140"/>
      <c r="AV160" s="150" t="n">
        <f aca="false">IFERROR(ROUND($D160-M160-AW160,0),0)</f>
        <v>0</v>
      </c>
      <c r="AW160" s="151" t="n">
        <f aca="false">IFERROR(N160*$G160,0)</f>
        <v>0</v>
      </c>
      <c r="AX160" s="150" t="n">
        <f aca="false">IFERROR(ROUND($D160-O160-AY160,0),0)</f>
        <v>0</v>
      </c>
      <c r="AY160" s="151" t="n">
        <f aca="false">IFERROR(P160*$G160,0)</f>
        <v>0</v>
      </c>
      <c r="AZ160" s="150" t="n">
        <f aca="false">IFERROR(ROUND($D160-Q160-BA160,0),0)</f>
        <v>0</v>
      </c>
      <c r="BA160" s="151" t="n">
        <f aca="false">IFERROR(R160*$G160,0)</f>
        <v>0</v>
      </c>
      <c r="BB160" s="152" t="n">
        <f aca="false">IFERROR(ROUND($D160-S160-BC160,0),0)</f>
        <v>0</v>
      </c>
      <c r="BC160" s="151" t="n">
        <f aca="false">IFERROR(T160*$G160,0)</f>
        <v>0</v>
      </c>
      <c r="BD160" s="140"/>
      <c r="BE160" s="150" t="n">
        <f aca="false">IFERROR(ROUND($D160-V160-BF160,0),0)</f>
        <v>0</v>
      </c>
      <c r="BF160" s="151" t="n">
        <f aca="false">IFERROR(W160*$G160,0)</f>
        <v>0</v>
      </c>
      <c r="BG160" s="150" t="n">
        <f aca="false">IFERROR(ROUND($D160-X160-BH160,0),0)</f>
        <v>0</v>
      </c>
      <c r="BH160" s="151" t="n">
        <f aca="false">IFERROR(Y160*$G160,0)</f>
        <v>0</v>
      </c>
      <c r="BI160" s="152" t="n">
        <f aca="false">IFERROR(ROUND($D160-Z160-BJ160,0),0)</f>
        <v>0</v>
      </c>
      <c r="BJ160" s="151" t="n">
        <f aca="false">IFERROR(AA160*$G160,0)</f>
        <v>0</v>
      </c>
      <c r="BK160" s="152" t="n">
        <f aca="false">IFERROR(ROUND($D160-AB160-BL160,0),0)</f>
        <v>0</v>
      </c>
      <c r="BL160" s="151" t="n">
        <f aca="false">IFERROR(AC160*$G160,0)</f>
        <v>0</v>
      </c>
      <c r="BM160" s="1"/>
      <c r="BN160" s="154" t="n">
        <v>0</v>
      </c>
      <c r="BO160" s="155"/>
      <c r="BP160" s="150" t="n">
        <v>0</v>
      </c>
      <c r="BQ160" s="151" t="n">
        <v>0</v>
      </c>
      <c r="BR160" s="152"/>
      <c r="BS160" s="150" t="n">
        <v>0</v>
      </c>
      <c r="BT160" s="151" t="n">
        <v>0</v>
      </c>
      <c r="BU160" s="150" t="n">
        <v>0</v>
      </c>
      <c r="BV160" s="151" t="n">
        <v>0</v>
      </c>
      <c r="BW160" s="150" t="n">
        <v>0</v>
      </c>
      <c r="BX160" s="151" t="n">
        <v>0</v>
      </c>
      <c r="BY160" s="150" t="n">
        <v>0</v>
      </c>
      <c r="BZ160" s="151" t="n">
        <v>0</v>
      </c>
      <c r="CA160" s="152"/>
      <c r="CB160" s="150" t="n">
        <v>0</v>
      </c>
      <c r="CC160" s="151" t="n">
        <v>0</v>
      </c>
      <c r="CD160" s="150" t="n">
        <v>0</v>
      </c>
      <c r="CE160" s="151" t="n">
        <v>0</v>
      </c>
      <c r="CF160" s="150" t="n">
        <v>0</v>
      </c>
      <c r="CG160" s="151" t="n">
        <v>0</v>
      </c>
      <c r="CH160" s="150" t="n">
        <v>0</v>
      </c>
      <c r="CI160" s="151" t="n">
        <v>0</v>
      </c>
      <c r="CJ160" s="1"/>
      <c r="CK160" s="149"/>
      <c r="CL160" s="137"/>
      <c r="CM160" s="154" t="str">
        <f aca="false">IFERROR(+$H160-($J160+$K160*$G160),"-")</f>
        <v>-</v>
      </c>
      <c r="CN160" s="137"/>
      <c r="CO160" s="154" t="str">
        <f aca="false">IFERROR(+$H160-($M160+$N160*$G160),"-")</f>
        <v>-</v>
      </c>
      <c r="CP160" s="154" t="str">
        <f aca="false">IFERROR(+$H160-($O160+$P160*$G160),"-")</f>
        <v>-</v>
      </c>
      <c r="CQ160" s="154" t="str">
        <f aca="false">IFERROR(+$H160-($Q160+$R160*$G160),"-")</f>
        <v>-</v>
      </c>
      <c r="CR160" s="154" t="str">
        <f aca="false">IFERROR(+$H160-($Q160+$R160*$G160),"-")</f>
        <v>-</v>
      </c>
      <c r="CS160" s="137"/>
      <c r="CT160" s="154" t="str">
        <f aca="false">IFERROR(+$H160-($V160+$W160*$G160),"-")</f>
        <v>-</v>
      </c>
      <c r="CU160" s="154" t="str">
        <f aca="false">IFERROR(+$H160-($X160+$Y160*$G160),"-")</f>
        <v>-</v>
      </c>
      <c r="CV160" s="154" t="str">
        <f aca="false">IFERROR(+$H160-($Z160+$AA160*$G160),"-")</f>
        <v>-</v>
      </c>
      <c r="CW160" s="154" t="str">
        <f aca="false">IFERROR(+$H160-($AB160+$AC160*$G160),"-")</f>
        <v>-</v>
      </c>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row>
    <row r="161" s="1" customFormat="true" ht="12.75" hidden="false" customHeight="true" outlineLevel="0" collapsed="false">
      <c r="B161" s="159" t="s">
        <v>200</v>
      </c>
      <c r="C161" s="160" t="s">
        <v>244</v>
      </c>
      <c r="D161" s="136" t="e">
        <f aca="false">VLOOKUP($C161,#REF!,5,0)</f>
        <v>#VALUE!</v>
      </c>
      <c r="E161" s="157" t="e">
        <f aca="false">VLOOKUP($C161,#REF!,6,0)</f>
        <v>#VALUE!</v>
      </c>
      <c r="F161" s="135" t="e">
        <f aca="false">VLOOKUP($C161,#REF!,7,0)</f>
        <v>#VALUE!</v>
      </c>
      <c r="G161" s="135" t="e">
        <f aca="false">VLOOKUP($C161,#REF!,8,0)</f>
        <v>#VALUE!</v>
      </c>
      <c r="H161" s="158" t="e">
        <f aca="false">VLOOKUP($C161,#REF!,9,0)</f>
        <v>#VALUE!</v>
      </c>
      <c r="I161" s="137"/>
      <c r="J161" s="138" t="e">
        <f aca="false">VLOOKUP($C161,#REF!,10,0)</f>
        <v>#VALUE!</v>
      </c>
      <c r="K161" s="139" t="e">
        <f aca="false">VLOOKUP($C161,#REF!,11,0)</f>
        <v>#VALUE!</v>
      </c>
      <c r="L161" s="140"/>
      <c r="M161" s="138" t="e">
        <f aca="false">VLOOKUP($C161,#REF!,12,0)</f>
        <v>#VALUE!</v>
      </c>
      <c r="N161" s="140" t="e">
        <f aca="false">VLOOKUP($C161,#REF!,13,0)</f>
        <v>#VALUE!</v>
      </c>
      <c r="O161" s="138" t="e">
        <f aca="false">VLOOKUP($C161,#REF!,14,0)</f>
        <v>#VALUE!</v>
      </c>
      <c r="P161" s="140" t="e">
        <f aca="false">VLOOKUP($C161,#REF!,15,0)</f>
        <v>#VALUE!</v>
      </c>
      <c r="Q161" s="138" t="e">
        <f aca="false">VLOOKUP($C161,#REF!,16,0)</f>
        <v>#VALUE!</v>
      </c>
      <c r="R161" s="139" t="e">
        <f aca="false">VLOOKUP($C161,#REF!,17,0)</f>
        <v>#VALUE!</v>
      </c>
      <c r="S161" s="140" t="e">
        <f aca="false">VLOOKUP($C161,#REF!,18,0)</f>
        <v>#VALUE!</v>
      </c>
      <c r="T161" s="139" t="e">
        <f aca="false">VLOOKUP($C161,#REF!,19,0)</f>
        <v>#VALUE!</v>
      </c>
      <c r="U161" s="140"/>
      <c r="V161" s="138" t="e">
        <f aca="false">VLOOKUP($C161,#REF!,20,0)</f>
        <v>#VALUE!</v>
      </c>
      <c r="W161" s="140" t="e">
        <f aca="false">VLOOKUP($C161,#REF!,21,0)</f>
        <v>#VALUE!</v>
      </c>
      <c r="X161" s="138" t="e">
        <f aca="false">VLOOKUP($C161,#REF!,22,0)</f>
        <v>#VALUE!</v>
      </c>
      <c r="Y161" s="140" t="e">
        <f aca="false">VLOOKUP($C161,#REF!,23,0)</f>
        <v>#VALUE!</v>
      </c>
      <c r="Z161" s="138" t="e">
        <f aca="false">VLOOKUP($C161,#REF!,24,0)</f>
        <v>#VALUE!</v>
      </c>
      <c r="AA161" s="139" t="e">
        <f aca="false">VLOOKUP($C161,#REF!,25,0)</f>
        <v>#VALUE!</v>
      </c>
      <c r="AB161" s="140" t="e">
        <f aca="false">VLOOKUP($C161,#REF!,26,0)</f>
        <v>#VALUE!</v>
      </c>
      <c r="AC161" s="139" t="e">
        <f aca="false">VLOOKUP($C161,#REF!,27,0)</f>
        <v>#VALUE!</v>
      </c>
      <c r="AE161" s="138" t="e">
        <f aca="false">IF(M161="-","-","0,5 GB")</f>
        <v>#VALUE!</v>
      </c>
      <c r="AF161" s="141" t="s">
        <v>92</v>
      </c>
      <c r="AG161" s="141" t="s">
        <v>93</v>
      </c>
      <c r="AH161" s="139" t="s">
        <v>94</v>
      </c>
      <c r="AJ161" s="138" t="s">
        <v>95</v>
      </c>
      <c r="AK161" s="141" t="s">
        <v>96</v>
      </c>
      <c r="AL161" s="141" t="s">
        <v>97</v>
      </c>
      <c r="AM161" s="141" t="s">
        <v>98</v>
      </c>
      <c r="AN161" s="141" t="s">
        <v>98</v>
      </c>
      <c r="AO161" s="139" t="s">
        <v>92</v>
      </c>
      <c r="AQ161" s="142" t="n">
        <v>41</v>
      </c>
      <c r="AR161" s="137"/>
      <c r="AS161" s="138" t="n">
        <v>0</v>
      </c>
      <c r="AT161" s="139" t="n">
        <v>0</v>
      </c>
      <c r="AU161" s="140"/>
      <c r="AV161" s="138" t="n">
        <f aca="false">IFERROR(ROUND($D161-M161-AW161,0),0)</f>
        <v>0</v>
      </c>
      <c r="AW161" s="139" t="n">
        <f aca="false">IFERROR(N161*$G161,0)</f>
        <v>0</v>
      </c>
      <c r="AX161" s="138" t="n">
        <f aca="false">IFERROR(ROUND($D161-O161-AY161,0),0)</f>
        <v>0</v>
      </c>
      <c r="AY161" s="139" t="n">
        <f aca="false">IFERROR(P161*$G161,0)</f>
        <v>0</v>
      </c>
      <c r="AZ161" s="138" t="n">
        <f aca="false">IFERROR(ROUND($D161-Q161-BA161,0),0)</f>
        <v>0</v>
      </c>
      <c r="BA161" s="139" t="n">
        <f aca="false">IFERROR(R161*$G161,0)</f>
        <v>0</v>
      </c>
      <c r="BB161" s="140" t="n">
        <f aca="false">IFERROR(ROUND($D161-S161-BC161,0),0)</f>
        <v>0</v>
      </c>
      <c r="BC161" s="139" t="n">
        <f aca="false">IFERROR(T161*$G161,0)</f>
        <v>0</v>
      </c>
      <c r="BD161" s="140"/>
      <c r="BE161" s="138" t="n">
        <f aca="false">IFERROR(ROUND($D161-V161-BF161,0),0)</f>
        <v>0</v>
      </c>
      <c r="BF161" s="139" t="n">
        <f aca="false">IFERROR(W161*$G161,0)</f>
        <v>0</v>
      </c>
      <c r="BG161" s="138" t="n">
        <f aca="false">IFERROR(ROUND($D161-X161-BH161,0),0)</f>
        <v>0</v>
      </c>
      <c r="BH161" s="139" t="n">
        <f aca="false">IFERROR(Y161*$G161,0)</f>
        <v>0</v>
      </c>
      <c r="BI161" s="140" t="n">
        <f aca="false">IFERROR(ROUND($D161-Z161-BJ161,0),0)</f>
        <v>0</v>
      </c>
      <c r="BJ161" s="139" t="n">
        <f aca="false">IFERROR(AA161*$G161,0)</f>
        <v>0</v>
      </c>
      <c r="BK161" s="140" t="n">
        <f aca="false">IFERROR(ROUND($D161-AB161-BL161,0),0)</f>
        <v>0</v>
      </c>
      <c r="BL161" s="139" t="n">
        <f aca="false">IFERROR(AC161*$G161,0)</f>
        <v>0</v>
      </c>
      <c r="BN161" s="142" t="n">
        <v>0</v>
      </c>
      <c r="BO161" s="137"/>
      <c r="BP161" s="138" t="n">
        <v>0</v>
      </c>
      <c r="BQ161" s="139" t="n">
        <v>0</v>
      </c>
      <c r="BR161" s="140"/>
      <c r="BS161" s="138" t="n">
        <v>0</v>
      </c>
      <c r="BT161" s="139" t="n">
        <v>0</v>
      </c>
      <c r="BU161" s="138" t="n">
        <v>0</v>
      </c>
      <c r="BV161" s="139" t="n">
        <v>0</v>
      </c>
      <c r="BW161" s="138" t="n">
        <v>0</v>
      </c>
      <c r="BX161" s="139" t="n">
        <v>0</v>
      </c>
      <c r="BY161" s="138" t="n">
        <v>0</v>
      </c>
      <c r="BZ161" s="139" t="n">
        <v>0</v>
      </c>
      <c r="CA161" s="140"/>
      <c r="CB161" s="138" t="n">
        <v>0</v>
      </c>
      <c r="CC161" s="139" t="n">
        <v>0</v>
      </c>
      <c r="CD161" s="138" t="n">
        <v>0</v>
      </c>
      <c r="CE161" s="139" t="n">
        <v>0</v>
      </c>
      <c r="CF161" s="138" t="n">
        <v>0</v>
      </c>
      <c r="CG161" s="139" t="n">
        <v>0</v>
      </c>
      <c r="CH161" s="138" t="n">
        <v>0</v>
      </c>
      <c r="CI161" s="139" t="n">
        <v>0</v>
      </c>
      <c r="CK161" s="143"/>
      <c r="CL161" s="137"/>
      <c r="CM161" s="144" t="str">
        <f aca="false">IFERROR(+$H161-($J161+$K161*$G161),"-")</f>
        <v>-</v>
      </c>
      <c r="CN161" s="137"/>
      <c r="CO161" s="144" t="str">
        <f aca="false">IFERROR(+$H161-($M161+$N161*$G161),"-")</f>
        <v>-</v>
      </c>
      <c r="CP161" s="144" t="str">
        <f aca="false">IFERROR(+$H161-($O161+$P161*$G161),"-")</f>
        <v>-</v>
      </c>
      <c r="CQ161" s="144" t="str">
        <f aca="false">IFERROR(+$H161-($Q161+$R161*$G161),"-")</f>
        <v>-</v>
      </c>
      <c r="CR161" s="144" t="str">
        <f aca="false">IFERROR(+$H161-($Q161+$R161*$G161),"-")</f>
        <v>-</v>
      </c>
      <c r="CS161" s="137"/>
      <c r="CT161" s="144" t="str">
        <f aca="false">IFERROR(+$H161-($V161+$W161*$G161),"-")</f>
        <v>-</v>
      </c>
      <c r="CU161" s="144" t="str">
        <f aca="false">IFERROR(+$H161-($X161+$Y161*$G161),"-")</f>
        <v>-</v>
      </c>
      <c r="CV161" s="144" t="str">
        <f aca="false">IFERROR(+$H161-($Z161+$AA161*$G161),"-")</f>
        <v>-</v>
      </c>
      <c r="CW161" s="144" t="str">
        <f aca="false">IFERROR(+$H161-($AB161+$AC161*$G161),"-")</f>
        <v>-</v>
      </c>
    </row>
    <row r="162" s="156" customFormat="true" ht="12.75" hidden="false" customHeight="true" outlineLevel="0" collapsed="false">
      <c r="A162" s="1"/>
      <c r="B162" s="145" t="s">
        <v>200</v>
      </c>
      <c r="C162" s="146" t="s">
        <v>245</v>
      </c>
      <c r="D162" s="147" t="e">
        <f aca="false">VLOOKUP($C162,#REF!,5,0)</f>
        <v>#VALUE!</v>
      </c>
      <c r="E162" s="148" t="e">
        <f aca="false">VLOOKUP($C162,#REF!,6,0)</f>
        <v>#VALUE!</v>
      </c>
      <c r="F162" s="146" t="e">
        <f aca="false">VLOOKUP($C162,#REF!,7,0)</f>
        <v>#VALUE!</v>
      </c>
      <c r="G162" s="146" t="e">
        <f aca="false">VLOOKUP($C162,#REF!,8,0)</f>
        <v>#VALUE!</v>
      </c>
      <c r="H162" s="149" t="e">
        <f aca="false">VLOOKUP($C162,#REF!,9,0)</f>
        <v>#VALUE!</v>
      </c>
      <c r="I162" s="137"/>
      <c r="J162" s="150" t="e">
        <f aca="false">VLOOKUP($C162,#REF!,10,0)</f>
        <v>#VALUE!</v>
      </c>
      <c r="K162" s="151" t="e">
        <f aca="false">VLOOKUP($C162,#REF!,11,0)</f>
        <v>#VALUE!</v>
      </c>
      <c r="L162" s="140"/>
      <c r="M162" s="150" t="e">
        <f aca="false">VLOOKUP($C162,#REF!,12,0)</f>
        <v>#VALUE!</v>
      </c>
      <c r="N162" s="152" t="e">
        <f aca="false">VLOOKUP($C162,#REF!,13,0)</f>
        <v>#VALUE!</v>
      </c>
      <c r="O162" s="150" t="e">
        <f aca="false">VLOOKUP($C162,#REF!,14,0)</f>
        <v>#VALUE!</v>
      </c>
      <c r="P162" s="152" t="e">
        <f aca="false">VLOOKUP($C162,#REF!,15,0)</f>
        <v>#VALUE!</v>
      </c>
      <c r="Q162" s="150" t="e">
        <f aca="false">VLOOKUP($C162,#REF!,16,0)</f>
        <v>#VALUE!</v>
      </c>
      <c r="R162" s="151" t="e">
        <f aca="false">VLOOKUP($C162,#REF!,17,0)</f>
        <v>#VALUE!</v>
      </c>
      <c r="S162" s="152" t="e">
        <f aca="false">VLOOKUP($C162,#REF!,18,0)</f>
        <v>#VALUE!</v>
      </c>
      <c r="T162" s="151" t="e">
        <f aca="false">VLOOKUP($C162,#REF!,19,0)</f>
        <v>#VALUE!</v>
      </c>
      <c r="U162" s="140"/>
      <c r="V162" s="150" t="e">
        <f aca="false">VLOOKUP($C162,#REF!,20,0)</f>
        <v>#VALUE!</v>
      </c>
      <c r="W162" s="152" t="e">
        <f aca="false">VLOOKUP($C162,#REF!,21,0)</f>
        <v>#VALUE!</v>
      </c>
      <c r="X162" s="150" t="e">
        <f aca="false">VLOOKUP($C162,#REF!,22,0)</f>
        <v>#VALUE!</v>
      </c>
      <c r="Y162" s="152" t="e">
        <f aca="false">VLOOKUP($C162,#REF!,23,0)</f>
        <v>#VALUE!</v>
      </c>
      <c r="Z162" s="150" t="e">
        <f aca="false">VLOOKUP($C162,#REF!,24,0)</f>
        <v>#VALUE!</v>
      </c>
      <c r="AA162" s="151" t="e">
        <f aca="false">VLOOKUP($C162,#REF!,25,0)</f>
        <v>#VALUE!</v>
      </c>
      <c r="AB162" s="152" t="e">
        <f aca="false">VLOOKUP($C162,#REF!,26,0)</f>
        <v>#VALUE!</v>
      </c>
      <c r="AC162" s="151" t="e">
        <f aca="false">VLOOKUP($C162,#REF!,27,0)</f>
        <v>#VALUE!</v>
      </c>
      <c r="AD162" s="1"/>
      <c r="AE162" s="150" t="e">
        <f aca="false">IF(M162="-","-","0,5 GB")</f>
        <v>#VALUE!</v>
      </c>
      <c r="AF162" s="153" t="s">
        <v>92</v>
      </c>
      <c r="AG162" s="153" t="s">
        <v>93</v>
      </c>
      <c r="AH162" s="151" t="s">
        <v>94</v>
      </c>
      <c r="AI162" s="1"/>
      <c r="AJ162" s="150" t="s">
        <v>95</v>
      </c>
      <c r="AK162" s="153" t="s">
        <v>96</v>
      </c>
      <c r="AL162" s="153" t="s">
        <v>97</v>
      </c>
      <c r="AM162" s="153" t="s">
        <v>98</v>
      </c>
      <c r="AN162" s="153" t="s">
        <v>98</v>
      </c>
      <c r="AO162" s="151" t="s">
        <v>92</v>
      </c>
      <c r="AP162" s="1"/>
      <c r="AQ162" s="154" t="n">
        <v>25</v>
      </c>
      <c r="AR162" s="137"/>
      <c r="AS162" s="150" t="n">
        <v>0</v>
      </c>
      <c r="AT162" s="151" t="n">
        <v>0</v>
      </c>
      <c r="AU162" s="140"/>
      <c r="AV162" s="150" t="n">
        <f aca="false">IFERROR(ROUND($D162-M162-AW162,0),0)</f>
        <v>0</v>
      </c>
      <c r="AW162" s="151" t="n">
        <f aca="false">IFERROR(N162*$G162,0)</f>
        <v>0</v>
      </c>
      <c r="AX162" s="150" t="n">
        <f aca="false">IFERROR(ROUND($D162-O162-AY162,0),0)</f>
        <v>0</v>
      </c>
      <c r="AY162" s="151" t="n">
        <f aca="false">IFERROR(P162*$G162,0)</f>
        <v>0</v>
      </c>
      <c r="AZ162" s="150" t="n">
        <f aca="false">IFERROR(ROUND($D162-Q162-BA162,0),0)</f>
        <v>0</v>
      </c>
      <c r="BA162" s="151" t="n">
        <f aca="false">IFERROR(R162*$G162,0)</f>
        <v>0</v>
      </c>
      <c r="BB162" s="152" t="n">
        <f aca="false">IFERROR(ROUND($D162-S162-BC162,0),0)</f>
        <v>0</v>
      </c>
      <c r="BC162" s="151" t="n">
        <f aca="false">IFERROR(T162*$G162,0)</f>
        <v>0</v>
      </c>
      <c r="BD162" s="140"/>
      <c r="BE162" s="150" t="n">
        <f aca="false">IFERROR(ROUND($D162-V162-BF162,0),0)</f>
        <v>0</v>
      </c>
      <c r="BF162" s="151" t="n">
        <f aca="false">IFERROR(W162*$G162,0)</f>
        <v>0</v>
      </c>
      <c r="BG162" s="150" t="n">
        <f aca="false">IFERROR(ROUND($D162-X162-BH162,0),0)</f>
        <v>0</v>
      </c>
      <c r="BH162" s="151" t="n">
        <f aca="false">IFERROR(Y162*$G162,0)</f>
        <v>0</v>
      </c>
      <c r="BI162" s="152" t="n">
        <f aca="false">IFERROR(ROUND($D162-Z162-BJ162,0),0)</f>
        <v>0</v>
      </c>
      <c r="BJ162" s="151" t="n">
        <f aca="false">IFERROR(AA162*$G162,0)</f>
        <v>0</v>
      </c>
      <c r="BK162" s="152" t="n">
        <f aca="false">IFERROR(ROUND($D162-AB162-BL162,0),0)</f>
        <v>0</v>
      </c>
      <c r="BL162" s="151" t="n">
        <f aca="false">IFERROR(AC162*$G162,0)</f>
        <v>0</v>
      </c>
      <c r="BM162" s="1"/>
      <c r="BN162" s="154" t="n">
        <v>8.27000000000001</v>
      </c>
      <c r="BO162" s="155"/>
      <c r="BP162" s="150" t="n">
        <v>8.27000000000001</v>
      </c>
      <c r="BQ162" s="151" t="n">
        <v>0</v>
      </c>
      <c r="BR162" s="152"/>
      <c r="BS162" s="150" t="n">
        <v>0</v>
      </c>
      <c r="BT162" s="151" t="n">
        <v>0</v>
      </c>
      <c r="BU162" s="150" t="n">
        <v>0</v>
      </c>
      <c r="BV162" s="151" t="n">
        <v>0</v>
      </c>
      <c r="BW162" s="150" t="n">
        <v>0</v>
      </c>
      <c r="BX162" s="151" t="n">
        <v>0</v>
      </c>
      <c r="BY162" s="150" t="n">
        <v>0</v>
      </c>
      <c r="BZ162" s="151" t="n">
        <v>0</v>
      </c>
      <c r="CA162" s="152"/>
      <c r="CB162" s="150" t="n">
        <v>0</v>
      </c>
      <c r="CC162" s="151" t="n">
        <v>0</v>
      </c>
      <c r="CD162" s="150" t="n">
        <v>0</v>
      </c>
      <c r="CE162" s="151" t="n">
        <v>0</v>
      </c>
      <c r="CF162" s="150" t="n">
        <v>0</v>
      </c>
      <c r="CG162" s="151" t="n">
        <v>0</v>
      </c>
      <c r="CH162" s="150" t="n">
        <v>0</v>
      </c>
      <c r="CI162" s="151" t="n">
        <v>0</v>
      </c>
      <c r="CJ162" s="1"/>
      <c r="CK162" s="149"/>
      <c r="CL162" s="137"/>
      <c r="CM162" s="154" t="str">
        <f aca="false">IFERROR(+$H162-($J162+$K162*$G162),"-")</f>
        <v>-</v>
      </c>
      <c r="CN162" s="137"/>
      <c r="CO162" s="154" t="str">
        <f aca="false">IFERROR(+$H162-($M162+$N162*$G162),"-")</f>
        <v>-</v>
      </c>
      <c r="CP162" s="154" t="str">
        <f aca="false">IFERROR(+$H162-($O162+$P162*$G162),"-")</f>
        <v>-</v>
      </c>
      <c r="CQ162" s="154" t="str">
        <f aca="false">IFERROR(+$H162-($Q162+$R162*$G162),"-")</f>
        <v>-</v>
      </c>
      <c r="CR162" s="154" t="str">
        <f aca="false">IFERROR(+$H162-($Q162+$R162*$G162),"-")</f>
        <v>-</v>
      </c>
      <c r="CS162" s="137"/>
      <c r="CT162" s="154" t="str">
        <f aca="false">IFERROR(+$H162-($V162+$W162*$G162),"-")</f>
        <v>-</v>
      </c>
      <c r="CU162" s="154" t="str">
        <f aca="false">IFERROR(+$H162-($X162+$Y162*$G162),"-")</f>
        <v>-</v>
      </c>
      <c r="CV162" s="154" t="str">
        <f aca="false">IFERROR(+$H162-($Z162+$AA162*$G162),"-")</f>
        <v>-</v>
      </c>
      <c r="CW162" s="154" t="str">
        <f aca="false">IFERROR(+$H162-($AB162+$AC162*$G162),"-")</f>
        <v>-</v>
      </c>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row>
    <row r="163" s="1" customFormat="true" ht="12.75" hidden="false" customHeight="true" outlineLevel="0" collapsed="false">
      <c r="B163" s="134" t="s">
        <v>200</v>
      </c>
      <c r="C163" s="135" t="s">
        <v>246</v>
      </c>
      <c r="D163" s="136" t="e">
        <f aca="false">VLOOKUP($C163,#REF!,5,0)</f>
        <v>#VALUE!</v>
      </c>
      <c r="E163" s="157" t="e">
        <f aca="false">VLOOKUP($C163,#REF!,6,0)</f>
        <v>#VALUE!</v>
      </c>
      <c r="F163" s="135" t="e">
        <f aca="false">VLOOKUP($C163,#REF!,7,0)</f>
        <v>#VALUE!</v>
      </c>
      <c r="G163" s="135" t="e">
        <f aca="false">VLOOKUP($C163,#REF!,8,0)</f>
        <v>#VALUE!</v>
      </c>
      <c r="H163" s="158" t="e">
        <f aca="false">VLOOKUP($C163,#REF!,9,0)</f>
        <v>#VALUE!</v>
      </c>
      <c r="I163" s="137"/>
      <c r="J163" s="138" t="e">
        <f aca="false">VLOOKUP($C163,#REF!,10,0)</f>
        <v>#VALUE!</v>
      </c>
      <c r="K163" s="139" t="e">
        <f aca="false">VLOOKUP($C163,#REF!,11,0)</f>
        <v>#VALUE!</v>
      </c>
      <c r="L163" s="140"/>
      <c r="M163" s="138" t="e">
        <f aca="false">VLOOKUP($C163,#REF!,12,0)</f>
        <v>#VALUE!</v>
      </c>
      <c r="N163" s="140" t="e">
        <f aca="false">VLOOKUP($C163,#REF!,13,0)</f>
        <v>#VALUE!</v>
      </c>
      <c r="O163" s="138" t="e">
        <f aca="false">VLOOKUP($C163,#REF!,14,0)</f>
        <v>#VALUE!</v>
      </c>
      <c r="P163" s="140" t="e">
        <f aca="false">VLOOKUP($C163,#REF!,15,0)</f>
        <v>#VALUE!</v>
      </c>
      <c r="Q163" s="138" t="e">
        <f aca="false">VLOOKUP($C163,#REF!,16,0)</f>
        <v>#VALUE!</v>
      </c>
      <c r="R163" s="139" t="e">
        <f aca="false">VLOOKUP($C163,#REF!,17,0)</f>
        <v>#VALUE!</v>
      </c>
      <c r="S163" s="140" t="e">
        <f aca="false">VLOOKUP($C163,#REF!,18,0)</f>
        <v>#VALUE!</v>
      </c>
      <c r="T163" s="139" t="e">
        <f aca="false">VLOOKUP($C163,#REF!,19,0)</f>
        <v>#VALUE!</v>
      </c>
      <c r="U163" s="140"/>
      <c r="V163" s="138" t="e">
        <f aca="false">VLOOKUP($C163,#REF!,20,0)</f>
        <v>#VALUE!</v>
      </c>
      <c r="W163" s="140" t="e">
        <f aca="false">VLOOKUP($C163,#REF!,21,0)</f>
        <v>#VALUE!</v>
      </c>
      <c r="X163" s="138" t="e">
        <f aca="false">VLOOKUP($C163,#REF!,22,0)</f>
        <v>#VALUE!</v>
      </c>
      <c r="Y163" s="140" t="e">
        <f aca="false">VLOOKUP($C163,#REF!,23,0)</f>
        <v>#VALUE!</v>
      </c>
      <c r="Z163" s="138" t="e">
        <f aca="false">VLOOKUP($C163,#REF!,24,0)</f>
        <v>#VALUE!</v>
      </c>
      <c r="AA163" s="139" t="e">
        <f aca="false">VLOOKUP($C163,#REF!,25,0)</f>
        <v>#VALUE!</v>
      </c>
      <c r="AB163" s="140" t="e">
        <f aca="false">VLOOKUP($C163,#REF!,26,0)</f>
        <v>#VALUE!</v>
      </c>
      <c r="AC163" s="139" t="e">
        <f aca="false">VLOOKUP($C163,#REF!,27,0)</f>
        <v>#VALUE!</v>
      </c>
      <c r="AE163" s="138" t="e">
        <f aca="false">IF(M163="-","-","0,5 GB")</f>
        <v>#VALUE!</v>
      </c>
      <c r="AF163" s="141" t="s">
        <v>92</v>
      </c>
      <c r="AG163" s="141" t="s">
        <v>93</v>
      </c>
      <c r="AH163" s="139" t="s">
        <v>94</v>
      </c>
      <c r="AJ163" s="138" t="s">
        <v>95</v>
      </c>
      <c r="AK163" s="141" t="s">
        <v>96</v>
      </c>
      <c r="AL163" s="141" t="s">
        <v>97</v>
      </c>
      <c r="AM163" s="141" t="s">
        <v>98</v>
      </c>
      <c r="AN163" s="141" t="s">
        <v>98</v>
      </c>
      <c r="AO163" s="139" t="s">
        <v>92</v>
      </c>
      <c r="AQ163" s="142" t="n">
        <v>25</v>
      </c>
      <c r="AR163" s="137"/>
      <c r="AS163" s="138" t="n">
        <v>0</v>
      </c>
      <c r="AT163" s="139" t="n">
        <v>0</v>
      </c>
      <c r="AU163" s="140"/>
      <c r="AV163" s="138" t="n">
        <f aca="false">IFERROR(ROUND($D163-M163-AW163,0),0)</f>
        <v>0</v>
      </c>
      <c r="AW163" s="139" t="n">
        <f aca="false">IFERROR(N163*$G163,0)</f>
        <v>0</v>
      </c>
      <c r="AX163" s="138" t="n">
        <f aca="false">IFERROR(ROUND($D163-O163-AY163,0),0)</f>
        <v>0</v>
      </c>
      <c r="AY163" s="139" t="n">
        <f aca="false">IFERROR(P163*$G163,0)</f>
        <v>0</v>
      </c>
      <c r="AZ163" s="138" t="n">
        <f aca="false">IFERROR(ROUND($D163-Q163-BA163,0),0)</f>
        <v>0</v>
      </c>
      <c r="BA163" s="139" t="n">
        <f aca="false">IFERROR(R163*$G163,0)</f>
        <v>0</v>
      </c>
      <c r="BB163" s="140" t="n">
        <f aca="false">IFERROR(ROUND($D163-S163-BC163,0),0)</f>
        <v>0</v>
      </c>
      <c r="BC163" s="139" t="n">
        <f aca="false">IFERROR(T163*$G163,0)</f>
        <v>0</v>
      </c>
      <c r="BD163" s="140"/>
      <c r="BE163" s="138" t="n">
        <f aca="false">IFERROR(ROUND($D163-V163-BF163,0),0)</f>
        <v>0</v>
      </c>
      <c r="BF163" s="139" t="n">
        <f aca="false">IFERROR(W163*$G163,0)</f>
        <v>0</v>
      </c>
      <c r="BG163" s="138" t="n">
        <f aca="false">IFERROR(ROUND($D163-X163-BH163,0),0)</f>
        <v>0</v>
      </c>
      <c r="BH163" s="139" t="n">
        <f aca="false">IFERROR(Y163*$G163,0)</f>
        <v>0</v>
      </c>
      <c r="BI163" s="140" t="n">
        <f aca="false">IFERROR(ROUND($D163-Z163-BJ163,0),0)</f>
        <v>0</v>
      </c>
      <c r="BJ163" s="139" t="n">
        <f aca="false">IFERROR(AA163*$G163,0)</f>
        <v>0</v>
      </c>
      <c r="BK163" s="140" t="n">
        <f aca="false">IFERROR(ROUND($D163-AB163-BL163,0),0)</f>
        <v>0</v>
      </c>
      <c r="BL163" s="139" t="n">
        <f aca="false">IFERROR(AC163*$G163,0)</f>
        <v>0</v>
      </c>
      <c r="BN163" s="142" t="n">
        <v>0</v>
      </c>
      <c r="BO163" s="137"/>
      <c r="BP163" s="138" t="n">
        <v>0</v>
      </c>
      <c r="BQ163" s="139" t="n">
        <v>0</v>
      </c>
      <c r="BR163" s="140"/>
      <c r="BS163" s="138" t="n">
        <v>0</v>
      </c>
      <c r="BT163" s="139" t="n">
        <v>0</v>
      </c>
      <c r="BU163" s="138" t="n">
        <v>0</v>
      </c>
      <c r="BV163" s="139" t="n">
        <v>0</v>
      </c>
      <c r="BW163" s="138" t="n">
        <v>0</v>
      </c>
      <c r="BX163" s="139" t="n">
        <v>0</v>
      </c>
      <c r="BY163" s="138" t="n">
        <v>0</v>
      </c>
      <c r="BZ163" s="139" t="n">
        <v>0</v>
      </c>
      <c r="CA163" s="140"/>
      <c r="CB163" s="138" t="n">
        <v>0</v>
      </c>
      <c r="CC163" s="139" t="n">
        <v>0</v>
      </c>
      <c r="CD163" s="138" t="n">
        <v>0</v>
      </c>
      <c r="CE163" s="139" t="n">
        <v>0</v>
      </c>
      <c r="CF163" s="138" t="n">
        <v>0</v>
      </c>
      <c r="CG163" s="139" t="n">
        <v>0</v>
      </c>
      <c r="CH163" s="138" t="n">
        <v>0</v>
      </c>
      <c r="CI163" s="139" t="n">
        <v>0</v>
      </c>
      <c r="CK163" s="143"/>
      <c r="CL163" s="137"/>
      <c r="CM163" s="144" t="str">
        <f aca="false">IFERROR(+$H163-($J163+$K163*$G163),"-")</f>
        <v>-</v>
      </c>
      <c r="CN163" s="137"/>
      <c r="CO163" s="144" t="str">
        <f aca="false">IFERROR(+$H163-($M163+$N163*$G163),"-")</f>
        <v>-</v>
      </c>
      <c r="CP163" s="144" t="str">
        <f aca="false">IFERROR(+$H163-($O163+$P163*$G163),"-")</f>
        <v>-</v>
      </c>
      <c r="CQ163" s="144" t="str">
        <f aca="false">IFERROR(+$H163-($Q163+$R163*$G163),"-")</f>
        <v>-</v>
      </c>
      <c r="CR163" s="144" t="str">
        <f aca="false">IFERROR(+$H163-($Q163+$R163*$G163),"-")</f>
        <v>-</v>
      </c>
      <c r="CS163" s="137"/>
      <c r="CT163" s="144" t="str">
        <f aca="false">IFERROR(+$H163-($V163+$W163*$G163),"-")</f>
        <v>-</v>
      </c>
      <c r="CU163" s="144" t="str">
        <f aca="false">IFERROR(+$H163-($X163+$Y163*$G163),"-")</f>
        <v>-</v>
      </c>
      <c r="CV163" s="144" t="str">
        <f aca="false">IFERROR(+$H163-($Z163+$AA163*$G163),"-")</f>
        <v>-</v>
      </c>
      <c r="CW163" s="144" t="str">
        <f aca="false">IFERROR(+$H163-($AB163+$AC163*$G163),"-")</f>
        <v>-</v>
      </c>
    </row>
    <row r="164" s="156" customFormat="true" ht="12.75" hidden="false" customHeight="true" outlineLevel="0" collapsed="false">
      <c r="A164" s="1"/>
      <c r="B164" s="145" t="s">
        <v>200</v>
      </c>
      <c r="C164" s="146" t="s">
        <v>247</v>
      </c>
      <c r="D164" s="147" t="e">
        <f aca="false">VLOOKUP($C164,#REF!,5,0)</f>
        <v>#VALUE!</v>
      </c>
      <c r="E164" s="148" t="e">
        <f aca="false">VLOOKUP($C164,#REF!,6,0)</f>
        <v>#VALUE!</v>
      </c>
      <c r="F164" s="146" t="e">
        <f aca="false">VLOOKUP($C164,#REF!,7,0)</f>
        <v>#VALUE!</v>
      </c>
      <c r="G164" s="146" t="e">
        <f aca="false">VLOOKUP($C164,#REF!,8,0)</f>
        <v>#VALUE!</v>
      </c>
      <c r="H164" s="149" t="e">
        <f aca="false">VLOOKUP($C164,#REF!,9,0)</f>
        <v>#VALUE!</v>
      </c>
      <c r="I164" s="137"/>
      <c r="J164" s="150" t="e">
        <f aca="false">VLOOKUP($C164,#REF!,10,0)</f>
        <v>#VALUE!</v>
      </c>
      <c r="K164" s="151" t="e">
        <f aca="false">VLOOKUP($C164,#REF!,11,0)</f>
        <v>#VALUE!</v>
      </c>
      <c r="L164" s="140"/>
      <c r="M164" s="150" t="e">
        <f aca="false">VLOOKUP($C164,#REF!,12,0)</f>
        <v>#VALUE!</v>
      </c>
      <c r="N164" s="152" t="e">
        <f aca="false">VLOOKUP($C164,#REF!,13,0)</f>
        <v>#VALUE!</v>
      </c>
      <c r="O164" s="150" t="e">
        <f aca="false">VLOOKUP($C164,#REF!,14,0)</f>
        <v>#VALUE!</v>
      </c>
      <c r="P164" s="152" t="e">
        <f aca="false">VLOOKUP($C164,#REF!,15,0)</f>
        <v>#VALUE!</v>
      </c>
      <c r="Q164" s="150" t="e">
        <f aca="false">VLOOKUP($C164,#REF!,16,0)</f>
        <v>#VALUE!</v>
      </c>
      <c r="R164" s="151" t="e">
        <f aca="false">VLOOKUP($C164,#REF!,17,0)</f>
        <v>#VALUE!</v>
      </c>
      <c r="S164" s="152" t="e">
        <f aca="false">VLOOKUP($C164,#REF!,18,0)</f>
        <v>#VALUE!</v>
      </c>
      <c r="T164" s="151" t="e">
        <f aca="false">VLOOKUP($C164,#REF!,19,0)</f>
        <v>#VALUE!</v>
      </c>
      <c r="U164" s="140"/>
      <c r="V164" s="150" t="e">
        <f aca="false">VLOOKUP($C164,#REF!,20,0)</f>
        <v>#VALUE!</v>
      </c>
      <c r="W164" s="152" t="e">
        <f aca="false">VLOOKUP($C164,#REF!,21,0)</f>
        <v>#VALUE!</v>
      </c>
      <c r="X164" s="150" t="e">
        <f aca="false">VLOOKUP($C164,#REF!,22,0)</f>
        <v>#VALUE!</v>
      </c>
      <c r="Y164" s="152" t="e">
        <f aca="false">VLOOKUP($C164,#REF!,23,0)</f>
        <v>#VALUE!</v>
      </c>
      <c r="Z164" s="150" t="e">
        <f aca="false">VLOOKUP($C164,#REF!,24,0)</f>
        <v>#VALUE!</v>
      </c>
      <c r="AA164" s="151" t="e">
        <f aca="false">VLOOKUP($C164,#REF!,25,0)</f>
        <v>#VALUE!</v>
      </c>
      <c r="AB164" s="152" t="e">
        <f aca="false">VLOOKUP($C164,#REF!,26,0)</f>
        <v>#VALUE!</v>
      </c>
      <c r="AC164" s="151" t="e">
        <f aca="false">VLOOKUP($C164,#REF!,27,0)</f>
        <v>#VALUE!</v>
      </c>
      <c r="AD164" s="1"/>
      <c r="AE164" s="150" t="e">
        <f aca="false">IF(M164="-","-","0,5 GB")</f>
        <v>#VALUE!</v>
      </c>
      <c r="AF164" s="153" t="s">
        <v>92</v>
      </c>
      <c r="AG164" s="153" t="s">
        <v>93</v>
      </c>
      <c r="AH164" s="151" t="s">
        <v>94</v>
      </c>
      <c r="AI164" s="1"/>
      <c r="AJ164" s="150" t="s">
        <v>95</v>
      </c>
      <c r="AK164" s="153" t="s">
        <v>96</v>
      </c>
      <c r="AL164" s="153" t="s">
        <v>97</v>
      </c>
      <c r="AM164" s="153" t="s">
        <v>98</v>
      </c>
      <c r="AN164" s="153" t="s">
        <v>98</v>
      </c>
      <c r="AO164" s="151" t="s">
        <v>92</v>
      </c>
      <c r="AP164" s="1"/>
      <c r="AQ164" s="154" t="n">
        <v>0</v>
      </c>
      <c r="AR164" s="137"/>
      <c r="AS164" s="150" t="n">
        <v>0</v>
      </c>
      <c r="AT164" s="151" t="n">
        <v>0</v>
      </c>
      <c r="AU164" s="140"/>
      <c r="AV164" s="150" t="n">
        <f aca="false">IFERROR(ROUND($D164-M164-AW164,0),0)</f>
        <v>0</v>
      </c>
      <c r="AW164" s="151" t="n">
        <f aca="false">IFERROR(N164*$G164,0)</f>
        <v>0</v>
      </c>
      <c r="AX164" s="150" t="n">
        <f aca="false">IFERROR(ROUND($D164-O164-AY164,0),0)</f>
        <v>0</v>
      </c>
      <c r="AY164" s="151" t="n">
        <f aca="false">IFERROR(P164*$G164,0)</f>
        <v>0</v>
      </c>
      <c r="AZ164" s="150" t="n">
        <f aca="false">IFERROR(ROUND($D164-Q164-BA164,0),0)</f>
        <v>0</v>
      </c>
      <c r="BA164" s="151" t="n">
        <f aca="false">IFERROR(R164*$G164,0)</f>
        <v>0</v>
      </c>
      <c r="BB164" s="152" t="n">
        <f aca="false">IFERROR(ROUND($D164-S164-BC164,0),0)</f>
        <v>0</v>
      </c>
      <c r="BC164" s="151" t="n">
        <f aca="false">IFERROR(T164*$G164,0)</f>
        <v>0</v>
      </c>
      <c r="BD164" s="140"/>
      <c r="BE164" s="150" t="n">
        <f aca="false">IFERROR(ROUND($D164-V164-BF164,0),0)</f>
        <v>0</v>
      </c>
      <c r="BF164" s="151" t="n">
        <f aca="false">IFERROR(W164*$G164,0)</f>
        <v>0</v>
      </c>
      <c r="BG164" s="150" t="n">
        <f aca="false">IFERROR(ROUND($D164-X164-BH164,0),0)</f>
        <v>0</v>
      </c>
      <c r="BH164" s="151" t="n">
        <f aca="false">IFERROR(Y164*$G164,0)</f>
        <v>0</v>
      </c>
      <c r="BI164" s="152" t="n">
        <f aca="false">IFERROR(ROUND($D164-Z164-BJ164,0),0)</f>
        <v>0</v>
      </c>
      <c r="BJ164" s="151" t="n">
        <f aca="false">IFERROR(AA164*$G164,0)</f>
        <v>0</v>
      </c>
      <c r="BK164" s="152" t="n">
        <f aca="false">IFERROR(ROUND($D164-AB164-BL164,0),0)</f>
        <v>0</v>
      </c>
      <c r="BL164" s="151" t="n">
        <f aca="false">IFERROR(AC164*$G164,0)</f>
        <v>0</v>
      </c>
      <c r="BM164" s="1"/>
      <c r="BN164" s="154" t="n">
        <v>0</v>
      </c>
      <c r="BO164" s="155"/>
      <c r="BP164" s="150" t="n">
        <v>0</v>
      </c>
      <c r="BQ164" s="151" t="n">
        <v>0</v>
      </c>
      <c r="BR164" s="152"/>
      <c r="BS164" s="150" t="n">
        <v>0</v>
      </c>
      <c r="BT164" s="151" t="n">
        <v>0</v>
      </c>
      <c r="BU164" s="150" t="n">
        <v>0</v>
      </c>
      <c r="BV164" s="151" t="n">
        <v>0</v>
      </c>
      <c r="BW164" s="150" t="n">
        <v>0</v>
      </c>
      <c r="BX164" s="151" t="n">
        <v>0</v>
      </c>
      <c r="BY164" s="150" t="n">
        <v>0</v>
      </c>
      <c r="BZ164" s="151" t="n">
        <v>0</v>
      </c>
      <c r="CA164" s="152"/>
      <c r="CB164" s="150" t="n">
        <v>0</v>
      </c>
      <c r="CC164" s="151" t="n">
        <v>0</v>
      </c>
      <c r="CD164" s="150" t="n">
        <v>0</v>
      </c>
      <c r="CE164" s="151" t="n">
        <v>0</v>
      </c>
      <c r="CF164" s="150" t="n">
        <v>0</v>
      </c>
      <c r="CG164" s="151" t="n">
        <v>0</v>
      </c>
      <c r="CH164" s="150" t="n">
        <v>0</v>
      </c>
      <c r="CI164" s="151" t="n">
        <v>0</v>
      </c>
      <c r="CJ164" s="1"/>
      <c r="CK164" s="149"/>
      <c r="CL164" s="137"/>
      <c r="CM164" s="154" t="str">
        <f aca="false">IFERROR(+$H164-($J164+$K164*$G164),"-")</f>
        <v>-</v>
      </c>
      <c r="CN164" s="137"/>
      <c r="CO164" s="154" t="str">
        <f aca="false">IFERROR(+$H164-($M164+$N164*$G164),"-")</f>
        <v>-</v>
      </c>
      <c r="CP164" s="154" t="str">
        <f aca="false">IFERROR(+$H164-($O164+$P164*$G164),"-")</f>
        <v>-</v>
      </c>
      <c r="CQ164" s="154" t="str">
        <f aca="false">IFERROR(+$H164-($Q164+$R164*$G164),"-")</f>
        <v>-</v>
      </c>
      <c r="CR164" s="154" t="str">
        <f aca="false">IFERROR(+$H164-($Q164+$R164*$G164),"-")</f>
        <v>-</v>
      </c>
      <c r="CS164" s="137"/>
      <c r="CT164" s="154" t="str">
        <f aca="false">IFERROR(+$H164-($V164+$W164*$G164),"-")</f>
        <v>-</v>
      </c>
      <c r="CU164" s="154" t="str">
        <f aca="false">IFERROR(+$H164-($X164+$Y164*$G164),"-")</f>
        <v>-</v>
      </c>
      <c r="CV164" s="154" t="str">
        <f aca="false">IFERROR(+$H164-($Z164+$AA164*$G164),"-")</f>
        <v>-</v>
      </c>
      <c r="CW164" s="154" t="str">
        <f aca="false">IFERROR(+$H164-($AB164+$AC164*$G164),"-")</f>
        <v>-</v>
      </c>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row>
    <row r="165" s="1" customFormat="true" ht="12.75" hidden="false" customHeight="true" outlineLevel="0" collapsed="false">
      <c r="B165" s="134" t="s">
        <v>200</v>
      </c>
      <c r="C165" s="135" t="s">
        <v>248</v>
      </c>
      <c r="D165" s="136" t="e">
        <f aca="false">VLOOKUP($C165,#REF!,5,0)</f>
        <v>#VALUE!</v>
      </c>
      <c r="E165" s="157" t="e">
        <f aca="false">VLOOKUP($C165,#REF!,6,0)</f>
        <v>#VALUE!</v>
      </c>
      <c r="F165" s="135" t="e">
        <f aca="false">VLOOKUP($C165,#REF!,7,0)</f>
        <v>#VALUE!</v>
      </c>
      <c r="G165" s="135" t="e">
        <f aca="false">VLOOKUP($C165,#REF!,8,0)</f>
        <v>#VALUE!</v>
      </c>
      <c r="H165" s="158" t="e">
        <f aca="false">VLOOKUP($C165,#REF!,9,0)</f>
        <v>#VALUE!</v>
      </c>
      <c r="I165" s="137"/>
      <c r="J165" s="138" t="e">
        <f aca="false">VLOOKUP($C165,#REF!,10,0)</f>
        <v>#VALUE!</v>
      </c>
      <c r="K165" s="139" t="e">
        <f aca="false">VLOOKUP($C165,#REF!,11,0)</f>
        <v>#VALUE!</v>
      </c>
      <c r="L165" s="140"/>
      <c r="M165" s="138" t="e">
        <f aca="false">VLOOKUP($C165,#REF!,12,0)</f>
        <v>#VALUE!</v>
      </c>
      <c r="N165" s="140" t="e">
        <f aca="false">VLOOKUP($C165,#REF!,13,0)</f>
        <v>#VALUE!</v>
      </c>
      <c r="O165" s="138" t="e">
        <f aca="false">VLOOKUP($C165,#REF!,14,0)</f>
        <v>#VALUE!</v>
      </c>
      <c r="P165" s="140" t="e">
        <f aca="false">VLOOKUP($C165,#REF!,15,0)</f>
        <v>#VALUE!</v>
      </c>
      <c r="Q165" s="138" t="e">
        <f aca="false">VLOOKUP($C165,#REF!,16,0)</f>
        <v>#VALUE!</v>
      </c>
      <c r="R165" s="139" t="e">
        <f aca="false">VLOOKUP($C165,#REF!,17,0)</f>
        <v>#VALUE!</v>
      </c>
      <c r="S165" s="140" t="e">
        <f aca="false">VLOOKUP($C165,#REF!,18,0)</f>
        <v>#VALUE!</v>
      </c>
      <c r="T165" s="139" t="e">
        <f aca="false">VLOOKUP($C165,#REF!,19,0)</f>
        <v>#VALUE!</v>
      </c>
      <c r="U165" s="140"/>
      <c r="V165" s="138" t="e">
        <f aca="false">VLOOKUP($C165,#REF!,20,0)</f>
        <v>#VALUE!</v>
      </c>
      <c r="W165" s="140" t="e">
        <f aca="false">VLOOKUP($C165,#REF!,21,0)</f>
        <v>#VALUE!</v>
      </c>
      <c r="X165" s="138" t="e">
        <f aca="false">VLOOKUP($C165,#REF!,22,0)</f>
        <v>#VALUE!</v>
      </c>
      <c r="Y165" s="140" t="e">
        <f aca="false">VLOOKUP($C165,#REF!,23,0)</f>
        <v>#VALUE!</v>
      </c>
      <c r="Z165" s="138" t="e">
        <f aca="false">VLOOKUP($C165,#REF!,24,0)</f>
        <v>#VALUE!</v>
      </c>
      <c r="AA165" s="139" t="e">
        <f aca="false">VLOOKUP($C165,#REF!,25,0)</f>
        <v>#VALUE!</v>
      </c>
      <c r="AB165" s="140" t="e">
        <f aca="false">VLOOKUP($C165,#REF!,26,0)</f>
        <v>#VALUE!</v>
      </c>
      <c r="AC165" s="139" t="e">
        <f aca="false">VLOOKUP($C165,#REF!,27,0)</f>
        <v>#VALUE!</v>
      </c>
      <c r="AE165" s="138" t="e">
        <f aca="false">IF(M165="-","-","0,5 GB")</f>
        <v>#VALUE!</v>
      </c>
      <c r="AF165" s="141" t="s">
        <v>92</v>
      </c>
      <c r="AG165" s="141" t="s">
        <v>93</v>
      </c>
      <c r="AH165" s="139" t="s">
        <v>94</v>
      </c>
      <c r="AJ165" s="138" t="s">
        <v>95</v>
      </c>
      <c r="AK165" s="141" t="s">
        <v>96</v>
      </c>
      <c r="AL165" s="141" t="s">
        <v>97</v>
      </c>
      <c r="AM165" s="141" t="s">
        <v>98</v>
      </c>
      <c r="AN165" s="141" t="s">
        <v>98</v>
      </c>
      <c r="AO165" s="139" t="s">
        <v>92</v>
      </c>
      <c r="AQ165" s="142" t="n">
        <v>0</v>
      </c>
      <c r="AR165" s="137"/>
      <c r="AS165" s="138" t="n">
        <v>0</v>
      </c>
      <c r="AT165" s="139" t="n">
        <v>0</v>
      </c>
      <c r="AU165" s="140"/>
      <c r="AV165" s="138" t="n">
        <f aca="false">IFERROR(ROUND($D165-M165-AW165,0),0)</f>
        <v>0</v>
      </c>
      <c r="AW165" s="139" t="n">
        <f aca="false">IFERROR(N165*$G165,0)</f>
        <v>0</v>
      </c>
      <c r="AX165" s="138" t="n">
        <f aca="false">IFERROR(ROUND($D165-O165-AY165,0),0)</f>
        <v>0</v>
      </c>
      <c r="AY165" s="139" t="n">
        <f aca="false">IFERROR(P165*$G165,0)</f>
        <v>0</v>
      </c>
      <c r="AZ165" s="138" t="n">
        <f aca="false">IFERROR(ROUND($D165-Q165-BA165,0),0)</f>
        <v>0</v>
      </c>
      <c r="BA165" s="139" t="n">
        <f aca="false">IFERROR(R165*$G165,0)</f>
        <v>0</v>
      </c>
      <c r="BB165" s="140" t="n">
        <f aca="false">IFERROR(ROUND($D165-S165-BC165,0),0)</f>
        <v>0</v>
      </c>
      <c r="BC165" s="139" t="n">
        <f aca="false">IFERROR(T165*$G165,0)</f>
        <v>0</v>
      </c>
      <c r="BD165" s="140"/>
      <c r="BE165" s="138" t="n">
        <f aca="false">IFERROR(ROUND($D165-V165-BF165,0),0)</f>
        <v>0</v>
      </c>
      <c r="BF165" s="139" t="n">
        <f aca="false">IFERROR(W165*$G165,0)</f>
        <v>0</v>
      </c>
      <c r="BG165" s="138" t="n">
        <f aca="false">IFERROR(ROUND($D165-X165-BH165,0),0)</f>
        <v>0</v>
      </c>
      <c r="BH165" s="139" t="n">
        <f aca="false">IFERROR(Y165*$G165,0)</f>
        <v>0</v>
      </c>
      <c r="BI165" s="140" t="n">
        <f aca="false">IFERROR(ROUND($D165-Z165-BJ165,0),0)</f>
        <v>0</v>
      </c>
      <c r="BJ165" s="139" t="n">
        <f aca="false">IFERROR(AA165*$G165,0)</f>
        <v>0</v>
      </c>
      <c r="BK165" s="140" t="n">
        <f aca="false">IFERROR(ROUND($D165-AB165-BL165,0),0)</f>
        <v>0</v>
      </c>
      <c r="BL165" s="139" t="n">
        <f aca="false">IFERROR(AC165*$G165,0)</f>
        <v>0</v>
      </c>
      <c r="BN165" s="142" t="n">
        <v>0</v>
      </c>
      <c r="BO165" s="137"/>
      <c r="BP165" s="138" t="n">
        <v>0</v>
      </c>
      <c r="BQ165" s="139" t="n">
        <v>0</v>
      </c>
      <c r="BR165" s="140"/>
      <c r="BS165" s="138" t="n">
        <v>0</v>
      </c>
      <c r="BT165" s="139" t="n">
        <v>0</v>
      </c>
      <c r="BU165" s="138" t="n">
        <v>0</v>
      </c>
      <c r="BV165" s="139" t="n">
        <v>0</v>
      </c>
      <c r="BW165" s="138" t="n">
        <v>0</v>
      </c>
      <c r="BX165" s="139" t="n">
        <v>0</v>
      </c>
      <c r="BY165" s="138" t="n">
        <v>0</v>
      </c>
      <c r="BZ165" s="139" t="n">
        <v>0</v>
      </c>
      <c r="CA165" s="140"/>
      <c r="CB165" s="138" t="n">
        <v>0</v>
      </c>
      <c r="CC165" s="139" t="n">
        <v>0</v>
      </c>
      <c r="CD165" s="138" t="n">
        <v>0</v>
      </c>
      <c r="CE165" s="139" t="n">
        <v>0</v>
      </c>
      <c r="CF165" s="138" t="n">
        <v>0</v>
      </c>
      <c r="CG165" s="139" t="n">
        <v>0</v>
      </c>
      <c r="CH165" s="138" t="n">
        <v>0</v>
      </c>
      <c r="CI165" s="139" t="n">
        <v>0</v>
      </c>
      <c r="CK165" s="143"/>
      <c r="CL165" s="137"/>
      <c r="CM165" s="144" t="str">
        <f aca="false">IFERROR(+$H165-($J165+$K165*$G165),"-")</f>
        <v>-</v>
      </c>
      <c r="CN165" s="137"/>
      <c r="CO165" s="144" t="str">
        <f aca="false">IFERROR(+$H165-($M165+$N165*$G165),"-")</f>
        <v>-</v>
      </c>
      <c r="CP165" s="144" t="str">
        <f aca="false">IFERROR(+$H165-($O165+$P165*$G165),"-")</f>
        <v>-</v>
      </c>
      <c r="CQ165" s="144" t="str">
        <f aca="false">IFERROR(+$H165-($Q165+$R165*$G165),"-")</f>
        <v>-</v>
      </c>
      <c r="CR165" s="144" t="str">
        <f aca="false">IFERROR(+$H165-($Q165+$R165*$G165),"-")</f>
        <v>-</v>
      </c>
      <c r="CS165" s="137"/>
      <c r="CT165" s="144" t="str">
        <f aca="false">IFERROR(+$H165-($V165+$W165*$G165),"-")</f>
        <v>-</v>
      </c>
      <c r="CU165" s="144" t="str">
        <f aca="false">IFERROR(+$H165-($X165+$Y165*$G165),"-")</f>
        <v>-</v>
      </c>
      <c r="CV165" s="144" t="str">
        <f aca="false">IFERROR(+$H165-($Z165+$AA165*$G165),"-")</f>
        <v>-</v>
      </c>
      <c r="CW165" s="144" t="str">
        <f aca="false">IFERROR(+$H165-($AB165+$AC165*$G165),"-")</f>
        <v>-</v>
      </c>
    </row>
    <row r="166" s="156" customFormat="true" ht="12.75" hidden="false" customHeight="true" outlineLevel="0" collapsed="false">
      <c r="A166" s="1"/>
      <c r="B166" s="145" t="s">
        <v>200</v>
      </c>
      <c r="C166" s="146" t="s">
        <v>249</v>
      </c>
      <c r="D166" s="147" t="e">
        <f aca="false">VLOOKUP($C166,#REF!,5,0)</f>
        <v>#VALUE!</v>
      </c>
      <c r="E166" s="148" t="e">
        <f aca="false">VLOOKUP($C166,#REF!,6,0)</f>
        <v>#VALUE!</v>
      </c>
      <c r="F166" s="146" t="e">
        <f aca="false">VLOOKUP($C166,#REF!,7,0)</f>
        <v>#VALUE!</v>
      </c>
      <c r="G166" s="146" t="e">
        <f aca="false">VLOOKUP($C166,#REF!,8,0)</f>
        <v>#VALUE!</v>
      </c>
      <c r="H166" s="149" t="e">
        <f aca="false">VLOOKUP($C166,#REF!,9,0)</f>
        <v>#VALUE!</v>
      </c>
      <c r="I166" s="137"/>
      <c r="J166" s="150" t="e">
        <f aca="false">VLOOKUP($C166,#REF!,10,0)</f>
        <v>#VALUE!</v>
      </c>
      <c r="K166" s="151" t="e">
        <f aca="false">VLOOKUP($C166,#REF!,11,0)</f>
        <v>#VALUE!</v>
      </c>
      <c r="L166" s="140"/>
      <c r="M166" s="150" t="e">
        <f aca="false">VLOOKUP($C166,#REF!,12,0)</f>
        <v>#VALUE!</v>
      </c>
      <c r="N166" s="152" t="e">
        <f aca="false">VLOOKUP($C166,#REF!,13,0)</f>
        <v>#VALUE!</v>
      </c>
      <c r="O166" s="150" t="e">
        <f aca="false">VLOOKUP($C166,#REF!,14,0)</f>
        <v>#VALUE!</v>
      </c>
      <c r="P166" s="152" t="e">
        <f aca="false">VLOOKUP($C166,#REF!,15,0)</f>
        <v>#VALUE!</v>
      </c>
      <c r="Q166" s="150" t="e">
        <f aca="false">VLOOKUP($C166,#REF!,16,0)</f>
        <v>#VALUE!</v>
      </c>
      <c r="R166" s="151" t="e">
        <f aca="false">VLOOKUP($C166,#REF!,17,0)</f>
        <v>#VALUE!</v>
      </c>
      <c r="S166" s="152" t="e">
        <f aca="false">VLOOKUP($C166,#REF!,18,0)</f>
        <v>#VALUE!</v>
      </c>
      <c r="T166" s="151" t="e">
        <f aca="false">VLOOKUP($C166,#REF!,19,0)</f>
        <v>#VALUE!</v>
      </c>
      <c r="U166" s="140"/>
      <c r="V166" s="150" t="e">
        <f aca="false">VLOOKUP($C166,#REF!,20,0)</f>
        <v>#VALUE!</v>
      </c>
      <c r="W166" s="152" t="e">
        <f aca="false">VLOOKUP($C166,#REF!,21,0)</f>
        <v>#VALUE!</v>
      </c>
      <c r="X166" s="150" t="e">
        <f aca="false">VLOOKUP($C166,#REF!,22,0)</f>
        <v>#VALUE!</v>
      </c>
      <c r="Y166" s="152" t="e">
        <f aca="false">VLOOKUP($C166,#REF!,23,0)</f>
        <v>#VALUE!</v>
      </c>
      <c r="Z166" s="150" t="e">
        <f aca="false">VLOOKUP($C166,#REF!,24,0)</f>
        <v>#VALUE!</v>
      </c>
      <c r="AA166" s="151" t="e">
        <f aca="false">VLOOKUP($C166,#REF!,25,0)</f>
        <v>#VALUE!</v>
      </c>
      <c r="AB166" s="152" t="e">
        <f aca="false">VLOOKUP($C166,#REF!,26,0)</f>
        <v>#VALUE!</v>
      </c>
      <c r="AC166" s="151" t="e">
        <f aca="false">VLOOKUP($C166,#REF!,27,0)</f>
        <v>#VALUE!</v>
      </c>
      <c r="AD166" s="1"/>
      <c r="AE166" s="150" t="e">
        <f aca="false">IF(M166="-","-","0,5 GB")</f>
        <v>#VALUE!</v>
      </c>
      <c r="AF166" s="153" t="s">
        <v>92</v>
      </c>
      <c r="AG166" s="153" t="s">
        <v>93</v>
      </c>
      <c r="AH166" s="151" t="s">
        <v>94</v>
      </c>
      <c r="AI166" s="1"/>
      <c r="AJ166" s="150" t="s">
        <v>95</v>
      </c>
      <c r="AK166" s="153" t="s">
        <v>96</v>
      </c>
      <c r="AL166" s="153" t="s">
        <v>97</v>
      </c>
      <c r="AM166" s="153" t="s">
        <v>98</v>
      </c>
      <c r="AN166" s="153" t="s">
        <v>98</v>
      </c>
      <c r="AO166" s="151" t="s">
        <v>92</v>
      </c>
      <c r="AP166" s="1"/>
      <c r="AQ166" s="154" t="n">
        <v>-1</v>
      </c>
      <c r="AR166" s="137"/>
      <c r="AS166" s="150" t="n">
        <v>0</v>
      </c>
      <c r="AT166" s="151" t="n">
        <v>0</v>
      </c>
      <c r="AU166" s="140"/>
      <c r="AV166" s="150" t="n">
        <f aca="false">IFERROR(ROUND($D166-M166-AW166,0),0)</f>
        <v>0</v>
      </c>
      <c r="AW166" s="151" t="n">
        <f aca="false">IFERROR(N166*$G166,0)</f>
        <v>0</v>
      </c>
      <c r="AX166" s="150" t="n">
        <f aca="false">IFERROR(ROUND($D166-O166-AY166,0),0)</f>
        <v>0</v>
      </c>
      <c r="AY166" s="151" t="n">
        <f aca="false">IFERROR(P166*$G166,0)</f>
        <v>0</v>
      </c>
      <c r="AZ166" s="150" t="n">
        <f aca="false">IFERROR(ROUND($D166-Q166-BA166,0),0)</f>
        <v>0</v>
      </c>
      <c r="BA166" s="151" t="n">
        <f aca="false">IFERROR(R166*$G166,0)</f>
        <v>0</v>
      </c>
      <c r="BB166" s="152" t="n">
        <f aca="false">IFERROR(ROUND($D166-S166-BC166,0),0)</f>
        <v>0</v>
      </c>
      <c r="BC166" s="151" t="n">
        <f aca="false">IFERROR(T166*$G166,0)</f>
        <v>0</v>
      </c>
      <c r="BD166" s="140"/>
      <c r="BE166" s="150" t="n">
        <f aca="false">IFERROR(ROUND($D166-V166-BF166,0),0)</f>
        <v>0</v>
      </c>
      <c r="BF166" s="151" t="n">
        <f aca="false">IFERROR(W166*$G166,0)</f>
        <v>0</v>
      </c>
      <c r="BG166" s="150" t="n">
        <f aca="false">IFERROR(ROUND($D166-X166-BH166,0),0)</f>
        <v>0</v>
      </c>
      <c r="BH166" s="151" t="n">
        <f aca="false">IFERROR(Y166*$G166,0)</f>
        <v>0</v>
      </c>
      <c r="BI166" s="152" t="n">
        <f aca="false">IFERROR(ROUND($D166-Z166-BJ166,0),0)</f>
        <v>0</v>
      </c>
      <c r="BJ166" s="151" t="n">
        <f aca="false">IFERROR(AA166*$G166,0)</f>
        <v>0</v>
      </c>
      <c r="BK166" s="152" t="n">
        <f aca="false">IFERROR(ROUND($D166-AB166-BL166,0),0)</f>
        <v>0</v>
      </c>
      <c r="BL166" s="151" t="n">
        <f aca="false">IFERROR(AC166*$G166,0)</f>
        <v>0</v>
      </c>
      <c r="BM166" s="1"/>
      <c r="BN166" s="154" t="n">
        <v>0</v>
      </c>
      <c r="BO166" s="155"/>
      <c r="BP166" s="150" t="n">
        <v>0</v>
      </c>
      <c r="BQ166" s="151" t="n">
        <v>0</v>
      </c>
      <c r="BR166" s="152"/>
      <c r="BS166" s="150" t="n">
        <v>0</v>
      </c>
      <c r="BT166" s="151" t="n">
        <v>0</v>
      </c>
      <c r="BU166" s="150" t="n">
        <v>0</v>
      </c>
      <c r="BV166" s="151" t="n">
        <v>0</v>
      </c>
      <c r="BW166" s="150" t="n">
        <v>0</v>
      </c>
      <c r="BX166" s="151" t="n">
        <v>0</v>
      </c>
      <c r="BY166" s="150" t="n">
        <v>0</v>
      </c>
      <c r="BZ166" s="151" t="n">
        <v>0</v>
      </c>
      <c r="CA166" s="152"/>
      <c r="CB166" s="150" t="n">
        <v>0</v>
      </c>
      <c r="CC166" s="151" t="n">
        <v>0</v>
      </c>
      <c r="CD166" s="150" t="n">
        <v>0</v>
      </c>
      <c r="CE166" s="151" t="n">
        <v>0</v>
      </c>
      <c r="CF166" s="150" t="n">
        <v>0</v>
      </c>
      <c r="CG166" s="151" t="n">
        <v>0</v>
      </c>
      <c r="CH166" s="150" t="n">
        <v>0</v>
      </c>
      <c r="CI166" s="151" t="n">
        <v>0</v>
      </c>
      <c r="CJ166" s="1"/>
      <c r="CK166" s="149"/>
      <c r="CL166" s="137"/>
      <c r="CM166" s="154" t="str">
        <f aca="false">IFERROR(+$H166-($J166+$K166*$G166),"-")</f>
        <v>-</v>
      </c>
      <c r="CN166" s="137"/>
      <c r="CO166" s="154" t="str">
        <f aca="false">IFERROR(+$H166-($M166+$N166*$G166),"-")</f>
        <v>-</v>
      </c>
      <c r="CP166" s="154" t="str">
        <f aca="false">IFERROR(+$H166-($O166+$P166*$G166),"-")</f>
        <v>-</v>
      </c>
      <c r="CQ166" s="154" t="str">
        <f aca="false">IFERROR(+$H166-($Q166+$R166*$G166),"-")</f>
        <v>-</v>
      </c>
      <c r="CR166" s="154" t="str">
        <f aca="false">IFERROR(+$H166-($Q166+$R166*$G166),"-")</f>
        <v>-</v>
      </c>
      <c r="CS166" s="137"/>
      <c r="CT166" s="154" t="str">
        <f aca="false">IFERROR(+$H166-($V166+$W166*$G166),"-")</f>
        <v>-</v>
      </c>
      <c r="CU166" s="154" t="str">
        <f aca="false">IFERROR(+$H166-($X166+$Y166*$G166),"-")</f>
        <v>-</v>
      </c>
      <c r="CV166" s="154" t="str">
        <f aca="false">IFERROR(+$H166-($Z166+$AA166*$G166),"-")</f>
        <v>-</v>
      </c>
      <c r="CW166" s="154" t="str">
        <f aca="false">IFERROR(+$H166-($AB166+$AC166*$G166),"-")</f>
        <v>-</v>
      </c>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row>
    <row r="167" s="1" customFormat="true" ht="12.75" hidden="false" customHeight="true" outlineLevel="0" collapsed="false">
      <c r="B167" s="134" t="s">
        <v>200</v>
      </c>
      <c r="C167" s="135" t="s">
        <v>250</v>
      </c>
      <c r="D167" s="136" t="e">
        <f aca="false">VLOOKUP($C167,#REF!,5,0)</f>
        <v>#VALUE!</v>
      </c>
      <c r="E167" s="157" t="e">
        <f aca="false">VLOOKUP($C167,#REF!,6,0)</f>
        <v>#VALUE!</v>
      </c>
      <c r="F167" s="135" t="e">
        <f aca="false">VLOOKUP($C167,#REF!,7,0)</f>
        <v>#VALUE!</v>
      </c>
      <c r="G167" s="135" t="e">
        <f aca="false">VLOOKUP($C167,#REF!,8,0)</f>
        <v>#VALUE!</v>
      </c>
      <c r="H167" s="158" t="e">
        <f aca="false">VLOOKUP($C167,#REF!,9,0)</f>
        <v>#VALUE!</v>
      </c>
      <c r="I167" s="137"/>
      <c r="J167" s="138" t="e">
        <f aca="false">VLOOKUP($C167,#REF!,10,0)</f>
        <v>#VALUE!</v>
      </c>
      <c r="K167" s="139" t="e">
        <f aca="false">VLOOKUP($C167,#REF!,11,0)</f>
        <v>#VALUE!</v>
      </c>
      <c r="L167" s="140"/>
      <c r="M167" s="138" t="e">
        <f aca="false">VLOOKUP($C167,#REF!,12,0)</f>
        <v>#VALUE!</v>
      </c>
      <c r="N167" s="140" t="e">
        <f aca="false">VLOOKUP($C167,#REF!,13,0)</f>
        <v>#VALUE!</v>
      </c>
      <c r="O167" s="138" t="e">
        <f aca="false">VLOOKUP($C167,#REF!,14,0)</f>
        <v>#VALUE!</v>
      </c>
      <c r="P167" s="140" t="e">
        <f aca="false">VLOOKUP($C167,#REF!,15,0)</f>
        <v>#VALUE!</v>
      </c>
      <c r="Q167" s="138" t="e">
        <f aca="false">VLOOKUP($C167,#REF!,16,0)</f>
        <v>#VALUE!</v>
      </c>
      <c r="R167" s="139" t="e">
        <f aca="false">VLOOKUP($C167,#REF!,17,0)</f>
        <v>#VALUE!</v>
      </c>
      <c r="S167" s="140" t="e">
        <f aca="false">VLOOKUP($C167,#REF!,18,0)</f>
        <v>#VALUE!</v>
      </c>
      <c r="T167" s="139" t="e">
        <f aca="false">VLOOKUP($C167,#REF!,19,0)</f>
        <v>#VALUE!</v>
      </c>
      <c r="U167" s="140"/>
      <c r="V167" s="138" t="e">
        <f aca="false">VLOOKUP($C167,#REF!,20,0)</f>
        <v>#VALUE!</v>
      </c>
      <c r="W167" s="140" t="e">
        <f aca="false">VLOOKUP($C167,#REF!,21,0)</f>
        <v>#VALUE!</v>
      </c>
      <c r="X167" s="138" t="e">
        <f aca="false">VLOOKUP($C167,#REF!,22,0)</f>
        <v>#VALUE!</v>
      </c>
      <c r="Y167" s="140" t="e">
        <f aca="false">VLOOKUP($C167,#REF!,23,0)</f>
        <v>#VALUE!</v>
      </c>
      <c r="Z167" s="138" t="e">
        <f aca="false">VLOOKUP($C167,#REF!,24,0)</f>
        <v>#VALUE!</v>
      </c>
      <c r="AA167" s="139" t="e">
        <f aca="false">VLOOKUP($C167,#REF!,25,0)</f>
        <v>#VALUE!</v>
      </c>
      <c r="AB167" s="140" t="e">
        <f aca="false">VLOOKUP($C167,#REF!,26,0)</f>
        <v>#VALUE!</v>
      </c>
      <c r="AC167" s="139" t="e">
        <f aca="false">VLOOKUP($C167,#REF!,27,0)</f>
        <v>#VALUE!</v>
      </c>
      <c r="AE167" s="138" t="e">
        <f aca="false">IF(M167="-","-","0,5 GB")</f>
        <v>#VALUE!</v>
      </c>
      <c r="AF167" s="141" t="s">
        <v>92</v>
      </c>
      <c r="AG167" s="141" t="s">
        <v>93</v>
      </c>
      <c r="AH167" s="139" t="s">
        <v>94</v>
      </c>
      <c r="AJ167" s="138" t="s">
        <v>95</v>
      </c>
      <c r="AK167" s="141" t="s">
        <v>96</v>
      </c>
      <c r="AL167" s="141" t="s">
        <v>97</v>
      </c>
      <c r="AM167" s="141" t="s">
        <v>98</v>
      </c>
      <c r="AN167" s="141" t="s">
        <v>98</v>
      </c>
      <c r="AO167" s="139" t="s">
        <v>92</v>
      </c>
      <c r="AQ167" s="142" t="n">
        <v>8</v>
      </c>
      <c r="AR167" s="137"/>
      <c r="AS167" s="138" t="n">
        <v>0</v>
      </c>
      <c r="AT167" s="139" t="n">
        <v>0</v>
      </c>
      <c r="AU167" s="140"/>
      <c r="AV167" s="138" t="n">
        <f aca="false">IFERROR(ROUND($D167-M167-AW167,0),0)</f>
        <v>0</v>
      </c>
      <c r="AW167" s="139" t="n">
        <f aca="false">IFERROR(N167*$G167,0)</f>
        <v>0</v>
      </c>
      <c r="AX167" s="138" t="n">
        <f aca="false">IFERROR(ROUND($D167-O167-AY167,0),0)</f>
        <v>0</v>
      </c>
      <c r="AY167" s="139" t="n">
        <f aca="false">IFERROR(P167*$G167,0)</f>
        <v>0</v>
      </c>
      <c r="AZ167" s="138" t="n">
        <f aca="false">IFERROR(ROUND($D167-Q167-BA167,0),0)</f>
        <v>0</v>
      </c>
      <c r="BA167" s="139" t="n">
        <f aca="false">IFERROR(R167*$G167,0)</f>
        <v>0</v>
      </c>
      <c r="BB167" s="140" t="n">
        <f aca="false">IFERROR(ROUND($D167-S167-BC167,0),0)</f>
        <v>0</v>
      </c>
      <c r="BC167" s="139" t="n">
        <f aca="false">IFERROR(T167*$G167,0)</f>
        <v>0</v>
      </c>
      <c r="BD167" s="140"/>
      <c r="BE167" s="138" t="n">
        <f aca="false">IFERROR(ROUND($D167-V167-BF167,0),0)</f>
        <v>0</v>
      </c>
      <c r="BF167" s="139" t="n">
        <f aca="false">IFERROR(W167*$G167,0)</f>
        <v>0</v>
      </c>
      <c r="BG167" s="138" t="n">
        <f aca="false">IFERROR(ROUND($D167-X167-BH167,0),0)</f>
        <v>0</v>
      </c>
      <c r="BH167" s="139" t="n">
        <f aca="false">IFERROR(Y167*$G167,0)</f>
        <v>0</v>
      </c>
      <c r="BI167" s="140" t="n">
        <f aca="false">IFERROR(ROUND($D167-Z167-BJ167,0),0)</f>
        <v>0</v>
      </c>
      <c r="BJ167" s="139" t="n">
        <f aca="false">IFERROR(AA167*$G167,0)</f>
        <v>0</v>
      </c>
      <c r="BK167" s="140" t="n">
        <f aca="false">IFERROR(ROUND($D167-AB167-BL167,0),0)</f>
        <v>0</v>
      </c>
      <c r="BL167" s="139" t="n">
        <f aca="false">IFERROR(AC167*$G167,0)</f>
        <v>0</v>
      </c>
      <c r="BN167" s="142" t="n">
        <v>0</v>
      </c>
      <c r="BO167" s="137"/>
      <c r="BP167" s="138" t="n">
        <v>0</v>
      </c>
      <c r="BQ167" s="139" t="n">
        <v>0</v>
      </c>
      <c r="BR167" s="140"/>
      <c r="BS167" s="138" t="n">
        <v>0</v>
      </c>
      <c r="BT167" s="139" t="n">
        <v>0</v>
      </c>
      <c r="BU167" s="138" t="n">
        <v>0</v>
      </c>
      <c r="BV167" s="139" t="n">
        <v>0</v>
      </c>
      <c r="BW167" s="138" t="n">
        <v>0</v>
      </c>
      <c r="BX167" s="139" t="n">
        <v>0</v>
      </c>
      <c r="BY167" s="138" t="n">
        <v>0</v>
      </c>
      <c r="BZ167" s="139" t="n">
        <v>0</v>
      </c>
      <c r="CA167" s="140"/>
      <c r="CB167" s="138" t="n">
        <v>0</v>
      </c>
      <c r="CC167" s="139" t="n">
        <v>0</v>
      </c>
      <c r="CD167" s="138" t="n">
        <v>0</v>
      </c>
      <c r="CE167" s="139" t="n">
        <v>0</v>
      </c>
      <c r="CF167" s="138" t="n">
        <v>0</v>
      </c>
      <c r="CG167" s="139" t="n">
        <v>0</v>
      </c>
      <c r="CH167" s="138" t="n">
        <v>0</v>
      </c>
      <c r="CI167" s="139" t="n">
        <v>0</v>
      </c>
      <c r="CK167" s="143"/>
      <c r="CL167" s="137"/>
      <c r="CM167" s="144" t="str">
        <f aca="false">IFERROR(+$H167-($J167+$K167*$G167),"-")</f>
        <v>-</v>
      </c>
      <c r="CN167" s="137"/>
      <c r="CO167" s="144" t="str">
        <f aca="false">IFERROR(+$H167-($M167+$N167*$G167),"-")</f>
        <v>-</v>
      </c>
      <c r="CP167" s="144" t="str">
        <f aca="false">IFERROR(+$H167-($O167+$P167*$G167),"-")</f>
        <v>-</v>
      </c>
      <c r="CQ167" s="144" t="str">
        <f aca="false">IFERROR(+$H167-($Q167+$R167*$G167),"-")</f>
        <v>-</v>
      </c>
      <c r="CR167" s="144" t="str">
        <f aca="false">IFERROR(+$H167-($Q167+$R167*$G167),"-")</f>
        <v>-</v>
      </c>
      <c r="CS167" s="137"/>
      <c r="CT167" s="144" t="str">
        <f aca="false">IFERROR(+$H167-($V167+$W167*$G167),"-")</f>
        <v>-</v>
      </c>
      <c r="CU167" s="144" t="str">
        <f aca="false">IFERROR(+$H167-($X167+$Y167*$G167),"-")</f>
        <v>-</v>
      </c>
      <c r="CV167" s="144" t="str">
        <f aca="false">IFERROR(+$H167-($Z167+$AA167*$G167),"-")</f>
        <v>-</v>
      </c>
      <c r="CW167" s="144" t="str">
        <f aca="false">IFERROR(+$H167-($AB167+$AC167*$G167),"-")</f>
        <v>-</v>
      </c>
    </row>
    <row r="168" s="156" customFormat="true" ht="12.75" hidden="false" customHeight="true" outlineLevel="0" collapsed="false">
      <c r="A168" s="1"/>
      <c r="B168" s="145" t="s">
        <v>200</v>
      </c>
      <c r="C168" s="146" t="s">
        <v>251</v>
      </c>
      <c r="D168" s="147" t="e">
        <f aca="false">VLOOKUP($C168,#REF!,5,0)</f>
        <v>#VALUE!</v>
      </c>
      <c r="E168" s="148" t="e">
        <f aca="false">VLOOKUP($C168,#REF!,6,0)</f>
        <v>#VALUE!</v>
      </c>
      <c r="F168" s="146" t="e">
        <f aca="false">VLOOKUP($C168,#REF!,7,0)</f>
        <v>#VALUE!</v>
      </c>
      <c r="G168" s="146" t="e">
        <f aca="false">VLOOKUP($C168,#REF!,8,0)</f>
        <v>#VALUE!</v>
      </c>
      <c r="H168" s="149" t="e">
        <f aca="false">VLOOKUP($C168,#REF!,9,0)</f>
        <v>#VALUE!</v>
      </c>
      <c r="I168" s="137"/>
      <c r="J168" s="150" t="e">
        <f aca="false">VLOOKUP($C168,#REF!,10,0)</f>
        <v>#VALUE!</v>
      </c>
      <c r="K168" s="151" t="e">
        <f aca="false">VLOOKUP($C168,#REF!,11,0)</f>
        <v>#VALUE!</v>
      </c>
      <c r="L168" s="140"/>
      <c r="M168" s="150" t="e">
        <f aca="false">VLOOKUP($C168,#REF!,12,0)</f>
        <v>#VALUE!</v>
      </c>
      <c r="N168" s="152" t="e">
        <f aca="false">VLOOKUP($C168,#REF!,13,0)</f>
        <v>#VALUE!</v>
      </c>
      <c r="O168" s="150" t="e">
        <f aca="false">VLOOKUP($C168,#REF!,14,0)</f>
        <v>#VALUE!</v>
      </c>
      <c r="P168" s="152" t="e">
        <f aca="false">VLOOKUP($C168,#REF!,15,0)</f>
        <v>#VALUE!</v>
      </c>
      <c r="Q168" s="150" t="e">
        <f aca="false">VLOOKUP($C168,#REF!,16,0)</f>
        <v>#VALUE!</v>
      </c>
      <c r="R168" s="151" t="e">
        <f aca="false">VLOOKUP($C168,#REF!,17,0)</f>
        <v>#VALUE!</v>
      </c>
      <c r="S168" s="152" t="e">
        <f aca="false">VLOOKUP($C168,#REF!,18,0)</f>
        <v>#VALUE!</v>
      </c>
      <c r="T168" s="151" t="e">
        <f aca="false">VLOOKUP($C168,#REF!,19,0)</f>
        <v>#VALUE!</v>
      </c>
      <c r="U168" s="140"/>
      <c r="V168" s="150" t="e">
        <f aca="false">VLOOKUP($C168,#REF!,20,0)</f>
        <v>#VALUE!</v>
      </c>
      <c r="W168" s="152" t="e">
        <f aca="false">VLOOKUP($C168,#REF!,21,0)</f>
        <v>#VALUE!</v>
      </c>
      <c r="X168" s="150" t="e">
        <f aca="false">VLOOKUP($C168,#REF!,22,0)</f>
        <v>#VALUE!</v>
      </c>
      <c r="Y168" s="152" t="e">
        <f aca="false">VLOOKUP($C168,#REF!,23,0)</f>
        <v>#VALUE!</v>
      </c>
      <c r="Z168" s="150" t="e">
        <f aca="false">VLOOKUP($C168,#REF!,24,0)</f>
        <v>#VALUE!</v>
      </c>
      <c r="AA168" s="151" t="e">
        <f aca="false">VLOOKUP($C168,#REF!,25,0)</f>
        <v>#VALUE!</v>
      </c>
      <c r="AB168" s="152" t="e">
        <f aca="false">VLOOKUP($C168,#REF!,26,0)</f>
        <v>#VALUE!</v>
      </c>
      <c r="AC168" s="151" t="e">
        <f aca="false">VLOOKUP($C168,#REF!,27,0)</f>
        <v>#VALUE!</v>
      </c>
      <c r="AD168" s="1"/>
      <c r="AE168" s="150" t="e">
        <f aca="false">IF(M168="-","-","0,5 GB")</f>
        <v>#VALUE!</v>
      </c>
      <c r="AF168" s="153" t="s">
        <v>92</v>
      </c>
      <c r="AG168" s="153" t="s">
        <v>93</v>
      </c>
      <c r="AH168" s="151" t="s">
        <v>94</v>
      </c>
      <c r="AI168" s="1"/>
      <c r="AJ168" s="150" t="s">
        <v>95</v>
      </c>
      <c r="AK168" s="153" t="s">
        <v>96</v>
      </c>
      <c r="AL168" s="153" t="s">
        <v>97</v>
      </c>
      <c r="AM168" s="153" t="s">
        <v>98</v>
      </c>
      <c r="AN168" s="153" t="s">
        <v>98</v>
      </c>
      <c r="AO168" s="151" t="s">
        <v>92</v>
      </c>
      <c r="AP168" s="1"/>
      <c r="AQ168" s="154" t="n">
        <v>17</v>
      </c>
      <c r="AR168" s="137"/>
      <c r="AS168" s="150" t="n">
        <v>0</v>
      </c>
      <c r="AT168" s="151" t="n">
        <v>0</v>
      </c>
      <c r="AU168" s="140"/>
      <c r="AV168" s="150" t="n">
        <f aca="false">IFERROR(ROUND($D168-M168-AW168,0),0)</f>
        <v>0</v>
      </c>
      <c r="AW168" s="151" t="n">
        <f aca="false">IFERROR(N168*$G168,0)</f>
        <v>0</v>
      </c>
      <c r="AX168" s="150" t="n">
        <f aca="false">IFERROR(ROUND($D168-O168-AY168,0),0)</f>
        <v>0</v>
      </c>
      <c r="AY168" s="151" t="n">
        <f aca="false">IFERROR(P168*$G168,0)</f>
        <v>0</v>
      </c>
      <c r="AZ168" s="150" t="n">
        <f aca="false">IFERROR(ROUND($D168-Q168-BA168,0),0)</f>
        <v>0</v>
      </c>
      <c r="BA168" s="151" t="n">
        <f aca="false">IFERROR(R168*$G168,0)</f>
        <v>0</v>
      </c>
      <c r="BB168" s="152" t="n">
        <f aca="false">IFERROR(ROUND($D168-S168-BC168,0),0)</f>
        <v>0</v>
      </c>
      <c r="BC168" s="151" t="n">
        <f aca="false">IFERROR(T168*$G168,0)</f>
        <v>0</v>
      </c>
      <c r="BD168" s="140"/>
      <c r="BE168" s="150" t="n">
        <f aca="false">IFERROR(ROUND($D168-V168-BF168,0),0)</f>
        <v>0</v>
      </c>
      <c r="BF168" s="151" t="n">
        <f aca="false">IFERROR(W168*$G168,0)</f>
        <v>0</v>
      </c>
      <c r="BG168" s="150" t="n">
        <f aca="false">IFERROR(ROUND($D168-X168-BH168,0),0)</f>
        <v>0</v>
      </c>
      <c r="BH168" s="151" t="n">
        <f aca="false">IFERROR(Y168*$G168,0)</f>
        <v>0</v>
      </c>
      <c r="BI168" s="152" t="n">
        <f aca="false">IFERROR(ROUND($D168-Z168-BJ168,0),0)</f>
        <v>0</v>
      </c>
      <c r="BJ168" s="151" t="n">
        <f aca="false">IFERROR(AA168*$G168,0)</f>
        <v>0</v>
      </c>
      <c r="BK168" s="152" t="n">
        <f aca="false">IFERROR(ROUND($D168-AB168-BL168,0),0)</f>
        <v>0</v>
      </c>
      <c r="BL168" s="151" t="n">
        <f aca="false">IFERROR(AC168*$G168,0)</f>
        <v>0</v>
      </c>
      <c r="BM168" s="1"/>
      <c r="BN168" s="154" t="n">
        <v>0</v>
      </c>
      <c r="BO168" s="155"/>
      <c r="BP168" s="150" t="n">
        <v>0</v>
      </c>
      <c r="BQ168" s="151" t="n">
        <v>0</v>
      </c>
      <c r="BR168" s="152"/>
      <c r="BS168" s="150" t="n">
        <v>0</v>
      </c>
      <c r="BT168" s="151" t="n">
        <v>0</v>
      </c>
      <c r="BU168" s="150" t="n">
        <v>0</v>
      </c>
      <c r="BV168" s="151" t="n">
        <v>0</v>
      </c>
      <c r="BW168" s="150" t="n">
        <v>0</v>
      </c>
      <c r="BX168" s="151" t="n">
        <v>0</v>
      </c>
      <c r="BY168" s="150" t="n">
        <v>0</v>
      </c>
      <c r="BZ168" s="151" t="n">
        <v>0</v>
      </c>
      <c r="CA168" s="152"/>
      <c r="CB168" s="150" t="n">
        <v>0</v>
      </c>
      <c r="CC168" s="151" t="n">
        <v>0</v>
      </c>
      <c r="CD168" s="150" t="n">
        <v>0</v>
      </c>
      <c r="CE168" s="151" t="n">
        <v>0</v>
      </c>
      <c r="CF168" s="150" t="n">
        <v>0</v>
      </c>
      <c r="CG168" s="151" t="n">
        <v>0</v>
      </c>
      <c r="CH168" s="150" t="n">
        <v>0</v>
      </c>
      <c r="CI168" s="151" t="n">
        <v>0</v>
      </c>
      <c r="CJ168" s="1"/>
      <c r="CK168" s="149"/>
      <c r="CL168" s="137"/>
      <c r="CM168" s="154" t="str">
        <f aca="false">IFERROR(+$H168-($J168+$K168*$G168),"-")</f>
        <v>-</v>
      </c>
      <c r="CN168" s="137"/>
      <c r="CO168" s="154" t="str">
        <f aca="false">IFERROR(+$H168-($M168+$N168*$G168),"-")</f>
        <v>-</v>
      </c>
      <c r="CP168" s="154" t="str">
        <f aca="false">IFERROR(+$H168-($O168+$P168*$G168),"-")</f>
        <v>-</v>
      </c>
      <c r="CQ168" s="154" t="str">
        <f aca="false">IFERROR(+$H168-($Q168+$R168*$G168),"-")</f>
        <v>-</v>
      </c>
      <c r="CR168" s="154" t="str">
        <f aca="false">IFERROR(+$H168-($Q168+$R168*$G168),"-")</f>
        <v>-</v>
      </c>
      <c r="CS168" s="137"/>
      <c r="CT168" s="154" t="str">
        <f aca="false">IFERROR(+$H168-($V168+$W168*$G168),"-")</f>
        <v>-</v>
      </c>
      <c r="CU168" s="154" t="str">
        <f aca="false">IFERROR(+$H168-($X168+$Y168*$G168),"-")</f>
        <v>-</v>
      </c>
      <c r="CV168" s="154" t="str">
        <f aca="false">IFERROR(+$H168-($Z168+$AA168*$G168),"-")</f>
        <v>-</v>
      </c>
      <c r="CW168" s="154" t="str">
        <f aca="false">IFERROR(+$H168-($AB168+$AC168*$G168),"-")</f>
        <v>-</v>
      </c>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row>
    <row r="169" s="1" customFormat="true" ht="12.75" hidden="false" customHeight="true" outlineLevel="0" collapsed="false">
      <c r="B169" s="134" t="s">
        <v>200</v>
      </c>
      <c r="C169" s="135" t="s">
        <v>252</v>
      </c>
      <c r="D169" s="136" t="e">
        <f aca="false">VLOOKUP($C169,#REF!,5,0)</f>
        <v>#VALUE!</v>
      </c>
      <c r="E169" s="157" t="e">
        <f aca="false">VLOOKUP($C169,#REF!,6,0)</f>
        <v>#VALUE!</v>
      </c>
      <c r="F169" s="135" t="e">
        <f aca="false">VLOOKUP($C169,#REF!,7,0)</f>
        <v>#VALUE!</v>
      </c>
      <c r="G169" s="135" t="e">
        <f aca="false">VLOOKUP($C169,#REF!,8,0)</f>
        <v>#VALUE!</v>
      </c>
      <c r="H169" s="158" t="e">
        <f aca="false">VLOOKUP($C169,#REF!,9,0)</f>
        <v>#VALUE!</v>
      </c>
      <c r="I169" s="137"/>
      <c r="J169" s="138" t="e">
        <f aca="false">VLOOKUP($C169,#REF!,10,0)</f>
        <v>#VALUE!</v>
      </c>
      <c r="K169" s="139" t="e">
        <f aca="false">VLOOKUP($C169,#REF!,11,0)</f>
        <v>#VALUE!</v>
      </c>
      <c r="L169" s="140"/>
      <c r="M169" s="138" t="e">
        <f aca="false">VLOOKUP($C169,#REF!,12,0)</f>
        <v>#VALUE!</v>
      </c>
      <c r="N169" s="140" t="e">
        <f aca="false">VLOOKUP($C169,#REF!,13,0)</f>
        <v>#VALUE!</v>
      </c>
      <c r="O169" s="138" t="e">
        <f aca="false">VLOOKUP($C169,#REF!,14,0)</f>
        <v>#VALUE!</v>
      </c>
      <c r="P169" s="140" t="e">
        <f aca="false">VLOOKUP($C169,#REF!,15,0)</f>
        <v>#VALUE!</v>
      </c>
      <c r="Q169" s="138" t="e">
        <f aca="false">VLOOKUP($C169,#REF!,16,0)</f>
        <v>#VALUE!</v>
      </c>
      <c r="R169" s="139" t="e">
        <f aca="false">VLOOKUP($C169,#REF!,17,0)</f>
        <v>#VALUE!</v>
      </c>
      <c r="S169" s="140" t="e">
        <f aca="false">VLOOKUP($C169,#REF!,18,0)</f>
        <v>#VALUE!</v>
      </c>
      <c r="T169" s="139" t="e">
        <f aca="false">VLOOKUP($C169,#REF!,19,0)</f>
        <v>#VALUE!</v>
      </c>
      <c r="U169" s="140"/>
      <c r="V169" s="138" t="e">
        <f aca="false">VLOOKUP($C169,#REF!,20,0)</f>
        <v>#VALUE!</v>
      </c>
      <c r="W169" s="140" t="e">
        <f aca="false">VLOOKUP($C169,#REF!,21,0)</f>
        <v>#VALUE!</v>
      </c>
      <c r="X169" s="138" t="e">
        <f aca="false">VLOOKUP($C169,#REF!,22,0)</f>
        <v>#VALUE!</v>
      </c>
      <c r="Y169" s="140" t="e">
        <f aca="false">VLOOKUP($C169,#REF!,23,0)</f>
        <v>#VALUE!</v>
      </c>
      <c r="Z169" s="138" t="e">
        <f aca="false">VLOOKUP($C169,#REF!,24,0)</f>
        <v>#VALUE!</v>
      </c>
      <c r="AA169" s="139" t="e">
        <f aca="false">VLOOKUP($C169,#REF!,25,0)</f>
        <v>#VALUE!</v>
      </c>
      <c r="AB169" s="140" t="e">
        <f aca="false">VLOOKUP($C169,#REF!,26,0)</f>
        <v>#VALUE!</v>
      </c>
      <c r="AC169" s="139" t="e">
        <f aca="false">VLOOKUP($C169,#REF!,27,0)</f>
        <v>#VALUE!</v>
      </c>
      <c r="AE169" s="138" t="e">
        <f aca="false">IF(M169="-","-","0,5 GB")</f>
        <v>#VALUE!</v>
      </c>
      <c r="AF169" s="141" t="s">
        <v>92</v>
      </c>
      <c r="AG169" s="141" t="s">
        <v>93</v>
      </c>
      <c r="AH169" s="139" t="s">
        <v>94</v>
      </c>
      <c r="AJ169" s="138" t="s">
        <v>95</v>
      </c>
      <c r="AK169" s="141" t="s">
        <v>96</v>
      </c>
      <c r="AL169" s="141" t="s">
        <v>97</v>
      </c>
      <c r="AM169" s="141" t="s">
        <v>98</v>
      </c>
      <c r="AN169" s="141" t="s">
        <v>98</v>
      </c>
      <c r="AO169" s="139" t="s">
        <v>92</v>
      </c>
      <c r="AQ169" s="142" t="n">
        <v>-2</v>
      </c>
      <c r="AR169" s="137"/>
      <c r="AS169" s="138" t="n">
        <v>0</v>
      </c>
      <c r="AT169" s="139" t="n">
        <v>0</v>
      </c>
      <c r="AU169" s="140"/>
      <c r="AV169" s="138" t="n">
        <f aca="false">IFERROR(ROUND($D169-M169-AW169,0),0)</f>
        <v>0</v>
      </c>
      <c r="AW169" s="139" t="n">
        <f aca="false">IFERROR(N169*$G169,0)</f>
        <v>0</v>
      </c>
      <c r="AX169" s="138" t="n">
        <f aca="false">IFERROR(ROUND($D169-O169-AY169,0),0)</f>
        <v>0</v>
      </c>
      <c r="AY169" s="139" t="n">
        <f aca="false">IFERROR(P169*$G169,0)</f>
        <v>0</v>
      </c>
      <c r="AZ169" s="138" t="n">
        <f aca="false">IFERROR(ROUND($D169-Q169-BA169,0),0)</f>
        <v>0</v>
      </c>
      <c r="BA169" s="139" t="n">
        <f aca="false">IFERROR(R169*$G169,0)</f>
        <v>0</v>
      </c>
      <c r="BB169" s="140" t="n">
        <f aca="false">IFERROR(ROUND($D169-S169-BC169,0),0)</f>
        <v>0</v>
      </c>
      <c r="BC169" s="139" t="n">
        <f aca="false">IFERROR(T169*$G169,0)</f>
        <v>0</v>
      </c>
      <c r="BD169" s="140"/>
      <c r="BE169" s="138" t="n">
        <f aca="false">IFERROR(ROUND($D169-V169-BF169,0),0)</f>
        <v>0</v>
      </c>
      <c r="BF169" s="139" t="n">
        <f aca="false">IFERROR(W169*$G169,0)</f>
        <v>0</v>
      </c>
      <c r="BG169" s="138" t="n">
        <f aca="false">IFERROR(ROUND($D169-X169-BH169,0),0)</f>
        <v>0</v>
      </c>
      <c r="BH169" s="139" t="n">
        <f aca="false">IFERROR(Y169*$G169,0)</f>
        <v>0</v>
      </c>
      <c r="BI169" s="140" t="n">
        <f aca="false">IFERROR(ROUND($D169-Z169-BJ169,0),0)</f>
        <v>0</v>
      </c>
      <c r="BJ169" s="139" t="n">
        <f aca="false">IFERROR(AA169*$G169,0)</f>
        <v>0</v>
      </c>
      <c r="BK169" s="140" t="n">
        <f aca="false">IFERROR(ROUND($D169-AB169-BL169,0),0)</f>
        <v>0</v>
      </c>
      <c r="BL169" s="139" t="n">
        <f aca="false">IFERROR(AC169*$G169,0)</f>
        <v>0</v>
      </c>
      <c r="BN169" s="142" t="n">
        <v>0</v>
      </c>
      <c r="BO169" s="137"/>
      <c r="BP169" s="138" t="n">
        <v>0</v>
      </c>
      <c r="BQ169" s="139" t="n">
        <v>0</v>
      </c>
      <c r="BR169" s="140"/>
      <c r="BS169" s="138" t="n">
        <v>0</v>
      </c>
      <c r="BT169" s="139" t="n">
        <v>0</v>
      </c>
      <c r="BU169" s="138" t="n">
        <v>0</v>
      </c>
      <c r="BV169" s="139" t="n">
        <v>0</v>
      </c>
      <c r="BW169" s="138" t="n">
        <v>0</v>
      </c>
      <c r="BX169" s="139" t="n">
        <v>0</v>
      </c>
      <c r="BY169" s="138" t="n">
        <v>0</v>
      </c>
      <c r="BZ169" s="139" t="n">
        <v>0</v>
      </c>
      <c r="CA169" s="140"/>
      <c r="CB169" s="138" t="n">
        <v>0</v>
      </c>
      <c r="CC169" s="139" t="n">
        <v>0</v>
      </c>
      <c r="CD169" s="138" t="n">
        <v>0</v>
      </c>
      <c r="CE169" s="139" t="n">
        <v>0</v>
      </c>
      <c r="CF169" s="138" t="n">
        <v>0</v>
      </c>
      <c r="CG169" s="139" t="n">
        <v>0</v>
      </c>
      <c r="CH169" s="138" t="n">
        <v>0</v>
      </c>
      <c r="CI169" s="139" t="n">
        <v>0</v>
      </c>
      <c r="CK169" s="143"/>
      <c r="CL169" s="137"/>
      <c r="CM169" s="144" t="str">
        <f aca="false">IFERROR(+$H169-($J169+$K169*$G169),"-")</f>
        <v>-</v>
      </c>
      <c r="CN169" s="137"/>
      <c r="CO169" s="144" t="str">
        <f aca="false">IFERROR(+$H169-($M169+$N169*$G169),"-")</f>
        <v>-</v>
      </c>
      <c r="CP169" s="144" t="str">
        <f aca="false">IFERROR(+$H169-($O169+$P169*$G169),"-")</f>
        <v>-</v>
      </c>
      <c r="CQ169" s="144" t="str">
        <f aca="false">IFERROR(+$H169-($Q169+$R169*$G169),"-")</f>
        <v>-</v>
      </c>
      <c r="CR169" s="144" t="str">
        <f aca="false">IFERROR(+$H169-($Q169+$R169*$G169),"-")</f>
        <v>-</v>
      </c>
      <c r="CS169" s="137"/>
      <c r="CT169" s="144" t="str">
        <f aca="false">IFERROR(+$H169-($V169+$W169*$G169),"-")</f>
        <v>-</v>
      </c>
      <c r="CU169" s="144" t="str">
        <f aca="false">IFERROR(+$H169-($X169+$Y169*$G169),"-")</f>
        <v>-</v>
      </c>
      <c r="CV169" s="144" t="str">
        <f aca="false">IFERROR(+$H169-($Z169+$AA169*$G169),"-")</f>
        <v>-</v>
      </c>
      <c r="CW169" s="144" t="str">
        <f aca="false">IFERROR(+$H169-($AB169+$AC169*$G169),"-")</f>
        <v>-</v>
      </c>
    </row>
    <row r="170" s="156" customFormat="true" ht="12.75" hidden="false" customHeight="true" outlineLevel="0" collapsed="false">
      <c r="A170" s="1"/>
      <c r="B170" s="145" t="s">
        <v>200</v>
      </c>
      <c r="C170" s="146" t="s">
        <v>253</v>
      </c>
      <c r="D170" s="147" t="e">
        <f aca="false">VLOOKUP($C170,#REF!,5,0)</f>
        <v>#VALUE!</v>
      </c>
      <c r="E170" s="148" t="e">
        <f aca="false">VLOOKUP($C170,#REF!,6,0)</f>
        <v>#VALUE!</v>
      </c>
      <c r="F170" s="146" t="e">
        <f aca="false">VLOOKUP($C170,#REF!,7,0)</f>
        <v>#VALUE!</v>
      </c>
      <c r="G170" s="146" t="e">
        <f aca="false">VLOOKUP($C170,#REF!,8,0)</f>
        <v>#VALUE!</v>
      </c>
      <c r="H170" s="149" t="e">
        <f aca="false">VLOOKUP($C170,#REF!,9,0)</f>
        <v>#VALUE!</v>
      </c>
      <c r="I170" s="137"/>
      <c r="J170" s="150" t="e">
        <f aca="false">VLOOKUP($C170,#REF!,10,0)</f>
        <v>#VALUE!</v>
      </c>
      <c r="K170" s="151" t="e">
        <f aca="false">VLOOKUP($C170,#REF!,11,0)</f>
        <v>#VALUE!</v>
      </c>
      <c r="L170" s="140"/>
      <c r="M170" s="150" t="e">
        <f aca="false">VLOOKUP($C170,#REF!,12,0)</f>
        <v>#VALUE!</v>
      </c>
      <c r="N170" s="152" t="e">
        <f aca="false">VLOOKUP($C170,#REF!,13,0)</f>
        <v>#VALUE!</v>
      </c>
      <c r="O170" s="150" t="e">
        <f aca="false">VLOOKUP($C170,#REF!,14,0)</f>
        <v>#VALUE!</v>
      </c>
      <c r="P170" s="152" t="e">
        <f aca="false">VLOOKUP($C170,#REF!,15,0)</f>
        <v>#VALUE!</v>
      </c>
      <c r="Q170" s="150" t="e">
        <f aca="false">VLOOKUP($C170,#REF!,16,0)</f>
        <v>#VALUE!</v>
      </c>
      <c r="R170" s="151" t="e">
        <f aca="false">VLOOKUP($C170,#REF!,17,0)</f>
        <v>#VALUE!</v>
      </c>
      <c r="S170" s="152" t="e">
        <f aca="false">VLOOKUP($C170,#REF!,18,0)</f>
        <v>#VALUE!</v>
      </c>
      <c r="T170" s="151" t="e">
        <f aca="false">VLOOKUP($C170,#REF!,19,0)</f>
        <v>#VALUE!</v>
      </c>
      <c r="U170" s="140"/>
      <c r="V170" s="150" t="e">
        <f aca="false">VLOOKUP($C170,#REF!,20,0)</f>
        <v>#VALUE!</v>
      </c>
      <c r="W170" s="152" t="e">
        <f aca="false">VLOOKUP($C170,#REF!,21,0)</f>
        <v>#VALUE!</v>
      </c>
      <c r="X170" s="150" t="e">
        <f aca="false">VLOOKUP($C170,#REF!,22,0)</f>
        <v>#VALUE!</v>
      </c>
      <c r="Y170" s="152" t="e">
        <f aca="false">VLOOKUP($C170,#REF!,23,0)</f>
        <v>#VALUE!</v>
      </c>
      <c r="Z170" s="150" t="e">
        <f aca="false">VLOOKUP($C170,#REF!,24,0)</f>
        <v>#VALUE!</v>
      </c>
      <c r="AA170" s="151" t="e">
        <f aca="false">VLOOKUP($C170,#REF!,25,0)</f>
        <v>#VALUE!</v>
      </c>
      <c r="AB170" s="152" t="e">
        <f aca="false">VLOOKUP($C170,#REF!,26,0)</f>
        <v>#VALUE!</v>
      </c>
      <c r="AC170" s="151" t="e">
        <f aca="false">VLOOKUP($C170,#REF!,27,0)</f>
        <v>#VALUE!</v>
      </c>
      <c r="AD170" s="1"/>
      <c r="AE170" s="150" t="e">
        <f aca="false">IF(M170="-","-","0,5 GB")</f>
        <v>#VALUE!</v>
      </c>
      <c r="AF170" s="153" t="s">
        <v>92</v>
      </c>
      <c r="AG170" s="153" t="s">
        <v>93</v>
      </c>
      <c r="AH170" s="151" t="s">
        <v>94</v>
      </c>
      <c r="AI170" s="1"/>
      <c r="AJ170" s="150" t="s">
        <v>95</v>
      </c>
      <c r="AK170" s="153" t="s">
        <v>96</v>
      </c>
      <c r="AL170" s="153" t="s">
        <v>97</v>
      </c>
      <c r="AM170" s="153" t="s">
        <v>98</v>
      </c>
      <c r="AN170" s="153" t="s">
        <v>98</v>
      </c>
      <c r="AO170" s="151" t="s">
        <v>92</v>
      </c>
      <c r="AP170" s="1"/>
      <c r="AQ170" s="154" t="n">
        <v>214</v>
      </c>
      <c r="AR170" s="137"/>
      <c r="AS170" s="150" t="n">
        <v>0</v>
      </c>
      <c r="AT170" s="151" t="n">
        <v>0</v>
      </c>
      <c r="AU170" s="140"/>
      <c r="AV170" s="150" t="n">
        <f aca="false">IFERROR(ROUND($D170-M170-AW170,0),0)</f>
        <v>0</v>
      </c>
      <c r="AW170" s="151" t="n">
        <f aca="false">IFERROR(N170*$G170,0)</f>
        <v>0</v>
      </c>
      <c r="AX170" s="150" t="n">
        <f aca="false">IFERROR(ROUND($D170-O170-AY170,0),0)</f>
        <v>0</v>
      </c>
      <c r="AY170" s="151" t="n">
        <f aca="false">IFERROR(P170*$G170,0)</f>
        <v>0</v>
      </c>
      <c r="AZ170" s="150" t="n">
        <f aca="false">IFERROR(ROUND($D170-Q170-BA170,0),0)</f>
        <v>0</v>
      </c>
      <c r="BA170" s="151" t="n">
        <f aca="false">IFERROR(R170*$G170,0)</f>
        <v>0</v>
      </c>
      <c r="BB170" s="152" t="n">
        <f aca="false">IFERROR(ROUND($D170-S170-BC170,0),0)</f>
        <v>0</v>
      </c>
      <c r="BC170" s="151" t="n">
        <f aca="false">IFERROR(T170*$G170,0)</f>
        <v>0</v>
      </c>
      <c r="BD170" s="140"/>
      <c r="BE170" s="150" t="n">
        <f aca="false">IFERROR(ROUND($D170-V170-BF170,0),0)</f>
        <v>0</v>
      </c>
      <c r="BF170" s="151" t="n">
        <f aca="false">IFERROR(W170*$G170,0)</f>
        <v>0</v>
      </c>
      <c r="BG170" s="150" t="n">
        <f aca="false">IFERROR(ROUND($D170-X170-BH170,0),0)</f>
        <v>0</v>
      </c>
      <c r="BH170" s="151" t="n">
        <f aca="false">IFERROR(Y170*$G170,0)</f>
        <v>0</v>
      </c>
      <c r="BI170" s="152" t="n">
        <f aca="false">IFERROR(ROUND($D170-Z170-BJ170,0),0)</f>
        <v>0</v>
      </c>
      <c r="BJ170" s="151" t="n">
        <f aca="false">IFERROR(AA170*$G170,0)</f>
        <v>0</v>
      </c>
      <c r="BK170" s="152" t="n">
        <f aca="false">IFERROR(ROUND($D170-AB170-BL170,0),0)</f>
        <v>0</v>
      </c>
      <c r="BL170" s="151" t="n">
        <f aca="false">IFERROR(AC170*$G170,0)</f>
        <v>0</v>
      </c>
      <c r="BM170" s="1"/>
      <c r="BN170" s="154" t="n">
        <v>0</v>
      </c>
      <c r="BO170" s="155"/>
      <c r="BP170" s="150" t="n">
        <v>0</v>
      </c>
      <c r="BQ170" s="151" t="n">
        <v>0</v>
      </c>
      <c r="BR170" s="152"/>
      <c r="BS170" s="150" t="n">
        <v>0</v>
      </c>
      <c r="BT170" s="151" t="n">
        <v>0</v>
      </c>
      <c r="BU170" s="150" t="n">
        <v>0</v>
      </c>
      <c r="BV170" s="151" t="n">
        <v>0</v>
      </c>
      <c r="BW170" s="150" t="n">
        <v>0</v>
      </c>
      <c r="BX170" s="151" t="n">
        <v>0</v>
      </c>
      <c r="BY170" s="150" t="n">
        <v>0</v>
      </c>
      <c r="BZ170" s="151" t="n">
        <v>0</v>
      </c>
      <c r="CA170" s="152"/>
      <c r="CB170" s="150" t="n">
        <v>0</v>
      </c>
      <c r="CC170" s="151" t="n">
        <v>0</v>
      </c>
      <c r="CD170" s="150" t="n">
        <v>0</v>
      </c>
      <c r="CE170" s="151" t="n">
        <v>0</v>
      </c>
      <c r="CF170" s="150" t="n">
        <v>0</v>
      </c>
      <c r="CG170" s="151" t="n">
        <v>0</v>
      </c>
      <c r="CH170" s="150" t="n">
        <v>0</v>
      </c>
      <c r="CI170" s="151" t="n">
        <v>0</v>
      </c>
      <c r="CJ170" s="1"/>
      <c r="CK170" s="149"/>
      <c r="CL170" s="137"/>
      <c r="CM170" s="154" t="str">
        <f aca="false">IFERROR(+$H170-($J170+$K170*$G170),"-")</f>
        <v>-</v>
      </c>
      <c r="CN170" s="137"/>
      <c r="CO170" s="154" t="str">
        <f aca="false">IFERROR(+$H170-($M170+$N170*$G170),"-")</f>
        <v>-</v>
      </c>
      <c r="CP170" s="154" t="str">
        <f aca="false">IFERROR(+$H170-($O170+$P170*$G170),"-")</f>
        <v>-</v>
      </c>
      <c r="CQ170" s="154" t="str">
        <f aca="false">IFERROR(+$H170-($Q170+$R170*$G170),"-")</f>
        <v>-</v>
      </c>
      <c r="CR170" s="154" t="str">
        <f aca="false">IFERROR(+$H170-($Q170+$R170*$G170),"-")</f>
        <v>-</v>
      </c>
      <c r="CS170" s="137"/>
      <c r="CT170" s="154" t="str">
        <f aca="false">IFERROR(+$H170-($V170+$W170*$G170),"-")</f>
        <v>-</v>
      </c>
      <c r="CU170" s="154" t="str">
        <f aca="false">IFERROR(+$H170-($X170+$Y170*$G170),"-")</f>
        <v>-</v>
      </c>
      <c r="CV170" s="154" t="str">
        <f aca="false">IFERROR(+$H170-($Z170+$AA170*$G170),"-")</f>
        <v>-</v>
      </c>
      <c r="CW170" s="154" t="str">
        <f aca="false">IFERROR(+$H170-($AB170+$AC170*$G170),"-")</f>
        <v>-</v>
      </c>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row>
    <row r="171" s="1" customFormat="true" ht="12.75" hidden="false" customHeight="true" outlineLevel="0" collapsed="false">
      <c r="B171" s="159" t="s">
        <v>200</v>
      </c>
      <c r="C171" s="160" t="s">
        <v>254</v>
      </c>
      <c r="D171" s="136" t="e">
        <f aca="false">VLOOKUP($C171,#REF!,5,0)</f>
        <v>#VALUE!</v>
      </c>
      <c r="E171" s="157" t="e">
        <f aca="false">VLOOKUP($C171,#REF!,6,0)</f>
        <v>#VALUE!</v>
      </c>
      <c r="F171" s="135" t="e">
        <f aca="false">VLOOKUP($C171,#REF!,7,0)</f>
        <v>#VALUE!</v>
      </c>
      <c r="G171" s="135" t="e">
        <f aca="false">VLOOKUP($C171,#REF!,8,0)</f>
        <v>#VALUE!</v>
      </c>
      <c r="H171" s="158" t="e">
        <f aca="false">VLOOKUP($C171,#REF!,9,0)</f>
        <v>#VALUE!</v>
      </c>
      <c r="I171" s="137"/>
      <c r="J171" s="138" t="e">
        <f aca="false">VLOOKUP($C171,#REF!,10,0)</f>
        <v>#VALUE!</v>
      </c>
      <c r="K171" s="139" t="e">
        <f aca="false">VLOOKUP($C171,#REF!,11,0)</f>
        <v>#VALUE!</v>
      </c>
      <c r="L171" s="140"/>
      <c r="M171" s="138" t="e">
        <f aca="false">VLOOKUP($C171,#REF!,12,0)</f>
        <v>#VALUE!</v>
      </c>
      <c r="N171" s="140" t="e">
        <f aca="false">VLOOKUP($C171,#REF!,13,0)</f>
        <v>#VALUE!</v>
      </c>
      <c r="O171" s="138" t="e">
        <f aca="false">VLOOKUP($C171,#REF!,14,0)</f>
        <v>#VALUE!</v>
      </c>
      <c r="P171" s="140" t="e">
        <f aca="false">VLOOKUP($C171,#REF!,15,0)</f>
        <v>#VALUE!</v>
      </c>
      <c r="Q171" s="138" t="e">
        <f aca="false">VLOOKUP($C171,#REF!,16,0)</f>
        <v>#VALUE!</v>
      </c>
      <c r="R171" s="139" t="e">
        <f aca="false">VLOOKUP($C171,#REF!,17,0)</f>
        <v>#VALUE!</v>
      </c>
      <c r="S171" s="140" t="e">
        <f aca="false">VLOOKUP($C171,#REF!,18,0)</f>
        <v>#VALUE!</v>
      </c>
      <c r="T171" s="139" t="e">
        <f aca="false">VLOOKUP($C171,#REF!,19,0)</f>
        <v>#VALUE!</v>
      </c>
      <c r="U171" s="140"/>
      <c r="V171" s="138" t="e">
        <f aca="false">VLOOKUP($C171,#REF!,20,0)</f>
        <v>#VALUE!</v>
      </c>
      <c r="W171" s="140" t="e">
        <f aca="false">VLOOKUP($C171,#REF!,21,0)</f>
        <v>#VALUE!</v>
      </c>
      <c r="X171" s="138" t="e">
        <f aca="false">VLOOKUP($C171,#REF!,22,0)</f>
        <v>#VALUE!</v>
      </c>
      <c r="Y171" s="140" t="e">
        <f aca="false">VLOOKUP($C171,#REF!,23,0)</f>
        <v>#VALUE!</v>
      </c>
      <c r="Z171" s="138" t="e">
        <f aca="false">VLOOKUP($C171,#REF!,24,0)</f>
        <v>#VALUE!</v>
      </c>
      <c r="AA171" s="139" t="e">
        <f aca="false">VLOOKUP($C171,#REF!,25,0)</f>
        <v>#VALUE!</v>
      </c>
      <c r="AB171" s="140" t="e">
        <f aca="false">VLOOKUP($C171,#REF!,26,0)</f>
        <v>#VALUE!</v>
      </c>
      <c r="AC171" s="139" t="e">
        <f aca="false">VLOOKUP($C171,#REF!,27,0)</f>
        <v>#VALUE!</v>
      </c>
      <c r="AE171" s="138" t="e">
        <f aca="false">IF(M171="-","-","0,5 GB")</f>
        <v>#VALUE!</v>
      </c>
      <c r="AF171" s="141" t="s">
        <v>92</v>
      </c>
      <c r="AG171" s="141" t="s">
        <v>93</v>
      </c>
      <c r="AH171" s="139" t="s">
        <v>94</v>
      </c>
      <c r="AJ171" s="138" t="s">
        <v>95</v>
      </c>
      <c r="AK171" s="141" t="s">
        <v>96</v>
      </c>
      <c r="AL171" s="141" t="s">
        <v>97</v>
      </c>
      <c r="AM171" s="141" t="s">
        <v>98</v>
      </c>
      <c r="AN171" s="141" t="s">
        <v>98</v>
      </c>
      <c r="AO171" s="139" t="s">
        <v>92</v>
      </c>
      <c r="AQ171" s="142" t="n">
        <v>42</v>
      </c>
      <c r="AR171" s="137"/>
      <c r="AS171" s="138" t="n">
        <v>0</v>
      </c>
      <c r="AT171" s="139" t="n">
        <v>0</v>
      </c>
      <c r="AU171" s="140"/>
      <c r="AV171" s="138" t="n">
        <f aca="false">IFERROR(ROUND($D171-M171-AW171,0),0)</f>
        <v>0</v>
      </c>
      <c r="AW171" s="139" t="n">
        <f aca="false">IFERROR(N171*$G171,0)</f>
        <v>0</v>
      </c>
      <c r="AX171" s="138" t="n">
        <f aca="false">IFERROR(ROUND($D171-O171-AY171,0),0)</f>
        <v>0</v>
      </c>
      <c r="AY171" s="139" t="n">
        <f aca="false">IFERROR(P171*$G171,0)</f>
        <v>0</v>
      </c>
      <c r="AZ171" s="138" t="n">
        <f aca="false">IFERROR(ROUND($D171-Q171-BA171,0),0)</f>
        <v>0</v>
      </c>
      <c r="BA171" s="139" t="n">
        <f aca="false">IFERROR(R171*$G171,0)</f>
        <v>0</v>
      </c>
      <c r="BB171" s="140" t="n">
        <f aca="false">IFERROR(ROUND($D171-S171-BC171,0),0)</f>
        <v>0</v>
      </c>
      <c r="BC171" s="139" t="n">
        <f aca="false">IFERROR(T171*$G171,0)</f>
        <v>0</v>
      </c>
      <c r="BD171" s="140"/>
      <c r="BE171" s="138" t="n">
        <f aca="false">IFERROR(ROUND($D171-V171-BF171,0),0)</f>
        <v>0</v>
      </c>
      <c r="BF171" s="139" t="n">
        <f aca="false">IFERROR(W171*$G171,0)</f>
        <v>0</v>
      </c>
      <c r="BG171" s="138" t="n">
        <f aca="false">IFERROR(ROUND($D171-X171-BH171,0),0)</f>
        <v>0</v>
      </c>
      <c r="BH171" s="139" t="n">
        <f aca="false">IFERROR(Y171*$G171,0)</f>
        <v>0</v>
      </c>
      <c r="BI171" s="140" t="n">
        <f aca="false">IFERROR(ROUND($D171-Z171-BJ171,0),0)</f>
        <v>0</v>
      </c>
      <c r="BJ171" s="139" t="n">
        <f aca="false">IFERROR(AA171*$G171,0)</f>
        <v>0</v>
      </c>
      <c r="BK171" s="140" t="n">
        <f aca="false">IFERROR(ROUND($D171-AB171-BL171,0),0)</f>
        <v>0</v>
      </c>
      <c r="BL171" s="139" t="n">
        <f aca="false">IFERROR(AC171*$G171,0)</f>
        <v>0</v>
      </c>
      <c r="BN171" s="142" t="n">
        <v>49.59</v>
      </c>
      <c r="BO171" s="137"/>
      <c r="BP171" s="138" t="n">
        <v>49.59</v>
      </c>
      <c r="BQ171" s="139" t="n">
        <v>0</v>
      </c>
      <c r="BR171" s="140"/>
      <c r="BS171" s="138" t="n">
        <v>0</v>
      </c>
      <c r="BT171" s="139" t="n">
        <v>0</v>
      </c>
      <c r="BU171" s="138" t="n">
        <v>0</v>
      </c>
      <c r="BV171" s="139" t="n">
        <v>0</v>
      </c>
      <c r="BW171" s="138" t="n">
        <v>-30</v>
      </c>
      <c r="BX171" s="139" t="n">
        <v>-2</v>
      </c>
      <c r="BY171" s="138" t="n">
        <v>-30</v>
      </c>
      <c r="BZ171" s="139" t="n">
        <v>-2</v>
      </c>
      <c r="CA171" s="140"/>
      <c r="CB171" s="138" t="n">
        <v>0</v>
      </c>
      <c r="CC171" s="139" t="n">
        <v>0</v>
      </c>
      <c r="CD171" s="138" t="n">
        <v>0</v>
      </c>
      <c r="CE171" s="139" t="n">
        <v>0</v>
      </c>
      <c r="CF171" s="138" t="n">
        <v>0</v>
      </c>
      <c r="CG171" s="139" t="n">
        <v>-3</v>
      </c>
      <c r="CH171" s="138" t="n">
        <v>0</v>
      </c>
      <c r="CI171" s="139" t="n">
        <v>-3</v>
      </c>
      <c r="CK171" s="143"/>
      <c r="CL171" s="137"/>
      <c r="CM171" s="144" t="str">
        <f aca="false">IFERROR(+$H171-($J171+$K171*$G171),"-")</f>
        <v>-</v>
      </c>
      <c r="CN171" s="137"/>
      <c r="CO171" s="144" t="str">
        <f aca="false">IFERROR(+$H171-($M171+$N171*$G171),"-")</f>
        <v>-</v>
      </c>
      <c r="CP171" s="144" t="str">
        <f aca="false">IFERROR(+$H171-($O171+$P171*$G171),"-")</f>
        <v>-</v>
      </c>
      <c r="CQ171" s="144" t="str">
        <f aca="false">IFERROR(+$H171-($Q171+$R171*$G171),"-")</f>
        <v>-</v>
      </c>
      <c r="CR171" s="144" t="str">
        <f aca="false">IFERROR(+$H171-($Q171+$R171*$G171),"-")</f>
        <v>-</v>
      </c>
      <c r="CS171" s="137"/>
      <c r="CT171" s="144" t="str">
        <f aca="false">IFERROR(+$H171-($V171+$W171*$G171),"-")</f>
        <v>-</v>
      </c>
      <c r="CU171" s="144" t="str">
        <f aca="false">IFERROR(+$H171-($X171+$Y171*$G171),"-")</f>
        <v>-</v>
      </c>
      <c r="CV171" s="144" t="str">
        <f aca="false">IFERROR(+$H171-($Z171+$AA171*$G171),"-")</f>
        <v>-</v>
      </c>
      <c r="CW171" s="144" t="str">
        <f aca="false">IFERROR(+$H171-($AB171+$AC171*$G171),"-")</f>
        <v>-</v>
      </c>
    </row>
    <row r="172" s="156" customFormat="true" ht="12.75" hidden="false" customHeight="true" outlineLevel="0" collapsed="false">
      <c r="A172" s="1"/>
      <c r="B172" s="163" t="s">
        <v>200</v>
      </c>
      <c r="C172" s="164" t="s">
        <v>255</v>
      </c>
      <c r="D172" s="147" t="e">
        <f aca="false">VLOOKUP($C172,#REF!,5,0)</f>
        <v>#VALUE!</v>
      </c>
      <c r="E172" s="148" t="e">
        <f aca="false">VLOOKUP($C172,#REF!,6,0)</f>
        <v>#VALUE!</v>
      </c>
      <c r="F172" s="146" t="e">
        <f aca="false">VLOOKUP($C172,#REF!,7,0)</f>
        <v>#VALUE!</v>
      </c>
      <c r="G172" s="146" t="e">
        <f aca="false">VLOOKUP($C172,#REF!,8,0)</f>
        <v>#VALUE!</v>
      </c>
      <c r="H172" s="149" t="e">
        <f aca="false">VLOOKUP($C172,#REF!,9,0)</f>
        <v>#VALUE!</v>
      </c>
      <c r="I172" s="137"/>
      <c r="J172" s="150" t="e">
        <f aca="false">VLOOKUP($C172,#REF!,10,0)</f>
        <v>#VALUE!</v>
      </c>
      <c r="K172" s="151" t="e">
        <f aca="false">VLOOKUP($C172,#REF!,11,0)</f>
        <v>#VALUE!</v>
      </c>
      <c r="L172" s="140"/>
      <c r="M172" s="150" t="e">
        <f aca="false">VLOOKUP($C172,#REF!,12,0)</f>
        <v>#VALUE!</v>
      </c>
      <c r="N172" s="152" t="e">
        <f aca="false">VLOOKUP($C172,#REF!,13,0)</f>
        <v>#VALUE!</v>
      </c>
      <c r="O172" s="150" t="e">
        <f aca="false">VLOOKUP($C172,#REF!,14,0)</f>
        <v>#VALUE!</v>
      </c>
      <c r="P172" s="152" t="e">
        <f aca="false">VLOOKUP($C172,#REF!,15,0)</f>
        <v>#VALUE!</v>
      </c>
      <c r="Q172" s="150" t="e">
        <f aca="false">VLOOKUP($C172,#REF!,16,0)</f>
        <v>#VALUE!</v>
      </c>
      <c r="R172" s="151" t="e">
        <f aca="false">VLOOKUP($C172,#REF!,17,0)</f>
        <v>#VALUE!</v>
      </c>
      <c r="S172" s="152" t="e">
        <f aca="false">VLOOKUP($C172,#REF!,18,0)</f>
        <v>#VALUE!</v>
      </c>
      <c r="T172" s="151" t="e">
        <f aca="false">VLOOKUP($C172,#REF!,19,0)</f>
        <v>#VALUE!</v>
      </c>
      <c r="U172" s="140"/>
      <c r="V172" s="150" t="e">
        <f aca="false">VLOOKUP($C172,#REF!,20,0)</f>
        <v>#VALUE!</v>
      </c>
      <c r="W172" s="152" t="e">
        <f aca="false">VLOOKUP($C172,#REF!,21,0)</f>
        <v>#VALUE!</v>
      </c>
      <c r="X172" s="150" t="e">
        <f aca="false">VLOOKUP($C172,#REF!,22,0)</f>
        <v>#VALUE!</v>
      </c>
      <c r="Y172" s="152" t="e">
        <f aca="false">VLOOKUP($C172,#REF!,23,0)</f>
        <v>#VALUE!</v>
      </c>
      <c r="Z172" s="150" t="e">
        <f aca="false">VLOOKUP($C172,#REF!,24,0)</f>
        <v>#VALUE!</v>
      </c>
      <c r="AA172" s="151" t="e">
        <f aca="false">VLOOKUP($C172,#REF!,25,0)</f>
        <v>#VALUE!</v>
      </c>
      <c r="AB172" s="152" t="e">
        <f aca="false">VLOOKUP($C172,#REF!,26,0)</f>
        <v>#VALUE!</v>
      </c>
      <c r="AC172" s="151" t="e">
        <f aca="false">VLOOKUP($C172,#REF!,27,0)</f>
        <v>#VALUE!</v>
      </c>
      <c r="AD172" s="1"/>
      <c r="AE172" s="150" t="e">
        <f aca="false">IF(M172="-","-","0,5 GB")</f>
        <v>#VALUE!</v>
      </c>
      <c r="AF172" s="153" t="s">
        <v>92</v>
      </c>
      <c r="AG172" s="153" t="s">
        <v>93</v>
      </c>
      <c r="AH172" s="151" t="s">
        <v>94</v>
      </c>
      <c r="AI172" s="1"/>
      <c r="AJ172" s="150" t="s">
        <v>95</v>
      </c>
      <c r="AK172" s="153" t="s">
        <v>96</v>
      </c>
      <c r="AL172" s="153" t="s">
        <v>97</v>
      </c>
      <c r="AM172" s="153" t="s">
        <v>98</v>
      </c>
      <c r="AN172" s="153" t="s">
        <v>98</v>
      </c>
      <c r="AO172" s="151" t="s">
        <v>92</v>
      </c>
      <c r="AP172" s="1"/>
      <c r="AQ172" s="154" t="n">
        <v>42</v>
      </c>
      <c r="AR172" s="137"/>
      <c r="AS172" s="150" t="n">
        <v>0</v>
      </c>
      <c r="AT172" s="151" t="n">
        <v>0</v>
      </c>
      <c r="AU172" s="140"/>
      <c r="AV172" s="150" t="n">
        <f aca="false">IFERROR(ROUND($D172-M172-AW172,0),0)</f>
        <v>0</v>
      </c>
      <c r="AW172" s="151" t="n">
        <f aca="false">IFERROR(N172*$G172,0)</f>
        <v>0</v>
      </c>
      <c r="AX172" s="150" t="n">
        <f aca="false">IFERROR(ROUND($D172-O172-AY172,0),0)</f>
        <v>0</v>
      </c>
      <c r="AY172" s="151" t="n">
        <f aca="false">IFERROR(P172*$G172,0)</f>
        <v>0</v>
      </c>
      <c r="AZ172" s="150" t="n">
        <f aca="false">IFERROR(ROUND($D172-Q172-BA172,0),0)</f>
        <v>0</v>
      </c>
      <c r="BA172" s="151" t="n">
        <f aca="false">IFERROR(R172*$G172,0)</f>
        <v>0</v>
      </c>
      <c r="BB172" s="152" t="n">
        <f aca="false">IFERROR(ROUND($D172-S172-BC172,0),0)</f>
        <v>0</v>
      </c>
      <c r="BC172" s="151" t="n">
        <f aca="false">IFERROR(T172*$G172,0)</f>
        <v>0</v>
      </c>
      <c r="BD172" s="140"/>
      <c r="BE172" s="150" t="n">
        <f aca="false">IFERROR(ROUND($D172-V172-BF172,0),0)</f>
        <v>0</v>
      </c>
      <c r="BF172" s="151" t="n">
        <f aca="false">IFERROR(W172*$G172,0)</f>
        <v>0</v>
      </c>
      <c r="BG172" s="150" t="n">
        <f aca="false">IFERROR(ROUND($D172-X172-BH172,0),0)</f>
        <v>0</v>
      </c>
      <c r="BH172" s="151" t="n">
        <f aca="false">IFERROR(Y172*$G172,0)</f>
        <v>0</v>
      </c>
      <c r="BI172" s="152" t="n">
        <f aca="false">IFERROR(ROUND($D172-Z172-BJ172,0),0)</f>
        <v>0</v>
      </c>
      <c r="BJ172" s="151" t="n">
        <f aca="false">IFERROR(AA172*$G172,0)</f>
        <v>0</v>
      </c>
      <c r="BK172" s="152" t="n">
        <f aca="false">IFERROR(ROUND($D172-AB172-BL172,0),0)</f>
        <v>0</v>
      </c>
      <c r="BL172" s="151" t="n">
        <f aca="false">IFERROR(AC172*$G172,0)</f>
        <v>0</v>
      </c>
      <c r="BM172" s="1"/>
      <c r="BN172" s="154" t="n">
        <v>57.86</v>
      </c>
      <c r="BO172" s="155"/>
      <c r="BP172" s="150" t="n">
        <v>57.86</v>
      </c>
      <c r="BQ172" s="151" t="n">
        <v>0</v>
      </c>
      <c r="BR172" s="152"/>
      <c r="BS172" s="150" t="n">
        <v>0</v>
      </c>
      <c r="BT172" s="151" t="n">
        <v>0</v>
      </c>
      <c r="BU172" s="150" t="n">
        <v>0</v>
      </c>
      <c r="BV172" s="151" t="n">
        <v>0</v>
      </c>
      <c r="BW172" s="150" t="n">
        <v>-40</v>
      </c>
      <c r="BX172" s="151" t="n">
        <v>-1</v>
      </c>
      <c r="BY172" s="150" t="n">
        <v>-40</v>
      </c>
      <c r="BZ172" s="151" t="n">
        <v>-1</v>
      </c>
      <c r="CA172" s="152"/>
      <c r="CB172" s="150" t="n">
        <v>0</v>
      </c>
      <c r="CC172" s="151" t="n">
        <v>0</v>
      </c>
      <c r="CD172" s="150" t="n">
        <v>0</v>
      </c>
      <c r="CE172" s="151" t="n">
        <v>0</v>
      </c>
      <c r="CF172" s="150" t="n">
        <v>0</v>
      </c>
      <c r="CG172" s="151" t="n">
        <v>-1</v>
      </c>
      <c r="CH172" s="150" t="n">
        <v>0</v>
      </c>
      <c r="CI172" s="151" t="n">
        <v>-1</v>
      </c>
      <c r="CJ172" s="1"/>
      <c r="CK172" s="149"/>
      <c r="CL172" s="137"/>
      <c r="CM172" s="154" t="str">
        <f aca="false">IFERROR(+$H172-($J172+$K172*$G172),"-")</f>
        <v>-</v>
      </c>
      <c r="CN172" s="137"/>
      <c r="CO172" s="154" t="str">
        <f aca="false">IFERROR(+$H172-($M172+$N172*$G172),"-")</f>
        <v>-</v>
      </c>
      <c r="CP172" s="154" t="str">
        <f aca="false">IFERROR(+$H172-($O172+$P172*$G172),"-")</f>
        <v>-</v>
      </c>
      <c r="CQ172" s="154" t="str">
        <f aca="false">IFERROR(+$H172-($Q172+$R172*$G172),"-")</f>
        <v>-</v>
      </c>
      <c r="CR172" s="154" t="str">
        <f aca="false">IFERROR(+$H172-($Q172+$R172*$G172),"-")</f>
        <v>-</v>
      </c>
      <c r="CS172" s="137"/>
      <c r="CT172" s="154" t="str">
        <f aca="false">IFERROR(+$H172-($V172+$W172*$G172),"-")</f>
        <v>-</v>
      </c>
      <c r="CU172" s="154" t="str">
        <f aca="false">IFERROR(+$H172-($X172+$Y172*$G172),"-")</f>
        <v>-</v>
      </c>
      <c r="CV172" s="154" t="str">
        <f aca="false">IFERROR(+$H172-($Z172+$AA172*$G172),"-")</f>
        <v>-</v>
      </c>
      <c r="CW172" s="154" t="str">
        <f aca="false">IFERROR(+$H172-($AB172+$AC172*$G172),"-")</f>
        <v>-</v>
      </c>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row>
    <row r="173" s="1" customFormat="true" ht="12.75" hidden="false" customHeight="true" outlineLevel="0" collapsed="false">
      <c r="B173" s="134" t="s">
        <v>200</v>
      </c>
      <c r="C173" s="135" t="s">
        <v>256</v>
      </c>
      <c r="D173" s="136" t="e">
        <f aca="false">VLOOKUP($C173,#REF!,5,0)</f>
        <v>#VALUE!</v>
      </c>
      <c r="E173" s="157" t="e">
        <f aca="false">VLOOKUP($C173,#REF!,6,0)</f>
        <v>#VALUE!</v>
      </c>
      <c r="F173" s="135" t="e">
        <f aca="false">VLOOKUP($C173,#REF!,7,0)</f>
        <v>#VALUE!</v>
      </c>
      <c r="G173" s="135" t="e">
        <f aca="false">VLOOKUP($C173,#REF!,8,0)</f>
        <v>#VALUE!</v>
      </c>
      <c r="H173" s="158" t="e">
        <f aca="false">VLOOKUP($C173,#REF!,9,0)</f>
        <v>#VALUE!</v>
      </c>
      <c r="I173" s="137"/>
      <c r="J173" s="138" t="e">
        <f aca="false">VLOOKUP($C173,#REF!,10,0)</f>
        <v>#VALUE!</v>
      </c>
      <c r="K173" s="139" t="e">
        <f aca="false">VLOOKUP($C173,#REF!,11,0)</f>
        <v>#VALUE!</v>
      </c>
      <c r="L173" s="140"/>
      <c r="M173" s="138" t="e">
        <f aca="false">VLOOKUP($C173,#REF!,12,0)</f>
        <v>#VALUE!</v>
      </c>
      <c r="N173" s="140" t="e">
        <f aca="false">VLOOKUP($C173,#REF!,13,0)</f>
        <v>#VALUE!</v>
      </c>
      <c r="O173" s="138" t="e">
        <f aca="false">VLOOKUP($C173,#REF!,14,0)</f>
        <v>#VALUE!</v>
      </c>
      <c r="P173" s="140" t="e">
        <f aca="false">VLOOKUP($C173,#REF!,15,0)</f>
        <v>#VALUE!</v>
      </c>
      <c r="Q173" s="138" t="e">
        <f aca="false">VLOOKUP($C173,#REF!,16,0)</f>
        <v>#VALUE!</v>
      </c>
      <c r="R173" s="139" t="e">
        <f aca="false">VLOOKUP($C173,#REF!,17,0)</f>
        <v>#VALUE!</v>
      </c>
      <c r="S173" s="140" t="e">
        <f aca="false">VLOOKUP($C173,#REF!,18,0)</f>
        <v>#VALUE!</v>
      </c>
      <c r="T173" s="139" t="e">
        <f aca="false">VLOOKUP($C173,#REF!,19,0)</f>
        <v>#VALUE!</v>
      </c>
      <c r="U173" s="140"/>
      <c r="V173" s="138" t="e">
        <f aca="false">VLOOKUP($C173,#REF!,20,0)</f>
        <v>#VALUE!</v>
      </c>
      <c r="W173" s="140" t="e">
        <f aca="false">VLOOKUP($C173,#REF!,21,0)</f>
        <v>#VALUE!</v>
      </c>
      <c r="X173" s="138" t="e">
        <f aca="false">VLOOKUP($C173,#REF!,22,0)</f>
        <v>#VALUE!</v>
      </c>
      <c r="Y173" s="140" t="e">
        <f aca="false">VLOOKUP($C173,#REF!,23,0)</f>
        <v>#VALUE!</v>
      </c>
      <c r="Z173" s="138" t="e">
        <f aca="false">VLOOKUP($C173,#REF!,24,0)</f>
        <v>#VALUE!</v>
      </c>
      <c r="AA173" s="139" t="e">
        <f aca="false">VLOOKUP($C173,#REF!,25,0)</f>
        <v>#VALUE!</v>
      </c>
      <c r="AB173" s="140" t="e">
        <f aca="false">VLOOKUP($C173,#REF!,26,0)</f>
        <v>#VALUE!</v>
      </c>
      <c r="AC173" s="139" t="e">
        <f aca="false">VLOOKUP($C173,#REF!,27,0)</f>
        <v>#VALUE!</v>
      </c>
      <c r="AE173" s="138" t="e">
        <f aca="false">IF(M173="-","-","0,5 GB")</f>
        <v>#VALUE!</v>
      </c>
      <c r="AF173" s="141" t="s">
        <v>92</v>
      </c>
      <c r="AG173" s="141" t="s">
        <v>93</v>
      </c>
      <c r="AH173" s="139" t="s">
        <v>94</v>
      </c>
      <c r="AJ173" s="138" t="s">
        <v>95</v>
      </c>
      <c r="AK173" s="141" t="s">
        <v>96</v>
      </c>
      <c r="AL173" s="141" t="s">
        <v>97</v>
      </c>
      <c r="AM173" s="141" t="s">
        <v>98</v>
      </c>
      <c r="AN173" s="141" t="s">
        <v>98</v>
      </c>
      <c r="AO173" s="139" t="s">
        <v>92</v>
      </c>
      <c r="AQ173" s="142" t="n">
        <v>2</v>
      </c>
      <c r="AR173" s="137"/>
      <c r="AS173" s="138" t="n">
        <v>0</v>
      </c>
      <c r="AT173" s="139" t="n">
        <v>0</v>
      </c>
      <c r="AU173" s="140"/>
      <c r="AV173" s="138" t="n">
        <f aca="false">IFERROR(ROUND($D173-M173-AW173,0),0)</f>
        <v>0</v>
      </c>
      <c r="AW173" s="139" t="n">
        <f aca="false">IFERROR(N173*$G173,0)</f>
        <v>0</v>
      </c>
      <c r="AX173" s="138" t="n">
        <f aca="false">IFERROR(ROUND($D173-O173-AY173,0),0)</f>
        <v>0</v>
      </c>
      <c r="AY173" s="139" t="n">
        <f aca="false">IFERROR(P173*$G173,0)</f>
        <v>0</v>
      </c>
      <c r="AZ173" s="138" t="n">
        <f aca="false">IFERROR(ROUND($D173-Q173-BA173,0),0)</f>
        <v>0</v>
      </c>
      <c r="BA173" s="139" t="n">
        <f aca="false">IFERROR(R173*$G173,0)</f>
        <v>0</v>
      </c>
      <c r="BB173" s="140" t="n">
        <f aca="false">IFERROR(ROUND($D173-S173-BC173,0),0)</f>
        <v>0</v>
      </c>
      <c r="BC173" s="139" t="n">
        <f aca="false">IFERROR(T173*$G173,0)</f>
        <v>0</v>
      </c>
      <c r="BD173" s="140"/>
      <c r="BE173" s="138" t="n">
        <f aca="false">IFERROR(ROUND($D173-V173-BF173,0),0)</f>
        <v>0</v>
      </c>
      <c r="BF173" s="139" t="n">
        <f aca="false">IFERROR(W173*$G173,0)</f>
        <v>0</v>
      </c>
      <c r="BG173" s="138" t="n">
        <f aca="false">IFERROR(ROUND($D173-X173-BH173,0),0)</f>
        <v>0</v>
      </c>
      <c r="BH173" s="139" t="n">
        <f aca="false">IFERROR(Y173*$G173,0)</f>
        <v>0</v>
      </c>
      <c r="BI173" s="140" t="n">
        <f aca="false">IFERROR(ROUND($D173-Z173-BJ173,0),0)</f>
        <v>0</v>
      </c>
      <c r="BJ173" s="139" t="n">
        <f aca="false">IFERROR(AA173*$G173,0)</f>
        <v>0</v>
      </c>
      <c r="BK173" s="140" t="n">
        <f aca="false">IFERROR(ROUND($D173-AB173-BL173,0),0)</f>
        <v>0</v>
      </c>
      <c r="BL173" s="139" t="n">
        <f aca="false">IFERROR(AC173*$G173,0)</f>
        <v>0</v>
      </c>
      <c r="BN173" s="142" t="e">
        <f aca="false">#N/A</f>
        <v>#N/A</v>
      </c>
      <c r="BO173" s="137"/>
      <c r="BP173" s="138" t="e">
        <f aca="false">#N/A</f>
        <v>#N/A</v>
      </c>
      <c r="BQ173" s="139" t="e">
        <f aca="false">#N/A</f>
        <v>#N/A</v>
      </c>
      <c r="BR173" s="140"/>
      <c r="BS173" s="138" t="e">
        <f aca="false">#N/A</f>
        <v>#N/A</v>
      </c>
      <c r="BT173" s="139" t="e">
        <f aca="false">#N/A</f>
        <v>#N/A</v>
      </c>
      <c r="BU173" s="138" t="e">
        <f aca="false">#N/A</f>
        <v>#N/A</v>
      </c>
      <c r="BV173" s="139" t="e">
        <f aca="false">#N/A</f>
        <v>#N/A</v>
      </c>
      <c r="BW173" s="138" t="e">
        <f aca="false">#N/A</f>
        <v>#N/A</v>
      </c>
      <c r="BX173" s="139" t="e">
        <f aca="false">#N/A</f>
        <v>#N/A</v>
      </c>
      <c r="BY173" s="138" t="e">
        <f aca="false">#N/A</f>
        <v>#N/A</v>
      </c>
      <c r="BZ173" s="139" t="e">
        <f aca="false">#N/A</f>
        <v>#N/A</v>
      </c>
      <c r="CA173" s="140"/>
      <c r="CB173" s="138" t="e">
        <f aca="false">#N/A</f>
        <v>#N/A</v>
      </c>
      <c r="CC173" s="139" t="e">
        <f aca="false">#N/A</f>
        <v>#N/A</v>
      </c>
      <c r="CD173" s="138" t="e">
        <f aca="false">#N/A</f>
        <v>#N/A</v>
      </c>
      <c r="CE173" s="139" t="e">
        <f aca="false">#N/A</f>
        <v>#N/A</v>
      </c>
      <c r="CF173" s="138" t="e">
        <f aca="false">#N/A</f>
        <v>#N/A</v>
      </c>
      <c r="CG173" s="139" t="e">
        <f aca="false">#N/A</f>
        <v>#N/A</v>
      </c>
      <c r="CH173" s="138" t="e">
        <f aca="false">#N/A</f>
        <v>#N/A</v>
      </c>
      <c r="CI173" s="139" t="e">
        <f aca="false">#N/A</f>
        <v>#N/A</v>
      </c>
      <c r="CK173" s="143"/>
      <c r="CL173" s="137"/>
      <c r="CM173" s="144" t="str">
        <f aca="false">IFERROR(+$H173-($J173+$K173*$G173),"-")</f>
        <v>-</v>
      </c>
      <c r="CN173" s="137"/>
      <c r="CO173" s="144" t="str">
        <f aca="false">IFERROR(+$H173-($M173+$N173*$G173),"-")</f>
        <v>-</v>
      </c>
      <c r="CP173" s="144" t="str">
        <f aca="false">IFERROR(+$H173-($O173+$P173*$G173),"-")</f>
        <v>-</v>
      </c>
      <c r="CQ173" s="144" t="str">
        <f aca="false">IFERROR(+$H173-($Q173+$R173*$G173),"-")</f>
        <v>-</v>
      </c>
      <c r="CR173" s="144" t="str">
        <f aca="false">IFERROR(+$H173-($Q173+$R173*$G173),"-")</f>
        <v>-</v>
      </c>
      <c r="CS173" s="137"/>
      <c r="CT173" s="144" t="str">
        <f aca="false">IFERROR(+$H173-($V173+$W173*$G173),"-")</f>
        <v>-</v>
      </c>
      <c r="CU173" s="144" t="str">
        <f aca="false">IFERROR(+$H173-($X173+$Y173*$G173),"-")</f>
        <v>-</v>
      </c>
      <c r="CV173" s="144" t="str">
        <f aca="false">IFERROR(+$H173-($Z173+$AA173*$G173),"-")</f>
        <v>-</v>
      </c>
      <c r="CW173" s="144" t="str">
        <f aca="false">IFERROR(+$H173-($AB173+$AC173*$G173),"-")</f>
        <v>-</v>
      </c>
    </row>
    <row r="174" s="156" customFormat="true" ht="12.75" hidden="false" customHeight="true" outlineLevel="0" collapsed="false">
      <c r="A174" s="1"/>
      <c r="B174" s="145" t="s">
        <v>200</v>
      </c>
      <c r="C174" s="146" t="s">
        <v>257</v>
      </c>
      <c r="D174" s="147" t="e">
        <f aca="false">VLOOKUP($C174,#REF!,5,0)</f>
        <v>#VALUE!</v>
      </c>
      <c r="E174" s="148" t="e">
        <f aca="false">VLOOKUP($C174,#REF!,6,0)</f>
        <v>#VALUE!</v>
      </c>
      <c r="F174" s="146" t="e">
        <f aca="false">VLOOKUP($C174,#REF!,7,0)</f>
        <v>#VALUE!</v>
      </c>
      <c r="G174" s="146" t="e">
        <f aca="false">VLOOKUP($C174,#REF!,8,0)</f>
        <v>#VALUE!</v>
      </c>
      <c r="H174" s="149" t="e">
        <f aca="false">VLOOKUP($C174,#REF!,9,0)</f>
        <v>#VALUE!</v>
      </c>
      <c r="I174" s="137"/>
      <c r="J174" s="150" t="e">
        <f aca="false">VLOOKUP($C174,#REF!,10,0)</f>
        <v>#VALUE!</v>
      </c>
      <c r="K174" s="151" t="e">
        <f aca="false">VLOOKUP($C174,#REF!,11,0)</f>
        <v>#VALUE!</v>
      </c>
      <c r="L174" s="140"/>
      <c r="M174" s="150" t="e">
        <f aca="false">VLOOKUP($C174,#REF!,12,0)</f>
        <v>#VALUE!</v>
      </c>
      <c r="N174" s="152" t="e">
        <f aca="false">VLOOKUP($C174,#REF!,13,0)</f>
        <v>#VALUE!</v>
      </c>
      <c r="O174" s="150" t="e">
        <f aca="false">VLOOKUP($C174,#REF!,14,0)</f>
        <v>#VALUE!</v>
      </c>
      <c r="P174" s="152" t="e">
        <f aca="false">VLOOKUP($C174,#REF!,15,0)</f>
        <v>#VALUE!</v>
      </c>
      <c r="Q174" s="150" t="e">
        <f aca="false">VLOOKUP($C174,#REF!,16,0)</f>
        <v>#VALUE!</v>
      </c>
      <c r="R174" s="151" t="e">
        <f aca="false">VLOOKUP($C174,#REF!,17,0)</f>
        <v>#VALUE!</v>
      </c>
      <c r="S174" s="152" t="e">
        <f aca="false">VLOOKUP($C174,#REF!,18,0)</f>
        <v>#VALUE!</v>
      </c>
      <c r="T174" s="151" t="e">
        <f aca="false">VLOOKUP($C174,#REF!,19,0)</f>
        <v>#VALUE!</v>
      </c>
      <c r="U174" s="140"/>
      <c r="V174" s="150" t="e">
        <f aca="false">VLOOKUP($C174,#REF!,20,0)</f>
        <v>#VALUE!</v>
      </c>
      <c r="W174" s="152" t="e">
        <f aca="false">VLOOKUP($C174,#REF!,21,0)</f>
        <v>#VALUE!</v>
      </c>
      <c r="X174" s="150" t="e">
        <f aca="false">VLOOKUP($C174,#REF!,22,0)</f>
        <v>#VALUE!</v>
      </c>
      <c r="Y174" s="152" t="e">
        <f aca="false">VLOOKUP($C174,#REF!,23,0)</f>
        <v>#VALUE!</v>
      </c>
      <c r="Z174" s="150" t="e">
        <f aca="false">VLOOKUP($C174,#REF!,24,0)</f>
        <v>#VALUE!</v>
      </c>
      <c r="AA174" s="151" t="e">
        <f aca="false">VLOOKUP($C174,#REF!,25,0)</f>
        <v>#VALUE!</v>
      </c>
      <c r="AB174" s="152" t="e">
        <f aca="false">VLOOKUP($C174,#REF!,26,0)</f>
        <v>#VALUE!</v>
      </c>
      <c r="AC174" s="151" t="e">
        <f aca="false">VLOOKUP($C174,#REF!,27,0)</f>
        <v>#VALUE!</v>
      </c>
      <c r="AD174" s="1"/>
      <c r="AE174" s="150" t="e">
        <f aca="false">IF(M174="-","-","0,5 GB")</f>
        <v>#VALUE!</v>
      </c>
      <c r="AF174" s="153" t="s">
        <v>92</v>
      </c>
      <c r="AG174" s="153" t="s">
        <v>93</v>
      </c>
      <c r="AH174" s="151" t="s">
        <v>94</v>
      </c>
      <c r="AI174" s="1"/>
      <c r="AJ174" s="150" t="s">
        <v>95</v>
      </c>
      <c r="AK174" s="153" t="s">
        <v>96</v>
      </c>
      <c r="AL174" s="153" t="s">
        <v>97</v>
      </c>
      <c r="AM174" s="153" t="s">
        <v>98</v>
      </c>
      <c r="AN174" s="153" t="s">
        <v>98</v>
      </c>
      <c r="AO174" s="151" t="s">
        <v>92</v>
      </c>
      <c r="AP174" s="1"/>
      <c r="AQ174" s="154" t="n">
        <v>2</v>
      </c>
      <c r="AR174" s="137"/>
      <c r="AS174" s="150" t="n">
        <v>0</v>
      </c>
      <c r="AT174" s="151" t="n">
        <v>0</v>
      </c>
      <c r="AU174" s="140"/>
      <c r="AV174" s="150" t="n">
        <f aca="false">IFERROR(ROUND($D174-M174-AW174,0),0)</f>
        <v>0</v>
      </c>
      <c r="AW174" s="151" t="n">
        <f aca="false">IFERROR(N174*$G174,0)</f>
        <v>0</v>
      </c>
      <c r="AX174" s="150" t="n">
        <f aca="false">IFERROR(ROUND($D174-O174-AY174,0),0)</f>
        <v>0</v>
      </c>
      <c r="AY174" s="151" t="n">
        <f aca="false">IFERROR(P174*$G174,0)</f>
        <v>0</v>
      </c>
      <c r="AZ174" s="150" t="n">
        <f aca="false">IFERROR(ROUND($D174-Q174-BA174,0),0)</f>
        <v>0</v>
      </c>
      <c r="BA174" s="151" t="n">
        <f aca="false">IFERROR(R174*$G174,0)</f>
        <v>0</v>
      </c>
      <c r="BB174" s="152" t="n">
        <f aca="false">IFERROR(ROUND($D174-S174-BC174,0),0)</f>
        <v>0</v>
      </c>
      <c r="BC174" s="151" t="n">
        <f aca="false">IFERROR(T174*$G174,0)</f>
        <v>0</v>
      </c>
      <c r="BD174" s="140"/>
      <c r="BE174" s="150" t="n">
        <f aca="false">IFERROR(ROUND($D174-V174-BF174,0),0)</f>
        <v>0</v>
      </c>
      <c r="BF174" s="151" t="n">
        <f aca="false">IFERROR(W174*$G174,0)</f>
        <v>0</v>
      </c>
      <c r="BG174" s="150" t="n">
        <f aca="false">IFERROR(ROUND($D174-X174-BH174,0),0)</f>
        <v>0</v>
      </c>
      <c r="BH174" s="151" t="n">
        <f aca="false">IFERROR(Y174*$G174,0)</f>
        <v>0</v>
      </c>
      <c r="BI174" s="152" t="n">
        <f aca="false">IFERROR(ROUND($D174-Z174-BJ174,0),0)</f>
        <v>0</v>
      </c>
      <c r="BJ174" s="151" t="n">
        <f aca="false">IFERROR(AA174*$G174,0)</f>
        <v>0</v>
      </c>
      <c r="BK174" s="152" t="n">
        <f aca="false">IFERROR(ROUND($D174-AB174-BL174,0),0)</f>
        <v>0</v>
      </c>
      <c r="BL174" s="151" t="n">
        <f aca="false">IFERROR(AC174*$G174,0)</f>
        <v>0</v>
      </c>
      <c r="BM174" s="1"/>
      <c r="BN174" s="154" t="n">
        <v>0</v>
      </c>
      <c r="BO174" s="155"/>
      <c r="BP174" s="150" t="n">
        <v>0</v>
      </c>
      <c r="BQ174" s="151" t="n">
        <v>0</v>
      </c>
      <c r="BR174" s="152"/>
      <c r="BS174" s="150" t="n">
        <v>0</v>
      </c>
      <c r="BT174" s="151" t="n">
        <v>0</v>
      </c>
      <c r="BU174" s="150" t="n">
        <v>0</v>
      </c>
      <c r="BV174" s="151" t="n">
        <v>0</v>
      </c>
      <c r="BW174" s="150" t="n">
        <v>0</v>
      </c>
      <c r="BX174" s="151" t="n">
        <v>0</v>
      </c>
      <c r="BY174" s="150" t="n">
        <v>0</v>
      </c>
      <c r="BZ174" s="151" t="n">
        <v>0</v>
      </c>
      <c r="CA174" s="152"/>
      <c r="CB174" s="150" t="n">
        <v>0</v>
      </c>
      <c r="CC174" s="151" t="n">
        <v>0</v>
      </c>
      <c r="CD174" s="150" t="n">
        <v>0</v>
      </c>
      <c r="CE174" s="151" t="n">
        <v>0</v>
      </c>
      <c r="CF174" s="150" t="n">
        <v>0</v>
      </c>
      <c r="CG174" s="151" t="n">
        <v>0</v>
      </c>
      <c r="CH174" s="150" t="n">
        <v>0</v>
      </c>
      <c r="CI174" s="151" t="n">
        <v>0</v>
      </c>
      <c r="CJ174" s="1"/>
      <c r="CK174" s="149"/>
      <c r="CL174" s="137"/>
      <c r="CM174" s="154" t="str">
        <f aca="false">IFERROR(+$H174-($J174+$K174*$G174),"-")</f>
        <v>-</v>
      </c>
      <c r="CN174" s="137"/>
      <c r="CO174" s="154" t="str">
        <f aca="false">IFERROR(+$H174-($M174+$N174*$G174),"-")</f>
        <v>-</v>
      </c>
      <c r="CP174" s="154" t="str">
        <f aca="false">IFERROR(+$H174-($O174+$P174*$G174),"-")</f>
        <v>-</v>
      </c>
      <c r="CQ174" s="154" t="str">
        <f aca="false">IFERROR(+$H174-($Q174+$R174*$G174),"-")</f>
        <v>-</v>
      </c>
      <c r="CR174" s="154" t="str">
        <f aca="false">IFERROR(+$H174-($Q174+$R174*$G174),"-")</f>
        <v>-</v>
      </c>
      <c r="CS174" s="137"/>
      <c r="CT174" s="154" t="str">
        <f aca="false">IFERROR(+$H174-($V174+$W174*$G174),"-")</f>
        <v>-</v>
      </c>
      <c r="CU174" s="154" t="str">
        <f aca="false">IFERROR(+$H174-($X174+$Y174*$G174),"-")</f>
        <v>-</v>
      </c>
      <c r="CV174" s="154" t="str">
        <f aca="false">IFERROR(+$H174-($Z174+$AA174*$G174),"-")</f>
        <v>-</v>
      </c>
      <c r="CW174" s="154" t="str">
        <f aca="false">IFERROR(+$H174-($AB174+$AC174*$G174),"-")</f>
        <v>-</v>
      </c>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row>
    <row r="175" s="1" customFormat="true" ht="12.75" hidden="false" customHeight="true" outlineLevel="0" collapsed="false">
      <c r="B175" s="134" t="s">
        <v>200</v>
      </c>
      <c r="C175" s="135" t="s">
        <v>258</v>
      </c>
      <c r="D175" s="136" t="e">
        <f aca="false">VLOOKUP($C175,#REF!,5,0)</f>
        <v>#VALUE!</v>
      </c>
      <c r="E175" s="157" t="e">
        <f aca="false">VLOOKUP($C175,#REF!,6,0)</f>
        <v>#VALUE!</v>
      </c>
      <c r="F175" s="135" t="e">
        <f aca="false">VLOOKUP($C175,#REF!,7,0)</f>
        <v>#VALUE!</v>
      </c>
      <c r="G175" s="135" t="e">
        <f aca="false">VLOOKUP($C175,#REF!,8,0)</f>
        <v>#VALUE!</v>
      </c>
      <c r="H175" s="158" t="e">
        <f aca="false">VLOOKUP($C175,#REF!,9,0)</f>
        <v>#VALUE!</v>
      </c>
      <c r="I175" s="137"/>
      <c r="J175" s="138" t="e">
        <f aca="false">VLOOKUP($C175,#REF!,10,0)</f>
        <v>#VALUE!</v>
      </c>
      <c r="K175" s="139" t="e">
        <f aca="false">VLOOKUP($C175,#REF!,11,0)</f>
        <v>#VALUE!</v>
      </c>
      <c r="L175" s="140"/>
      <c r="M175" s="138" t="e">
        <f aca="false">VLOOKUP($C175,#REF!,12,0)</f>
        <v>#VALUE!</v>
      </c>
      <c r="N175" s="140" t="e">
        <f aca="false">VLOOKUP($C175,#REF!,13,0)</f>
        <v>#VALUE!</v>
      </c>
      <c r="O175" s="138" t="e">
        <f aca="false">VLOOKUP($C175,#REF!,14,0)</f>
        <v>#VALUE!</v>
      </c>
      <c r="P175" s="140" t="e">
        <f aca="false">VLOOKUP($C175,#REF!,15,0)</f>
        <v>#VALUE!</v>
      </c>
      <c r="Q175" s="138" t="e">
        <f aca="false">VLOOKUP($C175,#REF!,16,0)</f>
        <v>#VALUE!</v>
      </c>
      <c r="R175" s="139" t="e">
        <f aca="false">VLOOKUP($C175,#REF!,17,0)</f>
        <v>#VALUE!</v>
      </c>
      <c r="S175" s="140" t="e">
        <f aca="false">VLOOKUP($C175,#REF!,18,0)</f>
        <v>#VALUE!</v>
      </c>
      <c r="T175" s="139" t="e">
        <f aca="false">VLOOKUP($C175,#REF!,19,0)</f>
        <v>#VALUE!</v>
      </c>
      <c r="U175" s="140"/>
      <c r="V175" s="138" t="e">
        <f aca="false">VLOOKUP($C175,#REF!,20,0)</f>
        <v>#VALUE!</v>
      </c>
      <c r="W175" s="140" t="e">
        <f aca="false">VLOOKUP($C175,#REF!,21,0)</f>
        <v>#VALUE!</v>
      </c>
      <c r="X175" s="138" t="e">
        <f aca="false">VLOOKUP($C175,#REF!,22,0)</f>
        <v>#VALUE!</v>
      </c>
      <c r="Y175" s="140" t="e">
        <f aca="false">VLOOKUP($C175,#REF!,23,0)</f>
        <v>#VALUE!</v>
      </c>
      <c r="Z175" s="138" t="e">
        <f aca="false">VLOOKUP($C175,#REF!,24,0)</f>
        <v>#VALUE!</v>
      </c>
      <c r="AA175" s="139" t="e">
        <f aca="false">VLOOKUP($C175,#REF!,25,0)</f>
        <v>#VALUE!</v>
      </c>
      <c r="AB175" s="140" t="e">
        <f aca="false">VLOOKUP($C175,#REF!,26,0)</f>
        <v>#VALUE!</v>
      </c>
      <c r="AC175" s="139" t="e">
        <f aca="false">VLOOKUP($C175,#REF!,27,0)</f>
        <v>#VALUE!</v>
      </c>
      <c r="AE175" s="138" t="e">
        <f aca="false">IF(M175="-","-","0,5 GB")</f>
        <v>#VALUE!</v>
      </c>
      <c r="AF175" s="141" t="s">
        <v>92</v>
      </c>
      <c r="AG175" s="141" t="s">
        <v>93</v>
      </c>
      <c r="AH175" s="139" t="s">
        <v>94</v>
      </c>
      <c r="AJ175" s="138" t="s">
        <v>95</v>
      </c>
      <c r="AK175" s="141" t="s">
        <v>96</v>
      </c>
      <c r="AL175" s="141" t="s">
        <v>97</v>
      </c>
      <c r="AM175" s="141" t="s">
        <v>98</v>
      </c>
      <c r="AN175" s="141" t="s">
        <v>98</v>
      </c>
      <c r="AO175" s="139" t="s">
        <v>92</v>
      </c>
      <c r="AQ175" s="142" t="n">
        <v>0</v>
      </c>
      <c r="AR175" s="137"/>
      <c r="AS175" s="138" t="n">
        <v>0</v>
      </c>
      <c r="AT175" s="139" t="n">
        <v>0</v>
      </c>
      <c r="AU175" s="140"/>
      <c r="AV175" s="138" t="n">
        <f aca="false">IFERROR(ROUND($D175-M175-AW175,0),0)</f>
        <v>0</v>
      </c>
      <c r="AW175" s="139" t="n">
        <f aca="false">IFERROR(N175*$G175,0)</f>
        <v>0</v>
      </c>
      <c r="AX175" s="138" t="n">
        <f aca="false">IFERROR(ROUND($D175-O175-AY175,0),0)</f>
        <v>0</v>
      </c>
      <c r="AY175" s="139" t="n">
        <f aca="false">IFERROR(P175*$G175,0)</f>
        <v>0</v>
      </c>
      <c r="AZ175" s="138" t="n">
        <f aca="false">IFERROR(ROUND($D175-Q175-BA175,0),0)</f>
        <v>0</v>
      </c>
      <c r="BA175" s="139" t="n">
        <f aca="false">IFERROR(R175*$G175,0)</f>
        <v>0</v>
      </c>
      <c r="BB175" s="140" t="n">
        <f aca="false">IFERROR(ROUND($D175-S175-BC175,0),0)</f>
        <v>0</v>
      </c>
      <c r="BC175" s="139" t="n">
        <f aca="false">IFERROR(T175*$G175,0)</f>
        <v>0</v>
      </c>
      <c r="BD175" s="140"/>
      <c r="BE175" s="138" t="n">
        <f aca="false">IFERROR(ROUND($D175-V175-BF175,0),0)</f>
        <v>0</v>
      </c>
      <c r="BF175" s="139" t="n">
        <f aca="false">IFERROR(W175*$G175,0)</f>
        <v>0</v>
      </c>
      <c r="BG175" s="138" t="n">
        <f aca="false">IFERROR(ROUND($D175-X175-BH175,0),0)</f>
        <v>0</v>
      </c>
      <c r="BH175" s="139" t="n">
        <f aca="false">IFERROR(Y175*$G175,0)</f>
        <v>0</v>
      </c>
      <c r="BI175" s="140" t="n">
        <f aca="false">IFERROR(ROUND($D175-Z175-BJ175,0),0)</f>
        <v>0</v>
      </c>
      <c r="BJ175" s="139" t="n">
        <f aca="false">IFERROR(AA175*$G175,0)</f>
        <v>0</v>
      </c>
      <c r="BK175" s="140" t="n">
        <f aca="false">IFERROR(ROUND($D175-AB175-BL175,0),0)</f>
        <v>0</v>
      </c>
      <c r="BL175" s="139" t="n">
        <f aca="false">IFERROR(AC175*$G175,0)</f>
        <v>0</v>
      </c>
      <c r="BN175" s="142" t="n">
        <v>0</v>
      </c>
      <c r="BO175" s="137"/>
      <c r="BP175" s="138" t="n">
        <v>0</v>
      </c>
      <c r="BQ175" s="139" t="n">
        <v>0</v>
      </c>
      <c r="BR175" s="140"/>
      <c r="BS175" s="138" t="n">
        <v>0</v>
      </c>
      <c r="BT175" s="139" t="n">
        <v>0</v>
      </c>
      <c r="BU175" s="138" t="n">
        <v>0</v>
      </c>
      <c r="BV175" s="139" t="n">
        <v>0</v>
      </c>
      <c r="BW175" s="138" t="n">
        <v>0</v>
      </c>
      <c r="BX175" s="139" t="n">
        <v>0</v>
      </c>
      <c r="BY175" s="138" t="n">
        <v>0</v>
      </c>
      <c r="BZ175" s="139" t="n">
        <v>0</v>
      </c>
      <c r="CA175" s="140"/>
      <c r="CB175" s="138" t="n">
        <v>0</v>
      </c>
      <c r="CC175" s="139" t="n">
        <v>0</v>
      </c>
      <c r="CD175" s="138" t="n">
        <v>0</v>
      </c>
      <c r="CE175" s="139" t="n">
        <v>0</v>
      </c>
      <c r="CF175" s="138" t="n">
        <v>0</v>
      </c>
      <c r="CG175" s="139" t="n">
        <v>0</v>
      </c>
      <c r="CH175" s="138" t="n">
        <v>0</v>
      </c>
      <c r="CI175" s="139" t="n">
        <v>0</v>
      </c>
      <c r="CK175" s="143"/>
      <c r="CL175" s="137"/>
      <c r="CM175" s="144" t="str">
        <f aca="false">IFERROR(+$H175-($J175+$K175*$G175),"-")</f>
        <v>-</v>
      </c>
      <c r="CN175" s="137"/>
      <c r="CO175" s="144" t="str">
        <f aca="false">IFERROR(+$H175-($M175+$N175*$G175),"-")</f>
        <v>-</v>
      </c>
      <c r="CP175" s="144" t="str">
        <f aca="false">IFERROR(+$H175-($O175+$P175*$G175),"-")</f>
        <v>-</v>
      </c>
      <c r="CQ175" s="144" t="str">
        <f aca="false">IFERROR(+$H175-($Q175+$R175*$G175),"-")</f>
        <v>-</v>
      </c>
      <c r="CR175" s="144" t="str">
        <f aca="false">IFERROR(+$H175-($Q175+$R175*$G175),"-")</f>
        <v>-</v>
      </c>
      <c r="CS175" s="137"/>
      <c r="CT175" s="144" t="str">
        <f aca="false">IFERROR(+$H175-($V175+$W175*$G175),"-")</f>
        <v>-</v>
      </c>
      <c r="CU175" s="144" t="str">
        <f aca="false">IFERROR(+$H175-($X175+$Y175*$G175),"-")</f>
        <v>-</v>
      </c>
      <c r="CV175" s="144" t="str">
        <f aca="false">IFERROR(+$H175-($Z175+$AA175*$G175),"-")</f>
        <v>-</v>
      </c>
      <c r="CW175" s="144" t="str">
        <f aca="false">IFERROR(+$H175-($AB175+$AC175*$G175),"-")</f>
        <v>-</v>
      </c>
    </row>
    <row r="176" s="156" customFormat="true" ht="12.75" hidden="false" customHeight="true" outlineLevel="0" collapsed="false">
      <c r="A176" s="1"/>
      <c r="B176" s="145" t="s">
        <v>200</v>
      </c>
      <c r="C176" s="146" t="s">
        <v>259</v>
      </c>
      <c r="D176" s="147" t="e">
        <f aca="false">VLOOKUP($C176,#REF!,5,0)</f>
        <v>#VALUE!</v>
      </c>
      <c r="E176" s="148" t="e">
        <f aca="false">VLOOKUP($C176,#REF!,6,0)</f>
        <v>#VALUE!</v>
      </c>
      <c r="F176" s="146" t="e">
        <f aca="false">VLOOKUP($C176,#REF!,7,0)</f>
        <v>#VALUE!</v>
      </c>
      <c r="G176" s="146" t="e">
        <f aca="false">VLOOKUP($C176,#REF!,8,0)</f>
        <v>#VALUE!</v>
      </c>
      <c r="H176" s="149" t="e">
        <f aca="false">VLOOKUP($C176,#REF!,9,0)</f>
        <v>#VALUE!</v>
      </c>
      <c r="I176" s="137"/>
      <c r="J176" s="150" t="e">
        <f aca="false">VLOOKUP($C176,#REF!,10,0)</f>
        <v>#VALUE!</v>
      </c>
      <c r="K176" s="151" t="e">
        <f aca="false">VLOOKUP($C176,#REF!,11,0)</f>
        <v>#VALUE!</v>
      </c>
      <c r="L176" s="140"/>
      <c r="M176" s="150" t="e">
        <f aca="false">VLOOKUP($C176,#REF!,12,0)</f>
        <v>#VALUE!</v>
      </c>
      <c r="N176" s="152" t="e">
        <f aca="false">VLOOKUP($C176,#REF!,13,0)</f>
        <v>#VALUE!</v>
      </c>
      <c r="O176" s="150" t="e">
        <f aca="false">VLOOKUP($C176,#REF!,14,0)</f>
        <v>#VALUE!</v>
      </c>
      <c r="P176" s="152" t="e">
        <f aca="false">VLOOKUP($C176,#REF!,15,0)</f>
        <v>#VALUE!</v>
      </c>
      <c r="Q176" s="150" t="e">
        <f aca="false">VLOOKUP($C176,#REF!,16,0)</f>
        <v>#VALUE!</v>
      </c>
      <c r="R176" s="151" t="e">
        <f aca="false">VLOOKUP($C176,#REF!,17,0)</f>
        <v>#VALUE!</v>
      </c>
      <c r="S176" s="152" t="e">
        <f aca="false">VLOOKUP($C176,#REF!,18,0)</f>
        <v>#VALUE!</v>
      </c>
      <c r="T176" s="151" t="e">
        <f aca="false">VLOOKUP($C176,#REF!,19,0)</f>
        <v>#VALUE!</v>
      </c>
      <c r="U176" s="140"/>
      <c r="V176" s="150" t="e">
        <f aca="false">VLOOKUP($C176,#REF!,20,0)</f>
        <v>#VALUE!</v>
      </c>
      <c r="W176" s="152" t="e">
        <f aca="false">VLOOKUP($C176,#REF!,21,0)</f>
        <v>#VALUE!</v>
      </c>
      <c r="X176" s="150" t="e">
        <f aca="false">VLOOKUP($C176,#REF!,22,0)</f>
        <v>#VALUE!</v>
      </c>
      <c r="Y176" s="152" t="e">
        <f aca="false">VLOOKUP($C176,#REF!,23,0)</f>
        <v>#VALUE!</v>
      </c>
      <c r="Z176" s="150" t="e">
        <f aca="false">VLOOKUP($C176,#REF!,24,0)</f>
        <v>#VALUE!</v>
      </c>
      <c r="AA176" s="151" t="e">
        <f aca="false">VLOOKUP($C176,#REF!,25,0)</f>
        <v>#VALUE!</v>
      </c>
      <c r="AB176" s="152" t="e">
        <f aca="false">VLOOKUP($C176,#REF!,26,0)</f>
        <v>#VALUE!</v>
      </c>
      <c r="AC176" s="151" t="e">
        <f aca="false">VLOOKUP($C176,#REF!,27,0)</f>
        <v>#VALUE!</v>
      </c>
      <c r="AD176" s="1"/>
      <c r="AE176" s="150" t="e">
        <f aca="false">IF(M176="-","-","0,5 GB")</f>
        <v>#VALUE!</v>
      </c>
      <c r="AF176" s="153" t="s">
        <v>92</v>
      </c>
      <c r="AG176" s="153" t="s">
        <v>93</v>
      </c>
      <c r="AH176" s="151" t="s">
        <v>94</v>
      </c>
      <c r="AI176" s="1"/>
      <c r="AJ176" s="150" t="s">
        <v>95</v>
      </c>
      <c r="AK176" s="153" t="s">
        <v>96</v>
      </c>
      <c r="AL176" s="153" t="s">
        <v>97</v>
      </c>
      <c r="AM176" s="153" t="s">
        <v>98</v>
      </c>
      <c r="AN176" s="153" t="s">
        <v>98</v>
      </c>
      <c r="AO176" s="151" t="s">
        <v>92</v>
      </c>
      <c r="AP176" s="1"/>
      <c r="AQ176" s="154" t="n">
        <v>-1</v>
      </c>
      <c r="AR176" s="137"/>
      <c r="AS176" s="150" t="n">
        <v>0</v>
      </c>
      <c r="AT176" s="151" t="n">
        <v>0</v>
      </c>
      <c r="AU176" s="140"/>
      <c r="AV176" s="150" t="n">
        <f aca="false">IFERROR(ROUND($D176-M176-AW176,0),0)</f>
        <v>0</v>
      </c>
      <c r="AW176" s="151" t="n">
        <f aca="false">IFERROR(N176*$G176,0)</f>
        <v>0</v>
      </c>
      <c r="AX176" s="150" t="n">
        <f aca="false">IFERROR(ROUND($D176-O176-AY176,0),0)</f>
        <v>0</v>
      </c>
      <c r="AY176" s="151" t="n">
        <f aca="false">IFERROR(P176*$G176,0)</f>
        <v>0</v>
      </c>
      <c r="AZ176" s="150" t="n">
        <f aca="false">IFERROR(ROUND($D176-Q176-BA176,0),0)</f>
        <v>0</v>
      </c>
      <c r="BA176" s="151" t="n">
        <f aca="false">IFERROR(R176*$G176,0)</f>
        <v>0</v>
      </c>
      <c r="BB176" s="152" t="n">
        <f aca="false">IFERROR(ROUND($D176-S176-BC176,0),0)</f>
        <v>0</v>
      </c>
      <c r="BC176" s="151" t="n">
        <f aca="false">IFERROR(T176*$G176,0)</f>
        <v>0</v>
      </c>
      <c r="BD176" s="140"/>
      <c r="BE176" s="150" t="n">
        <f aca="false">IFERROR(ROUND($D176-V176-BF176,0),0)</f>
        <v>0</v>
      </c>
      <c r="BF176" s="151" t="n">
        <f aca="false">IFERROR(W176*$G176,0)</f>
        <v>0</v>
      </c>
      <c r="BG176" s="150" t="n">
        <f aca="false">IFERROR(ROUND($D176-X176-BH176,0),0)</f>
        <v>0</v>
      </c>
      <c r="BH176" s="151" t="n">
        <f aca="false">IFERROR(Y176*$G176,0)</f>
        <v>0</v>
      </c>
      <c r="BI176" s="152" t="n">
        <f aca="false">IFERROR(ROUND($D176-Z176-BJ176,0),0)</f>
        <v>0</v>
      </c>
      <c r="BJ176" s="151" t="n">
        <f aca="false">IFERROR(AA176*$G176,0)</f>
        <v>0</v>
      </c>
      <c r="BK176" s="152" t="n">
        <f aca="false">IFERROR(ROUND($D176-AB176-BL176,0),0)</f>
        <v>0</v>
      </c>
      <c r="BL176" s="151" t="n">
        <f aca="false">IFERROR(AC176*$G176,0)</f>
        <v>0</v>
      </c>
      <c r="BM176" s="1"/>
      <c r="BN176" s="154" t="n">
        <v>0</v>
      </c>
      <c r="BO176" s="155"/>
      <c r="BP176" s="150" t="n">
        <v>0</v>
      </c>
      <c r="BQ176" s="151" t="n">
        <v>0</v>
      </c>
      <c r="BR176" s="152"/>
      <c r="BS176" s="150" t="n">
        <v>0</v>
      </c>
      <c r="BT176" s="151" t="n">
        <v>0</v>
      </c>
      <c r="BU176" s="150" t="n">
        <v>0</v>
      </c>
      <c r="BV176" s="151" t="n">
        <v>0</v>
      </c>
      <c r="BW176" s="150" t="n">
        <v>0</v>
      </c>
      <c r="BX176" s="151" t="n">
        <v>0</v>
      </c>
      <c r="BY176" s="150" t="n">
        <v>0</v>
      </c>
      <c r="BZ176" s="151" t="n">
        <v>0</v>
      </c>
      <c r="CA176" s="152"/>
      <c r="CB176" s="150" t="n">
        <v>0</v>
      </c>
      <c r="CC176" s="151" t="n">
        <v>0</v>
      </c>
      <c r="CD176" s="150" t="n">
        <v>0</v>
      </c>
      <c r="CE176" s="151" t="n">
        <v>0</v>
      </c>
      <c r="CF176" s="150" t="n">
        <v>0</v>
      </c>
      <c r="CG176" s="151" t="n">
        <v>0</v>
      </c>
      <c r="CH176" s="150" t="n">
        <v>0</v>
      </c>
      <c r="CI176" s="151" t="n">
        <v>0</v>
      </c>
      <c r="CJ176" s="1"/>
      <c r="CK176" s="149"/>
      <c r="CL176" s="137"/>
      <c r="CM176" s="154" t="str">
        <f aca="false">IFERROR(+$H176-($J176+$K176*$G176),"-")</f>
        <v>-</v>
      </c>
      <c r="CN176" s="137"/>
      <c r="CO176" s="154" t="str">
        <f aca="false">IFERROR(+$H176-($M176+$N176*$G176),"-")</f>
        <v>-</v>
      </c>
      <c r="CP176" s="154" t="str">
        <f aca="false">IFERROR(+$H176-($O176+$P176*$G176),"-")</f>
        <v>-</v>
      </c>
      <c r="CQ176" s="154" t="str">
        <f aca="false">IFERROR(+$H176-($Q176+$R176*$G176),"-")</f>
        <v>-</v>
      </c>
      <c r="CR176" s="154" t="str">
        <f aca="false">IFERROR(+$H176-($Q176+$R176*$G176),"-")</f>
        <v>-</v>
      </c>
      <c r="CS176" s="137"/>
      <c r="CT176" s="154" t="str">
        <f aca="false">IFERROR(+$H176-($V176+$W176*$G176),"-")</f>
        <v>-</v>
      </c>
      <c r="CU176" s="154" t="str">
        <f aca="false">IFERROR(+$H176-($X176+$Y176*$G176),"-")</f>
        <v>-</v>
      </c>
      <c r="CV176" s="154" t="str">
        <f aca="false">IFERROR(+$H176-($Z176+$AA176*$G176),"-")</f>
        <v>-</v>
      </c>
      <c r="CW176" s="154" t="str">
        <f aca="false">IFERROR(+$H176-($AB176+$AC176*$G176),"-")</f>
        <v>-</v>
      </c>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row>
    <row r="177" s="1" customFormat="true" ht="12.75" hidden="false" customHeight="true" outlineLevel="0" collapsed="false">
      <c r="B177" s="134" t="s">
        <v>260</v>
      </c>
      <c r="C177" s="135" t="s">
        <v>261</v>
      </c>
      <c r="D177" s="136" t="e">
        <f aca="false">VLOOKUP($C177,#REF!,5,0)</f>
        <v>#VALUE!</v>
      </c>
      <c r="E177" s="157" t="e">
        <f aca="false">VLOOKUP($C177,#REF!,6,0)</f>
        <v>#VALUE!</v>
      </c>
      <c r="F177" s="135" t="e">
        <f aca="false">VLOOKUP($C177,#REF!,7,0)</f>
        <v>#VALUE!</v>
      </c>
      <c r="G177" s="135" t="e">
        <f aca="false">VLOOKUP($C177,#REF!,8,0)</f>
        <v>#VALUE!</v>
      </c>
      <c r="H177" s="158" t="e">
        <f aca="false">VLOOKUP($C177,#REF!,9,0)</f>
        <v>#VALUE!</v>
      </c>
      <c r="I177" s="137"/>
      <c r="J177" s="138" t="e">
        <f aca="false">VLOOKUP($C177,#REF!,10,0)</f>
        <v>#VALUE!</v>
      </c>
      <c r="K177" s="139" t="e">
        <f aca="false">VLOOKUP($C177,#REF!,11,0)</f>
        <v>#VALUE!</v>
      </c>
      <c r="L177" s="140"/>
      <c r="M177" s="138" t="e">
        <f aca="false">VLOOKUP($C177,#REF!,12,0)</f>
        <v>#VALUE!</v>
      </c>
      <c r="N177" s="140" t="e">
        <f aca="false">VLOOKUP($C177,#REF!,13,0)</f>
        <v>#VALUE!</v>
      </c>
      <c r="O177" s="138" t="e">
        <f aca="false">VLOOKUP($C177,#REF!,14,0)</f>
        <v>#VALUE!</v>
      </c>
      <c r="P177" s="140" t="e">
        <f aca="false">VLOOKUP($C177,#REF!,15,0)</f>
        <v>#VALUE!</v>
      </c>
      <c r="Q177" s="138" t="e">
        <f aca="false">VLOOKUP($C177,#REF!,16,0)</f>
        <v>#VALUE!</v>
      </c>
      <c r="R177" s="139" t="e">
        <f aca="false">VLOOKUP($C177,#REF!,17,0)</f>
        <v>#VALUE!</v>
      </c>
      <c r="S177" s="140" t="e">
        <f aca="false">VLOOKUP($C177,#REF!,18,0)</f>
        <v>#VALUE!</v>
      </c>
      <c r="T177" s="139" t="e">
        <f aca="false">VLOOKUP($C177,#REF!,19,0)</f>
        <v>#VALUE!</v>
      </c>
      <c r="U177" s="140"/>
      <c r="V177" s="138" t="e">
        <f aca="false">VLOOKUP($C177,#REF!,20,0)</f>
        <v>#VALUE!</v>
      </c>
      <c r="W177" s="140" t="e">
        <f aca="false">VLOOKUP($C177,#REF!,21,0)</f>
        <v>#VALUE!</v>
      </c>
      <c r="X177" s="138" t="e">
        <f aca="false">VLOOKUP($C177,#REF!,22,0)</f>
        <v>#VALUE!</v>
      </c>
      <c r="Y177" s="140" t="e">
        <f aca="false">VLOOKUP($C177,#REF!,23,0)</f>
        <v>#VALUE!</v>
      </c>
      <c r="Z177" s="138" t="e">
        <f aca="false">VLOOKUP($C177,#REF!,24,0)</f>
        <v>#VALUE!</v>
      </c>
      <c r="AA177" s="139" t="e">
        <f aca="false">VLOOKUP($C177,#REF!,25,0)</f>
        <v>#VALUE!</v>
      </c>
      <c r="AB177" s="140" t="e">
        <f aca="false">VLOOKUP($C177,#REF!,26,0)</f>
        <v>#VALUE!</v>
      </c>
      <c r="AC177" s="139" t="e">
        <f aca="false">VLOOKUP($C177,#REF!,27,0)</f>
        <v>#VALUE!</v>
      </c>
      <c r="AE177" s="138" t="e">
        <f aca="false">IF(M177="-","-","0,5 GB")</f>
        <v>#VALUE!</v>
      </c>
      <c r="AF177" s="141" t="s">
        <v>92</v>
      </c>
      <c r="AG177" s="141" t="s">
        <v>93</v>
      </c>
      <c r="AH177" s="139" t="s">
        <v>94</v>
      </c>
      <c r="AJ177" s="138" t="s">
        <v>95</v>
      </c>
      <c r="AK177" s="141" t="s">
        <v>96</v>
      </c>
      <c r="AL177" s="141" t="s">
        <v>97</v>
      </c>
      <c r="AM177" s="141" t="s">
        <v>98</v>
      </c>
      <c r="AN177" s="141" t="s">
        <v>98</v>
      </c>
      <c r="AO177" s="139" t="s">
        <v>92</v>
      </c>
      <c r="AQ177" s="142" t="n">
        <v>1</v>
      </c>
      <c r="AR177" s="137"/>
      <c r="AS177" s="138" t="n">
        <v>0</v>
      </c>
      <c r="AT177" s="139" t="n">
        <v>0</v>
      </c>
      <c r="AU177" s="140"/>
      <c r="AV177" s="138" t="n">
        <f aca="false">IFERROR(ROUND($D177-M177-AW177,0),0)</f>
        <v>0</v>
      </c>
      <c r="AW177" s="139" t="n">
        <f aca="false">IFERROR(N177*$G177,0)</f>
        <v>0</v>
      </c>
      <c r="AX177" s="138" t="n">
        <f aca="false">IFERROR(ROUND($D177-O177-AY177,0),0)</f>
        <v>0</v>
      </c>
      <c r="AY177" s="139" t="n">
        <f aca="false">IFERROR(P177*$G177,0)</f>
        <v>0</v>
      </c>
      <c r="AZ177" s="138" t="n">
        <f aca="false">IFERROR(ROUND($D177-Q177-BA177,0),0)</f>
        <v>0</v>
      </c>
      <c r="BA177" s="139" t="n">
        <f aca="false">IFERROR(R177*$G177,0)</f>
        <v>0</v>
      </c>
      <c r="BB177" s="140" t="n">
        <f aca="false">IFERROR(ROUND($D177-S177-BC177,0),0)</f>
        <v>0</v>
      </c>
      <c r="BC177" s="139" t="n">
        <f aca="false">IFERROR(T177*$G177,0)</f>
        <v>0</v>
      </c>
      <c r="BD177" s="140"/>
      <c r="BE177" s="138" t="n">
        <f aca="false">IFERROR(ROUND($D177-V177-BF177,0),0)</f>
        <v>0</v>
      </c>
      <c r="BF177" s="139" t="n">
        <f aca="false">IFERROR(W177*$G177,0)</f>
        <v>0</v>
      </c>
      <c r="BG177" s="138" t="n">
        <f aca="false">IFERROR(ROUND($D177-X177-BH177,0),0)</f>
        <v>0</v>
      </c>
      <c r="BH177" s="139" t="n">
        <f aca="false">IFERROR(Y177*$G177,0)</f>
        <v>0</v>
      </c>
      <c r="BI177" s="140" t="n">
        <f aca="false">IFERROR(ROUND($D177-Z177-BJ177,0),0)</f>
        <v>0</v>
      </c>
      <c r="BJ177" s="139" t="n">
        <f aca="false">IFERROR(AA177*$G177,0)</f>
        <v>0</v>
      </c>
      <c r="BK177" s="140" t="n">
        <f aca="false">IFERROR(ROUND($D177-AB177-BL177,0),0)</f>
        <v>0</v>
      </c>
      <c r="BL177" s="139" t="n">
        <f aca="false">IFERROR(AC177*$G177,0)</f>
        <v>0</v>
      </c>
      <c r="BN177" s="142" t="n">
        <v>0</v>
      </c>
      <c r="BO177" s="137"/>
      <c r="BP177" s="138" t="n">
        <v>0</v>
      </c>
      <c r="BQ177" s="139" t="n">
        <v>0</v>
      </c>
      <c r="BR177" s="140"/>
      <c r="BS177" s="138" t="n">
        <v>0</v>
      </c>
      <c r="BT177" s="139" t="n">
        <v>0</v>
      </c>
      <c r="BU177" s="138" t="n">
        <v>0</v>
      </c>
      <c r="BV177" s="139" t="n">
        <v>0</v>
      </c>
      <c r="BW177" s="138" t="n">
        <v>0</v>
      </c>
      <c r="BX177" s="139" t="n">
        <v>0</v>
      </c>
      <c r="BY177" s="138" t="n">
        <v>0</v>
      </c>
      <c r="BZ177" s="139" t="n">
        <v>0</v>
      </c>
      <c r="CA177" s="140"/>
      <c r="CB177" s="138" t="n">
        <v>0</v>
      </c>
      <c r="CC177" s="139" t="n">
        <v>0</v>
      </c>
      <c r="CD177" s="138" t="n">
        <v>0</v>
      </c>
      <c r="CE177" s="139" t="n">
        <v>0</v>
      </c>
      <c r="CF177" s="138" t="n">
        <v>0</v>
      </c>
      <c r="CG177" s="139" t="n">
        <v>0</v>
      </c>
      <c r="CH177" s="138" t="n">
        <v>0</v>
      </c>
      <c r="CI177" s="139" t="n">
        <v>0</v>
      </c>
      <c r="CK177" s="143"/>
      <c r="CL177" s="137"/>
      <c r="CM177" s="144" t="str">
        <f aca="false">IFERROR(+$H177-($J177+$K177*$G177),"-")</f>
        <v>-</v>
      </c>
      <c r="CN177" s="137"/>
      <c r="CO177" s="144" t="str">
        <f aca="false">IFERROR(+$H177-($M177+$N177*$G177),"-")</f>
        <v>-</v>
      </c>
      <c r="CP177" s="144" t="str">
        <f aca="false">IFERROR(+$H177-($O177+$P177*$G177),"-")</f>
        <v>-</v>
      </c>
      <c r="CQ177" s="144" t="str">
        <f aca="false">IFERROR(+$H177-($Q177+$R177*$G177),"-")</f>
        <v>-</v>
      </c>
      <c r="CR177" s="144" t="str">
        <f aca="false">IFERROR(+$H177-($Q177+$R177*$G177),"-")</f>
        <v>-</v>
      </c>
      <c r="CS177" s="137"/>
      <c r="CT177" s="144" t="str">
        <f aca="false">IFERROR(+$H177-($V177+$W177*$G177),"-")</f>
        <v>-</v>
      </c>
      <c r="CU177" s="144" t="str">
        <f aca="false">IFERROR(+$H177-($X177+$Y177*$G177),"-")</f>
        <v>-</v>
      </c>
      <c r="CV177" s="144" t="str">
        <f aca="false">IFERROR(+$H177-($Z177+$AA177*$G177),"-")</f>
        <v>-</v>
      </c>
      <c r="CW177" s="144" t="str">
        <f aca="false">IFERROR(+$H177-($AB177+$AC177*$G177),"-")</f>
        <v>-</v>
      </c>
    </row>
    <row r="178" s="156" customFormat="true" ht="12.75" hidden="false" customHeight="true" outlineLevel="0" collapsed="false">
      <c r="A178" s="1"/>
      <c r="B178" s="145" t="s">
        <v>260</v>
      </c>
      <c r="C178" s="146" t="s">
        <v>262</v>
      </c>
      <c r="D178" s="147" t="e">
        <f aca="false">VLOOKUP($C178,#REF!,5,0)</f>
        <v>#VALUE!</v>
      </c>
      <c r="E178" s="148" t="e">
        <f aca="false">VLOOKUP($C178,#REF!,6,0)</f>
        <v>#VALUE!</v>
      </c>
      <c r="F178" s="146" t="e">
        <f aca="false">VLOOKUP($C178,#REF!,7,0)</f>
        <v>#VALUE!</v>
      </c>
      <c r="G178" s="146" t="e">
        <f aca="false">VLOOKUP($C178,#REF!,8,0)</f>
        <v>#VALUE!</v>
      </c>
      <c r="H178" s="149" t="e">
        <f aca="false">VLOOKUP($C178,#REF!,9,0)</f>
        <v>#VALUE!</v>
      </c>
      <c r="I178" s="137"/>
      <c r="J178" s="150" t="e">
        <f aca="false">VLOOKUP($C178,#REF!,10,0)</f>
        <v>#VALUE!</v>
      </c>
      <c r="K178" s="151" t="e">
        <f aca="false">VLOOKUP($C178,#REF!,11,0)</f>
        <v>#VALUE!</v>
      </c>
      <c r="L178" s="140"/>
      <c r="M178" s="150" t="e">
        <f aca="false">VLOOKUP($C178,#REF!,12,0)</f>
        <v>#VALUE!</v>
      </c>
      <c r="N178" s="152" t="e">
        <f aca="false">VLOOKUP($C178,#REF!,13,0)</f>
        <v>#VALUE!</v>
      </c>
      <c r="O178" s="150" t="e">
        <f aca="false">VLOOKUP($C178,#REF!,14,0)</f>
        <v>#VALUE!</v>
      </c>
      <c r="P178" s="152" t="e">
        <f aca="false">VLOOKUP($C178,#REF!,15,0)</f>
        <v>#VALUE!</v>
      </c>
      <c r="Q178" s="150" t="e">
        <f aca="false">VLOOKUP($C178,#REF!,16,0)</f>
        <v>#VALUE!</v>
      </c>
      <c r="R178" s="151" t="e">
        <f aca="false">VLOOKUP($C178,#REF!,17,0)</f>
        <v>#VALUE!</v>
      </c>
      <c r="S178" s="152" t="e">
        <f aca="false">VLOOKUP($C178,#REF!,18,0)</f>
        <v>#VALUE!</v>
      </c>
      <c r="T178" s="151" t="e">
        <f aca="false">VLOOKUP($C178,#REF!,19,0)</f>
        <v>#VALUE!</v>
      </c>
      <c r="U178" s="140"/>
      <c r="V178" s="150" t="e">
        <f aca="false">VLOOKUP($C178,#REF!,20,0)</f>
        <v>#VALUE!</v>
      </c>
      <c r="W178" s="152" t="e">
        <f aca="false">VLOOKUP($C178,#REF!,21,0)</f>
        <v>#VALUE!</v>
      </c>
      <c r="X178" s="150" t="e">
        <f aca="false">VLOOKUP($C178,#REF!,22,0)</f>
        <v>#VALUE!</v>
      </c>
      <c r="Y178" s="152" t="e">
        <f aca="false">VLOOKUP($C178,#REF!,23,0)</f>
        <v>#VALUE!</v>
      </c>
      <c r="Z178" s="150" t="e">
        <f aca="false">VLOOKUP($C178,#REF!,24,0)</f>
        <v>#VALUE!</v>
      </c>
      <c r="AA178" s="151" t="e">
        <f aca="false">VLOOKUP($C178,#REF!,25,0)</f>
        <v>#VALUE!</v>
      </c>
      <c r="AB178" s="152" t="e">
        <f aca="false">VLOOKUP($C178,#REF!,26,0)</f>
        <v>#VALUE!</v>
      </c>
      <c r="AC178" s="151" t="e">
        <f aca="false">VLOOKUP($C178,#REF!,27,0)</f>
        <v>#VALUE!</v>
      </c>
      <c r="AD178" s="1"/>
      <c r="AE178" s="150" t="e">
        <f aca="false">IF(M178="-","-","0,5 GB")</f>
        <v>#VALUE!</v>
      </c>
      <c r="AF178" s="153" t="s">
        <v>92</v>
      </c>
      <c r="AG178" s="153" t="s">
        <v>93</v>
      </c>
      <c r="AH178" s="151" t="s">
        <v>94</v>
      </c>
      <c r="AI178" s="1"/>
      <c r="AJ178" s="150" t="s">
        <v>95</v>
      </c>
      <c r="AK178" s="153" t="s">
        <v>96</v>
      </c>
      <c r="AL178" s="153" t="s">
        <v>97</v>
      </c>
      <c r="AM178" s="153" t="s">
        <v>98</v>
      </c>
      <c r="AN178" s="153" t="s">
        <v>98</v>
      </c>
      <c r="AO178" s="151" t="s">
        <v>92</v>
      </c>
      <c r="AP178" s="1"/>
      <c r="AQ178" s="154" t="n">
        <v>-41</v>
      </c>
      <c r="AR178" s="137"/>
      <c r="AS178" s="150" t="n">
        <v>0</v>
      </c>
      <c r="AT178" s="151" t="n">
        <v>0</v>
      </c>
      <c r="AU178" s="140"/>
      <c r="AV178" s="150" t="n">
        <f aca="false">IFERROR(ROUND($D178-M178-AW178,0),0)</f>
        <v>0</v>
      </c>
      <c r="AW178" s="151" t="n">
        <f aca="false">IFERROR(N178*$G178,0)</f>
        <v>0</v>
      </c>
      <c r="AX178" s="150" t="n">
        <f aca="false">IFERROR(ROUND($D178-O178-AY178,0),0)</f>
        <v>0</v>
      </c>
      <c r="AY178" s="151" t="n">
        <f aca="false">IFERROR(P178*$G178,0)</f>
        <v>0</v>
      </c>
      <c r="AZ178" s="150" t="n">
        <f aca="false">IFERROR(ROUND($D178-Q178-BA178,0),0)</f>
        <v>0</v>
      </c>
      <c r="BA178" s="151" t="n">
        <f aca="false">IFERROR(R178*$G178,0)</f>
        <v>0</v>
      </c>
      <c r="BB178" s="152" t="n">
        <f aca="false">IFERROR(ROUND($D178-S178-BC178,0),0)</f>
        <v>0</v>
      </c>
      <c r="BC178" s="151" t="n">
        <f aca="false">IFERROR(T178*$G178,0)</f>
        <v>0</v>
      </c>
      <c r="BD178" s="140"/>
      <c r="BE178" s="150" t="n">
        <f aca="false">IFERROR(ROUND($D178-V178-BF178,0),0)</f>
        <v>0</v>
      </c>
      <c r="BF178" s="151" t="n">
        <f aca="false">IFERROR(W178*$G178,0)</f>
        <v>0</v>
      </c>
      <c r="BG178" s="150" t="n">
        <f aca="false">IFERROR(ROUND($D178-X178-BH178,0),0)</f>
        <v>0</v>
      </c>
      <c r="BH178" s="151" t="n">
        <f aca="false">IFERROR(Y178*$G178,0)</f>
        <v>0</v>
      </c>
      <c r="BI178" s="152" t="n">
        <f aca="false">IFERROR(ROUND($D178-Z178-BJ178,0),0)</f>
        <v>0</v>
      </c>
      <c r="BJ178" s="151" t="n">
        <f aca="false">IFERROR(AA178*$G178,0)</f>
        <v>0</v>
      </c>
      <c r="BK178" s="152" t="n">
        <f aca="false">IFERROR(ROUND($D178-AB178-BL178,0),0)</f>
        <v>0</v>
      </c>
      <c r="BL178" s="151" t="n">
        <f aca="false">IFERROR(AC178*$G178,0)</f>
        <v>0</v>
      </c>
      <c r="BM178" s="1"/>
      <c r="BN178" s="154" t="n">
        <v>0</v>
      </c>
      <c r="BO178" s="155"/>
      <c r="BP178" s="150" t="n">
        <v>0</v>
      </c>
      <c r="BQ178" s="151" t="n">
        <v>0</v>
      </c>
      <c r="BR178" s="152"/>
      <c r="BS178" s="150" t="n">
        <v>0</v>
      </c>
      <c r="BT178" s="151" t="n">
        <v>0</v>
      </c>
      <c r="BU178" s="150" t="n">
        <v>0</v>
      </c>
      <c r="BV178" s="151" t="n">
        <v>0</v>
      </c>
      <c r="BW178" s="150" t="n">
        <v>0</v>
      </c>
      <c r="BX178" s="151" t="n">
        <v>0</v>
      </c>
      <c r="BY178" s="150" t="n">
        <v>0</v>
      </c>
      <c r="BZ178" s="151" t="n">
        <v>0</v>
      </c>
      <c r="CA178" s="152"/>
      <c r="CB178" s="150" t="n">
        <v>0</v>
      </c>
      <c r="CC178" s="151" t="n">
        <v>0</v>
      </c>
      <c r="CD178" s="150" t="n">
        <v>0</v>
      </c>
      <c r="CE178" s="151" t="n">
        <v>0</v>
      </c>
      <c r="CF178" s="150" t="n">
        <v>0</v>
      </c>
      <c r="CG178" s="151" t="n">
        <v>0</v>
      </c>
      <c r="CH178" s="150" t="n">
        <v>0</v>
      </c>
      <c r="CI178" s="151" t="n">
        <v>0</v>
      </c>
      <c r="CJ178" s="1"/>
      <c r="CK178" s="149"/>
      <c r="CL178" s="137"/>
      <c r="CM178" s="154" t="str">
        <f aca="false">IFERROR(+$H178-($J178+$K178*$G178),"-")</f>
        <v>-</v>
      </c>
      <c r="CN178" s="137"/>
      <c r="CO178" s="154" t="str">
        <f aca="false">IFERROR(+$H178-($M178+$N178*$G178),"-")</f>
        <v>-</v>
      </c>
      <c r="CP178" s="154" t="str">
        <f aca="false">IFERROR(+$H178-($O178+$P178*$G178),"-")</f>
        <v>-</v>
      </c>
      <c r="CQ178" s="154" t="str">
        <f aca="false">IFERROR(+$H178-($Q178+$R178*$G178),"-")</f>
        <v>-</v>
      </c>
      <c r="CR178" s="154" t="str">
        <f aca="false">IFERROR(+$H178-($Q178+$R178*$G178),"-")</f>
        <v>-</v>
      </c>
      <c r="CS178" s="137"/>
      <c r="CT178" s="154" t="str">
        <f aca="false">IFERROR(+$H178-($V178+$W178*$G178),"-")</f>
        <v>-</v>
      </c>
      <c r="CU178" s="154" t="str">
        <f aca="false">IFERROR(+$H178-($X178+$Y178*$G178),"-")</f>
        <v>-</v>
      </c>
      <c r="CV178" s="154" t="str">
        <f aca="false">IFERROR(+$H178-($Z178+$AA178*$G178),"-")</f>
        <v>-</v>
      </c>
      <c r="CW178" s="154" t="str">
        <f aca="false">IFERROR(+$H178-($AB178+$AC178*$G178),"-")</f>
        <v>-</v>
      </c>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row>
    <row r="179" s="1" customFormat="true" ht="12.75" hidden="false" customHeight="true" outlineLevel="0" collapsed="false">
      <c r="B179" s="134" t="s">
        <v>260</v>
      </c>
      <c r="C179" s="135" t="s">
        <v>263</v>
      </c>
      <c r="D179" s="136" t="e">
        <f aca="false">VLOOKUP($C179,#REF!,5,0)</f>
        <v>#VALUE!</v>
      </c>
      <c r="E179" s="157" t="e">
        <f aca="false">VLOOKUP($C179,#REF!,6,0)</f>
        <v>#VALUE!</v>
      </c>
      <c r="F179" s="135" t="e">
        <f aca="false">VLOOKUP($C179,#REF!,7,0)</f>
        <v>#VALUE!</v>
      </c>
      <c r="G179" s="135" t="e">
        <f aca="false">VLOOKUP($C179,#REF!,8,0)</f>
        <v>#VALUE!</v>
      </c>
      <c r="H179" s="158" t="e">
        <f aca="false">VLOOKUP($C179,#REF!,9,0)</f>
        <v>#VALUE!</v>
      </c>
      <c r="I179" s="137"/>
      <c r="J179" s="138" t="e">
        <f aca="false">VLOOKUP($C179,#REF!,10,0)</f>
        <v>#VALUE!</v>
      </c>
      <c r="K179" s="139" t="e">
        <f aca="false">VLOOKUP($C179,#REF!,11,0)</f>
        <v>#VALUE!</v>
      </c>
      <c r="L179" s="140"/>
      <c r="M179" s="138" t="e">
        <f aca="false">VLOOKUP($C179,#REF!,12,0)</f>
        <v>#VALUE!</v>
      </c>
      <c r="N179" s="140" t="e">
        <f aca="false">VLOOKUP($C179,#REF!,13,0)</f>
        <v>#VALUE!</v>
      </c>
      <c r="O179" s="138" t="e">
        <f aca="false">VLOOKUP($C179,#REF!,14,0)</f>
        <v>#VALUE!</v>
      </c>
      <c r="P179" s="140" t="e">
        <f aca="false">VLOOKUP($C179,#REF!,15,0)</f>
        <v>#VALUE!</v>
      </c>
      <c r="Q179" s="138" t="e">
        <f aca="false">VLOOKUP($C179,#REF!,16,0)</f>
        <v>#VALUE!</v>
      </c>
      <c r="R179" s="139" t="e">
        <f aca="false">VLOOKUP($C179,#REF!,17,0)</f>
        <v>#VALUE!</v>
      </c>
      <c r="S179" s="140" t="e">
        <f aca="false">VLOOKUP($C179,#REF!,18,0)</f>
        <v>#VALUE!</v>
      </c>
      <c r="T179" s="139" t="e">
        <f aca="false">VLOOKUP($C179,#REF!,19,0)</f>
        <v>#VALUE!</v>
      </c>
      <c r="U179" s="140"/>
      <c r="V179" s="138" t="e">
        <f aca="false">VLOOKUP($C179,#REF!,20,0)</f>
        <v>#VALUE!</v>
      </c>
      <c r="W179" s="140" t="e">
        <f aca="false">VLOOKUP($C179,#REF!,21,0)</f>
        <v>#VALUE!</v>
      </c>
      <c r="X179" s="138" t="e">
        <f aca="false">VLOOKUP($C179,#REF!,22,0)</f>
        <v>#VALUE!</v>
      </c>
      <c r="Y179" s="140" t="e">
        <f aca="false">VLOOKUP($C179,#REF!,23,0)</f>
        <v>#VALUE!</v>
      </c>
      <c r="Z179" s="138" t="e">
        <f aca="false">VLOOKUP($C179,#REF!,24,0)</f>
        <v>#VALUE!</v>
      </c>
      <c r="AA179" s="139" t="e">
        <f aca="false">VLOOKUP($C179,#REF!,25,0)</f>
        <v>#VALUE!</v>
      </c>
      <c r="AB179" s="140" t="e">
        <f aca="false">VLOOKUP($C179,#REF!,26,0)</f>
        <v>#VALUE!</v>
      </c>
      <c r="AC179" s="139" t="e">
        <f aca="false">VLOOKUP($C179,#REF!,27,0)</f>
        <v>#VALUE!</v>
      </c>
      <c r="AE179" s="138" t="e">
        <f aca="false">IF(M179="-","-","0,5 GB")</f>
        <v>#VALUE!</v>
      </c>
      <c r="AF179" s="141" t="s">
        <v>92</v>
      </c>
      <c r="AG179" s="141" t="s">
        <v>93</v>
      </c>
      <c r="AH179" s="139" t="s">
        <v>94</v>
      </c>
      <c r="AJ179" s="138" t="s">
        <v>95</v>
      </c>
      <c r="AK179" s="141" t="s">
        <v>96</v>
      </c>
      <c r="AL179" s="141" t="s">
        <v>97</v>
      </c>
      <c r="AM179" s="141" t="s">
        <v>98</v>
      </c>
      <c r="AN179" s="141" t="s">
        <v>98</v>
      </c>
      <c r="AO179" s="139" t="s">
        <v>92</v>
      </c>
      <c r="AQ179" s="142" t="n">
        <v>82</v>
      </c>
      <c r="AR179" s="137"/>
      <c r="AS179" s="138" t="n">
        <v>0</v>
      </c>
      <c r="AT179" s="139" t="n">
        <v>0</v>
      </c>
      <c r="AU179" s="140"/>
      <c r="AV179" s="138" t="n">
        <f aca="false">IFERROR(ROUND($D179-M179-AW179,0),0)</f>
        <v>0</v>
      </c>
      <c r="AW179" s="139" t="n">
        <f aca="false">IFERROR(N179*$G179,0)</f>
        <v>0</v>
      </c>
      <c r="AX179" s="138" t="n">
        <f aca="false">IFERROR(ROUND($D179-O179-AY179,0),0)</f>
        <v>0</v>
      </c>
      <c r="AY179" s="139" t="n">
        <f aca="false">IFERROR(P179*$G179,0)</f>
        <v>0</v>
      </c>
      <c r="AZ179" s="138" t="n">
        <f aca="false">IFERROR(ROUND($D179-Q179-BA179,0),0)</f>
        <v>0</v>
      </c>
      <c r="BA179" s="139" t="n">
        <f aca="false">IFERROR(R179*$G179,0)</f>
        <v>0</v>
      </c>
      <c r="BB179" s="140" t="n">
        <f aca="false">IFERROR(ROUND($D179-S179-BC179,0),0)</f>
        <v>0</v>
      </c>
      <c r="BC179" s="139" t="n">
        <f aca="false">IFERROR(T179*$G179,0)</f>
        <v>0</v>
      </c>
      <c r="BD179" s="140"/>
      <c r="BE179" s="138" t="n">
        <f aca="false">IFERROR(ROUND($D179-V179-BF179,0),0)</f>
        <v>0</v>
      </c>
      <c r="BF179" s="139" t="n">
        <f aca="false">IFERROR(W179*$G179,0)</f>
        <v>0</v>
      </c>
      <c r="BG179" s="138" t="n">
        <f aca="false">IFERROR(ROUND($D179-X179-BH179,0),0)</f>
        <v>0</v>
      </c>
      <c r="BH179" s="139" t="n">
        <f aca="false">IFERROR(Y179*$G179,0)</f>
        <v>0</v>
      </c>
      <c r="BI179" s="140" t="n">
        <f aca="false">IFERROR(ROUND($D179-Z179-BJ179,0),0)</f>
        <v>0</v>
      </c>
      <c r="BJ179" s="139" t="n">
        <f aca="false">IFERROR(AA179*$G179,0)</f>
        <v>0</v>
      </c>
      <c r="BK179" s="140" t="n">
        <f aca="false">IFERROR(ROUND($D179-AB179-BL179,0),0)</f>
        <v>0</v>
      </c>
      <c r="BL179" s="139" t="n">
        <f aca="false">IFERROR(AC179*$G179,0)</f>
        <v>0</v>
      </c>
      <c r="BN179" s="142" t="n">
        <v>0</v>
      </c>
      <c r="BO179" s="137"/>
      <c r="BP179" s="138" t="n">
        <v>0</v>
      </c>
      <c r="BQ179" s="139" t="n">
        <v>0</v>
      </c>
      <c r="BR179" s="140"/>
      <c r="BS179" s="138" t="n">
        <v>0</v>
      </c>
      <c r="BT179" s="139" t="n">
        <v>0</v>
      </c>
      <c r="BU179" s="138" t="n">
        <v>0</v>
      </c>
      <c r="BV179" s="139" t="n">
        <v>1</v>
      </c>
      <c r="BW179" s="138" t="n">
        <v>0</v>
      </c>
      <c r="BX179" s="139" t="n">
        <v>0</v>
      </c>
      <c r="BY179" s="138" t="n">
        <v>0</v>
      </c>
      <c r="BZ179" s="139" t="n">
        <v>0</v>
      </c>
      <c r="CA179" s="140"/>
      <c r="CB179" s="138" t="n">
        <v>0</v>
      </c>
      <c r="CC179" s="139" t="n">
        <v>0</v>
      </c>
      <c r="CD179" s="138" t="n">
        <v>0</v>
      </c>
      <c r="CE179" s="139" t="n">
        <v>0</v>
      </c>
      <c r="CF179" s="138" t="n">
        <v>0</v>
      </c>
      <c r="CG179" s="139" t="n">
        <v>0</v>
      </c>
      <c r="CH179" s="138" t="n">
        <v>0</v>
      </c>
      <c r="CI179" s="139" t="n">
        <v>0</v>
      </c>
      <c r="CK179" s="143"/>
      <c r="CL179" s="137"/>
      <c r="CM179" s="144" t="str">
        <f aca="false">IFERROR(+$H179-($J179+$K179*$G179),"-")</f>
        <v>-</v>
      </c>
      <c r="CN179" s="137"/>
      <c r="CO179" s="144" t="str">
        <f aca="false">IFERROR(+$H179-($M179+$N179*$G179),"-")</f>
        <v>-</v>
      </c>
      <c r="CP179" s="144" t="str">
        <f aca="false">IFERROR(+$H179-($O179+$P179*$G179),"-")</f>
        <v>-</v>
      </c>
      <c r="CQ179" s="144" t="str">
        <f aca="false">IFERROR(+$H179-($Q179+$R179*$G179),"-")</f>
        <v>-</v>
      </c>
      <c r="CR179" s="144" t="str">
        <f aca="false">IFERROR(+$H179-($Q179+$R179*$G179),"-")</f>
        <v>-</v>
      </c>
      <c r="CS179" s="137"/>
      <c r="CT179" s="144" t="str">
        <f aca="false">IFERROR(+$H179-($V179+$W179*$G179),"-")</f>
        <v>-</v>
      </c>
      <c r="CU179" s="144" t="str">
        <f aca="false">IFERROR(+$H179-($X179+$Y179*$G179),"-")</f>
        <v>-</v>
      </c>
      <c r="CV179" s="144" t="str">
        <f aca="false">IFERROR(+$H179-($Z179+$AA179*$G179),"-")</f>
        <v>-</v>
      </c>
      <c r="CW179" s="144" t="str">
        <f aca="false">IFERROR(+$H179-($AB179+$AC179*$G179),"-")</f>
        <v>-</v>
      </c>
    </row>
    <row r="180" s="156" customFormat="true" ht="12.75" hidden="false" customHeight="true" outlineLevel="0" collapsed="false">
      <c r="A180" s="1"/>
      <c r="B180" s="145" t="s">
        <v>260</v>
      </c>
      <c r="C180" s="146" t="s">
        <v>264</v>
      </c>
      <c r="D180" s="147" t="e">
        <f aca="false">VLOOKUP($C180,#REF!,5,0)</f>
        <v>#VALUE!</v>
      </c>
      <c r="E180" s="148" t="e">
        <f aca="false">VLOOKUP($C180,#REF!,6,0)</f>
        <v>#VALUE!</v>
      </c>
      <c r="F180" s="146" t="e">
        <f aca="false">VLOOKUP($C180,#REF!,7,0)</f>
        <v>#VALUE!</v>
      </c>
      <c r="G180" s="146" t="e">
        <f aca="false">VLOOKUP($C180,#REF!,8,0)</f>
        <v>#VALUE!</v>
      </c>
      <c r="H180" s="149" t="e">
        <f aca="false">VLOOKUP($C180,#REF!,9,0)</f>
        <v>#VALUE!</v>
      </c>
      <c r="I180" s="137"/>
      <c r="J180" s="150" t="e">
        <f aca="false">VLOOKUP($C180,#REF!,10,0)</f>
        <v>#VALUE!</v>
      </c>
      <c r="K180" s="151" t="e">
        <f aca="false">VLOOKUP($C180,#REF!,11,0)</f>
        <v>#VALUE!</v>
      </c>
      <c r="L180" s="140"/>
      <c r="M180" s="150" t="e">
        <f aca="false">VLOOKUP($C180,#REF!,12,0)</f>
        <v>#VALUE!</v>
      </c>
      <c r="N180" s="152" t="e">
        <f aca="false">VLOOKUP($C180,#REF!,13,0)</f>
        <v>#VALUE!</v>
      </c>
      <c r="O180" s="150" t="e">
        <f aca="false">VLOOKUP($C180,#REF!,14,0)</f>
        <v>#VALUE!</v>
      </c>
      <c r="P180" s="152" t="e">
        <f aca="false">VLOOKUP($C180,#REF!,15,0)</f>
        <v>#VALUE!</v>
      </c>
      <c r="Q180" s="150" t="e">
        <f aca="false">VLOOKUP($C180,#REF!,16,0)</f>
        <v>#VALUE!</v>
      </c>
      <c r="R180" s="151" t="e">
        <f aca="false">VLOOKUP($C180,#REF!,17,0)</f>
        <v>#VALUE!</v>
      </c>
      <c r="S180" s="152" t="e">
        <f aca="false">VLOOKUP($C180,#REF!,18,0)</f>
        <v>#VALUE!</v>
      </c>
      <c r="T180" s="151" t="e">
        <f aca="false">VLOOKUP($C180,#REF!,19,0)</f>
        <v>#VALUE!</v>
      </c>
      <c r="U180" s="140"/>
      <c r="V180" s="150" t="e">
        <f aca="false">VLOOKUP($C180,#REF!,20,0)</f>
        <v>#VALUE!</v>
      </c>
      <c r="W180" s="152" t="e">
        <f aca="false">VLOOKUP($C180,#REF!,21,0)</f>
        <v>#VALUE!</v>
      </c>
      <c r="X180" s="150" t="e">
        <f aca="false">VLOOKUP($C180,#REF!,22,0)</f>
        <v>#VALUE!</v>
      </c>
      <c r="Y180" s="152" t="e">
        <f aca="false">VLOOKUP($C180,#REF!,23,0)</f>
        <v>#VALUE!</v>
      </c>
      <c r="Z180" s="150" t="e">
        <f aca="false">VLOOKUP($C180,#REF!,24,0)</f>
        <v>#VALUE!</v>
      </c>
      <c r="AA180" s="151" t="e">
        <f aca="false">VLOOKUP($C180,#REF!,25,0)</f>
        <v>#VALUE!</v>
      </c>
      <c r="AB180" s="152" t="e">
        <f aca="false">VLOOKUP($C180,#REF!,26,0)</f>
        <v>#VALUE!</v>
      </c>
      <c r="AC180" s="151" t="e">
        <f aca="false">VLOOKUP($C180,#REF!,27,0)</f>
        <v>#VALUE!</v>
      </c>
      <c r="AD180" s="1"/>
      <c r="AE180" s="150" t="e">
        <f aca="false">IF(M180="-","-","0,5 GB")</f>
        <v>#VALUE!</v>
      </c>
      <c r="AF180" s="153" t="s">
        <v>92</v>
      </c>
      <c r="AG180" s="153" t="s">
        <v>93</v>
      </c>
      <c r="AH180" s="151" t="s">
        <v>94</v>
      </c>
      <c r="AI180" s="1"/>
      <c r="AJ180" s="150" t="s">
        <v>95</v>
      </c>
      <c r="AK180" s="153" t="s">
        <v>96</v>
      </c>
      <c r="AL180" s="153" t="s">
        <v>97</v>
      </c>
      <c r="AM180" s="153" t="s">
        <v>98</v>
      </c>
      <c r="AN180" s="153" t="s">
        <v>98</v>
      </c>
      <c r="AO180" s="151" t="s">
        <v>92</v>
      </c>
      <c r="AP180" s="1"/>
      <c r="AQ180" s="154" t="n">
        <v>67</v>
      </c>
      <c r="AR180" s="137"/>
      <c r="AS180" s="150" t="n">
        <v>0</v>
      </c>
      <c r="AT180" s="151" t="n">
        <v>0</v>
      </c>
      <c r="AU180" s="140"/>
      <c r="AV180" s="150" t="n">
        <f aca="false">IFERROR(ROUND($D180-M180-AW180,0),0)</f>
        <v>0</v>
      </c>
      <c r="AW180" s="151" t="n">
        <f aca="false">IFERROR(N180*$G180,0)</f>
        <v>0</v>
      </c>
      <c r="AX180" s="150" t="n">
        <f aca="false">IFERROR(ROUND($D180-O180-AY180,0),0)</f>
        <v>0</v>
      </c>
      <c r="AY180" s="151" t="n">
        <f aca="false">IFERROR(P180*$G180,0)</f>
        <v>0</v>
      </c>
      <c r="AZ180" s="150" t="n">
        <f aca="false">IFERROR(ROUND($D180-Q180-BA180,0),0)</f>
        <v>0</v>
      </c>
      <c r="BA180" s="151" t="n">
        <f aca="false">IFERROR(R180*$G180,0)</f>
        <v>0</v>
      </c>
      <c r="BB180" s="152" t="n">
        <f aca="false">IFERROR(ROUND($D180-S180-BC180,0),0)</f>
        <v>0</v>
      </c>
      <c r="BC180" s="151" t="n">
        <f aca="false">IFERROR(T180*$G180,0)</f>
        <v>0</v>
      </c>
      <c r="BD180" s="140"/>
      <c r="BE180" s="150" t="n">
        <f aca="false">IFERROR(ROUND($D180-V180-BF180,0),0)</f>
        <v>0</v>
      </c>
      <c r="BF180" s="151" t="n">
        <f aca="false">IFERROR(W180*$G180,0)</f>
        <v>0</v>
      </c>
      <c r="BG180" s="150" t="n">
        <f aca="false">IFERROR(ROUND($D180-X180-BH180,0),0)</f>
        <v>0</v>
      </c>
      <c r="BH180" s="151" t="n">
        <f aca="false">IFERROR(Y180*$G180,0)</f>
        <v>0</v>
      </c>
      <c r="BI180" s="152" t="n">
        <f aca="false">IFERROR(ROUND($D180-Z180-BJ180,0),0)</f>
        <v>0</v>
      </c>
      <c r="BJ180" s="151" t="n">
        <f aca="false">IFERROR(AA180*$G180,0)</f>
        <v>0</v>
      </c>
      <c r="BK180" s="152" t="n">
        <f aca="false">IFERROR(ROUND($D180-AB180-BL180,0),0)</f>
        <v>0</v>
      </c>
      <c r="BL180" s="151" t="n">
        <f aca="false">IFERROR(AC180*$G180,0)</f>
        <v>0</v>
      </c>
      <c r="BM180" s="1"/>
      <c r="BN180" s="154" t="n">
        <v>-33.06</v>
      </c>
      <c r="BO180" s="155"/>
      <c r="BP180" s="150" t="n">
        <v>-33.06</v>
      </c>
      <c r="BQ180" s="151" t="n">
        <v>0</v>
      </c>
      <c r="BR180" s="152"/>
      <c r="BS180" s="150" t="n">
        <v>0</v>
      </c>
      <c r="BT180" s="151" t="n">
        <v>0</v>
      </c>
      <c r="BU180" s="150" t="n">
        <v>0</v>
      </c>
      <c r="BV180" s="151" t="n">
        <v>0</v>
      </c>
      <c r="BW180" s="150" t="n">
        <v>0</v>
      </c>
      <c r="BX180" s="151" t="n">
        <v>-1</v>
      </c>
      <c r="BY180" s="150" t="n">
        <v>0</v>
      </c>
      <c r="BZ180" s="151" t="n">
        <v>-1</v>
      </c>
      <c r="CA180" s="152"/>
      <c r="CB180" s="150" t="n">
        <v>0</v>
      </c>
      <c r="CC180" s="151" t="n">
        <v>0</v>
      </c>
      <c r="CD180" s="150" t="n">
        <v>0</v>
      </c>
      <c r="CE180" s="151" t="n">
        <v>0</v>
      </c>
      <c r="CF180" s="150" t="n">
        <v>0</v>
      </c>
      <c r="CG180" s="151" t="n">
        <v>-1</v>
      </c>
      <c r="CH180" s="150" t="n">
        <v>0</v>
      </c>
      <c r="CI180" s="151" t="n">
        <v>-1</v>
      </c>
      <c r="CJ180" s="1"/>
      <c r="CK180" s="149"/>
      <c r="CL180" s="137"/>
      <c r="CM180" s="154" t="str">
        <f aca="false">IFERROR(+$H180-($J180+$K180*$G180),"-")</f>
        <v>-</v>
      </c>
      <c r="CN180" s="137"/>
      <c r="CO180" s="154" t="str">
        <f aca="false">IFERROR(+$H180-($M180+$N180*$G180),"-")</f>
        <v>-</v>
      </c>
      <c r="CP180" s="154" t="str">
        <f aca="false">IFERROR(+$H180-($O180+$P180*$G180),"-")</f>
        <v>-</v>
      </c>
      <c r="CQ180" s="154" t="str">
        <f aca="false">IFERROR(+$H180-($Q180+$R180*$G180),"-")</f>
        <v>-</v>
      </c>
      <c r="CR180" s="154" t="str">
        <f aca="false">IFERROR(+$H180-($Q180+$R180*$G180),"-")</f>
        <v>-</v>
      </c>
      <c r="CS180" s="137"/>
      <c r="CT180" s="154" t="str">
        <f aca="false">IFERROR(+$H180-($V180+$W180*$G180),"-")</f>
        <v>-</v>
      </c>
      <c r="CU180" s="154" t="str">
        <f aca="false">IFERROR(+$H180-($X180+$Y180*$G180),"-")</f>
        <v>-</v>
      </c>
      <c r="CV180" s="154" t="str">
        <f aca="false">IFERROR(+$H180-($Z180+$AA180*$G180),"-")</f>
        <v>-</v>
      </c>
      <c r="CW180" s="154" t="str">
        <f aca="false">IFERROR(+$H180-($AB180+$AC180*$G180),"-")</f>
        <v>-</v>
      </c>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row>
    <row r="181" s="1" customFormat="true" ht="12.75" hidden="false" customHeight="true" outlineLevel="0" collapsed="false">
      <c r="B181" s="134" t="s">
        <v>260</v>
      </c>
      <c r="C181" s="135" t="s">
        <v>265</v>
      </c>
      <c r="D181" s="136" t="e">
        <f aca="false">VLOOKUP($C181,#REF!,5,0)</f>
        <v>#VALUE!</v>
      </c>
      <c r="E181" s="157" t="e">
        <f aca="false">VLOOKUP($C181,#REF!,6,0)</f>
        <v>#VALUE!</v>
      </c>
      <c r="F181" s="135" t="e">
        <f aca="false">VLOOKUP($C181,#REF!,7,0)</f>
        <v>#VALUE!</v>
      </c>
      <c r="G181" s="135" t="e">
        <f aca="false">VLOOKUP($C181,#REF!,8,0)</f>
        <v>#VALUE!</v>
      </c>
      <c r="H181" s="158" t="e">
        <f aca="false">VLOOKUP($C181,#REF!,9,0)</f>
        <v>#VALUE!</v>
      </c>
      <c r="I181" s="137"/>
      <c r="J181" s="138" t="e">
        <f aca="false">VLOOKUP($C181,#REF!,10,0)</f>
        <v>#VALUE!</v>
      </c>
      <c r="K181" s="139" t="e">
        <f aca="false">VLOOKUP($C181,#REF!,11,0)</f>
        <v>#VALUE!</v>
      </c>
      <c r="L181" s="140"/>
      <c r="M181" s="138" t="e">
        <f aca="false">VLOOKUP($C181,#REF!,12,0)</f>
        <v>#VALUE!</v>
      </c>
      <c r="N181" s="140" t="e">
        <f aca="false">VLOOKUP($C181,#REF!,13,0)</f>
        <v>#VALUE!</v>
      </c>
      <c r="O181" s="138" t="e">
        <f aca="false">VLOOKUP($C181,#REF!,14,0)</f>
        <v>#VALUE!</v>
      </c>
      <c r="P181" s="140" t="e">
        <f aca="false">VLOOKUP($C181,#REF!,15,0)</f>
        <v>#VALUE!</v>
      </c>
      <c r="Q181" s="138" t="e">
        <f aca="false">VLOOKUP($C181,#REF!,16,0)</f>
        <v>#VALUE!</v>
      </c>
      <c r="R181" s="139" t="e">
        <f aca="false">VLOOKUP($C181,#REF!,17,0)</f>
        <v>#VALUE!</v>
      </c>
      <c r="S181" s="140" t="e">
        <f aca="false">VLOOKUP($C181,#REF!,18,0)</f>
        <v>#VALUE!</v>
      </c>
      <c r="T181" s="139" t="e">
        <f aca="false">VLOOKUP($C181,#REF!,19,0)</f>
        <v>#VALUE!</v>
      </c>
      <c r="U181" s="140"/>
      <c r="V181" s="138" t="e">
        <f aca="false">VLOOKUP($C181,#REF!,20,0)</f>
        <v>#VALUE!</v>
      </c>
      <c r="W181" s="140" t="e">
        <f aca="false">VLOOKUP($C181,#REF!,21,0)</f>
        <v>#VALUE!</v>
      </c>
      <c r="X181" s="138" t="e">
        <f aca="false">VLOOKUP($C181,#REF!,22,0)</f>
        <v>#VALUE!</v>
      </c>
      <c r="Y181" s="140" t="e">
        <f aca="false">VLOOKUP($C181,#REF!,23,0)</f>
        <v>#VALUE!</v>
      </c>
      <c r="Z181" s="138" t="e">
        <f aca="false">VLOOKUP($C181,#REF!,24,0)</f>
        <v>#VALUE!</v>
      </c>
      <c r="AA181" s="139" t="e">
        <f aca="false">VLOOKUP($C181,#REF!,25,0)</f>
        <v>#VALUE!</v>
      </c>
      <c r="AB181" s="140" t="e">
        <f aca="false">VLOOKUP($C181,#REF!,26,0)</f>
        <v>#VALUE!</v>
      </c>
      <c r="AC181" s="139" t="e">
        <f aca="false">VLOOKUP($C181,#REF!,27,0)</f>
        <v>#VALUE!</v>
      </c>
      <c r="AE181" s="138" t="e">
        <f aca="false">IF(M181="-","-","0,5 GB")</f>
        <v>#VALUE!</v>
      </c>
      <c r="AF181" s="141" t="s">
        <v>92</v>
      </c>
      <c r="AG181" s="141" t="s">
        <v>93</v>
      </c>
      <c r="AH181" s="139" t="s">
        <v>94</v>
      </c>
      <c r="AJ181" s="138" t="s">
        <v>95</v>
      </c>
      <c r="AK181" s="141" t="s">
        <v>96</v>
      </c>
      <c r="AL181" s="141" t="s">
        <v>97</v>
      </c>
      <c r="AM181" s="141" t="s">
        <v>98</v>
      </c>
      <c r="AN181" s="141" t="s">
        <v>98</v>
      </c>
      <c r="AO181" s="139" t="s">
        <v>92</v>
      </c>
      <c r="AQ181" s="142" t="n">
        <v>66</v>
      </c>
      <c r="AR181" s="137"/>
      <c r="AS181" s="138" t="n">
        <v>0</v>
      </c>
      <c r="AT181" s="139" t="n">
        <v>0</v>
      </c>
      <c r="AU181" s="140"/>
      <c r="AV181" s="138" t="n">
        <f aca="false">IFERROR(ROUND($D181-M181-AW181,0),0)</f>
        <v>0</v>
      </c>
      <c r="AW181" s="139" t="n">
        <f aca="false">IFERROR(N181*$G181,0)</f>
        <v>0</v>
      </c>
      <c r="AX181" s="138" t="n">
        <f aca="false">IFERROR(ROUND($D181-O181-AY181,0),0)</f>
        <v>0</v>
      </c>
      <c r="AY181" s="139" t="n">
        <f aca="false">IFERROR(P181*$G181,0)</f>
        <v>0</v>
      </c>
      <c r="AZ181" s="138" t="n">
        <f aca="false">IFERROR(ROUND($D181-Q181-BA181,0),0)</f>
        <v>0</v>
      </c>
      <c r="BA181" s="139" t="n">
        <f aca="false">IFERROR(R181*$G181,0)</f>
        <v>0</v>
      </c>
      <c r="BB181" s="140" t="n">
        <f aca="false">IFERROR(ROUND($D181-S181-BC181,0),0)</f>
        <v>0</v>
      </c>
      <c r="BC181" s="139" t="n">
        <f aca="false">IFERROR(T181*$G181,0)</f>
        <v>0</v>
      </c>
      <c r="BD181" s="140"/>
      <c r="BE181" s="138" t="n">
        <f aca="false">IFERROR(ROUND($D181-V181-BF181,0),0)</f>
        <v>0</v>
      </c>
      <c r="BF181" s="139" t="n">
        <f aca="false">IFERROR(W181*$G181,0)</f>
        <v>0</v>
      </c>
      <c r="BG181" s="138" t="n">
        <f aca="false">IFERROR(ROUND($D181-X181-BH181,0),0)</f>
        <v>0</v>
      </c>
      <c r="BH181" s="139" t="n">
        <f aca="false">IFERROR(Y181*$G181,0)</f>
        <v>0</v>
      </c>
      <c r="BI181" s="140" t="n">
        <f aca="false">IFERROR(ROUND($D181-Z181-BJ181,0),0)</f>
        <v>0</v>
      </c>
      <c r="BJ181" s="139" t="n">
        <f aca="false">IFERROR(AA181*$G181,0)</f>
        <v>0</v>
      </c>
      <c r="BK181" s="140" t="n">
        <f aca="false">IFERROR(ROUND($D181-AB181-BL181,0),0)</f>
        <v>0</v>
      </c>
      <c r="BL181" s="139" t="n">
        <f aca="false">IFERROR(AC181*$G181,0)</f>
        <v>0</v>
      </c>
      <c r="BN181" s="142" t="n">
        <v>-8.27000000000001</v>
      </c>
      <c r="BO181" s="137"/>
      <c r="BP181" s="138" t="n">
        <v>-8.27000000000001</v>
      </c>
      <c r="BQ181" s="139" t="n">
        <v>0</v>
      </c>
      <c r="BR181" s="140"/>
      <c r="BS181" s="138" t="n">
        <v>0</v>
      </c>
      <c r="BT181" s="139" t="n">
        <v>0</v>
      </c>
      <c r="BU181" s="138" t="n">
        <v>0</v>
      </c>
      <c r="BV181" s="139" t="n">
        <v>0</v>
      </c>
      <c r="BW181" s="138" t="n">
        <v>0</v>
      </c>
      <c r="BX181" s="139" t="n">
        <v>0</v>
      </c>
      <c r="BY181" s="138" t="n">
        <v>0</v>
      </c>
      <c r="BZ181" s="139" t="n">
        <v>0</v>
      </c>
      <c r="CA181" s="140"/>
      <c r="CB181" s="138" t="n">
        <v>0</v>
      </c>
      <c r="CC181" s="139" t="n">
        <v>0</v>
      </c>
      <c r="CD181" s="138" t="n">
        <v>0</v>
      </c>
      <c r="CE181" s="139" t="n">
        <v>0</v>
      </c>
      <c r="CF181" s="138" t="n">
        <v>0</v>
      </c>
      <c r="CG181" s="139" t="n">
        <v>0</v>
      </c>
      <c r="CH181" s="138" t="n">
        <v>0</v>
      </c>
      <c r="CI181" s="139" t="n">
        <v>0</v>
      </c>
      <c r="CK181" s="143"/>
      <c r="CL181" s="137"/>
      <c r="CM181" s="144" t="str">
        <f aca="false">IFERROR(+$H181-($J181+$K181*$G181),"-")</f>
        <v>-</v>
      </c>
      <c r="CN181" s="137"/>
      <c r="CO181" s="144" t="str">
        <f aca="false">IFERROR(+$H181-($M181+$N181*$G181),"-")</f>
        <v>-</v>
      </c>
      <c r="CP181" s="144" t="str">
        <f aca="false">IFERROR(+$H181-($O181+$P181*$G181),"-")</f>
        <v>-</v>
      </c>
      <c r="CQ181" s="144" t="str">
        <f aca="false">IFERROR(+$H181-($Q181+$R181*$G181),"-")</f>
        <v>-</v>
      </c>
      <c r="CR181" s="144" t="str">
        <f aca="false">IFERROR(+$H181-($Q181+$R181*$G181),"-")</f>
        <v>-</v>
      </c>
      <c r="CS181" s="137"/>
      <c r="CT181" s="144" t="str">
        <f aca="false">IFERROR(+$H181-($V181+$W181*$G181),"-")</f>
        <v>-</v>
      </c>
      <c r="CU181" s="144" t="str">
        <f aca="false">IFERROR(+$H181-($X181+$Y181*$G181),"-")</f>
        <v>-</v>
      </c>
      <c r="CV181" s="144" t="str">
        <f aca="false">IFERROR(+$H181-($Z181+$AA181*$G181),"-")</f>
        <v>-</v>
      </c>
      <c r="CW181" s="144" t="str">
        <f aca="false">IFERROR(+$H181-($AB181+$AC181*$G181),"-")</f>
        <v>-</v>
      </c>
    </row>
    <row r="182" s="156" customFormat="true" ht="12.75" hidden="false" customHeight="true" outlineLevel="0" collapsed="false">
      <c r="A182" s="1"/>
      <c r="B182" s="145" t="s">
        <v>260</v>
      </c>
      <c r="C182" s="146" t="s">
        <v>266</v>
      </c>
      <c r="D182" s="147" t="e">
        <f aca="false">VLOOKUP($C182,#REF!,5,0)</f>
        <v>#VALUE!</v>
      </c>
      <c r="E182" s="148" t="e">
        <f aca="false">VLOOKUP($C182,#REF!,6,0)</f>
        <v>#VALUE!</v>
      </c>
      <c r="F182" s="146" t="e">
        <f aca="false">VLOOKUP($C182,#REF!,7,0)</f>
        <v>#VALUE!</v>
      </c>
      <c r="G182" s="146" t="e">
        <f aca="false">VLOOKUP($C182,#REF!,8,0)</f>
        <v>#VALUE!</v>
      </c>
      <c r="H182" s="149" t="e">
        <f aca="false">VLOOKUP($C182,#REF!,9,0)</f>
        <v>#VALUE!</v>
      </c>
      <c r="I182" s="137"/>
      <c r="J182" s="150" t="e">
        <f aca="false">VLOOKUP($C182,#REF!,10,0)</f>
        <v>#VALUE!</v>
      </c>
      <c r="K182" s="151" t="e">
        <f aca="false">VLOOKUP($C182,#REF!,11,0)</f>
        <v>#VALUE!</v>
      </c>
      <c r="L182" s="140"/>
      <c r="M182" s="150" t="e">
        <f aca="false">VLOOKUP($C182,#REF!,12,0)</f>
        <v>#VALUE!</v>
      </c>
      <c r="N182" s="152" t="e">
        <f aca="false">VLOOKUP($C182,#REF!,13,0)</f>
        <v>#VALUE!</v>
      </c>
      <c r="O182" s="150" t="e">
        <f aca="false">VLOOKUP($C182,#REF!,14,0)</f>
        <v>#VALUE!</v>
      </c>
      <c r="P182" s="152" t="e">
        <f aca="false">VLOOKUP($C182,#REF!,15,0)</f>
        <v>#VALUE!</v>
      </c>
      <c r="Q182" s="150" t="e">
        <f aca="false">VLOOKUP($C182,#REF!,16,0)</f>
        <v>#VALUE!</v>
      </c>
      <c r="R182" s="151" t="e">
        <f aca="false">VLOOKUP($C182,#REF!,17,0)</f>
        <v>#VALUE!</v>
      </c>
      <c r="S182" s="152" t="e">
        <f aca="false">VLOOKUP($C182,#REF!,18,0)</f>
        <v>#VALUE!</v>
      </c>
      <c r="T182" s="151" t="e">
        <f aca="false">VLOOKUP($C182,#REF!,19,0)</f>
        <v>#VALUE!</v>
      </c>
      <c r="U182" s="140"/>
      <c r="V182" s="150" t="e">
        <f aca="false">VLOOKUP($C182,#REF!,20,0)</f>
        <v>#VALUE!</v>
      </c>
      <c r="W182" s="152" t="e">
        <f aca="false">VLOOKUP($C182,#REF!,21,0)</f>
        <v>#VALUE!</v>
      </c>
      <c r="X182" s="150" t="e">
        <f aca="false">VLOOKUP($C182,#REF!,22,0)</f>
        <v>#VALUE!</v>
      </c>
      <c r="Y182" s="152" t="e">
        <f aca="false">VLOOKUP($C182,#REF!,23,0)</f>
        <v>#VALUE!</v>
      </c>
      <c r="Z182" s="150" t="e">
        <f aca="false">VLOOKUP($C182,#REF!,24,0)</f>
        <v>#VALUE!</v>
      </c>
      <c r="AA182" s="151" t="e">
        <f aca="false">VLOOKUP($C182,#REF!,25,0)</f>
        <v>#VALUE!</v>
      </c>
      <c r="AB182" s="152" t="e">
        <f aca="false">VLOOKUP($C182,#REF!,26,0)</f>
        <v>#VALUE!</v>
      </c>
      <c r="AC182" s="151" t="e">
        <f aca="false">VLOOKUP($C182,#REF!,27,0)</f>
        <v>#VALUE!</v>
      </c>
      <c r="AD182" s="1"/>
      <c r="AE182" s="150" t="e">
        <f aca="false">IF(M182="-","-","0,5 GB")</f>
        <v>#VALUE!</v>
      </c>
      <c r="AF182" s="153" t="s">
        <v>92</v>
      </c>
      <c r="AG182" s="153" t="s">
        <v>93</v>
      </c>
      <c r="AH182" s="151" t="s">
        <v>94</v>
      </c>
      <c r="AI182" s="1"/>
      <c r="AJ182" s="150" t="s">
        <v>95</v>
      </c>
      <c r="AK182" s="153" t="s">
        <v>96</v>
      </c>
      <c r="AL182" s="153" t="s">
        <v>97</v>
      </c>
      <c r="AM182" s="153" t="s">
        <v>98</v>
      </c>
      <c r="AN182" s="153" t="s">
        <v>98</v>
      </c>
      <c r="AO182" s="151" t="s">
        <v>92</v>
      </c>
      <c r="AP182" s="1"/>
      <c r="AQ182" s="154" t="n">
        <v>1</v>
      </c>
      <c r="AR182" s="137"/>
      <c r="AS182" s="150" t="n">
        <v>0</v>
      </c>
      <c r="AT182" s="151" t="n">
        <v>0</v>
      </c>
      <c r="AU182" s="140"/>
      <c r="AV182" s="150" t="n">
        <f aca="false">IFERROR(ROUND($D182-M182-AW182,0),0)</f>
        <v>0</v>
      </c>
      <c r="AW182" s="151" t="n">
        <f aca="false">IFERROR(N182*$G182,0)</f>
        <v>0</v>
      </c>
      <c r="AX182" s="150" t="n">
        <f aca="false">IFERROR(ROUND($D182-O182-AY182,0),0)</f>
        <v>0</v>
      </c>
      <c r="AY182" s="151" t="n">
        <f aca="false">IFERROR(P182*$G182,0)</f>
        <v>0</v>
      </c>
      <c r="AZ182" s="150" t="n">
        <f aca="false">IFERROR(ROUND($D182-Q182-BA182,0),0)</f>
        <v>0</v>
      </c>
      <c r="BA182" s="151" t="n">
        <f aca="false">IFERROR(R182*$G182,0)</f>
        <v>0</v>
      </c>
      <c r="BB182" s="152" t="n">
        <f aca="false">IFERROR(ROUND($D182-S182-BC182,0),0)</f>
        <v>0</v>
      </c>
      <c r="BC182" s="151" t="n">
        <f aca="false">IFERROR(T182*$G182,0)</f>
        <v>0</v>
      </c>
      <c r="BD182" s="140"/>
      <c r="BE182" s="150" t="n">
        <f aca="false">IFERROR(ROUND($D182-V182-BF182,0),0)</f>
        <v>0</v>
      </c>
      <c r="BF182" s="151" t="n">
        <f aca="false">IFERROR(W182*$G182,0)</f>
        <v>0</v>
      </c>
      <c r="BG182" s="150" t="n">
        <f aca="false">IFERROR(ROUND($D182-X182-BH182,0),0)</f>
        <v>0</v>
      </c>
      <c r="BH182" s="151" t="n">
        <f aca="false">IFERROR(Y182*$G182,0)</f>
        <v>0</v>
      </c>
      <c r="BI182" s="152" t="n">
        <f aca="false">IFERROR(ROUND($D182-Z182-BJ182,0),0)</f>
        <v>0</v>
      </c>
      <c r="BJ182" s="151" t="n">
        <f aca="false">IFERROR(AA182*$G182,0)</f>
        <v>0</v>
      </c>
      <c r="BK182" s="152" t="n">
        <f aca="false">IFERROR(ROUND($D182-AB182-BL182,0),0)</f>
        <v>0</v>
      </c>
      <c r="BL182" s="151" t="n">
        <f aca="false">IFERROR(AC182*$G182,0)</f>
        <v>0</v>
      </c>
      <c r="BM182" s="1"/>
      <c r="BN182" s="154" t="n">
        <v>0</v>
      </c>
      <c r="BO182" s="155"/>
      <c r="BP182" s="150" t="n">
        <v>0</v>
      </c>
      <c r="BQ182" s="151" t="n">
        <v>0</v>
      </c>
      <c r="BR182" s="152"/>
      <c r="BS182" s="150" t="n">
        <v>0</v>
      </c>
      <c r="BT182" s="151" t="n">
        <v>0</v>
      </c>
      <c r="BU182" s="150" t="n">
        <v>0</v>
      </c>
      <c r="BV182" s="151" t="n">
        <v>0</v>
      </c>
      <c r="BW182" s="150" t="n">
        <v>0</v>
      </c>
      <c r="BX182" s="151" t="n">
        <v>-1</v>
      </c>
      <c r="BY182" s="150" t="n">
        <v>0</v>
      </c>
      <c r="BZ182" s="151" t="n">
        <v>-1</v>
      </c>
      <c r="CA182" s="152"/>
      <c r="CB182" s="150" t="n">
        <v>0</v>
      </c>
      <c r="CC182" s="151" t="n">
        <v>0</v>
      </c>
      <c r="CD182" s="150" t="n">
        <v>0</v>
      </c>
      <c r="CE182" s="151" t="n">
        <v>0</v>
      </c>
      <c r="CF182" s="150" t="n">
        <v>0</v>
      </c>
      <c r="CG182" s="151" t="n">
        <v>-1</v>
      </c>
      <c r="CH182" s="150" t="n">
        <v>0</v>
      </c>
      <c r="CI182" s="151" t="n">
        <v>-1</v>
      </c>
      <c r="CJ182" s="1"/>
      <c r="CK182" s="149"/>
      <c r="CL182" s="137"/>
      <c r="CM182" s="154" t="str">
        <f aca="false">IFERROR(+$H182-($J182+$K182*$G182),"-")</f>
        <v>-</v>
      </c>
      <c r="CN182" s="137"/>
      <c r="CO182" s="154" t="str">
        <f aca="false">IFERROR(+$H182-($M182+$N182*$G182),"-")</f>
        <v>-</v>
      </c>
      <c r="CP182" s="154" t="str">
        <f aca="false">IFERROR(+$H182-($O182+$P182*$G182),"-")</f>
        <v>-</v>
      </c>
      <c r="CQ182" s="154" t="str">
        <f aca="false">IFERROR(+$H182-($Q182+$R182*$G182),"-")</f>
        <v>-</v>
      </c>
      <c r="CR182" s="154" t="str">
        <f aca="false">IFERROR(+$H182-($Q182+$R182*$G182),"-")</f>
        <v>-</v>
      </c>
      <c r="CS182" s="137"/>
      <c r="CT182" s="154" t="str">
        <f aca="false">IFERROR(+$H182-($V182+$W182*$G182),"-")</f>
        <v>-</v>
      </c>
      <c r="CU182" s="154" t="str">
        <f aca="false">IFERROR(+$H182-($X182+$Y182*$G182),"-")</f>
        <v>-</v>
      </c>
      <c r="CV182" s="154" t="str">
        <f aca="false">IFERROR(+$H182-($Z182+$AA182*$G182),"-")</f>
        <v>-</v>
      </c>
      <c r="CW182" s="154" t="str">
        <f aca="false">IFERROR(+$H182-($AB182+$AC182*$G182),"-")</f>
        <v>-</v>
      </c>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row>
    <row r="183" s="1" customFormat="true" ht="12.75" hidden="false" customHeight="true" outlineLevel="0" collapsed="false">
      <c r="B183" s="159" t="s">
        <v>260</v>
      </c>
      <c r="C183" s="160" t="s">
        <v>267</v>
      </c>
      <c r="D183" s="136" t="e">
        <f aca="false">VLOOKUP($C183,#REF!,5,0)</f>
        <v>#VALUE!</v>
      </c>
      <c r="E183" s="157" t="e">
        <f aca="false">VLOOKUP($C183,#REF!,6,0)</f>
        <v>#VALUE!</v>
      </c>
      <c r="F183" s="135" t="e">
        <f aca="false">VLOOKUP($C183,#REF!,7,0)</f>
        <v>#VALUE!</v>
      </c>
      <c r="G183" s="135" t="e">
        <f aca="false">VLOOKUP($C183,#REF!,8,0)</f>
        <v>#VALUE!</v>
      </c>
      <c r="H183" s="158" t="e">
        <f aca="false">VLOOKUP($C183,#REF!,9,0)</f>
        <v>#VALUE!</v>
      </c>
      <c r="I183" s="137"/>
      <c r="J183" s="138" t="e">
        <f aca="false">VLOOKUP($C183,#REF!,10,0)</f>
        <v>#VALUE!</v>
      </c>
      <c r="K183" s="139" t="e">
        <f aca="false">VLOOKUP($C183,#REF!,11,0)</f>
        <v>#VALUE!</v>
      </c>
      <c r="L183" s="140"/>
      <c r="M183" s="138" t="e">
        <f aca="false">VLOOKUP($C183,#REF!,12,0)</f>
        <v>#VALUE!</v>
      </c>
      <c r="N183" s="140" t="e">
        <f aca="false">VLOOKUP($C183,#REF!,13,0)</f>
        <v>#VALUE!</v>
      </c>
      <c r="O183" s="138" t="e">
        <f aca="false">VLOOKUP($C183,#REF!,14,0)</f>
        <v>#VALUE!</v>
      </c>
      <c r="P183" s="140" t="e">
        <f aca="false">VLOOKUP($C183,#REF!,15,0)</f>
        <v>#VALUE!</v>
      </c>
      <c r="Q183" s="138" t="e">
        <f aca="false">VLOOKUP($C183,#REF!,16,0)</f>
        <v>#VALUE!</v>
      </c>
      <c r="R183" s="139" t="e">
        <f aca="false">VLOOKUP($C183,#REF!,17,0)</f>
        <v>#VALUE!</v>
      </c>
      <c r="S183" s="140" t="e">
        <f aca="false">VLOOKUP($C183,#REF!,18,0)</f>
        <v>#VALUE!</v>
      </c>
      <c r="T183" s="139" t="e">
        <f aca="false">VLOOKUP($C183,#REF!,19,0)</f>
        <v>#VALUE!</v>
      </c>
      <c r="U183" s="140"/>
      <c r="V183" s="138" t="e">
        <f aca="false">VLOOKUP($C183,#REF!,20,0)</f>
        <v>#VALUE!</v>
      </c>
      <c r="W183" s="140" t="e">
        <f aca="false">VLOOKUP($C183,#REF!,21,0)</f>
        <v>#VALUE!</v>
      </c>
      <c r="X183" s="138" t="e">
        <f aca="false">VLOOKUP($C183,#REF!,22,0)</f>
        <v>#VALUE!</v>
      </c>
      <c r="Y183" s="140" t="e">
        <f aca="false">VLOOKUP($C183,#REF!,23,0)</f>
        <v>#VALUE!</v>
      </c>
      <c r="Z183" s="138" t="e">
        <f aca="false">VLOOKUP($C183,#REF!,24,0)</f>
        <v>#VALUE!</v>
      </c>
      <c r="AA183" s="139" t="e">
        <f aca="false">VLOOKUP($C183,#REF!,25,0)</f>
        <v>#VALUE!</v>
      </c>
      <c r="AB183" s="140" t="e">
        <f aca="false">VLOOKUP($C183,#REF!,26,0)</f>
        <v>#VALUE!</v>
      </c>
      <c r="AC183" s="139" t="e">
        <f aca="false">VLOOKUP($C183,#REF!,27,0)</f>
        <v>#VALUE!</v>
      </c>
      <c r="AE183" s="138" t="e">
        <f aca="false">IF(M183="-","-","0,5 GB")</f>
        <v>#VALUE!</v>
      </c>
      <c r="AF183" s="141" t="s">
        <v>92</v>
      </c>
      <c r="AG183" s="141" t="s">
        <v>93</v>
      </c>
      <c r="AH183" s="139" t="s">
        <v>94</v>
      </c>
      <c r="AJ183" s="138" t="s">
        <v>95</v>
      </c>
      <c r="AK183" s="141" t="s">
        <v>96</v>
      </c>
      <c r="AL183" s="141" t="s">
        <v>97</v>
      </c>
      <c r="AM183" s="141" t="s">
        <v>98</v>
      </c>
      <c r="AN183" s="141" t="s">
        <v>98</v>
      </c>
      <c r="AO183" s="139" t="s">
        <v>92</v>
      </c>
      <c r="AQ183" s="142" t="n">
        <v>156</v>
      </c>
      <c r="AR183" s="137"/>
      <c r="AS183" s="138" t="n">
        <v>0</v>
      </c>
      <c r="AT183" s="139" t="n">
        <v>0</v>
      </c>
      <c r="AU183" s="140"/>
      <c r="AV183" s="138" t="n">
        <f aca="false">IFERROR(ROUND($D183-M183-AW183,0),0)</f>
        <v>0</v>
      </c>
      <c r="AW183" s="139" t="n">
        <f aca="false">IFERROR(N183*$G183,0)</f>
        <v>0</v>
      </c>
      <c r="AX183" s="138" t="n">
        <f aca="false">IFERROR(ROUND($D183-O183-AY183,0),0)</f>
        <v>0</v>
      </c>
      <c r="AY183" s="139" t="n">
        <f aca="false">IFERROR(P183*$G183,0)</f>
        <v>0</v>
      </c>
      <c r="AZ183" s="138" t="n">
        <f aca="false">IFERROR(ROUND($D183-Q183-BA183,0),0)</f>
        <v>0</v>
      </c>
      <c r="BA183" s="139" t="n">
        <f aca="false">IFERROR(R183*$G183,0)</f>
        <v>0</v>
      </c>
      <c r="BB183" s="140" t="n">
        <f aca="false">IFERROR(ROUND($D183-S183-BC183,0),0)</f>
        <v>0</v>
      </c>
      <c r="BC183" s="139" t="n">
        <f aca="false">IFERROR(T183*$G183,0)</f>
        <v>0</v>
      </c>
      <c r="BD183" s="140"/>
      <c r="BE183" s="138" t="n">
        <f aca="false">IFERROR(ROUND($D183-V183-BF183,0),0)</f>
        <v>0</v>
      </c>
      <c r="BF183" s="139" t="n">
        <f aca="false">IFERROR(W183*$G183,0)</f>
        <v>0</v>
      </c>
      <c r="BG183" s="138" t="n">
        <f aca="false">IFERROR(ROUND($D183-X183-BH183,0),0)</f>
        <v>0</v>
      </c>
      <c r="BH183" s="139" t="n">
        <f aca="false">IFERROR(Y183*$G183,0)</f>
        <v>0</v>
      </c>
      <c r="BI183" s="140" t="n">
        <f aca="false">IFERROR(ROUND($D183-Z183-BJ183,0),0)</f>
        <v>0</v>
      </c>
      <c r="BJ183" s="139" t="n">
        <f aca="false">IFERROR(AA183*$G183,0)</f>
        <v>0</v>
      </c>
      <c r="BK183" s="140" t="n">
        <f aca="false">IFERROR(ROUND($D183-AB183-BL183,0),0)</f>
        <v>0</v>
      </c>
      <c r="BL183" s="139" t="n">
        <f aca="false">IFERROR(AC183*$G183,0)</f>
        <v>0</v>
      </c>
      <c r="BN183" s="142" t="n">
        <v>-15.7</v>
      </c>
      <c r="BO183" s="137"/>
      <c r="BP183" s="138" t="n">
        <v>-15.7</v>
      </c>
      <c r="BQ183" s="139" t="n">
        <v>0</v>
      </c>
      <c r="BR183" s="140"/>
      <c r="BS183" s="138" t="n">
        <v>0</v>
      </c>
      <c r="BT183" s="139" t="n">
        <v>0</v>
      </c>
      <c r="BU183" s="138" t="n">
        <v>0</v>
      </c>
      <c r="BV183" s="139" t="n">
        <v>0</v>
      </c>
      <c r="BW183" s="138" t="n">
        <v>0</v>
      </c>
      <c r="BX183" s="139" t="n">
        <v>0</v>
      </c>
      <c r="BY183" s="138" t="n">
        <v>0</v>
      </c>
      <c r="BZ183" s="139" t="n">
        <v>0</v>
      </c>
      <c r="CA183" s="140"/>
      <c r="CB183" s="138" t="n">
        <v>0</v>
      </c>
      <c r="CC183" s="139" t="n">
        <v>0</v>
      </c>
      <c r="CD183" s="138" t="n">
        <v>0</v>
      </c>
      <c r="CE183" s="139" t="n">
        <v>0</v>
      </c>
      <c r="CF183" s="138" t="n">
        <v>0</v>
      </c>
      <c r="CG183" s="139" t="n">
        <v>0</v>
      </c>
      <c r="CH183" s="138" t="n">
        <v>0</v>
      </c>
      <c r="CI183" s="139" t="n">
        <v>0</v>
      </c>
      <c r="CK183" s="143"/>
      <c r="CL183" s="137"/>
      <c r="CM183" s="144" t="str">
        <f aca="false">IFERROR(+$H183-($J183+$K183*$G183),"-")</f>
        <v>-</v>
      </c>
      <c r="CN183" s="137"/>
      <c r="CO183" s="144" t="str">
        <f aca="false">IFERROR(+$H183-($M183+$N183*$G183),"-")</f>
        <v>-</v>
      </c>
      <c r="CP183" s="144" t="str">
        <f aca="false">IFERROR(+$H183-($O183+$P183*$G183),"-")</f>
        <v>-</v>
      </c>
      <c r="CQ183" s="144" t="str">
        <f aca="false">IFERROR(+$H183-($Q183+$R183*$G183),"-")</f>
        <v>-</v>
      </c>
      <c r="CR183" s="144" t="str">
        <f aca="false">IFERROR(+$H183-($Q183+$R183*$G183),"-")</f>
        <v>-</v>
      </c>
      <c r="CS183" s="137"/>
      <c r="CT183" s="144" t="str">
        <f aca="false">IFERROR(+$H183-($V183+$W183*$G183),"-")</f>
        <v>-</v>
      </c>
      <c r="CU183" s="144" t="str">
        <f aca="false">IFERROR(+$H183-($X183+$Y183*$G183),"-")</f>
        <v>-</v>
      </c>
      <c r="CV183" s="144" t="str">
        <f aca="false">IFERROR(+$H183-($Z183+$AA183*$G183),"-")</f>
        <v>-</v>
      </c>
      <c r="CW183" s="144" t="str">
        <f aca="false">IFERROR(+$H183-($AB183+$AC183*$G183),"-")</f>
        <v>-</v>
      </c>
    </row>
    <row r="184" s="156" customFormat="true" ht="12.75" hidden="false" customHeight="true" outlineLevel="0" collapsed="false">
      <c r="A184" s="1"/>
      <c r="B184" s="161" t="s">
        <v>260</v>
      </c>
      <c r="C184" s="162" t="s">
        <v>268</v>
      </c>
      <c r="D184" s="147" t="e">
        <f aca="false">VLOOKUP($C184,#REF!,5,0)</f>
        <v>#VALUE!</v>
      </c>
      <c r="E184" s="148" t="e">
        <f aca="false">VLOOKUP($C184,#REF!,6,0)</f>
        <v>#VALUE!</v>
      </c>
      <c r="F184" s="146" t="e">
        <f aca="false">VLOOKUP($C184,#REF!,7,0)</f>
        <v>#VALUE!</v>
      </c>
      <c r="G184" s="146" t="e">
        <f aca="false">VLOOKUP($C184,#REF!,8,0)</f>
        <v>#VALUE!</v>
      </c>
      <c r="H184" s="149" t="e">
        <f aca="false">VLOOKUP($C184,#REF!,9,0)</f>
        <v>#VALUE!</v>
      </c>
      <c r="I184" s="137"/>
      <c r="J184" s="150" t="e">
        <f aca="false">VLOOKUP($C184,#REF!,10,0)</f>
        <v>#VALUE!</v>
      </c>
      <c r="K184" s="151" t="e">
        <f aca="false">VLOOKUP($C184,#REF!,11,0)</f>
        <v>#VALUE!</v>
      </c>
      <c r="L184" s="140"/>
      <c r="M184" s="150" t="e">
        <f aca="false">VLOOKUP($C184,#REF!,12,0)</f>
        <v>#VALUE!</v>
      </c>
      <c r="N184" s="152" t="e">
        <f aca="false">VLOOKUP($C184,#REF!,13,0)</f>
        <v>#VALUE!</v>
      </c>
      <c r="O184" s="150" t="e">
        <f aca="false">VLOOKUP($C184,#REF!,14,0)</f>
        <v>#VALUE!</v>
      </c>
      <c r="P184" s="152" t="e">
        <f aca="false">VLOOKUP($C184,#REF!,15,0)</f>
        <v>#VALUE!</v>
      </c>
      <c r="Q184" s="150" t="e">
        <f aca="false">VLOOKUP($C184,#REF!,16,0)</f>
        <v>#VALUE!</v>
      </c>
      <c r="R184" s="151" t="e">
        <f aca="false">VLOOKUP($C184,#REF!,17,0)</f>
        <v>#VALUE!</v>
      </c>
      <c r="S184" s="152" t="e">
        <f aca="false">VLOOKUP($C184,#REF!,18,0)</f>
        <v>#VALUE!</v>
      </c>
      <c r="T184" s="151" t="e">
        <f aca="false">VLOOKUP($C184,#REF!,19,0)</f>
        <v>#VALUE!</v>
      </c>
      <c r="U184" s="140"/>
      <c r="V184" s="150" t="e">
        <f aca="false">VLOOKUP($C184,#REF!,20,0)</f>
        <v>#VALUE!</v>
      </c>
      <c r="W184" s="152" t="e">
        <f aca="false">VLOOKUP($C184,#REF!,21,0)</f>
        <v>#VALUE!</v>
      </c>
      <c r="X184" s="150" t="e">
        <f aca="false">VLOOKUP($C184,#REF!,22,0)</f>
        <v>#VALUE!</v>
      </c>
      <c r="Y184" s="152" t="e">
        <f aca="false">VLOOKUP($C184,#REF!,23,0)</f>
        <v>#VALUE!</v>
      </c>
      <c r="Z184" s="150" t="e">
        <f aca="false">VLOOKUP($C184,#REF!,24,0)</f>
        <v>#VALUE!</v>
      </c>
      <c r="AA184" s="151" t="e">
        <f aca="false">VLOOKUP($C184,#REF!,25,0)</f>
        <v>#VALUE!</v>
      </c>
      <c r="AB184" s="152" t="e">
        <f aca="false">VLOOKUP($C184,#REF!,26,0)</f>
        <v>#VALUE!</v>
      </c>
      <c r="AC184" s="151" t="e">
        <f aca="false">VLOOKUP($C184,#REF!,27,0)</f>
        <v>#VALUE!</v>
      </c>
      <c r="AD184" s="1"/>
      <c r="AE184" s="150" t="e">
        <f aca="false">IF(M184="-","-","0,5 GB")</f>
        <v>#VALUE!</v>
      </c>
      <c r="AF184" s="153" t="s">
        <v>92</v>
      </c>
      <c r="AG184" s="153" t="s">
        <v>93</v>
      </c>
      <c r="AH184" s="151" t="s">
        <v>94</v>
      </c>
      <c r="AI184" s="1"/>
      <c r="AJ184" s="150" t="s">
        <v>95</v>
      </c>
      <c r="AK184" s="153" t="s">
        <v>96</v>
      </c>
      <c r="AL184" s="153" t="s">
        <v>97</v>
      </c>
      <c r="AM184" s="153" t="s">
        <v>98</v>
      </c>
      <c r="AN184" s="153" t="s">
        <v>98</v>
      </c>
      <c r="AO184" s="151" t="s">
        <v>92</v>
      </c>
      <c r="AP184" s="1"/>
      <c r="AQ184" s="154" t="n">
        <v>1</v>
      </c>
      <c r="AR184" s="137"/>
      <c r="AS184" s="150" t="n">
        <v>0</v>
      </c>
      <c r="AT184" s="151" t="n">
        <v>0</v>
      </c>
      <c r="AU184" s="140"/>
      <c r="AV184" s="150" t="n">
        <f aca="false">IFERROR(ROUND($D184-M184-AW184,0),0)</f>
        <v>0</v>
      </c>
      <c r="AW184" s="151" t="n">
        <f aca="false">IFERROR(N184*$G184,0)</f>
        <v>0</v>
      </c>
      <c r="AX184" s="150" t="n">
        <f aca="false">IFERROR(ROUND($D184-O184-AY184,0),0)</f>
        <v>0</v>
      </c>
      <c r="AY184" s="151" t="n">
        <f aca="false">IFERROR(P184*$G184,0)</f>
        <v>0</v>
      </c>
      <c r="AZ184" s="150" t="n">
        <f aca="false">IFERROR(ROUND($D184-Q184-BA184,0),0)</f>
        <v>0</v>
      </c>
      <c r="BA184" s="151" t="n">
        <f aca="false">IFERROR(R184*$G184,0)</f>
        <v>0</v>
      </c>
      <c r="BB184" s="152" t="n">
        <f aca="false">IFERROR(ROUND($D184-S184-BC184,0),0)</f>
        <v>0</v>
      </c>
      <c r="BC184" s="151" t="n">
        <f aca="false">IFERROR(T184*$G184,0)</f>
        <v>0</v>
      </c>
      <c r="BD184" s="140"/>
      <c r="BE184" s="150" t="n">
        <f aca="false">IFERROR(ROUND($D184-V184-BF184,0),0)</f>
        <v>0</v>
      </c>
      <c r="BF184" s="151" t="n">
        <f aca="false">IFERROR(W184*$G184,0)</f>
        <v>0</v>
      </c>
      <c r="BG184" s="150" t="n">
        <f aca="false">IFERROR(ROUND($D184-X184-BH184,0),0)</f>
        <v>0</v>
      </c>
      <c r="BH184" s="151" t="n">
        <f aca="false">IFERROR(Y184*$G184,0)</f>
        <v>0</v>
      </c>
      <c r="BI184" s="152" t="n">
        <f aca="false">IFERROR(ROUND($D184-Z184-BJ184,0),0)</f>
        <v>0</v>
      </c>
      <c r="BJ184" s="151" t="n">
        <f aca="false">IFERROR(AA184*$G184,0)</f>
        <v>0</v>
      </c>
      <c r="BK184" s="152" t="n">
        <f aca="false">IFERROR(ROUND($D184-AB184-BL184,0),0)</f>
        <v>0</v>
      </c>
      <c r="BL184" s="151" t="n">
        <f aca="false">IFERROR(AC184*$G184,0)</f>
        <v>0</v>
      </c>
      <c r="BM184" s="1"/>
      <c r="BN184" s="154" t="n">
        <v>0</v>
      </c>
      <c r="BO184" s="155"/>
      <c r="BP184" s="150" t="n">
        <v>0</v>
      </c>
      <c r="BQ184" s="151" t="n">
        <v>0</v>
      </c>
      <c r="BR184" s="152"/>
      <c r="BS184" s="150" t="n">
        <v>0</v>
      </c>
      <c r="BT184" s="151" t="n">
        <v>0</v>
      </c>
      <c r="BU184" s="150" t="n">
        <v>0</v>
      </c>
      <c r="BV184" s="151" t="n">
        <v>0</v>
      </c>
      <c r="BW184" s="150" t="n">
        <v>0</v>
      </c>
      <c r="BX184" s="151" t="n">
        <v>-6</v>
      </c>
      <c r="BY184" s="150" t="n">
        <v>0</v>
      </c>
      <c r="BZ184" s="151" t="n">
        <v>-6</v>
      </c>
      <c r="CA184" s="152"/>
      <c r="CB184" s="150" t="n">
        <v>0</v>
      </c>
      <c r="CC184" s="151" t="n">
        <v>0</v>
      </c>
      <c r="CD184" s="150" t="n">
        <v>0</v>
      </c>
      <c r="CE184" s="151" t="n">
        <v>0</v>
      </c>
      <c r="CF184" s="150" t="n">
        <v>0</v>
      </c>
      <c r="CG184" s="151" t="n">
        <v>-7</v>
      </c>
      <c r="CH184" s="150" t="n">
        <v>0</v>
      </c>
      <c r="CI184" s="151" t="n">
        <v>-7</v>
      </c>
      <c r="CJ184" s="1"/>
      <c r="CK184" s="149"/>
      <c r="CL184" s="137"/>
      <c r="CM184" s="154" t="str">
        <f aca="false">IFERROR(+$H184-($J184+$K184*$G184),"-")</f>
        <v>-</v>
      </c>
      <c r="CN184" s="137"/>
      <c r="CO184" s="154" t="str">
        <f aca="false">IFERROR(+$H184-($M184+$N184*$G184),"-")</f>
        <v>-</v>
      </c>
      <c r="CP184" s="154" t="str">
        <f aca="false">IFERROR(+$H184-($O184+$P184*$G184),"-")</f>
        <v>-</v>
      </c>
      <c r="CQ184" s="154" t="str">
        <f aca="false">IFERROR(+$H184-($Q184+$R184*$G184),"-")</f>
        <v>-</v>
      </c>
      <c r="CR184" s="154" t="str">
        <f aca="false">IFERROR(+$H184-($Q184+$R184*$G184),"-")</f>
        <v>-</v>
      </c>
      <c r="CS184" s="137"/>
      <c r="CT184" s="154" t="str">
        <f aca="false">IFERROR(+$H184-($V184+$W184*$G184),"-")</f>
        <v>-</v>
      </c>
      <c r="CU184" s="154" t="str">
        <f aca="false">IFERROR(+$H184-($X184+$Y184*$G184),"-")</f>
        <v>-</v>
      </c>
      <c r="CV184" s="154" t="str">
        <f aca="false">IFERROR(+$H184-($Z184+$AA184*$G184),"-")</f>
        <v>-</v>
      </c>
      <c r="CW184" s="154" t="str">
        <f aca="false">IFERROR(+$H184-($AB184+$AC184*$G184),"-")</f>
        <v>-</v>
      </c>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row>
    <row r="185" s="1" customFormat="true" ht="12.75" hidden="false" customHeight="true" outlineLevel="0" collapsed="false">
      <c r="B185" s="134" t="s">
        <v>260</v>
      </c>
      <c r="C185" s="135" t="s">
        <v>269</v>
      </c>
      <c r="D185" s="136" t="e">
        <f aca="false">VLOOKUP($C185,#REF!,5,0)</f>
        <v>#VALUE!</v>
      </c>
      <c r="E185" s="157" t="e">
        <f aca="false">VLOOKUP($C185,#REF!,6,0)</f>
        <v>#VALUE!</v>
      </c>
      <c r="F185" s="135" t="e">
        <f aca="false">VLOOKUP($C185,#REF!,7,0)</f>
        <v>#VALUE!</v>
      </c>
      <c r="G185" s="135" t="e">
        <f aca="false">VLOOKUP($C185,#REF!,8,0)</f>
        <v>#VALUE!</v>
      </c>
      <c r="H185" s="158" t="e">
        <f aca="false">VLOOKUP($C185,#REF!,9,0)</f>
        <v>#VALUE!</v>
      </c>
      <c r="I185" s="137"/>
      <c r="J185" s="138" t="e">
        <f aca="false">VLOOKUP($C185,#REF!,10,0)</f>
        <v>#VALUE!</v>
      </c>
      <c r="K185" s="139" t="e">
        <f aca="false">VLOOKUP($C185,#REF!,11,0)</f>
        <v>#VALUE!</v>
      </c>
      <c r="L185" s="140"/>
      <c r="M185" s="138" t="e">
        <f aca="false">VLOOKUP($C185,#REF!,12,0)</f>
        <v>#VALUE!</v>
      </c>
      <c r="N185" s="140" t="e">
        <f aca="false">VLOOKUP($C185,#REF!,13,0)</f>
        <v>#VALUE!</v>
      </c>
      <c r="O185" s="138" t="e">
        <f aca="false">VLOOKUP($C185,#REF!,14,0)</f>
        <v>#VALUE!</v>
      </c>
      <c r="P185" s="140" t="e">
        <f aca="false">VLOOKUP($C185,#REF!,15,0)</f>
        <v>#VALUE!</v>
      </c>
      <c r="Q185" s="138" t="e">
        <f aca="false">VLOOKUP($C185,#REF!,16,0)</f>
        <v>#VALUE!</v>
      </c>
      <c r="R185" s="139" t="e">
        <f aca="false">VLOOKUP($C185,#REF!,17,0)</f>
        <v>#VALUE!</v>
      </c>
      <c r="S185" s="140" t="e">
        <f aca="false">VLOOKUP($C185,#REF!,18,0)</f>
        <v>#VALUE!</v>
      </c>
      <c r="T185" s="139" t="e">
        <f aca="false">VLOOKUP($C185,#REF!,19,0)</f>
        <v>#VALUE!</v>
      </c>
      <c r="U185" s="140"/>
      <c r="V185" s="138" t="e">
        <f aca="false">VLOOKUP($C185,#REF!,20,0)</f>
        <v>#VALUE!</v>
      </c>
      <c r="W185" s="140" t="e">
        <f aca="false">VLOOKUP($C185,#REF!,21,0)</f>
        <v>#VALUE!</v>
      </c>
      <c r="X185" s="138" t="e">
        <f aca="false">VLOOKUP($C185,#REF!,22,0)</f>
        <v>#VALUE!</v>
      </c>
      <c r="Y185" s="140" t="e">
        <f aca="false">VLOOKUP($C185,#REF!,23,0)</f>
        <v>#VALUE!</v>
      </c>
      <c r="Z185" s="138" t="e">
        <f aca="false">VLOOKUP($C185,#REF!,24,0)</f>
        <v>#VALUE!</v>
      </c>
      <c r="AA185" s="139" t="e">
        <f aca="false">VLOOKUP($C185,#REF!,25,0)</f>
        <v>#VALUE!</v>
      </c>
      <c r="AB185" s="140" t="e">
        <f aca="false">VLOOKUP($C185,#REF!,26,0)</f>
        <v>#VALUE!</v>
      </c>
      <c r="AC185" s="139" t="e">
        <f aca="false">VLOOKUP($C185,#REF!,27,0)</f>
        <v>#VALUE!</v>
      </c>
      <c r="AE185" s="138" t="e">
        <f aca="false">IF(M185="-","-","0,5 GB")</f>
        <v>#VALUE!</v>
      </c>
      <c r="AF185" s="141" t="s">
        <v>92</v>
      </c>
      <c r="AG185" s="141" t="s">
        <v>93</v>
      </c>
      <c r="AH185" s="139" t="s">
        <v>94</v>
      </c>
      <c r="AJ185" s="138" t="s">
        <v>95</v>
      </c>
      <c r="AK185" s="141" t="s">
        <v>96</v>
      </c>
      <c r="AL185" s="141" t="s">
        <v>97</v>
      </c>
      <c r="AM185" s="141" t="s">
        <v>98</v>
      </c>
      <c r="AN185" s="141" t="s">
        <v>98</v>
      </c>
      <c r="AO185" s="139" t="s">
        <v>92</v>
      </c>
      <c r="AQ185" s="142" t="n">
        <v>32</v>
      </c>
      <c r="AR185" s="137"/>
      <c r="AS185" s="138" t="n">
        <v>0</v>
      </c>
      <c r="AT185" s="139" t="n">
        <v>0</v>
      </c>
      <c r="AU185" s="140"/>
      <c r="AV185" s="138" t="n">
        <f aca="false">IFERROR(ROUND($D185-M185-AW185,0),0)</f>
        <v>0</v>
      </c>
      <c r="AW185" s="139" t="n">
        <f aca="false">IFERROR(N185*$G185,0)</f>
        <v>0</v>
      </c>
      <c r="AX185" s="138" t="n">
        <f aca="false">IFERROR(ROUND($D185-O185-AY185,0),0)</f>
        <v>0</v>
      </c>
      <c r="AY185" s="139" t="n">
        <f aca="false">IFERROR(P185*$G185,0)</f>
        <v>0</v>
      </c>
      <c r="AZ185" s="138" t="n">
        <f aca="false">IFERROR(ROUND($D185-Q185-BA185,0),0)</f>
        <v>0</v>
      </c>
      <c r="BA185" s="139" t="n">
        <f aca="false">IFERROR(R185*$G185,0)</f>
        <v>0</v>
      </c>
      <c r="BB185" s="140" t="n">
        <f aca="false">IFERROR(ROUND($D185-S185-BC185,0),0)</f>
        <v>0</v>
      </c>
      <c r="BC185" s="139" t="n">
        <f aca="false">IFERROR(T185*$G185,0)</f>
        <v>0</v>
      </c>
      <c r="BD185" s="140"/>
      <c r="BE185" s="138" t="n">
        <f aca="false">IFERROR(ROUND($D185-V185-BF185,0),0)</f>
        <v>0</v>
      </c>
      <c r="BF185" s="139" t="n">
        <f aca="false">IFERROR(W185*$G185,0)</f>
        <v>0</v>
      </c>
      <c r="BG185" s="138" t="n">
        <f aca="false">IFERROR(ROUND($D185-X185-BH185,0),0)</f>
        <v>0</v>
      </c>
      <c r="BH185" s="139" t="n">
        <f aca="false">IFERROR(Y185*$G185,0)</f>
        <v>0</v>
      </c>
      <c r="BI185" s="140" t="n">
        <f aca="false">IFERROR(ROUND($D185-Z185-BJ185,0),0)</f>
        <v>0</v>
      </c>
      <c r="BJ185" s="139" t="n">
        <f aca="false">IFERROR(AA185*$G185,0)</f>
        <v>0</v>
      </c>
      <c r="BK185" s="140" t="n">
        <f aca="false">IFERROR(ROUND($D185-AB185-BL185,0),0)</f>
        <v>0</v>
      </c>
      <c r="BL185" s="139" t="n">
        <f aca="false">IFERROR(AC185*$G185,0)</f>
        <v>0</v>
      </c>
      <c r="BN185" s="142" t="n">
        <v>0</v>
      </c>
      <c r="BO185" s="137"/>
      <c r="BP185" s="138" t="n">
        <v>0</v>
      </c>
      <c r="BQ185" s="139" t="n">
        <v>0</v>
      </c>
      <c r="BR185" s="140"/>
      <c r="BS185" s="138" t="n">
        <v>0</v>
      </c>
      <c r="BT185" s="139" t="n">
        <v>0</v>
      </c>
      <c r="BU185" s="138" t="n">
        <v>0</v>
      </c>
      <c r="BV185" s="139" t="n">
        <v>0</v>
      </c>
      <c r="BW185" s="138" t="n">
        <v>0</v>
      </c>
      <c r="BX185" s="139" t="n">
        <v>0</v>
      </c>
      <c r="BY185" s="138" t="n">
        <v>0</v>
      </c>
      <c r="BZ185" s="139" t="n">
        <v>0</v>
      </c>
      <c r="CA185" s="140"/>
      <c r="CB185" s="138" t="n">
        <v>0</v>
      </c>
      <c r="CC185" s="139" t="n">
        <v>0</v>
      </c>
      <c r="CD185" s="138" t="n">
        <v>0</v>
      </c>
      <c r="CE185" s="139" t="n">
        <v>0</v>
      </c>
      <c r="CF185" s="138" t="n">
        <v>0</v>
      </c>
      <c r="CG185" s="139" t="n">
        <v>0</v>
      </c>
      <c r="CH185" s="138" t="n">
        <v>0</v>
      </c>
      <c r="CI185" s="139" t="n">
        <v>0</v>
      </c>
      <c r="CK185" s="143"/>
      <c r="CL185" s="137"/>
      <c r="CM185" s="144" t="str">
        <f aca="false">IFERROR(+$H185-($J185+$K185*$G185),"-")</f>
        <v>-</v>
      </c>
      <c r="CN185" s="137"/>
      <c r="CO185" s="144" t="str">
        <f aca="false">IFERROR(+$H185-($M185+$N185*$G185),"-")</f>
        <v>-</v>
      </c>
      <c r="CP185" s="144" t="str">
        <f aca="false">IFERROR(+$H185-($O185+$P185*$G185),"-")</f>
        <v>-</v>
      </c>
      <c r="CQ185" s="144" t="str">
        <f aca="false">IFERROR(+$H185-($Q185+$R185*$G185),"-")</f>
        <v>-</v>
      </c>
      <c r="CR185" s="144" t="str">
        <f aca="false">IFERROR(+$H185-($Q185+$R185*$G185),"-")</f>
        <v>-</v>
      </c>
      <c r="CS185" s="137"/>
      <c r="CT185" s="144" t="str">
        <f aca="false">IFERROR(+$H185-($V185+$W185*$G185),"-")</f>
        <v>-</v>
      </c>
      <c r="CU185" s="144" t="str">
        <f aca="false">IFERROR(+$H185-($X185+$Y185*$G185),"-")</f>
        <v>-</v>
      </c>
      <c r="CV185" s="144" t="str">
        <f aca="false">IFERROR(+$H185-($Z185+$AA185*$G185),"-")</f>
        <v>-</v>
      </c>
      <c r="CW185" s="144" t="str">
        <f aca="false">IFERROR(+$H185-($AB185+$AC185*$G185),"-")</f>
        <v>-</v>
      </c>
    </row>
    <row r="186" s="156" customFormat="true" ht="12.75" hidden="false" customHeight="true" outlineLevel="0" collapsed="false">
      <c r="A186" s="1"/>
      <c r="B186" s="145" t="s">
        <v>260</v>
      </c>
      <c r="C186" s="146" t="s">
        <v>270</v>
      </c>
      <c r="D186" s="147" t="e">
        <f aca="false">VLOOKUP($C186,#REF!,5,0)</f>
        <v>#VALUE!</v>
      </c>
      <c r="E186" s="148" t="e">
        <f aca="false">VLOOKUP($C186,#REF!,6,0)</f>
        <v>#VALUE!</v>
      </c>
      <c r="F186" s="146" t="e">
        <f aca="false">VLOOKUP($C186,#REF!,7,0)</f>
        <v>#VALUE!</v>
      </c>
      <c r="G186" s="146" t="e">
        <f aca="false">VLOOKUP($C186,#REF!,8,0)</f>
        <v>#VALUE!</v>
      </c>
      <c r="H186" s="149" t="e">
        <f aca="false">VLOOKUP($C186,#REF!,9,0)</f>
        <v>#VALUE!</v>
      </c>
      <c r="I186" s="137"/>
      <c r="J186" s="150" t="e">
        <f aca="false">VLOOKUP($C186,#REF!,10,0)</f>
        <v>#VALUE!</v>
      </c>
      <c r="K186" s="151" t="e">
        <f aca="false">VLOOKUP($C186,#REF!,11,0)</f>
        <v>#VALUE!</v>
      </c>
      <c r="L186" s="140"/>
      <c r="M186" s="150" t="e">
        <f aca="false">VLOOKUP($C186,#REF!,12,0)</f>
        <v>#VALUE!</v>
      </c>
      <c r="N186" s="152" t="e">
        <f aca="false">VLOOKUP($C186,#REF!,13,0)</f>
        <v>#VALUE!</v>
      </c>
      <c r="O186" s="150" t="e">
        <f aca="false">VLOOKUP($C186,#REF!,14,0)</f>
        <v>#VALUE!</v>
      </c>
      <c r="P186" s="152" t="e">
        <f aca="false">VLOOKUP($C186,#REF!,15,0)</f>
        <v>#VALUE!</v>
      </c>
      <c r="Q186" s="150" t="e">
        <f aca="false">VLOOKUP($C186,#REF!,16,0)</f>
        <v>#VALUE!</v>
      </c>
      <c r="R186" s="151" t="e">
        <f aca="false">VLOOKUP($C186,#REF!,17,0)</f>
        <v>#VALUE!</v>
      </c>
      <c r="S186" s="152" t="e">
        <f aca="false">VLOOKUP($C186,#REF!,18,0)</f>
        <v>#VALUE!</v>
      </c>
      <c r="T186" s="151" t="e">
        <f aca="false">VLOOKUP($C186,#REF!,19,0)</f>
        <v>#VALUE!</v>
      </c>
      <c r="U186" s="140"/>
      <c r="V186" s="150" t="e">
        <f aca="false">VLOOKUP($C186,#REF!,20,0)</f>
        <v>#VALUE!</v>
      </c>
      <c r="W186" s="152" t="e">
        <f aca="false">VLOOKUP($C186,#REF!,21,0)</f>
        <v>#VALUE!</v>
      </c>
      <c r="X186" s="150" t="e">
        <f aca="false">VLOOKUP($C186,#REF!,22,0)</f>
        <v>#VALUE!</v>
      </c>
      <c r="Y186" s="152" t="e">
        <f aca="false">VLOOKUP($C186,#REF!,23,0)</f>
        <v>#VALUE!</v>
      </c>
      <c r="Z186" s="150" t="e">
        <f aca="false">VLOOKUP($C186,#REF!,24,0)</f>
        <v>#VALUE!</v>
      </c>
      <c r="AA186" s="151" t="e">
        <f aca="false">VLOOKUP($C186,#REF!,25,0)</f>
        <v>#VALUE!</v>
      </c>
      <c r="AB186" s="152" t="e">
        <f aca="false">VLOOKUP($C186,#REF!,26,0)</f>
        <v>#VALUE!</v>
      </c>
      <c r="AC186" s="151" t="e">
        <f aca="false">VLOOKUP($C186,#REF!,27,0)</f>
        <v>#VALUE!</v>
      </c>
      <c r="AD186" s="1"/>
      <c r="AE186" s="150" t="e">
        <f aca="false">IF(M186="-","-","0,5 GB")</f>
        <v>#VALUE!</v>
      </c>
      <c r="AF186" s="153" t="s">
        <v>92</v>
      </c>
      <c r="AG186" s="153" t="s">
        <v>93</v>
      </c>
      <c r="AH186" s="151" t="s">
        <v>94</v>
      </c>
      <c r="AI186" s="1"/>
      <c r="AJ186" s="150" t="s">
        <v>95</v>
      </c>
      <c r="AK186" s="153" t="s">
        <v>96</v>
      </c>
      <c r="AL186" s="153" t="s">
        <v>97</v>
      </c>
      <c r="AM186" s="153" t="s">
        <v>98</v>
      </c>
      <c r="AN186" s="153" t="s">
        <v>98</v>
      </c>
      <c r="AO186" s="151" t="s">
        <v>92</v>
      </c>
      <c r="AP186" s="1"/>
      <c r="AQ186" s="154" t="n">
        <v>17</v>
      </c>
      <c r="AR186" s="137"/>
      <c r="AS186" s="150" t="n">
        <v>0</v>
      </c>
      <c r="AT186" s="151" t="n">
        <v>0</v>
      </c>
      <c r="AU186" s="140"/>
      <c r="AV186" s="150" t="n">
        <f aca="false">IFERROR(ROUND($D186-M186-AW186,0),0)</f>
        <v>0</v>
      </c>
      <c r="AW186" s="151" t="n">
        <f aca="false">IFERROR(N186*$G186,0)</f>
        <v>0</v>
      </c>
      <c r="AX186" s="150" t="n">
        <f aca="false">IFERROR(ROUND($D186-O186-AY186,0),0)</f>
        <v>0</v>
      </c>
      <c r="AY186" s="151" t="n">
        <f aca="false">IFERROR(P186*$G186,0)</f>
        <v>0</v>
      </c>
      <c r="AZ186" s="150" t="n">
        <f aca="false">IFERROR(ROUND($D186-Q186-BA186,0),0)</f>
        <v>0</v>
      </c>
      <c r="BA186" s="151" t="n">
        <f aca="false">IFERROR(R186*$G186,0)</f>
        <v>0</v>
      </c>
      <c r="BB186" s="152" t="n">
        <f aca="false">IFERROR(ROUND($D186-S186-BC186,0),0)</f>
        <v>0</v>
      </c>
      <c r="BC186" s="151" t="n">
        <f aca="false">IFERROR(T186*$G186,0)</f>
        <v>0</v>
      </c>
      <c r="BD186" s="140"/>
      <c r="BE186" s="150" t="n">
        <f aca="false">IFERROR(ROUND($D186-V186-BF186,0),0)</f>
        <v>0</v>
      </c>
      <c r="BF186" s="151" t="n">
        <f aca="false">IFERROR(W186*$G186,0)</f>
        <v>0</v>
      </c>
      <c r="BG186" s="150" t="n">
        <f aca="false">IFERROR(ROUND($D186-X186-BH186,0),0)</f>
        <v>0</v>
      </c>
      <c r="BH186" s="151" t="n">
        <f aca="false">IFERROR(Y186*$G186,0)</f>
        <v>0</v>
      </c>
      <c r="BI186" s="152" t="n">
        <f aca="false">IFERROR(ROUND($D186-Z186-BJ186,0),0)</f>
        <v>0</v>
      </c>
      <c r="BJ186" s="151" t="n">
        <f aca="false">IFERROR(AA186*$G186,0)</f>
        <v>0</v>
      </c>
      <c r="BK186" s="152" t="n">
        <f aca="false">IFERROR(ROUND($D186-AB186-BL186,0),0)</f>
        <v>0</v>
      </c>
      <c r="BL186" s="151" t="n">
        <f aca="false">IFERROR(AC186*$G186,0)</f>
        <v>0</v>
      </c>
      <c r="BM186" s="1"/>
      <c r="BN186" s="154" t="n">
        <v>0</v>
      </c>
      <c r="BO186" s="155"/>
      <c r="BP186" s="150" t="n">
        <v>0</v>
      </c>
      <c r="BQ186" s="151" t="n">
        <v>0</v>
      </c>
      <c r="BR186" s="152"/>
      <c r="BS186" s="150" t="n">
        <v>0</v>
      </c>
      <c r="BT186" s="151" t="n">
        <v>0</v>
      </c>
      <c r="BU186" s="150" t="n">
        <v>0</v>
      </c>
      <c r="BV186" s="151" t="n">
        <v>0</v>
      </c>
      <c r="BW186" s="150" t="n">
        <v>0</v>
      </c>
      <c r="BX186" s="151" t="n">
        <v>0</v>
      </c>
      <c r="BY186" s="150" t="n">
        <v>0</v>
      </c>
      <c r="BZ186" s="151" t="n">
        <v>0</v>
      </c>
      <c r="CA186" s="152"/>
      <c r="CB186" s="150" t="n">
        <v>0</v>
      </c>
      <c r="CC186" s="151" t="n">
        <v>0</v>
      </c>
      <c r="CD186" s="150" t="n">
        <v>0</v>
      </c>
      <c r="CE186" s="151" t="n">
        <v>0</v>
      </c>
      <c r="CF186" s="150" t="n">
        <v>0</v>
      </c>
      <c r="CG186" s="151" t="n">
        <v>0</v>
      </c>
      <c r="CH186" s="150" t="n">
        <v>0</v>
      </c>
      <c r="CI186" s="151" t="n">
        <v>0</v>
      </c>
      <c r="CJ186" s="1"/>
      <c r="CK186" s="149"/>
      <c r="CL186" s="137"/>
      <c r="CM186" s="154" t="str">
        <f aca="false">IFERROR(+$H186-($J186+$K186*$G186),"-")</f>
        <v>-</v>
      </c>
      <c r="CN186" s="137"/>
      <c r="CO186" s="154" t="str">
        <f aca="false">IFERROR(+$H186-($M186+$N186*$G186),"-")</f>
        <v>-</v>
      </c>
      <c r="CP186" s="154" t="str">
        <f aca="false">IFERROR(+$H186-($O186+$P186*$G186),"-")</f>
        <v>-</v>
      </c>
      <c r="CQ186" s="154" t="str">
        <f aca="false">IFERROR(+$H186-($Q186+$R186*$G186),"-")</f>
        <v>-</v>
      </c>
      <c r="CR186" s="154" t="str">
        <f aca="false">IFERROR(+$H186-($Q186+$R186*$G186),"-")</f>
        <v>-</v>
      </c>
      <c r="CS186" s="137"/>
      <c r="CT186" s="154" t="str">
        <f aca="false">IFERROR(+$H186-($V186+$W186*$G186),"-")</f>
        <v>-</v>
      </c>
      <c r="CU186" s="154" t="str">
        <f aca="false">IFERROR(+$H186-($X186+$Y186*$G186),"-")</f>
        <v>-</v>
      </c>
      <c r="CV186" s="154" t="str">
        <f aca="false">IFERROR(+$H186-($Z186+$AA186*$G186),"-")</f>
        <v>-</v>
      </c>
      <c r="CW186" s="154" t="str">
        <f aca="false">IFERROR(+$H186-($AB186+$AC186*$G186),"-")</f>
        <v>-</v>
      </c>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row>
    <row r="187" s="1" customFormat="true" ht="12.75" hidden="false" customHeight="true" outlineLevel="0" collapsed="false">
      <c r="B187" s="159" t="s">
        <v>260</v>
      </c>
      <c r="C187" s="160" t="s">
        <v>271</v>
      </c>
      <c r="D187" s="136" t="e">
        <f aca="false">VLOOKUP($C187,#REF!,5,0)</f>
        <v>#VALUE!</v>
      </c>
      <c r="E187" s="157" t="e">
        <f aca="false">VLOOKUP($C187,#REF!,6,0)</f>
        <v>#VALUE!</v>
      </c>
      <c r="F187" s="135" t="e">
        <f aca="false">VLOOKUP($C187,#REF!,7,0)</f>
        <v>#VALUE!</v>
      </c>
      <c r="G187" s="135" t="e">
        <f aca="false">VLOOKUP($C187,#REF!,8,0)</f>
        <v>#VALUE!</v>
      </c>
      <c r="H187" s="158" t="e">
        <f aca="false">VLOOKUP($C187,#REF!,9,0)</f>
        <v>#VALUE!</v>
      </c>
      <c r="I187" s="137"/>
      <c r="J187" s="138" t="e">
        <f aca="false">VLOOKUP($C187,#REF!,10,0)</f>
        <v>#VALUE!</v>
      </c>
      <c r="K187" s="139" t="e">
        <f aca="false">VLOOKUP($C187,#REF!,11,0)</f>
        <v>#VALUE!</v>
      </c>
      <c r="L187" s="140"/>
      <c r="M187" s="138" t="e">
        <f aca="false">VLOOKUP($C187,#REF!,12,0)</f>
        <v>#VALUE!</v>
      </c>
      <c r="N187" s="140" t="e">
        <f aca="false">VLOOKUP($C187,#REF!,13,0)</f>
        <v>#VALUE!</v>
      </c>
      <c r="O187" s="138" t="e">
        <f aca="false">VLOOKUP($C187,#REF!,14,0)</f>
        <v>#VALUE!</v>
      </c>
      <c r="P187" s="140" t="e">
        <f aca="false">VLOOKUP($C187,#REF!,15,0)</f>
        <v>#VALUE!</v>
      </c>
      <c r="Q187" s="138" t="e">
        <f aca="false">VLOOKUP($C187,#REF!,16,0)</f>
        <v>#VALUE!</v>
      </c>
      <c r="R187" s="139" t="e">
        <f aca="false">VLOOKUP($C187,#REF!,17,0)</f>
        <v>#VALUE!</v>
      </c>
      <c r="S187" s="140" t="e">
        <f aca="false">VLOOKUP($C187,#REF!,18,0)</f>
        <v>#VALUE!</v>
      </c>
      <c r="T187" s="139" t="e">
        <f aca="false">VLOOKUP($C187,#REF!,19,0)</f>
        <v>#VALUE!</v>
      </c>
      <c r="U187" s="140"/>
      <c r="V187" s="138" t="e">
        <f aca="false">VLOOKUP($C187,#REF!,20,0)</f>
        <v>#VALUE!</v>
      </c>
      <c r="W187" s="140" t="e">
        <f aca="false">VLOOKUP($C187,#REF!,21,0)</f>
        <v>#VALUE!</v>
      </c>
      <c r="X187" s="138" t="e">
        <f aca="false">VLOOKUP($C187,#REF!,22,0)</f>
        <v>#VALUE!</v>
      </c>
      <c r="Y187" s="140" t="e">
        <f aca="false">VLOOKUP($C187,#REF!,23,0)</f>
        <v>#VALUE!</v>
      </c>
      <c r="Z187" s="138" t="e">
        <f aca="false">VLOOKUP($C187,#REF!,24,0)</f>
        <v>#VALUE!</v>
      </c>
      <c r="AA187" s="139" t="e">
        <f aca="false">VLOOKUP($C187,#REF!,25,0)</f>
        <v>#VALUE!</v>
      </c>
      <c r="AB187" s="140" t="e">
        <f aca="false">VLOOKUP($C187,#REF!,26,0)</f>
        <v>#VALUE!</v>
      </c>
      <c r="AC187" s="139" t="e">
        <f aca="false">VLOOKUP($C187,#REF!,27,0)</f>
        <v>#VALUE!</v>
      </c>
      <c r="AE187" s="138" t="e">
        <f aca="false">IF(M187="-","-","0,5 GB")</f>
        <v>#VALUE!</v>
      </c>
      <c r="AF187" s="141" t="s">
        <v>92</v>
      </c>
      <c r="AG187" s="141" t="s">
        <v>93</v>
      </c>
      <c r="AH187" s="139" t="s">
        <v>94</v>
      </c>
      <c r="AJ187" s="138" t="s">
        <v>95</v>
      </c>
      <c r="AK187" s="141" t="s">
        <v>96</v>
      </c>
      <c r="AL187" s="141" t="s">
        <v>97</v>
      </c>
      <c r="AM187" s="141" t="s">
        <v>98</v>
      </c>
      <c r="AN187" s="141" t="s">
        <v>98</v>
      </c>
      <c r="AO187" s="139" t="s">
        <v>92</v>
      </c>
      <c r="AQ187" s="142" t="n">
        <v>99</v>
      </c>
      <c r="AR187" s="137"/>
      <c r="AS187" s="138" t="n">
        <v>0</v>
      </c>
      <c r="AT187" s="139" t="n">
        <v>0</v>
      </c>
      <c r="AU187" s="140"/>
      <c r="AV187" s="138" t="n">
        <f aca="false">IFERROR(ROUND($D187-M187-AW187,0),0)</f>
        <v>0</v>
      </c>
      <c r="AW187" s="139" t="n">
        <f aca="false">IFERROR(N187*$G187,0)</f>
        <v>0</v>
      </c>
      <c r="AX187" s="138" t="n">
        <f aca="false">IFERROR(ROUND($D187-O187-AY187,0),0)</f>
        <v>0</v>
      </c>
      <c r="AY187" s="139" t="n">
        <f aca="false">IFERROR(P187*$G187,0)</f>
        <v>0</v>
      </c>
      <c r="AZ187" s="138" t="n">
        <f aca="false">IFERROR(ROUND($D187-Q187-BA187,0),0)</f>
        <v>0</v>
      </c>
      <c r="BA187" s="139" t="n">
        <f aca="false">IFERROR(R187*$G187,0)</f>
        <v>0</v>
      </c>
      <c r="BB187" s="140" t="n">
        <f aca="false">IFERROR(ROUND($D187-S187-BC187,0),0)</f>
        <v>0</v>
      </c>
      <c r="BC187" s="139" t="n">
        <f aca="false">IFERROR(T187*$G187,0)</f>
        <v>0</v>
      </c>
      <c r="BD187" s="140"/>
      <c r="BE187" s="138" t="n">
        <f aca="false">IFERROR(ROUND($D187-V187-BF187,0),0)</f>
        <v>0</v>
      </c>
      <c r="BF187" s="139" t="n">
        <f aca="false">IFERROR(W187*$G187,0)</f>
        <v>0</v>
      </c>
      <c r="BG187" s="138" t="n">
        <f aca="false">IFERROR(ROUND($D187-X187-BH187,0),0)</f>
        <v>0</v>
      </c>
      <c r="BH187" s="139" t="n">
        <f aca="false">IFERROR(Y187*$G187,0)</f>
        <v>0</v>
      </c>
      <c r="BI187" s="140" t="n">
        <f aca="false">IFERROR(ROUND($D187-Z187-BJ187,0),0)</f>
        <v>0</v>
      </c>
      <c r="BJ187" s="139" t="n">
        <f aca="false">IFERROR(AA187*$G187,0)</f>
        <v>0</v>
      </c>
      <c r="BK187" s="140" t="n">
        <f aca="false">IFERROR(ROUND($D187-AB187-BL187,0),0)</f>
        <v>0</v>
      </c>
      <c r="BL187" s="139" t="n">
        <f aca="false">IFERROR(AC187*$G187,0)</f>
        <v>0</v>
      </c>
      <c r="BN187" s="142" t="n">
        <v>0</v>
      </c>
      <c r="BO187" s="137"/>
      <c r="BP187" s="138" t="n">
        <v>0</v>
      </c>
      <c r="BQ187" s="139" t="n">
        <v>0</v>
      </c>
      <c r="BR187" s="140"/>
      <c r="BS187" s="138" t="n">
        <v>0</v>
      </c>
      <c r="BT187" s="139" t="n">
        <v>0</v>
      </c>
      <c r="BU187" s="138" t="n">
        <v>0</v>
      </c>
      <c r="BV187" s="139" t="n">
        <v>0</v>
      </c>
      <c r="BW187" s="138" t="n">
        <v>0</v>
      </c>
      <c r="BX187" s="139" t="n">
        <v>0</v>
      </c>
      <c r="BY187" s="138" t="n">
        <v>0</v>
      </c>
      <c r="BZ187" s="139" t="n">
        <v>0</v>
      </c>
      <c r="CA187" s="140"/>
      <c r="CB187" s="138" t="n">
        <v>0</v>
      </c>
      <c r="CC187" s="139" t="n">
        <v>0</v>
      </c>
      <c r="CD187" s="138" t="n">
        <v>0</v>
      </c>
      <c r="CE187" s="139" t="n">
        <v>0</v>
      </c>
      <c r="CF187" s="138" t="n">
        <v>0</v>
      </c>
      <c r="CG187" s="139" t="n">
        <v>0</v>
      </c>
      <c r="CH187" s="138" t="n">
        <v>0</v>
      </c>
      <c r="CI187" s="139" t="n">
        <v>0</v>
      </c>
      <c r="CK187" s="143"/>
      <c r="CL187" s="137"/>
      <c r="CM187" s="144" t="str">
        <f aca="false">IFERROR(+$H187-($J187+$K187*$G187),"-")</f>
        <v>-</v>
      </c>
      <c r="CN187" s="137"/>
      <c r="CO187" s="144" t="str">
        <f aca="false">IFERROR(+$H187-($M187+$N187*$G187),"-")</f>
        <v>-</v>
      </c>
      <c r="CP187" s="144" t="str">
        <f aca="false">IFERROR(+$H187-($O187+$P187*$G187),"-")</f>
        <v>-</v>
      </c>
      <c r="CQ187" s="144" t="str">
        <f aca="false">IFERROR(+$H187-($Q187+$R187*$G187),"-")</f>
        <v>-</v>
      </c>
      <c r="CR187" s="144" t="str">
        <f aca="false">IFERROR(+$H187-($Q187+$R187*$G187),"-")</f>
        <v>-</v>
      </c>
      <c r="CS187" s="137"/>
      <c r="CT187" s="144" t="str">
        <f aca="false">IFERROR(+$H187-($V187+$W187*$G187),"-")</f>
        <v>-</v>
      </c>
      <c r="CU187" s="144" t="str">
        <f aca="false">IFERROR(+$H187-($X187+$Y187*$G187),"-")</f>
        <v>-</v>
      </c>
      <c r="CV187" s="144" t="str">
        <f aca="false">IFERROR(+$H187-($Z187+$AA187*$G187),"-")</f>
        <v>-</v>
      </c>
      <c r="CW187" s="144" t="str">
        <f aca="false">IFERROR(+$H187-($AB187+$AC187*$G187),"-")</f>
        <v>-</v>
      </c>
    </row>
    <row r="188" s="156" customFormat="true" ht="12.75" hidden="false" customHeight="true" outlineLevel="0" collapsed="false">
      <c r="A188" s="1"/>
      <c r="B188" s="145" t="s">
        <v>260</v>
      </c>
      <c r="C188" s="146" t="s">
        <v>272</v>
      </c>
      <c r="D188" s="147" t="e">
        <f aca="false">VLOOKUP($C188,#REF!,5,0)</f>
        <v>#VALUE!</v>
      </c>
      <c r="E188" s="148" t="e">
        <f aca="false">VLOOKUP($C188,#REF!,6,0)</f>
        <v>#VALUE!</v>
      </c>
      <c r="F188" s="146" t="e">
        <f aca="false">VLOOKUP($C188,#REF!,7,0)</f>
        <v>#VALUE!</v>
      </c>
      <c r="G188" s="146" t="e">
        <f aca="false">VLOOKUP($C188,#REF!,8,0)</f>
        <v>#VALUE!</v>
      </c>
      <c r="H188" s="149" t="e">
        <f aca="false">VLOOKUP($C188,#REF!,9,0)</f>
        <v>#VALUE!</v>
      </c>
      <c r="I188" s="137"/>
      <c r="J188" s="150" t="e">
        <f aca="false">VLOOKUP($C188,#REF!,10,0)</f>
        <v>#VALUE!</v>
      </c>
      <c r="K188" s="151" t="e">
        <f aca="false">VLOOKUP($C188,#REF!,11,0)</f>
        <v>#VALUE!</v>
      </c>
      <c r="L188" s="140"/>
      <c r="M188" s="150" t="e">
        <f aca="false">VLOOKUP($C188,#REF!,12,0)</f>
        <v>#VALUE!</v>
      </c>
      <c r="N188" s="152" t="e">
        <f aca="false">VLOOKUP($C188,#REF!,13,0)</f>
        <v>#VALUE!</v>
      </c>
      <c r="O188" s="150" t="e">
        <f aca="false">VLOOKUP($C188,#REF!,14,0)</f>
        <v>#VALUE!</v>
      </c>
      <c r="P188" s="152" t="e">
        <f aca="false">VLOOKUP($C188,#REF!,15,0)</f>
        <v>#VALUE!</v>
      </c>
      <c r="Q188" s="150" t="e">
        <f aca="false">VLOOKUP($C188,#REF!,16,0)</f>
        <v>#VALUE!</v>
      </c>
      <c r="R188" s="151" t="e">
        <f aca="false">VLOOKUP($C188,#REF!,17,0)</f>
        <v>#VALUE!</v>
      </c>
      <c r="S188" s="152" t="e">
        <f aca="false">VLOOKUP($C188,#REF!,18,0)</f>
        <v>#VALUE!</v>
      </c>
      <c r="T188" s="151" t="e">
        <f aca="false">VLOOKUP($C188,#REF!,19,0)</f>
        <v>#VALUE!</v>
      </c>
      <c r="U188" s="140"/>
      <c r="V188" s="150" t="e">
        <f aca="false">VLOOKUP($C188,#REF!,20,0)</f>
        <v>#VALUE!</v>
      </c>
      <c r="W188" s="152" t="e">
        <f aca="false">VLOOKUP($C188,#REF!,21,0)</f>
        <v>#VALUE!</v>
      </c>
      <c r="X188" s="150" t="e">
        <f aca="false">VLOOKUP($C188,#REF!,22,0)</f>
        <v>#VALUE!</v>
      </c>
      <c r="Y188" s="152" t="e">
        <f aca="false">VLOOKUP($C188,#REF!,23,0)</f>
        <v>#VALUE!</v>
      </c>
      <c r="Z188" s="150" t="e">
        <f aca="false">VLOOKUP($C188,#REF!,24,0)</f>
        <v>#VALUE!</v>
      </c>
      <c r="AA188" s="151" t="e">
        <f aca="false">VLOOKUP($C188,#REF!,25,0)</f>
        <v>#VALUE!</v>
      </c>
      <c r="AB188" s="152" t="e">
        <f aca="false">VLOOKUP($C188,#REF!,26,0)</f>
        <v>#VALUE!</v>
      </c>
      <c r="AC188" s="151" t="e">
        <f aca="false">VLOOKUP($C188,#REF!,27,0)</f>
        <v>#VALUE!</v>
      </c>
      <c r="AD188" s="1"/>
      <c r="AE188" s="150" t="e">
        <f aca="false">IF(M188="-","-","0,5 GB")</f>
        <v>#VALUE!</v>
      </c>
      <c r="AF188" s="153" t="s">
        <v>92</v>
      </c>
      <c r="AG188" s="153" t="s">
        <v>93</v>
      </c>
      <c r="AH188" s="151" t="s">
        <v>94</v>
      </c>
      <c r="AI188" s="1"/>
      <c r="AJ188" s="150" t="s">
        <v>95</v>
      </c>
      <c r="AK188" s="153" t="s">
        <v>96</v>
      </c>
      <c r="AL188" s="153" t="s">
        <v>97</v>
      </c>
      <c r="AM188" s="153" t="s">
        <v>98</v>
      </c>
      <c r="AN188" s="153" t="s">
        <v>98</v>
      </c>
      <c r="AO188" s="151" t="s">
        <v>92</v>
      </c>
      <c r="AP188" s="1"/>
      <c r="AQ188" s="154" t="n">
        <v>58</v>
      </c>
      <c r="AR188" s="137"/>
      <c r="AS188" s="150" t="n">
        <v>0</v>
      </c>
      <c r="AT188" s="151" t="n">
        <v>0</v>
      </c>
      <c r="AU188" s="140"/>
      <c r="AV188" s="150" t="n">
        <f aca="false">IFERROR(ROUND($D188-M188-AW188,0),0)</f>
        <v>0</v>
      </c>
      <c r="AW188" s="151" t="n">
        <f aca="false">IFERROR(N188*$G188,0)</f>
        <v>0</v>
      </c>
      <c r="AX188" s="150" t="n">
        <f aca="false">IFERROR(ROUND($D188-O188-AY188,0),0)</f>
        <v>0</v>
      </c>
      <c r="AY188" s="151" t="n">
        <f aca="false">IFERROR(P188*$G188,0)</f>
        <v>0</v>
      </c>
      <c r="AZ188" s="150" t="n">
        <f aca="false">IFERROR(ROUND($D188-Q188-BA188,0),0)</f>
        <v>0</v>
      </c>
      <c r="BA188" s="151" t="n">
        <f aca="false">IFERROR(R188*$G188,0)</f>
        <v>0</v>
      </c>
      <c r="BB188" s="152" t="n">
        <f aca="false">IFERROR(ROUND($D188-S188-BC188,0),0)</f>
        <v>0</v>
      </c>
      <c r="BC188" s="151" t="n">
        <f aca="false">IFERROR(T188*$G188,0)</f>
        <v>0</v>
      </c>
      <c r="BD188" s="140"/>
      <c r="BE188" s="150" t="n">
        <f aca="false">IFERROR(ROUND($D188-V188-BF188,0),0)</f>
        <v>0</v>
      </c>
      <c r="BF188" s="151" t="n">
        <f aca="false">IFERROR(W188*$G188,0)</f>
        <v>0</v>
      </c>
      <c r="BG188" s="150" t="n">
        <f aca="false">IFERROR(ROUND($D188-X188-BH188,0),0)</f>
        <v>0</v>
      </c>
      <c r="BH188" s="151" t="n">
        <f aca="false">IFERROR(Y188*$G188,0)</f>
        <v>0</v>
      </c>
      <c r="BI188" s="152" t="n">
        <f aca="false">IFERROR(ROUND($D188-Z188-BJ188,0),0)</f>
        <v>0</v>
      </c>
      <c r="BJ188" s="151" t="n">
        <f aca="false">IFERROR(AA188*$G188,0)</f>
        <v>0</v>
      </c>
      <c r="BK188" s="152" t="n">
        <f aca="false">IFERROR(ROUND($D188-AB188-BL188,0),0)</f>
        <v>0</v>
      </c>
      <c r="BL188" s="151" t="n">
        <f aca="false">IFERROR(AC188*$G188,0)</f>
        <v>0</v>
      </c>
      <c r="BM188" s="1"/>
      <c r="BN188" s="154" t="n">
        <v>-8.26999999999998</v>
      </c>
      <c r="BO188" s="155"/>
      <c r="BP188" s="150" t="n">
        <v>-8.26999999999998</v>
      </c>
      <c r="BQ188" s="151" t="n">
        <v>0</v>
      </c>
      <c r="BR188" s="152"/>
      <c r="BS188" s="150" t="n">
        <v>0</v>
      </c>
      <c r="BT188" s="151" t="n">
        <v>0</v>
      </c>
      <c r="BU188" s="150" t="n">
        <v>0</v>
      </c>
      <c r="BV188" s="151" t="n">
        <v>0</v>
      </c>
      <c r="BW188" s="150" t="n">
        <v>0</v>
      </c>
      <c r="BX188" s="151" t="n">
        <v>0</v>
      </c>
      <c r="BY188" s="150" t="n">
        <v>0</v>
      </c>
      <c r="BZ188" s="151" t="n">
        <v>0</v>
      </c>
      <c r="CA188" s="152"/>
      <c r="CB188" s="150" t="n">
        <v>0</v>
      </c>
      <c r="CC188" s="151" t="n">
        <v>0</v>
      </c>
      <c r="CD188" s="150" t="n">
        <v>0</v>
      </c>
      <c r="CE188" s="151" t="n">
        <v>0</v>
      </c>
      <c r="CF188" s="150" t="n">
        <v>0</v>
      </c>
      <c r="CG188" s="151" t="n">
        <v>0</v>
      </c>
      <c r="CH188" s="150" t="n">
        <v>0</v>
      </c>
      <c r="CI188" s="151" t="n">
        <v>0</v>
      </c>
      <c r="CJ188" s="1"/>
      <c r="CK188" s="149"/>
      <c r="CL188" s="137"/>
      <c r="CM188" s="154" t="str">
        <f aca="false">IFERROR(+$H188-($J188+$K188*$G188),"-")</f>
        <v>-</v>
      </c>
      <c r="CN188" s="137"/>
      <c r="CO188" s="154" t="str">
        <f aca="false">IFERROR(+$H188-($M188+$N188*$G188),"-")</f>
        <v>-</v>
      </c>
      <c r="CP188" s="154" t="str">
        <f aca="false">IFERROR(+$H188-($O188+$P188*$G188),"-")</f>
        <v>-</v>
      </c>
      <c r="CQ188" s="154" t="str">
        <f aca="false">IFERROR(+$H188-($Q188+$R188*$G188),"-")</f>
        <v>-</v>
      </c>
      <c r="CR188" s="154" t="str">
        <f aca="false">IFERROR(+$H188-($Q188+$R188*$G188),"-")</f>
        <v>-</v>
      </c>
      <c r="CS188" s="137"/>
      <c r="CT188" s="154" t="str">
        <f aca="false">IFERROR(+$H188-($V188+$W188*$G188),"-")</f>
        <v>-</v>
      </c>
      <c r="CU188" s="154" t="str">
        <f aca="false">IFERROR(+$H188-($X188+$Y188*$G188),"-")</f>
        <v>-</v>
      </c>
      <c r="CV188" s="154" t="str">
        <f aca="false">IFERROR(+$H188-($Z188+$AA188*$G188),"-")</f>
        <v>-</v>
      </c>
      <c r="CW188" s="154" t="str">
        <f aca="false">IFERROR(+$H188-($AB188+$AC188*$G188),"-")</f>
        <v>-</v>
      </c>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row>
    <row r="189" s="1" customFormat="true" ht="12.75" hidden="false" customHeight="true" outlineLevel="0" collapsed="false">
      <c r="B189" s="134" t="s">
        <v>260</v>
      </c>
      <c r="C189" s="135" t="s">
        <v>273</v>
      </c>
      <c r="D189" s="136" t="e">
        <f aca="false">VLOOKUP($C189,#REF!,5,0)</f>
        <v>#VALUE!</v>
      </c>
      <c r="E189" s="157" t="e">
        <f aca="false">VLOOKUP($C189,#REF!,6,0)</f>
        <v>#VALUE!</v>
      </c>
      <c r="F189" s="135" t="e">
        <f aca="false">VLOOKUP($C189,#REF!,7,0)</f>
        <v>#VALUE!</v>
      </c>
      <c r="G189" s="135" t="e">
        <f aca="false">VLOOKUP($C189,#REF!,8,0)</f>
        <v>#VALUE!</v>
      </c>
      <c r="H189" s="158" t="e">
        <f aca="false">VLOOKUP($C189,#REF!,9,0)</f>
        <v>#VALUE!</v>
      </c>
      <c r="I189" s="137"/>
      <c r="J189" s="138" t="e">
        <f aca="false">VLOOKUP($C189,#REF!,10,0)</f>
        <v>#VALUE!</v>
      </c>
      <c r="K189" s="139" t="e">
        <f aca="false">VLOOKUP($C189,#REF!,11,0)</f>
        <v>#VALUE!</v>
      </c>
      <c r="L189" s="140"/>
      <c r="M189" s="138" t="e">
        <f aca="false">VLOOKUP($C189,#REF!,12,0)</f>
        <v>#VALUE!</v>
      </c>
      <c r="N189" s="140" t="e">
        <f aca="false">VLOOKUP($C189,#REF!,13,0)</f>
        <v>#VALUE!</v>
      </c>
      <c r="O189" s="138" t="e">
        <f aca="false">VLOOKUP($C189,#REF!,14,0)</f>
        <v>#VALUE!</v>
      </c>
      <c r="P189" s="140" t="e">
        <f aca="false">VLOOKUP($C189,#REF!,15,0)</f>
        <v>#VALUE!</v>
      </c>
      <c r="Q189" s="138" t="e">
        <f aca="false">VLOOKUP($C189,#REF!,16,0)</f>
        <v>#VALUE!</v>
      </c>
      <c r="R189" s="139" t="e">
        <f aca="false">VLOOKUP($C189,#REF!,17,0)</f>
        <v>#VALUE!</v>
      </c>
      <c r="S189" s="140" t="e">
        <f aca="false">VLOOKUP($C189,#REF!,18,0)</f>
        <v>#VALUE!</v>
      </c>
      <c r="T189" s="139" t="e">
        <f aca="false">VLOOKUP($C189,#REF!,19,0)</f>
        <v>#VALUE!</v>
      </c>
      <c r="U189" s="140"/>
      <c r="V189" s="138" t="e">
        <f aca="false">VLOOKUP($C189,#REF!,20,0)</f>
        <v>#VALUE!</v>
      </c>
      <c r="W189" s="140" t="e">
        <f aca="false">VLOOKUP($C189,#REF!,21,0)</f>
        <v>#VALUE!</v>
      </c>
      <c r="X189" s="138" t="e">
        <f aca="false">VLOOKUP($C189,#REF!,22,0)</f>
        <v>#VALUE!</v>
      </c>
      <c r="Y189" s="140" t="e">
        <f aca="false">VLOOKUP($C189,#REF!,23,0)</f>
        <v>#VALUE!</v>
      </c>
      <c r="Z189" s="138" t="e">
        <f aca="false">VLOOKUP($C189,#REF!,24,0)</f>
        <v>#VALUE!</v>
      </c>
      <c r="AA189" s="139" t="e">
        <f aca="false">VLOOKUP($C189,#REF!,25,0)</f>
        <v>#VALUE!</v>
      </c>
      <c r="AB189" s="140" t="e">
        <f aca="false">VLOOKUP($C189,#REF!,26,0)</f>
        <v>#VALUE!</v>
      </c>
      <c r="AC189" s="139" t="e">
        <f aca="false">VLOOKUP($C189,#REF!,27,0)</f>
        <v>#VALUE!</v>
      </c>
      <c r="AE189" s="138" t="e">
        <f aca="false">IF(M189="-","-","0,5 GB")</f>
        <v>#VALUE!</v>
      </c>
      <c r="AF189" s="141" t="s">
        <v>92</v>
      </c>
      <c r="AG189" s="141" t="s">
        <v>93</v>
      </c>
      <c r="AH189" s="139" t="s">
        <v>94</v>
      </c>
      <c r="AJ189" s="138" t="s">
        <v>95</v>
      </c>
      <c r="AK189" s="141" t="s">
        <v>96</v>
      </c>
      <c r="AL189" s="141" t="s">
        <v>97</v>
      </c>
      <c r="AM189" s="141" t="s">
        <v>98</v>
      </c>
      <c r="AN189" s="141" t="s">
        <v>98</v>
      </c>
      <c r="AO189" s="139" t="s">
        <v>92</v>
      </c>
      <c r="AQ189" s="142" t="n">
        <v>0</v>
      </c>
      <c r="AR189" s="137"/>
      <c r="AS189" s="138" t="n">
        <v>0</v>
      </c>
      <c r="AT189" s="139" t="n">
        <v>0</v>
      </c>
      <c r="AU189" s="140"/>
      <c r="AV189" s="138" t="n">
        <f aca="false">IFERROR(ROUND($D189-M189-AW189,0),0)</f>
        <v>0</v>
      </c>
      <c r="AW189" s="139" t="n">
        <f aca="false">IFERROR(N189*$G189,0)</f>
        <v>0</v>
      </c>
      <c r="AX189" s="138" t="n">
        <f aca="false">IFERROR(ROUND($D189-O189-AY189,0),0)</f>
        <v>0</v>
      </c>
      <c r="AY189" s="139" t="n">
        <f aca="false">IFERROR(P189*$G189,0)</f>
        <v>0</v>
      </c>
      <c r="AZ189" s="138" t="n">
        <f aca="false">IFERROR(ROUND($D189-Q189-BA189,0),0)</f>
        <v>0</v>
      </c>
      <c r="BA189" s="139" t="n">
        <f aca="false">IFERROR(R189*$G189,0)</f>
        <v>0</v>
      </c>
      <c r="BB189" s="140" t="n">
        <f aca="false">IFERROR(ROUND($D189-S189-BC189,0),0)</f>
        <v>0</v>
      </c>
      <c r="BC189" s="139" t="n">
        <f aca="false">IFERROR(T189*$G189,0)</f>
        <v>0</v>
      </c>
      <c r="BD189" s="140"/>
      <c r="BE189" s="138" t="n">
        <f aca="false">IFERROR(ROUND($D189-V189-BF189,0),0)</f>
        <v>0</v>
      </c>
      <c r="BF189" s="139" t="n">
        <f aca="false">IFERROR(W189*$G189,0)</f>
        <v>0</v>
      </c>
      <c r="BG189" s="138" t="n">
        <f aca="false">IFERROR(ROUND($D189-X189-BH189,0),0)</f>
        <v>0</v>
      </c>
      <c r="BH189" s="139" t="n">
        <f aca="false">IFERROR(Y189*$G189,0)</f>
        <v>0</v>
      </c>
      <c r="BI189" s="140" t="n">
        <f aca="false">IFERROR(ROUND($D189-Z189-BJ189,0),0)</f>
        <v>0</v>
      </c>
      <c r="BJ189" s="139" t="n">
        <f aca="false">IFERROR(AA189*$G189,0)</f>
        <v>0</v>
      </c>
      <c r="BK189" s="140" t="n">
        <f aca="false">IFERROR(ROUND($D189-AB189-BL189,0),0)</f>
        <v>0</v>
      </c>
      <c r="BL189" s="139" t="n">
        <f aca="false">IFERROR(AC189*$G189,0)</f>
        <v>0</v>
      </c>
      <c r="BN189" s="142" t="n">
        <v>0</v>
      </c>
      <c r="BO189" s="137"/>
      <c r="BP189" s="138" t="n">
        <v>0</v>
      </c>
      <c r="BQ189" s="139" t="n">
        <v>0</v>
      </c>
      <c r="BR189" s="140"/>
      <c r="BS189" s="138" t="n">
        <v>0</v>
      </c>
      <c r="BT189" s="139" t="n">
        <v>0</v>
      </c>
      <c r="BU189" s="138" t="n">
        <v>0</v>
      </c>
      <c r="BV189" s="139" t="n">
        <v>0</v>
      </c>
      <c r="BW189" s="138" t="n">
        <v>0</v>
      </c>
      <c r="BX189" s="139" t="n">
        <v>0</v>
      </c>
      <c r="BY189" s="138" t="n">
        <v>0</v>
      </c>
      <c r="BZ189" s="139" t="n">
        <v>0</v>
      </c>
      <c r="CA189" s="140"/>
      <c r="CB189" s="138" t="n">
        <v>0</v>
      </c>
      <c r="CC189" s="139" t="n">
        <v>0</v>
      </c>
      <c r="CD189" s="138" t="n">
        <v>0</v>
      </c>
      <c r="CE189" s="139" t="n">
        <v>0</v>
      </c>
      <c r="CF189" s="138" t="n">
        <v>0</v>
      </c>
      <c r="CG189" s="139" t="n">
        <v>0</v>
      </c>
      <c r="CH189" s="138" t="n">
        <v>0</v>
      </c>
      <c r="CI189" s="139" t="n">
        <v>0</v>
      </c>
      <c r="CK189" s="143"/>
      <c r="CL189" s="137"/>
      <c r="CM189" s="144" t="str">
        <f aca="false">IFERROR(+$H189-($J189+$K189*$G189),"-")</f>
        <v>-</v>
      </c>
      <c r="CN189" s="137"/>
      <c r="CO189" s="144" t="str">
        <f aca="false">IFERROR(+$H189-($M189+$N189*$G189),"-")</f>
        <v>-</v>
      </c>
      <c r="CP189" s="144" t="str">
        <f aca="false">IFERROR(+$H189-($O189+$P189*$G189),"-")</f>
        <v>-</v>
      </c>
      <c r="CQ189" s="144" t="str">
        <f aca="false">IFERROR(+$H189-($Q189+$R189*$G189),"-")</f>
        <v>-</v>
      </c>
      <c r="CR189" s="144" t="str">
        <f aca="false">IFERROR(+$H189-($Q189+$R189*$G189),"-")</f>
        <v>-</v>
      </c>
      <c r="CS189" s="137"/>
      <c r="CT189" s="144" t="str">
        <f aca="false">IFERROR(+$H189-($V189+$W189*$G189),"-")</f>
        <v>-</v>
      </c>
      <c r="CU189" s="144" t="str">
        <f aca="false">IFERROR(+$H189-($X189+$Y189*$G189),"-")</f>
        <v>-</v>
      </c>
      <c r="CV189" s="144" t="str">
        <f aca="false">IFERROR(+$H189-($Z189+$AA189*$G189),"-")</f>
        <v>-</v>
      </c>
      <c r="CW189" s="144" t="str">
        <f aca="false">IFERROR(+$H189-($AB189+$AC189*$G189),"-")</f>
        <v>-</v>
      </c>
    </row>
    <row r="190" s="156" customFormat="true" ht="12.75" hidden="false" customHeight="true" outlineLevel="0" collapsed="false">
      <c r="A190" s="1"/>
      <c r="B190" s="145" t="s">
        <v>260</v>
      </c>
      <c r="C190" s="146" t="s">
        <v>274</v>
      </c>
      <c r="D190" s="147" t="e">
        <f aca="false">VLOOKUP($C190,#REF!,5,0)</f>
        <v>#VALUE!</v>
      </c>
      <c r="E190" s="148" t="e">
        <f aca="false">VLOOKUP($C190,#REF!,6,0)</f>
        <v>#VALUE!</v>
      </c>
      <c r="F190" s="146" t="e">
        <f aca="false">VLOOKUP($C190,#REF!,7,0)</f>
        <v>#VALUE!</v>
      </c>
      <c r="G190" s="146" t="e">
        <f aca="false">VLOOKUP($C190,#REF!,8,0)</f>
        <v>#VALUE!</v>
      </c>
      <c r="H190" s="149" t="e">
        <f aca="false">VLOOKUP($C190,#REF!,9,0)</f>
        <v>#VALUE!</v>
      </c>
      <c r="I190" s="137"/>
      <c r="J190" s="150" t="e">
        <f aca="false">VLOOKUP($C190,#REF!,10,0)</f>
        <v>#VALUE!</v>
      </c>
      <c r="K190" s="151" t="e">
        <f aca="false">VLOOKUP($C190,#REF!,11,0)</f>
        <v>#VALUE!</v>
      </c>
      <c r="L190" s="140"/>
      <c r="M190" s="150" t="e">
        <f aca="false">VLOOKUP($C190,#REF!,12,0)</f>
        <v>#VALUE!</v>
      </c>
      <c r="N190" s="152" t="e">
        <f aca="false">VLOOKUP($C190,#REF!,13,0)</f>
        <v>#VALUE!</v>
      </c>
      <c r="O190" s="150" t="e">
        <f aca="false">VLOOKUP($C190,#REF!,14,0)</f>
        <v>#VALUE!</v>
      </c>
      <c r="P190" s="152" t="e">
        <f aca="false">VLOOKUP($C190,#REF!,15,0)</f>
        <v>#VALUE!</v>
      </c>
      <c r="Q190" s="150" t="e">
        <f aca="false">VLOOKUP($C190,#REF!,16,0)</f>
        <v>#VALUE!</v>
      </c>
      <c r="R190" s="151" t="e">
        <f aca="false">VLOOKUP($C190,#REF!,17,0)</f>
        <v>#VALUE!</v>
      </c>
      <c r="S190" s="152" t="e">
        <f aca="false">VLOOKUP($C190,#REF!,18,0)</f>
        <v>#VALUE!</v>
      </c>
      <c r="T190" s="151" t="e">
        <f aca="false">VLOOKUP($C190,#REF!,19,0)</f>
        <v>#VALUE!</v>
      </c>
      <c r="U190" s="140"/>
      <c r="V190" s="150" t="e">
        <f aca="false">VLOOKUP($C190,#REF!,20,0)</f>
        <v>#VALUE!</v>
      </c>
      <c r="W190" s="152" t="e">
        <f aca="false">VLOOKUP($C190,#REF!,21,0)</f>
        <v>#VALUE!</v>
      </c>
      <c r="X190" s="150" t="e">
        <f aca="false">VLOOKUP($C190,#REF!,22,0)</f>
        <v>#VALUE!</v>
      </c>
      <c r="Y190" s="152" t="e">
        <f aca="false">VLOOKUP($C190,#REF!,23,0)</f>
        <v>#VALUE!</v>
      </c>
      <c r="Z190" s="150" t="e">
        <f aca="false">VLOOKUP($C190,#REF!,24,0)</f>
        <v>#VALUE!</v>
      </c>
      <c r="AA190" s="151" t="e">
        <f aca="false">VLOOKUP($C190,#REF!,25,0)</f>
        <v>#VALUE!</v>
      </c>
      <c r="AB190" s="152" t="e">
        <f aca="false">VLOOKUP($C190,#REF!,26,0)</f>
        <v>#VALUE!</v>
      </c>
      <c r="AC190" s="151" t="e">
        <f aca="false">VLOOKUP($C190,#REF!,27,0)</f>
        <v>#VALUE!</v>
      </c>
      <c r="AD190" s="1"/>
      <c r="AE190" s="150" t="e">
        <f aca="false">IF(M190="-","-","0,5 GB")</f>
        <v>#VALUE!</v>
      </c>
      <c r="AF190" s="153" t="s">
        <v>92</v>
      </c>
      <c r="AG190" s="153" t="s">
        <v>93</v>
      </c>
      <c r="AH190" s="151" t="s">
        <v>94</v>
      </c>
      <c r="AI190" s="1"/>
      <c r="AJ190" s="150" t="s">
        <v>95</v>
      </c>
      <c r="AK190" s="153" t="s">
        <v>96</v>
      </c>
      <c r="AL190" s="153" t="s">
        <v>97</v>
      </c>
      <c r="AM190" s="153" t="s">
        <v>98</v>
      </c>
      <c r="AN190" s="153" t="s">
        <v>98</v>
      </c>
      <c r="AO190" s="151" t="s">
        <v>92</v>
      </c>
      <c r="AP190" s="1"/>
      <c r="AQ190" s="154" t="n">
        <v>91</v>
      </c>
      <c r="AR190" s="137"/>
      <c r="AS190" s="150" t="n">
        <v>0</v>
      </c>
      <c r="AT190" s="151" t="n">
        <v>0</v>
      </c>
      <c r="AU190" s="140"/>
      <c r="AV190" s="150" t="n">
        <f aca="false">IFERROR(ROUND($D190-M190-AW190,0),0)</f>
        <v>0</v>
      </c>
      <c r="AW190" s="151" t="n">
        <f aca="false">IFERROR(N190*$G190,0)</f>
        <v>0</v>
      </c>
      <c r="AX190" s="150" t="n">
        <f aca="false">IFERROR(ROUND($D190-O190-AY190,0),0)</f>
        <v>0</v>
      </c>
      <c r="AY190" s="151" t="n">
        <f aca="false">IFERROR(P190*$G190,0)</f>
        <v>0</v>
      </c>
      <c r="AZ190" s="150" t="n">
        <f aca="false">IFERROR(ROUND($D190-Q190-BA190,0),0)</f>
        <v>0</v>
      </c>
      <c r="BA190" s="151" t="n">
        <f aca="false">IFERROR(R190*$G190,0)</f>
        <v>0</v>
      </c>
      <c r="BB190" s="152" t="n">
        <f aca="false">IFERROR(ROUND($D190-S190-BC190,0),0)</f>
        <v>0</v>
      </c>
      <c r="BC190" s="151" t="n">
        <f aca="false">IFERROR(T190*$G190,0)</f>
        <v>0</v>
      </c>
      <c r="BD190" s="140"/>
      <c r="BE190" s="150" t="n">
        <f aca="false">IFERROR(ROUND($D190-V190-BF190,0),0)</f>
        <v>0</v>
      </c>
      <c r="BF190" s="151" t="n">
        <f aca="false">IFERROR(W190*$G190,0)</f>
        <v>0</v>
      </c>
      <c r="BG190" s="150" t="n">
        <f aca="false">IFERROR(ROUND($D190-X190-BH190,0),0)</f>
        <v>0</v>
      </c>
      <c r="BH190" s="151" t="n">
        <f aca="false">IFERROR(Y190*$G190,0)</f>
        <v>0</v>
      </c>
      <c r="BI190" s="152" t="n">
        <f aca="false">IFERROR(ROUND($D190-Z190-BJ190,0),0)</f>
        <v>0</v>
      </c>
      <c r="BJ190" s="151" t="n">
        <f aca="false">IFERROR(AA190*$G190,0)</f>
        <v>0</v>
      </c>
      <c r="BK190" s="152" t="n">
        <f aca="false">IFERROR(ROUND($D190-AB190-BL190,0),0)</f>
        <v>0</v>
      </c>
      <c r="BL190" s="151" t="n">
        <f aca="false">IFERROR(AC190*$G190,0)</f>
        <v>0</v>
      </c>
      <c r="BM190" s="1"/>
      <c r="BN190" s="154" t="n">
        <v>-8.26000000000002</v>
      </c>
      <c r="BO190" s="155"/>
      <c r="BP190" s="150" t="n">
        <v>-8.26000000000002</v>
      </c>
      <c r="BQ190" s="151" t="n">
        <v>0</v>
      </c>
      <c r="BR190" s="152"/>
      <c r="BS190" s="150" t="n">
        <v>0</v>
      </c>
      <c r="BT190" s="151" t="n">
        <v>0</v>
      </c>
      <c r="BU190" s="150" t="n">
        <v>0</v>
      </c>
      <c r="BV190" s="151" t="n">
        <v>0</v>
      </c>
      <c r="BW190" s="150" t="n">
        <v>0</v>
      </c>
      <c r="BX190" s="151" t="n">
        <v>0</v>
      </c>
      <c r="BY190" s="150" t="n">
        <v>0</v>
      </c>
      <c r="BZ190" s="151" t="n">
        <v>0</v>
      </c>
      <c r="CA190" s="152"/>
      <c r="CB190" s="150" t="n">
        <v>0</v>
      </c>
      <c r="CC190" s="151" t="n">
        <v>0</v>
      </c>
      <c r="CD190" s="150" t="n">
        <v>0</v>
      </c>
      <c r="CE190" s="151" t="n">
        <v>0</v>
      </c>
      <c r="CF190" s="150" t="n">
        <v>0</v>
      </c>
      <c r="CG190" s="151" t="n">
        <v>0</v>
      </c>
      <c r="CH190" s="150" t="n">
        <v>0</v>
      </c>
      <c r="CI190" s="151" t="n">
        <v>0</v>
      </c>
      <c r="CJ190" s="1"/>
      <c r="CK190" s="149"/>
      <c r="CL190" s="137"/>
      <c r="CM190" s="154" t="str">
        <f aca="false">IFERROR(+$H190-($J190+$K190*$G190),"-")</f>
        <v>-</v>
      </c>
      <c r="CN190" s="137"/>
      <c r="CO190" s="154" t="str">
        <f aca="false">IFERROR(+$H190-($M190+$N190*$G190),"-")</f>
        <v>-</v>
      </c>
      <c r="CP190" s="154" t="str">
        <f aca="false">IFERROR(+$H190-($O190+$P190*$G190),"-")</f>
        <v>-</v>
      </c>
      <c r="CQ190" s="154" t="str">
        <f aca="false">IFERROR(+$H190-($Q190+$R190*$G190),"-")</f>
        <v>-</v>
      </c>
      <c r="CR190" s="154" t="str">
        <f aca="false">IFERROR(+$H190-($Q190+$R190*$G190),"-")</f>
        <v>-</v>
      </c>
      <c r="CS190" s="137"/>
      <c r="CT190" s="154" t="str">
        <f aca="false">IFERROR(+$H190-($V190+$W190*$G190),"-")</f>
        <v>-</v>
      </c>
      <c r="CU190" s="154" t="str">
        <f aca="false">IFERROR(+$H190-($X190+$Y190*$G190),"-")</f>
        <v>-</v>
      </c>
      <c r="CV190" s="154" t="str">
        <f aca="false">IFERROR(+$H190-($Z190+$AA190*$G190),"-")</f>
        <v>-</v>
      </c>
      <c r="CW190" s="154" t="str">
        <f aca="false">IFERROR(+$H190-($AB190+$AC190*$G190),"-")</f>
        <v>-</v>
      </c>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row>
    <row r="191" s="1" customFormat="true" ht="12.75" hidden="false" customHeight="true" outlineLevel="0" collapsed="false">
      <c r="B191" s="134" t="s">
        <v>260</v>
      </c>
      <c r="C191" s="135" t="s">
        <v>275</v>
      </c>
      <c r="D191" s="136" t="e">
        <f aca="false">VLOOKUP($C191,#REF!,5,0)</f>
        <v>#VALUE!</v>
      </c>
      <c r="E191" s="157" t="e">
        <f aca="false">VLOOKUP($C191,#REF!,6,0)</f>
        <v>#VALUE!</v>
      </c>
      <c r="F191" s="135" t="e">
        <f aca="false">VLOOKUP($C191,#REF!,7,0)</f>
        <v>#VALUE!</v>
      </c>
      <c r="G191" s="135" t="e">
        <f aca="false">VLOOKUP($C191,#REF!,8,0)</f>
        <v>#VALUE!</v>
      </c>
      <c r="H191" s="158" t="e">
        <f aca="false">VLOOKUP($C191,#REF!,9,0)</f>
        <v>#VALUE!</v>
      </c>
      <c r="I191" s="137"/>
      <c r="J191" s="138" t="e">
        <f aca="false">VLOOKUP($C191,#REF!,10,0)</f>
        <v>#VALUE!</v>
      </c>
      <c r="K191" s="139" t="e">
        <f aca="false">VLOOKUP($C191,#REF!,11,0)</f>
        <v>#VALUE!</v>
      </c>
      <c r="L191" s="140"/>
      <c r="M191" s="138" t="e">
        <f aca="false">VLOOKUP($C191,#REF!,12,0)</f>
        <v>#VALUE!</v>
      </c>
      <c r="N191" s="140" t="e">
        <f aca="false">VLOOKUP($C191,#REF!,13,0)</f>
        <v>#VALUE!</v>
      </c>
      <c r="O191" s="138" t="e">
        <f aca="false">VLOOKUP($C191,#REF!,14,0)</f>
        <v>#VALUE!</v>
      </c>
      <c r="P191" s="140" t="e">
        <f aca="false">VLOOKUP($C191,#REF!,15,0)</f>
        <v>#VALUE!</v>
      </c>
      <c r="Q191" s="138" t="e">
        <f aca="false">VLOOKUP($C191,#REF!,16,0)</f>
        <v>#VALUE!</v>
      </c>
      <c r="R191" s="139" t="e">
        <f aca="false">VLOOKUP($C191,#REF!,17,0)</f>
        <v>#VALUE!</v>
      </c>
      <c r="S191" s="140" t="e">
        <f aca="false">VLOOKUP($C191,#REF!,18,0)</f>
        <v>#VALUE!</v>
      </c>
      <c r="T191" s="139" t="e">
        <f aca="false">VLOOKUP($C191,#REF!,19,0)</f>
        <v>#VALUE!</v>
      </c>
      <c r="U191" s="140"/>
      <c r="V191" s="138" t="e">
        <f aca="false">VLOOKUP($C191,#REF!,20,0)</f>
        <v>#VALUE!</v>
      </c>
      <c r="W191" s="140" t="e">
        <f aca="false">VLOOKUP($C191,#REF!,21,0)</f>
        <v>#VALUE!</v>
      </c>
      <c r="X191" s="138" t="e">
        <f aca="false">VLOOKUP($C191,#REF!,22,0)</f>
        <v>#VALUE!</v>
      </c>
      <c r="Y191" s="140" t="e">
        <f aca="false">VLOOKUP($C191,#REF!,23,0)</f>
        <v>#VALUE!</v>
      </c>
      <c r="Z191" s="138" t="e">
        <f aca="false">VLOOKUP($C191,#REF!,24,0)</f>
        <v>#VALUE!</v>
      </c>
      <c r="AA191" s="139" t="e">
        <f aca="false">VLOOKUP($C191,#REF!,25,0)</f>
        <v>#VALUE!</v>
      </c>
      <c r="AB191" s="140" t="e">
        <f aca="false">VLOOKUP($C191,#REF!,26,0)</f>
        <v>#VALUE!</v>
      </c>
      <c r="AC191" s="139" t="e">
        <f aca="false">VLOOKUP($C191,#REF!,27,0)</f>
        <v>#VALUE!</v>
      </c>
      <c r="AE191" s="138" t="e">
        <f aca="false">IF(M191="-","-","0,5 GB")</f>
        <v>#VALUE!</v>
      </c>
      <c r="AF191" s="141" t="s">
        <v>92</v>
      </c>
      <c r="AG191" s="141" t="s">
        <v>93</v>
      </c>
      <c r="AH191" s="139" t="s">
        <v>94</v>
      </c>
      <c r="AJ191" s="138" t="s">
        <v>95</v>
      </c>
      <c r="AK191" s="141" t="s">
        <v>96</v>
      </c>
      <c r="AL191" s="141" t="s">
        <v>97</v>
      </c>
      <c r="AM191" s="141" t="s">
        <v>98</v>
      </c>
      <c r="AN191" s="141" t="s">
        <v>98</v>
      </c>
      <c r="AO191" s="139" t="s">
        <v>92</v>
      </c>
      <c r="AQ191" s="142" t="n">
        <v>0</v>
      </c>
      <c r="AR191" s="137"/>
      <c r="AS191" s="138" t="n">
        <v>0</v>
      </c>
      <c r="AT191" s="139" t="n">
        <v>0</v>
      </c>
      <c r="AU191" s="140"/>
      <c r="AV191" s="138" t="n">
        <f aca="false">IFERROR(ROUND($D191-M191-AW191,0),0)</f>
        <v>0</v>
      </c>
      <c r="AW191" s="139" t="n">
        <f aca="false">IFERROR(N191*$G191,0)</f>
        <v>0</v>
      </c>
      <c r="AX191" s="138" t="n">
        <f aca="false">IFERROR(ROUND($D191-O191-AY191,0),0)</f>
        <v>0</v>
      </c>
      <c r="AY191" s="139" t="n">
        <f aca="false">IFERROR(P191*$G191,0)</f>
        <v>0</v>
      </c>
      <c r="AZ191" s="138" t="n">
        <f aca="false">IFERROR(ROUND($D191-Q191-BA191,0),0)</f>
        <v>0</v>
      </c>
      <c r="BA191" s="139" t="n">
        <f aca="false">IFERROR(R191*$G191,0)</f>
        <v>0</v>
      </c>
      <c r="BB191" s="140" t="n">
        <f aca="false">IFERROR(ROUND($D191-S191-BC191,0),0)</f>
        <v>0</v>
      </c>
      <c r="BC191" s="139" t="n">
        <f aca="false">IFERROR(T191*$G191,0)</f>
        <v>0</v>
      </c>
      <c r="BD191" s="140"/>
      <c r="BE191" s="138" t="n">
        <f aca="false">IFERROR(ROUND($D191-V191-BF191,0),0)</f>
        <v>0</v>
      </c>
      <c r="BF191" s="139" t="n">
        <f aca="false">IFERROR(W191*$G191,0)</f>
        <v>0</v>
      </c>
      <c r="BG191" s="138" t="n">
        <f aca="false">IFERROR(ROUND($D191-X191-BH191,0),0)</f>
        <v>0</v>
      </c>
      <c r="BH191" s="139" t="n">
        <f aca="false">IFERROR(Y191*$G191,0)</f>
        <v>0</v>
      </c>
      <c r="BI191" s="140" t="n">
        <f aca="false">IFERROR(ROUND($D191-Z191-BJ191,0),0)</f>
        <v>0</v>
      </c>
      <c r="BJ191" s="139" t="n">
        <f aca="false">IFERROR(AA191*$G191,0)</f>
        <v>0</v>
      </c>
      <c r="BK191" s="140" t="n">
        <f aca="false">IFERROR(ROUND($D191-AB191-BL191,0),0)</f>
        <v>0</v>
      </c>
      <c r="BL191" s="139" t="n">
        <f aca="false">IFERROR(AC191*$G191,0)</f>
        <v>0</v>
      </c>
      <c r="BN191" s="142" t="n">
        <v>0</v>
      </c>
      <c r="BO191" s="137"/>
      <c r="BP191" s="138" t="n">
        <v>0</v>
      </c>
      <c r="BQ191" s="139" t="n">
        <v>0</v>
      </c>
      <c r="BR191" s="140"/>
      <c r="BS191" s="138" t="n">
        <v>0</v>
      </c>
      <c r="BT191" s="139" t="n">
        <v>0</v>
      </c>
      <c r="BU191" s="138" t="n">
        <v>0</v>
      </c>
      <c r="BV191" s="139" t="n">
        <v>-13</v>
      </c>
      <c r="BW191" s="138" t="n">
        <v>0</v>
      </c>
      <c r="BX191" s="139" t="n">
        <v>0</v>
      </c>
      <c r="BY191" s="138" t="n">
        <v>0</v>
      </c>
      <c r="BZ191" s="139" t="n">
        <v>0</v>
      </c>
      <c r="CA191" s="140"/>
      <c r="CB191" s="138" t="n">
        <v>0</v>
      </c>
      <c r="CC191" s="139" t="n">
        <v>0</v>
      </c>
      <c r="CD191" s="138" t="n">
        <v>0</v>
      </c>
      <c r="CE191" s="139" t="n">
        <v>0</v>
      </c>
      <c r="CF191" s="138" t="n">
        <v>0</v>
      </c>
      <c r="CG191" s="139" t="n">
        <v>0</v>
      </c>
      <c r="CH191" s="138" t="n">
        <v>0</v>
      </c>
      <c r="CI191" s="139" t="n">
        <v>0</v>
      </c>
      <c r="CK191" s="143"/>
      <c r="CL191" s="137"/>
      <c r="CM191" s="144" t="str">
        <f aca="false">IFERROR(+$H191-($J191+$K191*$G191),"-")</f>
        <v>-</v>
      </c>
      <c r="CN191" s="137"/>
      <c r="CO191" s="144" t="str">
        <f aca="false">IFERROR(+$H191-($M191+$N191*$G191),"-")</f>
        <v>-</v>
      </c>
      <c r="CP191" s="144" t="str">
        <f aca="false">IFERROR(+$H191-($O191+$P191*$G191),"-")</f>
        <v>-</v>
      </c>
      <c r="CQ191" s="144" t="str">
        <f aca="false">IFERROR(+$H191-($Q191+$R191*$G191),"-")</f>
        <v>-</v>
      </c>
      <c r="CR191" s="144" t="str">
        <f aca="false">IFERROR(+$H191-($Q191+$R191*$G191),"-")</f>
        <v>-</v>
      </c>
      <c r="CS191" s="137"/>
      <c r="CT191" s="144" t="str">
        <f aca="false">IFERROR(+$H191-($V191+$W191*$G191),"-")</f>
        <v>-</v>
      </c>
      <c r="CU191" s="144" t="str">
        <f aca="false">IFERROR(+$H191-($X191+$Y191*$G191),"-")</f>
        <v>-</v>
      </c>
      <c r="CV191" s="144" t="str">
        <f aca="false">IFERROR(+$H191-($Z191+$AA191*$G191),"-")</f>
        <v>-</v>
      </c>
      <c r="CW191" s="144" t="str">
        <f aca="false">IFERROR(+$H191-($AB191+$AC191*$G191),"-")</f>
        <v>-</v>
      </c>
    </row>
    <row r="192" s="156" customFormat="true" ht="12.75" hidden="false" customHeight="true" outlineLevel="0" collapsed="false">
      <c r="A192" s="1"/>
      <c r="B192" s="145" t="s">
        <v>260</v>
      </c>
      <c r="C192" s="146" t="s">
        <v>276</v>
      </c>
      <c r="D192" s="147" t="e">
        <f aca="false">VLOOKUP($C192,#REF!,5,0)</f>
        <v>#VALUE!</v>
      </c>
      <c r="E192" s="148" t="e">
        <f aca="false">VLOOKUP($C192,#REF!,6,0)</f>
        <v>#VALUE!</v>
      </c>
      <c r="F192" s="146" t="e">
        <f aca="false">VLOOKUP($C192,#REF!,7,0)</f>
        <v>#VALUE!</v>
      </c>
      <c r="G192" s="146" t="e">
        <f aca="false">VLOOKUP($C192,#REF!,8,0)</f>
        <v>#VALUE!</v>
      </c>
      <c r="H192" s="149" t="e">
        <f aca="false">VLOOKUP($C192,#REF!,9,0)</f>
        <v>#VALUE!</v>
      </c>
      <c r="I192" s="137"/>
      <c r="J192" s="150" t="e">
        <f aca="false">VLOOKUP($C192,#REF!,10,0)</f>
        <v>#VALUE!</v>
      </c>
      <c r="K192" s="151" t="e">
        <f aca="false">VLOOKUP($C192,#REF!,11,0)</f>
        <v>#VALUE!</v>
      </c>
      <c r="L192" s="140"/>
      <c r="M192" s="150" t="e">
        <f aca="false">VLOOKUP($C192,#REF!,12,0)</f>
        <v>#VALUE!</v>
      </c>
      <c r="N192" s="152" t="e">
        <f aca="false">VLOOKUP($C192,#REF!,13,0)</f>
        <v>#VALUE!</v>
      </c>
      <c r="O192" s="150" t="e">
        <f aca="false">VLOOKUP($C192,#REF!,14,0)</f>
        <v>#VALUE!</v>
      </c>
      <c r="P192" s="152" t="e">
        <f aca="false">VLOOKUP($C192,#REF!,15,0)</f>
        <v>#VALUE!</v>
      </c>
      <c r="Q192" s="150" t="e">
        <f aca="false">VLOOKUP($C192,#REF!,16,0)</f>
        <v>#VALUE!</v>
      </c>
      <c r="R192" s="151" t="e">
        <f aca="false">VLOOKUP($C192,#REF!,17,0)</f>
        <v>#VALUE!</v>
      </c>
      <c r="S192" s="152" t="e">
        <f aca="false">VLOOKUP($C192,#REF!,18,0)</f>
        <v>#VALUE!</v>
      </c>
      <c r="T192" s="151" t="e">
        <f aca="false">VLOOKUP($C192,#REF!,19,0)</f>
        <v>#VALUE!</v>
      </c>
      <c r="U192" s="140"/>
      <c r="V192" s="150" t="e">
        <f aca="false">VLOOKUP($C192,#REF!,20,0)</f>
        <v>#VALUE!</v>
      </c>
      <c r="W192" s="152" t="e">
        <f aca="false">VLOOKUP($C192,#REF!,21,0)</f>
        <v>#VALUE!</v>
      </c>
      <c r="X192" s="150" t="e">
        <f aca="false">VLOOKUP($C192,#REF!,22,0)</f>
        <v>#VALUE!</v>
      </c>
      <c r="Y192" s="152" t="e">
        <f aca="false">VLOOKUP($C192,#REF!,23,0)</f>
        <v>#VALUE!</v>
      </c>
      <c r="Z192" s="150" t="e">
        <f aca="false">VLOOKUP($C192,#REF!,24,0)</f>
        <v>#VALUE!</v>
      </c>
      <c r="AA192" s="151" t="e">
        <f aca="false">VLOOKUP($C192,#REF!,25,0)</f>
        <v>#VALUE!</v>
      </c>
      <c r="AB192" s="152" t="e">
        <f aca="false">VLOOKUP($C192,#REF!,26,0)</f>
        <v>#VALUE!</v>
      </c>
      <c r="AC192" s="151" t="e">
        <f aca="false">VLOOKUP($C192,#REF!,27,0)</f>
        <v>#VALUE!</v>
      </c>
      <c r="AD192" s="1"/>
      <c r="AE192" s="150" t="e">
        <f aca="false">IF(M192="-","-","0,5 GB")</f>
        <v>#VALUE!</v>
      </c>
      <c r="AF192" s="153" t="s">
        <v>92</v>
      </c>
      <c r="AG192" s="153" t="s">
        <v>93</v>
      </c>
      <c r="AH192" s="151" t="s">
        <v>94</v>
      </c>
      <c r="AI192" s="1"/>
      <c r="AJ192" s="150" t="s">
        <v>95</v>
      </c>
      <c r="AK192" s="153" t="s">
        <v>96</v>
      </c>
      <c r="AL192" s="153" t="s">
        <v>97</v>
      </c>
      <c r="AM192" s="153" t="s">
        <v>98</v>
      </c>
      <c r="AN192" s="153" t="s">
        <v>98</v>
      </c>
      <c r="AO192" s="151" t="s">
        <v>92</v>
      </c>
      <c r="AP192" s="1"/>
      <c r="AQ192" s="154" t="n">
        <v>1</v>
      </c>
      <c r="AR192" s="137"/>
      <c r="AS192" s="150" t="n">
        <v>0</v>
      </c>
      <c r="AT192" s="151" t="n">
        <v>0</v>
      </c>
      <c r="AU192" s="140"/>
      <c r="AV192" s="150" t="n">
        <f aca="false">IFERROR(ROUND($D192-M192-AW192,0),0)</f>
        <v>0</v>
      </c>
      <c r="AW192" s="151" t="n">
        <f aca="false">IFERROR(N192*$G192,0)</f>
        <v>0</v>
      </c>
      <c r="AX192" s="150" t="n">
        <f aca="false">IFERROR(ROUND($D192-O192-AY192,0),0)</f>
        <v>0</v>
      </c>
      <c r="AY192" s="151" t="n">
        <f aca="false">IFERROR(P192*$G192,0)</f>
        <v>0</v>
      </c>
      <c r="AZ192" s="150" t="n">
        <f aca="false">IFERROR(ROUND($D192-Q192-BA192,0),0)</f>
        <v>0</v>
      </c>
      <c r="BA192" s="151" t="n">
        <f aca="false">IFERROR(R192*$G192,0)</f>
        <v>0</v>
      </c>
      <c r="BB192" s="152" t="n">
        <f aca="false">IFERROR(ROUND($D192-S192-BC192,0),0)</f>
        <v>0</v>
      </c>
      <c r="BC192" s="151" t="n">
        <f aca="false">IFERROR(T192*$G192,0)</f>
        <v>0</v>
      </c>
      <c r="BD192" s="140"/>
      <c r="BE192" s="150" t="n">
        <f aca="false">IFERROR(ROUND($D192-V192-BF192,0),0)</f>
        <v>0</v>
      </c>
      <c r="BF192" s="151" t="n">
        <f aca="false">IFERROR(W192*$G192,0)</f>
        <v>0</v>
      </c>
      <c r="BG192" s="150" t="n">
        <f aca="false">IFERROR(ROUND($D192-X192-BH192,0),0)</f>
        <v>0</v>
      </c>
      <c r="BH192" s="151" t="n">
        <f aca="false">IFERROR(Y192*$G192,0)</f>
        <v>0</v>
      </c>
      <c r="BI192" s="152" t="n">
        <f aca="false">IFERROR(ROUND($D192-Z192-BJ192,0),0)</f>
        <v>0</v>
      </c>
      <c r="BJ192" s="151" t="n">
        <f aca="false">IFERROR(AA192*$G192,0)</f>
        <v>0</v>
      </c>
      <c r="BK192" s="152" t="n">
        <f aca="false">IFERROR(ROUND($D192-AB192-BL192,0),0)</f>
        <v>0</v>
      </c>
      <c r="BL192" s="151" t="n">
        <f aca="false">IFERROR(AC192*$G192,0)</f>
        <v>0</v>
      </c>
      <c r="BM192" s="1"/>
      <c r="BN192" s="154" t="n">
        <v>0</v>
      </c>
      <c r="BO192" s="155"/>
      <c r="BP192" s="150" t="n">
        <v>0</v>
      </c>
      <c r="BQ192" s="151" t="n">
        <v>0</v>
      </c>
      <c r="BR192" s="152"/>
      <c r="BS192" s="150" t="n">
        <v>0</v>
      </c>
      <c r="BT192" s="151" t="n">
        <v>0</v>
      </c>
      <c r="BU192" s="150" t="n">
        <v>0</v>
      </c>
      <c r="BV192" s="151" t="n">
        <v>0</v>
      </c>
      <c r="BW192" s="150" t="n">
        <v>0</v>
      </c>
      <c r="BX192" s="151" t="n">
        <v>0</v>
      </c>
      <c r="BY192" s="150" t="n">
        <v>0</v>
      </c>
      <c r="BZ192" s="151" t="n">
        <v>0</v>
      </c>
      <c r="CA192" s="152"/>
      <c r="CB192" s="150" t="n">
        <v>0</v>
      </c>
      <c r="CC192" s="151" t="n">
        <v>0</v>
      </c>
      <c r="CD192" s="150" t="n">
        <v>0</v>
      </c>
      <c r="CE192" s="151" t="n">
        <v>0</v>
      </c>
      <c r="CF192" s="150" t="n">
        <v>0</v>
      </c>
      <c r="CG192" s="151" t="n">
        <v>0</v>
      </c>
      <c r="CH192" s="150" t="n">
        <v>0</v>
      </c>
      <c r="CI192" s="151" t="n">
        <v>0</v>
      </c>
      <c r="CJ192" s="1"/>
      <c r="CK192" s="149"/>
      <c r="CL192" s="137"/>
      <c r="CM192" s="154" t="str">
        <f aca="false">IFERROR(+$H192-($J192+$K192*$G192),"-")</f>
        <v>-</v>
      </c>
      <c r="CN192" s="137"/>
      <c r="CO192" s="154" t="str">
        <f aca="false">IFERROR(+$H192-($M192+$N192*$G192),"-")</f>
        <v>-</v>
      </c>
      <c r="CP192" s="154" t="str">
        <f aca="false">IFERROR(+$H192-($O192+$P192*$G192),"-")</f>
        <v>-</v>
      </c>
      <c r="CQ192" s="154" t="str">
        <f aca="false">IFERROR(+$H192-($Q192+$R192*$G192),"-")</f>
        <v>-</v>
      </c>
      <c r="CR192" s="154" t="str">
        <f aca="false">IFERROR(+$H192-($Q192+$R192*$G192),"-")</f>
        <v>-</v>
      </c>
      <c r="CS192" s="137"/>
      <c r="CT192" s="154" t="str">
        <f aca="false">IFERROR(+$H192-($V192+$W192*$G192),"-")</f>
        <v>-</v>
      </c>
      <c r="CU192" s="154" t="str">
        <f aca="false">IFERROR(+$H192-($X192+$Y192*$G192),"-")</f>
        <v>-</v>
      </c>
      <c r="CV192" s="154" t="str">
        <f aca="false">IFERROR(+$H192-($Z192+$AA192*$G192),"-")</f>
        <v>-</v>
      </c>
      <c r="CW192" s="154" t="str">
        <f aca="false">IFERROR(+$H192-($AB192+$AC192*$G192),"-")</f>
        <v>-</v>
      </c>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row>
    <row r="193" s="1" customFormat="true" ht="12.75" hidden="false" customHeight="true" outlineLevel="0" collapsed="false">
      <c r="B193" s="134" t="s">
        <v>277</v>
      </c>
      <c r="C193" s="135" t="s">
        <v>278</v>
      </c>
      <c r="D193" s="136" t="e">
        <f aca="false">VLOOKUP($C193,#REF!,5,0)</f>
        <v>#VALUE!</v>
      </c>
      <c r="E193" s="157" t="e">
        <f aca="false">VLOOKUP($C193,#REF!,6,0)</f>
        <v>#VALUE!</v>
      </c>
      <c r="F193" s="135" t="e">
        <f aca="false">VLOOKUP($C193,#REF!,7,0)</f>
        <v>#VALUE!</v>
      </c>
      <c r="G193" s="135" t="e">
        <f aca="false">VLOOKUP($C193,#REF!,8,0)</f>
        <v>#VALUE!</v>
      </c>
      <c r="H193" s="158" t="e">
        <f aca="false">VLOOKUP($C193,#REF!,9,0)</f>
        <v>#VALUE!</v>
      </c>
      <c r="I193" s="137"/>
      <c r="J193" s="138" t="e">
        <f aca="false">VLOOKUP($C193,#REF!,10,0)</f>
        <v>#VALUE!</v>
      </c>
      <c r="K193" s="139" t="e">
        <f aca="false">VLOOKUP($C193,#REF!,11,0)</f>
        <v>#VALUE!</v>
      </c>
      <c r="L193" s="140"/>
      <c r="M193" s="138" t="e">
        <f aca="false">VLOOKUP($C193,#REF!,12,0)</f>
        <v>#VALUE!</v>
      </c>
      <c r="N193" s="140" t="e">
        <f aca="false">VLOOKUP($C193,#REF!,13,0)</f>
        <v>#VALUE!</v>
      </c>
      <c r="O193" s="138" t="e">
        <f aca="false">VLOOKUP($C193,#REF!,14,0)</f>
        <v>#VALUE!</v>
      </c>
      <c r="P193" s="140" t="e">
        <f aca="false">VLOOKUP($C193,#REF!,15,0)</f>
        <v>#VALUE!</v>
      </c>
      <c r="Q193" s="138" t="e">
        <f aca="false">VLOOKUP($C193,#REF!,16,0)</f>
        <v>#VALUE!</v>
      </c>
      <c r="R193" s="139" t="e">
        <f aca="false">VLOOKUP($C193,#REF!,17,0)</f>
        <v>#VALUE!</v>
      </c>
      <c r="S193" s="140" t="e">
        <f aca="false">VLOOKUP($C193,#REF!,18,0)</f>
        <v>#VALUE!</v>
      </c>
      <c r="T193" s="139" t="e">
        <f aca="false">VLOOKUP($C193,#REF!,19,0)</f>
        <v>#VALUE!</v>
      </c>
      <c r="U193" s="140"/>
      <c r="V193" s="138" t="e">
        <f aca="false">VLOOKUP($C193,#REF!,20,0)</f>
        <v>#VALUE!</v>
      </c>
      <c r="W193" s="140" t="e">
        <f aca="false">VLOOKUP($C193,#REF!,21,0)</f>
        <v>#VALUE!</v>
      </c>
      <c r="X193" s="138" t="e">
        <f aca="false">VLOOKUP($C193,#REF!,22,0)</f>
        <v>#VALUE!</v>
      </c>
      <c r="Y193" s="140" t="e">
        <f aca="false">VLOOKUP($C193,#REF!,23,0)</f>
        <v>#VALUE!</v>
      </c>
      <c r="Z193" s="138" t="e">
        <f aca="false">VLOOKUP($C193,#REF!,24,0)</f>
        <v>#VALUE!</v>
      </c>
      <c r="AA193" s="139" t="e">
        <f aca="false">VLOOKUP($C193,#REF!,25,0)</f>
        <v>#VALUE!</v>
      </c>
      <c r="AB193" s="140" t="e">
        <f aca="false">VLOOKUP($C193,#REF!,26,0)</f>
        <v>#VALUE!</v>
      </c>
      <c r="AC193" s="139" t="e">
        <f aca="false">VLOOKUP($C193,#REF!,27,0)</f>
        <v>#VALUE!</v>
      </c>
      <c r="AE193" s="138" t="e">
        <f aca="false">IF(M193="-","-","0,5 GB")</f>
        <v>#VALUE!</v>
      </c>
      <c r="AF193" s="141" t="s">
        <v>92</v>
      </c>
      <c r="AG193" s="141" t="s">
        <v>93</v>
      </c>
      <c r="AH193" s="139" t="s">
        <v>94</v>
      </c>
      <c r="AJ193" s="138" t="s">
        <v>95</v>
      </c>
      <c r="AK193" s="141" t="s">
        <v>96</v>
      </c>
      <c r="AL193" s="141" t="s">
        <v>97</v>
      </c>
      <c r="AM193" s="141" t="s">
        <v>98</v>
      </c>
      <c r="AN193" s="141" t="s">
        <v>98</v>
      </c>
      <c r="AO193" s="139" t="s">
        <v>92</v>
      </c>
      <c r="AQ193" s="142" t="n">
        <v>1</v>
      </c>
      <c r="AR193" s="137"/>
      <c r="AS193" s="138" t="n">
        <v>0</v>
      </c>
      <c r="AT193" s="139" t="n">
        <v>0</v>
      </c>
      <c r="AU193" s="140"/>
      <c r="AV193" s="138" t="n">
        <f aca="false">IFERROR(ROUND($D193-M193-AW193,0),0)</f>
        <v>0</v>
      </c>
      <c r="AW193" s="139" t="n">
        <f aca="false">IFERROR(N193*$G193,0)</f>
        <v>0</v>
      </c>
      <c r="AX193" s="138" t="n">
        <f aca="false">IFERROR(ROUND($D193-O193-AY193,0),0)</f>
        <v>0</v>
      </c>
      <c r="AY193" s="139" t="n">
        <f aca="false">IFERROR(P193*$G193,0)</f>
        <v>0</v>
      </c>
      <c r="AZ193" s="138" t="n">
        <f aca="false">IFERROR(ROUND($D193-Q193-BA193,0),0)</f>
        <v>0</v>
      </c>
      <c r="BA193" s="139" t="n">
        <f aca="false">IFERROR(R193*$G193,0)</f>
        <v>0</v>
      </c>
      <c r="BB193" s="140" t="n">
        <f aca="false">IFERROR(ROUND($D193-S193-BC193,0),0)</f>
        <v>0</v>
      </c>
      <c r="BC193" s="139" t="n">
        <f aca="false">IFERROR(T193*$G193,0)</f>
        <v>0</v>
      </c>
      <c r="BD193" s="140"/>
      <c r="BE193" s="138" t="n">
        <f aca="false">IFERROR(ROUND($D193-V193-BF193,0),0)</f>
        <v>0</v>
      </c>
      <c r="BF193" s="139" t="n">
        <f aca="false">IFERROR(W193*$G193,0)</f>
        <v>0</v>
      </c>
      <c r="BG193" s="138" t="n">
        <f aca="false">IFERROR(ROUND($D193-X193-BH193,0),0)</f>
        <v>0</v>
      </c>
      <c r="BH193" s="139" t="n">
        <f aca="false">IFERROR(Y193*$G193,0)</f>
        <v>0</v>
      </c>
      <c r="BI193" s="140" t="n">
        <f aca="false">IFERROR(ROUND($D193-Z193-BJ193,0),0)</f>
        <v>0</v>
      </c>
      <c r="BJ193" s="139" t="n">
        <f aca="false">IFERROR(AA193*$G193,0)</f>
        <v>0</v>
      </c>
      <c r="BK193" s="140" t="n">
        <f aca="false">IFERROR(ROUND($D193-AB193-BL193,0),0)</f>
        <v>0</v>
      </c>
      <c r="BL193" s="139" t="n">
        <f aca="false">IFERROR(AC193*$G193,0)</f>
        <v>0</v>
      </c>
      <c r="BN193" s="142" t="n">
        <v>0</v>
      </c>
      <c r="BO193" s="137"/>
      <c r="BP193" s="138" t="n">
        <v>0</v>
      </c>
      <c r="BQ193" s="139" t="n">
        <v>0</v>
      </c>
      <c r="BR193" s="140"/>
      <c r="BS193" s="138" t="n">
        <v>0</v>
      </c>
      <c r="BT193" s="139" t="n">
        <v>0</v>
      </c>
      <c r="BU193" s="138" t="n">
        <v>0</v>
      </c>
      <c r="BV193" s="139" t="n">
        <v>0</v>
      </c>
      <c r="BW193" s="138" t="n">
        <v>0</v>
      </c>
      <c r="BX193" s="139" t="n">
        <v>0</v>
      </c>
      <c r="BY193" s="138" t="n">
        <v>0</v>
      </c>
      <c r="BZ193" s="139" t="n">
        <v>0</v>
      </c>
      <c r="CA193" s="140"/>
      <c r="CB193" s="138" t="n">
        <v>0</v>
      </c>
      <c r="CC193" s="139" t="n">
        <v>0</v>
      </c>
      <c r="CD193" s="138" t="n">
        <v>0</v>
      </c>
      <c r="CE193" s="139" t="n">
        <v>0</v>
      </c>
      <c r="CF193" s="138" t="n">
        <v>0</v>
      </c>
      <c r="CG193" s="139" t="n">
        <v>0</v>
      </c>
      <c r="CH193" s="138" t="n">
        <v>0</v>
      </c>
      <c r="CI193" s="139" t="n">
        <v>0</v>
      </c>
      <c r="CK193" s="143"/>
      <c r="CL193" s="137"/>
      <c r="CM193" s="144" t="str">
        <f aca="false">IFERROR(+$H193-($J193+$K193*$G193),"-")</f>
        <v>-</v>
      </c>
      <c r="CN193" s="137"/>
      <c r="CO193" s="144" t="str">
        <f aca="false">IFERROR(+$H193-($M193+$N193*$G193),"-")</f>
        <v>-</v>
      </c>
      <c r="CP193" s="144" t="str">
        <f aca="false">IFERROR(+$H193-($O193+$P193*$G193),"-")</f>
        <v>-</v>
      </c>
      <c r="CQ193" s="144" t="str">
        <f aca="false">IFERROR(+$H193-($Q193+$R193*$G193),"-")</f>
        <v>-</v>
      </c>
      <c r="CR193" s="144" t="str">
        <f aca="false">IFERROR(+$H193-($Q193+$R193*$G193),"-")</f>
        <v>-</v>
      </c>
      <c r="CS193" s="137"/>
      <c r="CT193" s="144" t="str">
        <f aca="false">IFERROR(+$H193-($V193+$W193*$G193),"-")</f>
        <v>-</v>
      </c>
      <c r="CU193" s="144" t="str">
        <f aca="false">IFERROR(+$H193-($X193+$Y193*$G193),"-")</f>
        <v>-</v>
      </c>
      <c r="CV193" s="144" t="str">
        <f aca="false">IFERROR(+$H193-($Z193+$AA193*$G193),"-")</f>
        <v>-</v>
      </c>
      <c r="CW193" s="144" t="str">
        <f aca="false">IFERROR(+$H193-($AB193+$AC193*$G193),"-")</f>
        <v>-</v>
      </c>
    </row>
    <row r="194" s="156" customFormat="true" ht="12.75" hidden="false" customHeight="true" outlineLevel="0" collapsed="false">
      <c r="A194" s="1"/>
      <c r="B194" s="145" t="s">
        <v>279</v>
      </c>
      <c r="C194" s="146" t="s">
        <v>280</v>
      </c>
      <c r="D194" s="147" t="n">
        <v>827</v>
      </c>
      <c r="E194" s="148" t="n">
        <v>0</v>
      </c>
      <c r="F194" s="146" t="s">
        <v>281</v>
      </c>
      <c r="G194" s="146" t="n">
        <v>24</v>
      </c>
      <c r="H194" s="149" t="n">
        <v>825.619834710744</v>
      </c>
      <c r="I194" s="137"/>
      <c r="J194" s="150" t="s">
        <v>12</v>
      </c>
      <c r="K194" s="151" t="s">
        <v>12</v>
      </c>
      <c r="L194" s="140"/>
      <c r="M194" s="150" t="s">
        <v>12</v>
      </c>
      <c r="N194" s="152" t="s">
        <v>12</v>
      </c>
      <c r="O194" s="150" t="n">
        <v>249</v>
      </c>
      <c r="P194" s="152" t="n">
        <v>19</v>
      </c>
      <c r="Q194" s="150" t="n">
        <v>209</v>
      </c>
      <c r="R194" s="151" t="n">
        <v>17</v>
      </c>
      <c r="S194" s="152" t="n">
        <v>209</v>
      </c>
      <c r="T194" s="151" t="n">
        <v>17</v>
      </c>
      <c r="U194" s="140"/>
      <c r="V194" s="150" t="n">
        <v>329.75</v>
      </c>
      <c r="W194" s="152" t="n">
        <v>14.75</v>
      </c>
      <c r="X194" s="150" t="n">
        <v>0</v>
      </c>
      <c r="Y194" s="152" t="n">
        <v>28.75</v>
      </c>
      <c r="Z194" s="150" t="n">
        <v>0</v>
      </c>
      <c r="AA194" s="151" t="n">
        <v>27.75</v>
      </c>
      <c r="AB194" s="152" t="n">
        <v>0</v>
      </c>
      <c r="AC194" s="151" t="n">
        <v>26.75</v>
      </c>
      <c r="AD194" s="1"/>
      <c r="AE194" s="150" t="str">
        <f aca="false">IF(M194="-","-","0,5 GB")</f>
        <v>-</v>
      </c>
      <c r="AF194" s="153" t="s">
        <v>92</v>
      </c>
      <c r="AG194" s="153" t="s">
        <v>93</v>
      </c>
      <c r="AH194" s="151" t="s">
        <v>94</v>
      </c>
      <c r="AI194" s="1"/>
      <c r="AJ194" s="150" t="s">
        <v>95</v>
      </c>
      <c r="AK194" s="153" t="s">
        <v>96</v>
      </c>
      <c r="AL194" s="153" t="s">
        <v>97</v>
      </c>
      <c r="AM194" s="153" t="s">
        <v>98</v>
      </c>
      <c r="AN194" s="153" t="s">
        <v>98</v>
      </c>
      <c r="AO194" s="151" t="s">
        <v>92</v>
      </c>
      <c r="AP194" s="1"/>
      <c r="AQ194" s="154"/>
      <c r="AR194" s="137"/>
      <c r="AS194" s="150" t="n">
        <v>0</v>
      </c>
      <c r="AT194" s="151" t="n">
        <v>0</v>
      </c>
      <c r="AU194" s="140"/>
      <c r="AV194" s="150" t="n">
        <v>0</v>
      </c>
      <c r="AW194" s="151" t="n">
        <v>0</v>
      </c>
      <c r="AX194" s="150" t="n">
        <v>122</v>
      </c>
      <c r="AY194" s="151" t="n">
        <v>456</v>
      </c>
      <c r="AZ194" s="150" t="n">
        <v>210</v>
      </c>
      <c r="BA194" s="151" t="n">
        <v>408</v>
      </c>
      <c r="BB194" s="152" t="n">
        <v>210</v>
      </c>
      <c r="BC194" s="151" t="n">
        <v>408</v>
      </c>
      <c r="BD194" s="140"/>
      <c r="BE194" s="150" t="n">
        <v>143</v>
      </c>
      <c r="BF194" s="151" t="n">
        <v>354</v>
      </c>
      <c r="BG194" s="150" t="n">
        <v>137</v>
      </c>
      <c r="BH194" s="151" t="n">
        <v>690</v>
      </c>
      <c r="BI194" s="152" t="n">
        <v>161</v>
      </c>
      <c r="BJ194" s="151" t="n">
        <v>666</v>
      </c>
      <c r="BK194" s="152" t="n">
        <v>185</v>
      </c>
      <c r="BL194" s="151" t="n">
        <v>642</v>
      </c>
      <c r="BM194" s="1"/>
      <c r="BN194" s="154"/>
      <c r="BO194" s="155"/>
      <c r="BP194" s="150"/>
      <c r="BQ194" s="151"/>
      <c r="BR194" s="152"/>
      <c r="BS194" s="150"/>
      <c r="BT194" s="151"/>
      <c r="BU194" s="150"/>
      <c r="BV194" s="151"/>
      <c r="BW194" s="150"/>
      <c r="BX194" s="151"/>
      <c r="BY194" s="150"/>
      <c r="BZ194" s="151"/>
      <c r="CA194" s="152"/>
      <c r="CB194" s="150"/>
      <c r="CC194" s="151"/>
      <c r="CD194" s="150"/>
      <c r="CE194" s="151"/>
      <c r="CF194" s="150"/>
      <c r="CG194" s="151"/>
      <c r="CH194" s="150"/>
      <c r="CI194" s="151"/>
      <c r="CJ194" s="1"/>
      <c r="CK194" s="149"/>
      <c r="CL194" s="137"/>
      <c r="CM194" s="154" t="str">
        <f aca="false">IFERROR(+$H194-($J194+$K194*$G194),"-")</f>
        <v>-</v>
      </c>
      <c r="CN194" s="137"/>
      <c r="CO194" s="154" t="str">
        <f aca="false">IFERROR(+$H194-($M194+$N194*$G194),"-")</f>
        <v>-</v>
      </c>
      <c r="CP194" s="154" t="n">
        <f aca="false">IFERROR(+$H194-($O194+$P194*$G194),"-")</f>
        <v>120.619834710744</v>
      </c>
      <c r="CQ194" s="154" t="n">
        <f aca="false">IFERROR(+$H194-($Q194+$R194*$G194),"-")</f>
        <v>208.619834710744</v>
      </c>
      <c r="CR194" s="154" t="n">
        <f aca="false">IFERROR(+$H194-($Q194+$R194*$G194),"-")</f>
        <v>208.619834710744</v>
      </c>
      <c r="CS194" s="137"/>
      <c r="CT194" s="154" t="n">
        <f aca="false">IFERROR(+$H194-($V194+$W194*$G194),"-")</f>
        <v>141.869834710744</v>
      </c>
      <c r="CU194" s="154" t="n">
        <f aca="false">IFERROR(+$H194-($X194+$Y194*$G194),"-")</f>
        <v>135.619834710744</v>
      </c>
      <c r="CV194" s="154" t="n">
        <f aca="false">IFERROR(+$H194-($Z194+$AA194*$G194),"-")</f>
        <v>159.619834710744</v>
      </c>
      <c r="CW194" s="154" t="n">
        <f aca="false">IFERROR(+$H194-($AB194+$AC194*$G194),"-")</f>
        <v>183.619834710744</v>
      </c>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c r="EG194" s="1"/>
      <c r="EH194" s="1"/>
    </row>
    <row r="195" s="156" customFormat="true" ht="12.75" hidden="false" customHeight="true" outlineLevel="0" collapsed="false">
      <c r="A195" s="1"/>
      <c r="B195" s="145" t="s">
        <v>130</v>
      </c>
      <c r="C195" s="146" t="s">
        <v>282</v>
      </c>
      <c r="D195" s="147" t="e">
        <f aca="false">VLOOKUP($C195,#REF!,5,0)</f>
        <v>#VALUE!</v>
      </c>
      <c r="E195" s="148" t="e">
        <f aca="false">VLOOKUP($C195,#REF!,6,0)</f>
        <v>#VALUE!</v>
      </c>
      <c r="F195" s="146" t="e">
        <f aca="false">VLOOKUP($C195,#REF!,7,0)</f>
        <v>#VALUE!</v>
      </c>
      <c r="G195" s="146" t="e">
        <f aca="false">VLOOKUP($C195,#REF!,8,0)</f>
        <v>#VALUE!</v>
      </c>
      <c r="H195" s="149" t="e">
        <f aca="false">VLOOKUP($C195,#REF!,9,0)</f>
        <v>#VALUE!</v>
      </c>
      <c r="I195" s="137"/>
      <c r="J195" s="150" t="e">
        <f aca="false">VLOOKUP($C195,#REF!,10,0)</f>
        <v>#VALUE!</v>
      </c>
      <c r="K195" s="151" t="e">
        <f aca="false">VLOOKUP($C195,#REF!,11,0)</f>
        <v>#VALUE!</v>
      </c>
      <c r="L195" s="140"/>
      <c r="M195" s="150" t="e">
        <f aca="false">VLOOKUP($C195,#REF!,12,0)</f>
        <v>#VALUE!</v>
      </c>
      <c r="N195" s="152" t="e">
        <f aca="false">VLOOKUP($C195,#REF!,13,0)</f>
        <v>#VALUE!</v>
      </c>
      <c r="O195" s="150" t="e">
        <f aca="false">VLOOKUP($C195,#REF!,14,0)</f>
        <v>#VALUE!</v>
      </c>
      <c r="P195" s="152" t="e">
        <f aca="false">VLOOKUP($C195,#REF!,15,0)</f>
        <v>#VALUE!</v>
      </c>
      <c r="Q195" s="150" t="e">
        <f aca="false">VLOOKUP($C195,#REF!,16,0)</f>
        <v>#VALUE!</v>
      </c>
      <c r="R195" s="151" t="e">
        <f aca="false">VLOOKUP($C195,#REF!,17,0)</f>
        <v>#VALUE!</v>
      </c>
      <c r="S195" s="152" t="e">
        <f aca="false">VLOOKUP($C195,#REF!,18,0)</f>
        <v>#VALUE!</v>
      </c>
      <c r="T195" s="151" t="e">
        <f aca="false">VLOOKUP($C195,#REF!,19,0)</f>
        <v>#VALUE!</v>
      </c>
      <c r="U195" s="140"/>
      <c r="V195" s="150" t="e">
        <f aca="false">VLOOKUP($C195,#REF!,20,0)</f>
        <v>#VALUE!</v>
      </c>
      <c r="W195" s="152" t="e">
        <f aca="false">VLOOKUP($C195,#REF!,21,0)</f>
        <v>#VALUE!</v>
      </c>
      <c r="X195" s="150" t="e">
        <f aca="false">VLOOKUP($C195,#REF!,22,0)</f>
        <v>#VALUE!</v>
      </c>
      <c r="Y195" s="152" t="e">
        <f aca="false">VLOOKUP($C195,#REF!,23,0)</f>
        <v>#VALUE!</v>
      </c>
      <c r="Z195" s="150" t="e">
        <f aca="false">VLOOKUP($C195,#REF!,24,0)</f>
        <v>#VALUE!</v>
      </c>
      <c r="AA195" s="151" t="e">
        <f aca="false">VLOOKUP($C195,#REF!,25,0)</f>
        <v>#VALUE!</v>
      </c>
      <c r="AB195" s="152" t="e">
        <f aca="false">VLOOKUP($C195,#REF!,26,0)</f>
        <v>#VALUE!</v>
      </c>
      <c r="AC195" s="151" t="e">
        <f aca="false">VLOOKUP($C195,#REF!,27,0)</f>
        <v>#VALUE!</v>
      </c>
      <c r="AD195" s="1"/>
      <c r="AE195" s="150" t="e">
        <f aca="false">IF(M195="-","-","0,5 GB")</f>
        <v>#VALUE!</v>
      </c>
      <c r="AF195" s="153" t="s">
        <v>92</v>
      </c>
      <c r="AG195" s="153" t="s">
        <v>93</v>
      </c>
      <c r="AH195" s="151" t="s">
        <v>94</v>
      </c>
      <c r="AI195" s="1"/>
      <c r="AJ195" s="150" t="s">
        <v>95</v>
      </c>
      <c r="AK195" s="153" t="s">
        <v>96</v>
      </c>
      <c r="AL195" s="153" t="s">
        <v>97</v>
      </c>
      <c r="AM195" s="153" t="s">
        <v>98</v>
      </c>
      <c r="AN195" s="153" t="s">
        <v>98</v>
      </c>
      <c r="AO195" s="151" t="s">
        <v>92</v>
      </c>
      <c r="AP195" s="1"/>
      <c r="AQ195" s="154" t="n">
        <v>0</v>
      </c>
      <c r="AR195" s="137"/>
      <c r="AS195" s="150" t="n">
        <v>0</v>
      </c>
      <c r="AT195" s="151" t="n">
        <v>0</v>
      </c>
      <c r="AU195" s="140"/>
      <c r="AV195" s="150" t="n">
        <f aca="false">IFERROR(ROUND($D195-M195-AW195,0),0)</f>
        <v>0</v>
      </c>
      <c r="AW195" s="151" t="n">
        <f aca="false">IFERROR(N195*$G195,0)</f>
        <v>0</v>
      </c>
      <c r="AX195" s="150" t="n">
        <f aca="false">IFERROR(ROUND($D195-O195-AY195,0),0)</f>
        <v>0</v>
      </c>
      <c r="AY195" s="151" t="n">
        <f aca="false">IFERROR(P195*$G195,0)</f>
        <v>0</v>
      </c>
      <c r="AZ195" s="150" t="n">
        <f aca="false">IFERROR(ROUND($D195-Q195-BA195,0),0)</f>
        <v>0</v>
      </c>
      <c r="BA195" s="151" t="n">
        <f aca="false">IFERROR(R195*$G195,0)</f>
        <v>0</v>
      </c>
      <c r="BB195" s="152" t="n">
        <f aca="false">IFERROR(ROUND($D195-S195-BC195,0),0)</f>
        <v>0</v>
      </c>
      <c r="BC195" s="151" t="n">
        <f aca="false">IFERROR(T195*$G195,0)</f>
        <v>0</v>
      </c>
      <c r="BD195" s="140"/>
      <c r="BE195" s="150" t="n">
        <f aca="false">IFERROR(ROUND($D195-V195-BF195,0),0)</f>
        <v>0</v>
      </c>
      <c r="BF195" s="151" t="n">
        <f aca="false">IFERROR(W195*$G195,0)</f>
        <v>0</v>
      </c>
      <c r="BG195" s="150" t="n">
        <f aca="false">IFERROR(ROUND($D195-X195-BH195,0),0)</f>
        <v>0</v>
      </c>
      <c r="BH195" s="151" t="n">
        <f aca="false">IFERROR(Y195*$G195,0)</f>
        <v>0</v>
      </c>
      <c r="BI195" s="152" t="n">
        <f aca="false">IFERROR(ROUND($D195-Z195-BJ195,0),0)</f>
        <v>0</v>
      </c>
      <c r="BJ195" s="151" t="n">
        <f aca="false">IFERROR(AA195*$G195,0)</f>
        <v>0</v>
      </c>
      <c r="BK195" s="152" t="n">
        <f aca="false">IFERROR(ROUND($D195-AB195-BL195,0),0)</f>
        <v>0</v>
      </c>
      <c r="BL195" s="151" t="n">
        <f aca="false">IFERROR(AC195*$G195,0)</f>
        <v>0</v>
      </c>
      <c r="BM195" s="1"/>
      <c r="BN195" s="154" t="n">
        <v>0</v>
      </c>
      <c r="BO195" s="155"/>
      <c r="BP195" s="150" t="n">
        <v>0</v>
      </c>
      <c r="BQ195" s="151" t="n">
        <v>0</v>
      </c>
      <c r="BR195" s="152"/>
      <c r="BS195" s="150" t="n">
        <v>0</v>
      </c>
      <c r="BT195" s="151" t="n">
        <v>0</v>
      </c>
      <c r="BU195" s="150" t="n">
        <v>0</v>
      </c>
      <c r="BV195" s="151" t="n">
        <v>0</v>
      </c>
      <c r="BW195" s="150" t="n">
        <v>0</v>
      </c>
      <c r="BX195" s="151" t="n">
        <v>0</v>
      </c>
      <c r="BY195" s="150" t="n">
        <v>0</v>
      </c>
      <c r="BZ195" s="151" t="n">
        <v>0</v>
      </c>
      <c r="CA195" s="152"/>
      <c r="CB195" s="150" t="n">
        <v>0</v>
      </c>
      <c r="CC195" s="151" t="n">
        <v>0</v>
      </c>
      <c r="CD195" s="150" t="n">
        <v>0</v>
      </c>
      <c r="CE195" s="151" t="n">
        <v>0</v>
      </c>
      <c r="CF195" s="150" t="n">
        <v>0</v>
      </c>
      <c r="CG195" s="151" t="n">
        <v>0</v>
      </c>
      <c r="CH195" s="150" t="n">
        <v>0</v>
      </c>
      <c r="CI195" s="151" t="n">
        <v>0</v>
      </c>
      <c r="CJ195" s="1"/>
      <c r="CK195" s="143"/>
      <c r="CL195" s="137"/>
      <c r="CM195" s="144" t="str">
        <f aca="false">IFERROR(+$H195-($J195+$K195*$G195),"-")</f>
        <v>-</v>
      </c>
      <c r="CN195" s="137"/>
      <c r="CO195" s="144" t="str">
        <f aca="false">IFERROR(+$H195-($M195+$N195*$G195),"-")</f>
        <v>-</v>
      </c>
      <c r="CP195" s="144" t="str">
        <f aca="false">IFERROR(+$H195-($O195+$P195*$G195),"-")</f>
        <v>-</v>
      </c>
      <c r="CQ195" s="144" t="str">
        <f aca="false">IFERROR(+$H195-($Q195+$R195*$G195),"-")</f>
        <v>-</v>
      </c>
      <c r="CR195" s="144" t="str">
        <f aca="false">IFERROR(+$H195-($Q195+$R195*$G195),"-")</f>
        <v>-</v>
      </c>
      <c r="CS195" s="137"/>
      <c r="CT195" s="144" t="str">
        <f aca="false">IFERROR(+$H195-($V195+$W195*$G195),"-")</f>
        <v>-</v>
      </c>
      <c r="CU195" s="144" t="str">
        <f aca="false">IFERROR(+$H195-($X195+$Y195*$G195),"-")</f>
        <v>-</v>
      </c>
      <c r="CV195" s="144" t="str">
        <f aca="false">IFERROR(+$H195-($Z195+$AA195*$G195),"-")</f>
        <v>-</v>
      </c>
      <c r="CW195" s="144" t="str">
        <f aca="false">IFERROR(+$H195-($AB195+$AC195*$G195),"-")</f>
        <v>-</v>
      </c>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c r="EG195" s="1"/>
      <c r="EH195" s="1"/>
    </row>
    <row r="196" s="156" customFormat="true" ht="12.75" hidden="false" customHeight="true" outlineLevel="0" collapsed="false">
      <c r="A196" s="1"/>
      <c r="B196" s="145" t="s">
        <v>130</v>
      </c>
      <c r="C196" s="146" t="s">
        <v>283</v>
      </c>
      <c r="D196" s="147" t="e">
        <f aca="false">VLOOKUP($C196,#REF!,5,0)</f>
        <v>#VALUE!</v>
      </c>
      <c r="E196" s="148" t="e">
        <f aca="false">VLOOKUP($C196,#REF!,6,0)</f>
        <v>#VALUE!</v>
      </c>
      <c r="F196" s="146" t="e">
        <f aca="false">VLOOKUP($C196,#REF!,7,0)</f>
        <v>#VALUE!</v>
      </c>
      <c r="G196" s="146" t="e">
        <f aca="false">VLOOKUP($C196,#REF!,8,0)</f>
        <v>#VALUE!</v>
      </c>
      <c r="H196" s="149" t="e">
        <f aca="false">VLOOKUP($C196,#REF!,9,0)</f>
        <v>#VALUE!</v>
      </c>
      <c r="I196" s="137"/>
      <c r="J196" s="150" t="e">
        <f aca="false">VLOOKUP($C196,#REF!,10,0)</f>
        <v>#VALUE!</v>
      </c>
      <c r="K196" s="151" t="e">
        <f aca="false">VLOOKUP($C196,#REF!,11,0)</f>
        <v>#VALUE!</v>
      </c>
      <c r="L196" s="140"/>
      <c r="M196" s="150" t="e">
        <f aca="false">VLOOKUP($C196,#REF!,12,0)</f>
        <v>#VALUE!</v>
      </c>
      <c r="N196" s="152" t="e">
        <f aca="false">VLOOKUP($C196,#REF!,13,0)</f>
        <v>#VALUE!</v>
      </c>
      <c r="O196" s="150" t="e">
        <f aca="false">VLOOKUP($C196,#REF!,14,0)</f>
        <v>#VALUE!</v>
      </c>
      <c r="P196" s="152" t="e">
        <f aca="false">VLOOKUP($C196,#REF!,15,0)</f>
        <v>#VALUE!</v>
      </c>
      <c r="Q196" s="150" t="e">
        <f aca="false">VLOOKUP($C196,#REF!,16,0)</f>
        <v>#VALUE!</v>
      </c>
      <c r="R196" s="151" t="e">
        <f aca="false">VLOOKUP($C196,#REF!,17,0)</f>
        <v>#VALUE!</v>
      </c>
      <c r="S196" s="152" t="e">
        <f aca="false">VLOOKUP($C196,#REF!,18,0)</f>
        <v>#VALUE!</v>
      </c>
      <c r="T196" s="151" t="e">
        <f aca="false">VLOOKUP($C196,#REF!,19,0)</f>
        <v>#VALUE!</v>
      </c>
      <c r="U196" s="140"/>
      <c r="V196" s="150" t="e">
        <f aca="false">VLOOKUP($C196,#REF!,20,0)</f>
        <v>#VALUE!</v>
      </c>
      <c r="W196" s="152" t="e">
        <f aca="false">VLOOKUP($C196,#REF!,21,0)</f>
        <v>#VALUE!</v>
      </c>
      <c r="X196" s="150" t="e">
        <f aca="false">VLOOKUP($C196,#REF!,22,0)</f>
        <v>#VALUE!</v>
      </c>
      <c r="Y196" s="152" t="e">
        <f aca="false">VLOOKUP($C196,#REF!,23,0)</f>
        <v>#VALUE!</v>
      </c>
      <c r="Z196" s="150" t="e">
        <f aca="false">VLOOKUP($C196,#REF!,24,0)</f>
        <v>#VALUE!</v>
      </c>
      <c r="AA196" s="151" t="e">
        <f aca="false">VLOOKUP($C196,#REF!,25,0)</f>
        <v>#VALUE!</v>
      </c>
      <c r="AB196" s="152" t="e">
        <f aca="false">VLOOKUP($C196,#REF!,26,0)</f>
        <v>#VALUE!</v>
      </c>
      <c r="AC196" s="151" t="e">
        <f aca="false">VLOOKUP($C196,#REF!,27,0)</f>
        <v>#VALUE!</v>
      </c>
      <c r="AD196" s="1"/>
      <c r="AE196" s="150" t="e">
        <f aca="false">IF(M196="-","-","0,5 GB")</f>
        <v>#VALUE!</v>
      </c>
      <c r="AF196" s="153" t="s">
        <v>92</v>
      </c>
      <c r="AG196" s="153" t="s">
        <v>93</v>
      </c>
      <c r="AH196" s="151" t="s">
        <v>94</v>
      </c>
      <c r="AI196" s="1"/>
      <c r="AJ196" s="150" t="s">
        <v>95</v>
      </c>
      <c r="AK196" s="153" t="s">
        <v>96</v>
      </c>
      <c r="AL196" s="153" t="s">
        <v>97</v>
      </c>
      <c r="AM196" s="153" t="s">
        <v>98</v>
      </c>
      <c r="AN196" s="153" t="s">
        <v>98</v>
      </c>
      <c r="AO196" s="151" t="s">
        <v>92</v>
      </c>
      <c r="AP196" s="1"/>
      <c r="AQ196" s="154" t="n">
        <v>0</v>
      </c>
      <c r="AR196" s="137"/>
      <c r="AS196" s="150" t="n">
        <v>0</v>
      </c>
      <c r="AT196" s="151" t="n">
        <v>0</v>
      </c>
      <c r="AU196" s="140"/>
      <c r="AV196" s="150" t="n">
        <f aca="false">IFERROR(ROUND($D196-M196-AW196,0),0)</f>
        <v>0</v>
      </c>
      <c r="AW196" s="151" t="n">
        <f aca="false">IFERROR(N196*$G196,0)</f>
        <v>0</v>
      </c>
      <c r="AX196" s="150" t="n">
        <f aca="false">IFERROR(ROUND($D196-O196-AY196,0),0)</f>
        <v>0</v>
      </c>
      <c r="AY196" s="151" t="n">
        <f aca="false">IFERROR(P196*$G196,0)</f>
        <v>0</v>
      </c>
      <c r="AZ196" s="150" t="n">
        <f aca="false">IFERROR(ROUND($D196-Q196-BA196,0),0)</f>
        <v>0</v>
      </c>
      <c r="BA196" s="151" t="n">
        <f aca="false">IFERROR(R196*$G196,0)</f>
        <v>0</v>
      </c>
      <c r="BB196" s="152" t="n">
        <f aca="false">IFERROR(ROUND($D196-S196-BC196,0),0)</f>
        <v>0</v>
      </c>
      <c r="BC196" s="151" t="n">
        <f aca="false">IFERROR(T196*$G196,0)</f>
        <v>0</v>
      </c>
      <c r="BD196" s="140"/>
      <c r="BE196" s="150" t="n">
        <f aca="false">IFERROR(ROUND($D196-V196-BF196,0),0)</f>
        <v>0</v>
      </c>
      <c r="BF196" s="151" t="n">
        <f aca="false">IFERROR(W196*$G196,0)</f>
        <v>0</v>
      </c>
      <c r="BG196" s="150" t="n">
        <f aca="false">IFERROR(ROUND($D196-X196-BH196,0),0)</f>
        <v>0</v>
      </c>
      <c r="BH196" s="151" t="n">
        <f aca="false">IFERROR(Y196*$G196,0)</f>
        <v>0</v>
      </c>
      <c r="BI196" s="152" t="n">
        <f aca="false">IFERROR(ROUND($D196-Z196-BJ196,0),0)</f>
        <v>0</v>
      </c>
      <c r="BJ196" s="151" t="n">
        <f aca="false">IFERROR(AA196*$G196,0)</f>
        <v>0</v>
      </c>
      <c r="BK196" s="152" t="n">
        <f aca="false">IFERROR(ROUND($D196-AB196-BL196,0),0)</f>
        <v>0</v>
      </c>
      <c r="BL196" s="151" t="n">
        <f aca="false">IFERROR(AC196*$G196,0)</f>
        <v>0</v>
      </c>
      <c r="BM196" s="1"/>
      <c r="BN196" s="154" t="n">
        <v>0</v>
      </c>
      <c r="BO196" s="155"/>
      <c r="BP196" s="150" t="n">
        <v>0</v>
      </c>
      <c r="BQ196" s="151" t="n">
        <v>0</v>
      </c>
      <c r="BR196" s="152"/>
      <c r="BS196" s="150" t="n">
        <v>0</v>
      </c>
      <c r="BT196" s="151" t="n">
        <v>0</v>
      </c>
      <c r="BU196" s="150" t="n">
        <v>0</v>
      </c>
      <c r="BV196" s="151" t="n">
        <v>0</v>
      </c>
      <c r="BW196" s="150" t="n">
        <v>0</v>
      </c>
      <c r="BX196" s="151" t="n">
        <v>0</v>
      </c>
      <c r="BY196" s="150" t="n">
        <v>0</v>
      </c>
      <c r="BZ196" s="151" t="n">
        <v>0</v>
      </c>
      <c r="CA196" s="152"/>
      <c r="CB196" s="150" t="n">
        <v>0</v>
      </c>
      <c r="CC196" s="151" t="n">
        <v>0</v>
      </c>
      <c r="CD196" s="150" t="n">
        <v>0</v>
      </c>
      <c r="CE196" s="151" t="n">
        <v>0</v>
      </c>
      <c r="CF196" s="150" t="n">
        <v>0</v>
      </c>
      <c r="CG196" s="151" t="n">
        <v>0</v>
      </c>
      <c r="CH196" s="150" t="n">
        <v>0</v>
      </c>
      <c r="CI196" s="151" t="n">
        <v>0</v>
      </c>
      <c r="CJ196" s="1"/>
      <c r="CK196" s="149"/>
      <c r="CL196" s="137"/>
      <c r="CM196" s="154" t="str">
        <f aca="false">IFERROR(+$H196-($J196+$K196*$G196),"-")</f>
        <v>-</v>
      </c>
      <c r="CN196" s="137"/>
      <c r="CO196" s="154" t="str">
        <f aca="false">IFERROR(+$H196-($M196+$N196*$G196),"-")</f>
        <v>-</v>
      </c>
      <c r="CP196" s="154" t="str">
        <f aca="false">IFERROR(+$H196-($O196+$P196*$G196),"-")</f>
        <v>-</v>
      </c>
      <c r="CQ196" s="154" t="str">
        <f aca="false">IFERROR(+$H196-($Q196+$R196*$G196),"-")</f>
        <v>-</v>
      </c>
      <c r="CR196" s="154" t="str">
        <f aca="false">IFERROR(+$H196-($Q196+$R196*$G196),"-")</f>
        <v>-</v>
      </c>
      <c r="CS196" s="137"/>
      <c r="CT196" s="154" t="str">
        <f aca="false">IFERROR(+$H196-($V196+$W196*$G196),"-")</f>
        <v>-</v>
      </c>
      <c r="CU196" s="154" t="str">
        <f aca="false">IFERROR(+$H196-($X196+$Y196*$G196),"-")</f>
        <v>-</v>
      </c>
      <c r="CV196" s="154" t="str">
        <f aca="false">IFERROR(+$H196-($Z196+$AA196*$G196),"-")</f>
        <v>-</v>
      </c>
      <c r="CW196" s="154" t="str">
        <f aca="false">IFERROR(+$H196-($AB196+$AC196*$G196),"-")</f>
        <v>-</v>
      </c>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row>
    <row r="197" s="1" customFormat="true" ht="12.75" hidden="false" customHeight="true" outlineLevel="0" collapsed="false">
      <c r="B197" s="159" t="s">
        <v>110</v>
      </c>
      <c r="C197" s="160" t="s">
        <v>284</v>
      </c>
      <c r="D197" s="136" t="e">
        <f aca="false">VLOOKUP($C197,#REF!,5,0)</f>
        <v>#VALUE!</v>
      </c>
      <c r="E197" s="157" t="e">
        <f aca="false">VLOOKUP($C197,#REF!,6,0)</f>
        <v>#VALUE!</v>
      </c>
      <c r="F197" s="135" t="e">
        <f aca="false">VLOOKUP($C197,#REF!,7,0)</f>
        <v>#VALUE!</v>
      </c>
      <c r="G197" s="135" t="e">
        <f aca="false">VLOOKUP($C197,#REF!,8,0)</f>
        <v>#VALUE!</v>
      </c>
      <c r="H197" s="158" t="e">
        <f aca="false">VLOOKUP($C197,#REF!,9,0)</f>
        <v>#VALUE!</v>
      </c>
      <c r="I197" s="137"/>
      <c r="J197" s="138" t="e">
        <f aca="false">VLOOKUP($C197,#REF!,10,0)</f>
        <v>#VALUE!</v>
      </c>
      <c r="K197" s="139" t="e">
        <f aca="false">VLOOKUP($C197,#REF!,11,0)</f>
        <v>#VALUE!</v>
      </c>
      <c r="L197" s="140"/>
      <c r="M197" s="138" t="e">
        <f aca="false">VLOOKUP($C197,#REF!,12,0)</f>
        <v>#VALUE!</v>
      </c>
      <c r="N197" s="140" t="e">
        <f aca="false">VLOOKUP($C197,#REF!,13,0)</f>
        <v>#VALUE!</v>
      </c>
      <c r="O197" s="138" t="e">
        <f aca="false">VLOOKUP($C197,#REF!,14,0)</f>
        <v>#VALUE!</v>
      </c>
      <c r="P197" s="140" t="e">
        <f aca="false">VLOOKUP($C197,#REF!,15,0)</f>
        <v>#VALUE!</v>
      </c>
      <c r="Q197" s="138" t="e">
        <f aca="false">VLOOKUP($C197,#REF!,16,0)</f>
        <v>#VALUE!</v>
      </c>
      <c r="R197" s="139" t="e">
        <f aca="false">VLOOKUP($C197,#REF!,17,0)</f>
        <v>#VALUE!</v>
      </c>
      <c r="S197" s="140" t="e">
        <f aca="false">VLOOKUP($C197,#REF!,18,0)</f>
        <v>#VALUE!</v>
      </c>
      <c r="T197" s="139" t="e">
        <f aca="false">VLOOKUP($C197,#REF!,19,0)</f>
        <v>#VALUE!</v>
      </c>
      <c r="U197" s="140"/>
      <c r="V197" s="138" t="e">
        <f aca="false">VLOOKUP($C197,#REF!,20,0)</f>
        <v>#VALUE!</v>
      </c>
      <c r="W197" s="140" t="e">
        <f aca="false">VLOOKUP($C197,#REF!,21,0)</f>
        <v>#VALUE!</v>
      </c>
      <c r="X197" s="138" t="e">
        <f aca="false">VLOOKUP($C197,#REF!,22,0)</f>
        <v>#VALUE!</v>
      </c>
      <c r="Y197" s="140" t="e">
        <f aca="false">VLOOKUP($C197,#REF!,23,0)</f>
        <v>#VALUE!</v>
      </c>
      <c r="Z197" s="138" t="e">
        <f aca="false">VLOOKUP($C197,#REF!,24,0)</f>
        <v>#VALUE!</v>
      </c>
      <c r="AA197" s="139" t="e">
        <f aca="false">VLOOKUP($C197,#REF!,25,0)</f>
        <v>#VALUE!</v>
      </c>
      <c r="AB197" s="140" t="e">
        <f aca="false">VLOOKUP($C197,#REF!,26,0)</f>
        <v>#VALUE!</v>
      </c>
      <c r="AC197" s="139" t="e">
        <f aca="false">VLOOKUP($C197,#REF!,27,0)</f>
        <v>#VALUE!</v>
      </c>
      <c r="AE197" s="138" t="e">
        <f aca="false">IF(M197="-","-","0,5 GB")</f>
        <v>#VALUE!</v>
      </c>
      <c r="AF197" s="141" t="s">
        <v>92</v>
      </c>
      <c r="AG197" s="141" t="s">
        <v>93</v>
      </c>
      <c r="AH197" s="139" t="s">
        <v>94</v>
      </c>
      <c r="AJ197" s="138" t="s">
        <v>95</v>
      </c>
      <c r="AK197" s="141" t="s">
        <v>96</v>
      </c>
      <c r="AL197" s="141" t="s">
        <v>97</v>
      </c>
      <c r="AM197" s="141" t="s">
        <v>98</v>
      </c>
      <c r="AN197" s="141" t="s">
        <v>98</v>
      </c>
      <c r="AO197" s="139" t="s">
        <v>92</v>
      </c>
      <c r="AQ197" s="142" t="n">
        <v>1</v>
      </c>
      <c r="AR197" s="137"/>
      <c r="AS197" s="138" t="n">
        <v>0</v>
      </c>
      <c r="AT197" s="139" t="n">
        <v>0</v>
      </c>
      <c r="AU197" s="140"/>
      <c r="AV197" s="138" t="n">
        <f aca="false">IFERROR(ROUND($D197-M197-AW197,0),0)</f>
        <v>0</v>
      </c>
      <c r="AW197" s="139" t="n">
        <f aca="false">IFERROR(N197*$G197,0)</f>
        <v>0</v>
      </c>
      <c r="AX197" s="138" t="n">
        <f aca="false">IFERROR(ROUND($D197-O197-AY197,0),0)</f>
        <v>0</v>
      </c>
      <c r="AY197" s="139" t="n">
        <f aca="false">IFERROR(P197*$G197,0)</f>
        <v>0</v>
      </c>
      <c r="AZ197" s="138" t="n">
        <f aca="false">IFERROR(ROUND($D197-Q197-BA197,0),0)</f>
        <v>0</v>
      </c>
      <c r="BA197" s="139" t="n">
        <f aca="false">IFERROR(R197*$G197,0)</f>
        <v>0</v>
      </c>
      <c r="BB197" s="140" t="n">
        <f aca="false">IFERROR(ROUND($D197-S197-BC197,0),0)</f>
        <v>0</v>
      </c>
      <c r="BC197" s="139" t="n">
        <f aca="false">IFERROR(T197*$G197,0)</f>
        <v>0</v>
      </c>
      <c r="BD197" s="140"/>
      <c r="BE197" s="138" t="n">
        <f aca="false">IFERROR(ROUND($D197-V197-BF197,0),0)</f>
        <v>0</v>
      </c>
      <c r="BF197" s="139" t="n">
        <f aca="false">IFERROR(W197*$G197,0)</f>
        <v>0</v>
      </c>
      <c r="BG197" s="138" t="n">
        <f aca="false">IFERROR(ROUND($D197-X197-BH197,0),0)</f>
        <v>0</v>
      </c>
      <c r="BH197" s="139" t="n">
        <f aca="false">IFERROR(Y197*$G197,0)</f>
        <v>0</v>
      </c>
      <c r="BI197" s="140" t="n">
        <f aca="false">IFERROR(ROUND($D197-Z197-BJ197,0),0)</f>
        <v>0</v>
      </c>
      <c r="BJ197" s="139" t="n">
        <f aca="false">IFERROR(AA197*$G197,0)</f>
        <v>0</v>
      </c>
      <c r="BK197" s="140" t="n">
        <f aca="false">IFERROR(ROUND($D197-AB197-BL197,0),0)</f>
        <v>0</v>
      </c>
      <c r="BL197" s="139" t="n">
        <f aca="false">IFERROR(AC197*$G197,0)</f>
        <v>0</v>
      </c>
      <c r="BN197" s="142" t="n">
        <v>0</v>
      </c>
      <c r="BO197" s="137"/>
      <c r="BP197" s="138" t="n">
        <v>0</v>
      </c>
      <c r="BQ197" s="139" t="n">
        <v>0</v>
      </c>
      <c r="BR197" s="140"/>
      <c r="BS197" s="138" t="n">
        <v>0</v>
      </c>
      <c r="BT197" s="139" t="n">
        <v>0</v>
      </c>
      <c r="BU197" s="138" t="n">
        <v>0</v>
      </c>
      <c r="BV197" s="139" t="n">
        <v>0</v>
      </c>
      <c r="BW197" s="138" t="n">
        <v>0</v>
      </c>
      <c r="BX197" s="139" t="n">
        <v>0</v>
      </c>
      <c r="BY197" s="138" t="n">
        <v>0</v>
      </c>
      <c r="BZ197" s="139" t="n">
        <v>0</v>
      </c>
      <c r="CA197" s="140"/>
      <c r="CB197" s="138" t="n">
        <v>0</v>
      </c>
      <c r="CC197" s="139" t="n">
        <v>0</v>
      </c>
      <c r="CD197" s="138" t="n">
        <v>0</v>
      </c>
      <c r="CE197" s="139" t="n">
        <v>0</v>
      </c>
      <c r="CF197" s="138" t="n">
        <v>0</v>
      </c>
      <c r="CG197" s="139" t="n">
        <v>0</v>
      </c>
      <c r="CH197" s="138" t="n">
        <v>0</v>
      </c>
      <c r="CI197" s="139" t="n">
        <v>0</v>
      </c>
      <c r="CK197" s="143"/>
      <c r="CL197" s="137"/>
      <c r="CM197" s="144" t="str">
        <f aca="false">IFERROR(+$H197-($J197+$K197*$G197),"-")</f>
        <v>-</v>
      </c>
      <c r="CN197" s="137"/>
      <c r="CO197" s="144" t="str">
        <f aca="false">IFERROR(+$H197-($M197+$N197*$G197),"-")</f>
        <v>-</v>
      </c>
      <c r="CP197" s="144" t="str">
        <f aca="false">IFERROR(+$H197-($O197+$P197*$G197),"-")</f>
        <v>-</v>
      </c>
      <c r="CQ197" s="144" t="str">
        <f aca="false">IFERROR(+$H197-($Q197+$R197*$G197),"-")</f>
        <v>-</v>
      </c>
      <c r="CR197" s="144" t="str">
        <f aca="false">IFERROR(+$H197-($Q197+$R197*$G197),"-")</f>
        <v>-</v>
      </c>
      <c r="CS197" s="137"/>
      <c r="CT197" s="144" t="str">
        <f aca="false">IFERROR(+$H197-($V197+$W197*$G197),"-")</f>
        <v>-</v>
      </c>
      <c r="CU197" s="144" t="str">
        <f aca="false">IFERROR(+$H197-($X197+$Y197*$G197),"-")</f>
        <v>-</v>
      </c>
      <c r="CV197" s="144" t="str">
        <f aca="false">IFERROR(+$H197-($Z197+$AA197*$G197),"-")</f>
        <v>-</v>
      </c>
      <c r="CW197" s="144" t="str">
        <f aca="false">IFERROR(+$H197-($AB197+$AC197*$G197),"-")</f>
        <v>-</v>
      </c>
    </row>
    <row r="198" s="156" customFormat="true" ht="12.75" hidden="false" customHeight="true" outlineLevel="0" collapsed="false">
      <c r="A198" s="1"/>
      <c r="B198" s="161" t="s">
        <v>110</v>
      </c>
      <c r="C198" s="162" t="s">
        <v>285</v>
      </c>
      <c r="D198" s="147" t="e">
        <f aca="false">VLOOKUP($C198,#REF!,5,0)</f>
        <v>#VALUE!</v>
      </c>
      <c r="E198" s="148" t="e">
        <f aca="false">VLOOKUP($C198,#REF!,6,0)</f>
        <v>#VALUE!</v>
      </c>
      <c r="F198" s="146" t="e">
        <f aca="false">VLOOKUP($C198,#REF!,7,0)</f>
        <v>#VALUE!</v>
      </c>
      <c r="G198" s="146" t="e">
        <f aca="false">VLOOKUP($C198,#REF!,8,0)</f>
        <v>#VALUE!</v>
      </c>
      <c r="H198" s="149" t="e">
        <f aca="false">VLOOKUP($C198,#REF!,9,0)</f>
        <v>#VALUE!</v>
      </c>
      <c r="I198" s="137"/>
      <c r="J198" s="150" t="e">
        <f aca="false">VLOOKUP($C198,#REF!,10,0)</f>
        <v>#VALUE!</v>
      </c>
      <c r="K198" s="151" t="e">
        <f aca="false">VLOOKUP($C198,#REF!,11,0)</f>
        <v>#VALUE!</v>
      </c>
      <c r="L198" s="140"/>
      <c r="M198" s="150" t="e">
        <f aca="false">VLOOKUP($C198,#REF!,12,0)</f>
        <v>#VALUE!</v>
      </c>
      <c r="N198" s="152" t="e">
        <f aca="false">VLOOKUP($C198,#REF!,13,0)</f>
        <v>#VALUE!</v>
      </c>
      <c r="O198" s="150" t="e">
        <f aca="false">VLOOKUP($C198,#REF!,14,0)</f>
        <v>#VALUE!</v>
      </c>
      <c r="P198" s="152" t="e">
        <f aca="false">VLOOKUP($C198,#REF!,15,0)</f>
        <v>#VALUE!</v>
      </c>
      <c r="Q198" s="150" t="e">
        <f aca="false">VLOOKUP($C198,#REF!,16,0)</f>
        <v>#VALUE!</v>
      </c>
      <c r="R198" s="151" t="e">
        <f aca="false">VLOOKUP($C198,#REF!,17,0)</f>
        <v>#VALUE!</v>
      </c>
      <c r="S198" s="152" t="e">
        <f aca="false">VLOOKUP($C198,#REF!,18,0)</f>
        <v>#VALUE!</v>
      </c>
      <c r="T198" s="151" t="e">
        <f aca="false">VLOOKUP($C198,#REF!,19,0)</f>
        <v>#VALUE!</v>
      </c>
      <c r="U198" s="140"/>
      <c r="V198" s="150" t="e">
        <f aca="false">VLOOKUP($C198,#REF!,20,0)</f>
        <v>#VALUE!</v>
      </c>
      <c r="W198" s="152" t="e">
        <f aca="false">VLOOKUP($C198,#REF!,21,0)</f>
        <v>#VALUE!</v>
      </c>
      <c r="X198" s="150" t="e">
        <f aca="false">VLOOKUP($C198,#REF!,22,0)</f>
        <v>#VALUE!</v>
      </c>
      <c r="Y198" s="152" t="e">
        <f aca="false">VLOOKUP($C198,#REF!,23,0)</f>
        <v>#VALUE!</v>
      </c>
      <c r="Z198" s="150" t="e">
        <f aca="false">VLOOKUP($C198,#REF!,24,0)</f>
        <v>#VALUE!</v>
      </c>
      <c r="AA198" s="151" t="e">
        <f aca="false">VLOOKUP($C198,#REF!,25,0)</f>
        <v>#VALUE!</v>
      </c>
      <c r="AB198" s="152" t="e">
        <f aca="false">VLOOKUP($C198,#REF!,26,0)</f>
        <v>#VALUE!</v>
      </c>
      <c r="AC198" s="151" t="e">
        <f aca="false">VLOOKUP($C198,#REF!,27,0)</f>
        <v>#VALUE!</v>
      </c>
      <c r="AD198" s="1"/>
      <c r="AE198" s="150" t="e">
        <f aca="false">IF(M198="-","-","0,5 GB")</f>
        <v>#VALUE!</v>
      </c>
      <c r="AF198" s="153" t="s">
        <v>92</v>
      </c>
      <c r="AG198" s="153" t="s">
        <v>93</v>
      </c>
      <c r="AH198" s="151" t="s">
        <v>94</v>
      </c>
      <c r="AI198" s="1"/>
      <c r="AJ198" s="150" t="s">
        <v>95</v>
      </c>
      <c r="AK198" s="153" t="s">
        <v>96</v>
      </c>
      <c r="AL198" s="153" t="s">
        <v>97</v>
      </c>
      <c r="AM198" s="153" t="s">
        <v>98</v>
      </c>
      <c r="AN198" s="153" t="s">
        <v>98</v>
      </c>
      <c r="AO198" s="151" t="s">
        <v>92</v>
      </c>
      <c r="AP198" s="1"/>
      <c r="AQ198" s="154"/>
      <c r="AR198" s="137"/>
      <c r="AS198" s="150" t="n">
        <v>0</v>
      </c>
      <c r="AT198" s="151" t="n">
        <v>0</v>
      </c>
      <c r="AU198" s="140"/>
      <c r="AV198" s="150" t="n">
        <f aca="false">IFERROR(ROUND($D198-M198-AW198,0),0)</f>
        <v>0</v>
      </c>
      <c r="AW198" s="151" t="n">
        <f aca="false">IFERROR(N198*$G198,0)</f>
        <v>0</v>
      </c>
      <c r="AX198" s="150" t="n">
        <f aca="false">IFERROR(ROUND($D198-O198-AY198,0),0)</f>
        <v>0</v>
      </c>
      <c r="AY198" s="151" t="n">
        <f aca="false">IFERROR(P198*$G198,0)</f>
        <v>0</v>
      </c>
      <c r="AZ198" s="150" t="n">
        <f aca="false">IFERROR(ROUND($D198-Q198-BA198,0),0)</f>
        <v>0</v>
      </c>
      <c r="BA198" s="151" t="n">
        <f aca="false">IFERROR(R198*$G198,0)</f>
        <v>0</v>
      </c>
      <c r="BB198" s="152" t="n">
        <f aca="false">IFERROR(ROUND($D198-S198-BC198,0),0)</f>
        <v>0</v>
      </c>
      <c r="BC198" s="151" t="n">
        <f aca="false">IFERROR(T198*$G198,0)</f>
        <v>0</v>
      </c>
      <c r="BD198" s="140"/>
      <c r="BE198" s="150" t="n">
        <f aca="false">IFERROR(ROUND($D198-V198-BF198,0),0)</f>
        <v>0</v>
      </c>
      <c r="BF198" s="151" t="n">
        <f aca="false">IFERROR(W198*$G198,0)</f>
        <v>0</v>
      </c>
      <c r="BG198" s="150" t="n">
        <f aca="false">IFERROR(ROUND($D198-X198-BH198,0),0)</f>
        <v>0</v>
      </c>
      <c r="BH198" s="151" t="n">
        <f aca="false">IFERROR(Y198*$G198,0)</f>
        <v>0</v>
      </c>
      <c r="BI198" s="152" t="n">
        <f aca="false">IFERROR(ROUND($D198-Z198-BJ198,0),0)</f>
        <v>0</v>
      </c>
      <c r="BJ198" s="151" t="n">
        <f aca="false">IFERROR(AA198*$G198,0)</f>
        <v>0</v>
      </c>
      <c r="BK198" s="152" t="n">
        <f aca="false">IFERROR(ROUND($D198-AB198-BL198,0),0)</f>
        <v>0</v>
      </c>
      <c r="BL198" s="151" t="n">
        <f aca="false">IFERROR(AC198*$G198,0)</f>
        <v>0</v>
      </c>
      <c r="BM198" s="1"/>
      <c r="BN198" s="154"/>
      <c r="BO198" s="155"/>
      <c r="BP198" s="150"/>
      <c r="BQ198" s="151"/>
      <c r="BR198" s="152"/>
      <c r="BS198" s="150"/>
      <c r="BT198" s="151"/>
      <c r="BU198" s="150"/>
      <c r="BV198" s="151"/>
      <c r="BW198" s="150"/>
      <c r="BX198" s="151"/>
      <c r="BY198" s="150"/>
      <c r="BZ198" s="151"/>
      <c r="CA198" s="152"/>
      <c r="CB198" s="150"/>
      <c r="CC198" s="151"/>
      <c r="CD198" s="150"/>
      <c r="CE198" s="151"/>
      <c r="CF198" s="150"/>
      <c r="CG198" s="151"/>
      <c r="CH198" s="150"/>
      <c r="CI198" s="151"/>
      <c r="CJ198" s="1"/>
      <c r="CK198" s="149"/>
      <c r="CL198" s="137"/>
      <c r="CM198" s="154" t="str">
        <f aca="false">IFERROR(+$H198-($J198+$K198*$G198),"-")</f>
        <v>-</v>
      </c>
      <c r="CN198" s="137"/>
      <c r="CO198" s="154" t="str">
        <f aca="false">IFERROR(+$H198-($M198+$N198*$G198),"-")</f>
        <v>-</v>
      </c>
      <c r="CP198" s="154" t="str">
        <f aca="false">IFERROR(+$H198-($O198+$P198*$G198),"-")</f>
        <v>-</v>
      </c>
      <c r="CQ198" s="154" t="str">
        <f aca="false">IFERROR(+$H198-($Q198+$R198*$G198),"-")</f>
        <v>-</v>
      </c>
      <c r="CR198" s="154" t="str">
        <f aca="false">IFERROR(+$H198-($Q198+$R198*$G198),"-")</f>
        <v>-</v>
      </c>
      <c r="CS198" s="137"/>
      <c r="CT198" s="154" t="str">
        <f aca="false">IFERROR(+$H198-($V198+$W198*$G198),"-")</f>
        <v>-</v>
      </c>
      <c r="CU198" s="154" t="str">
        <f aca="false">IFERROR(+$H198-($X198+$Y198*$G198),"-")</f>
        <v>-</v>
      </c>
      <c r="CV198" s="154" t="str">
        <f aca="false">IFERROR(+$H198-($Z198+$AA198*$G198),"-")</f>
        <v>-</v>
      </c>
      <c r="CW198" s="154" t="str">
        <f aca="false">IFERROR(+$H198-($AB198+$AC198*$G198),"-")</f>
        <v>-</v>
      </c>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row>
    <row r="199" s="1" customFormat="true" ht="12.75" hidden="false" customHeight="true" outlineLevel="0" collapsed="false">
      <c r="B199" s="159" t="s">
        <v>110</v>
      </c>
      <c r="C199" s="160" t="s">
        <v>286</v>
      </c>
      <c r="D199" s="136" t="e">
        <f aca="false">VLOOKUP($C199,#REF!,5,0)</f>
        <v>#VALUE!</v>
      </c>
      <c r="E199" s="157" t="e">
        <f aca="false">VLOOKUP($C199,#REF!,6,0)</f>
        <v>#VALUE!</v>
      </c>
      <c r="F199" s="135" t="e">
        <f aca="false">VLOOKUP($C199,#REF!,7,0)</f>
        <v>#VALUE!</v>
      </c>
      <c r="G199" s="135" t="e">
        <f aca="false">VLOOKUP($C199,#REF!,8,0)</f>
        <v>#VALUE!</v>
      </c>
      <c r="H199" s="158" t="e">
        <f aca="false">VLOOKUP($C199,#REF!,9,0)</f>
        <v>#VALUE!</v>
      </c>
      <c r="I199" s="137"/>
      <c r="J199" s="138" t="e">
        <f aca="false">VLOOKUP($C199,#REF!,10,0)</f>
        <v>#VALUE!</v>
      </c>
      <c r="K199" s="139" t="e">
        <f aca="false">VLOOKUP($C199,#REF!,11,0)</f>
        <v>#VALUE!</v>
      </c>
      <c r="L199" s="140"/>
      <c r="M199" s="138" t="e">
        <f aca="false">VLOOKUP($C199,#REF!,12,0)</f>
        <v>#VALUE!</v>
      </c>
      <c r="N199" s="140" t="e">
        <f aca="false">VLOOKUP($C199,#REF!,13,0)</f>
        <v>#VALUE!</v>
      </c>
      <c r="O199" s="138" t="e">
        <f aca="false">VLOOKUP($C199,#REF!,14,0)</f>
        <v>#VALUE!</v>
      </c>
      <c r="P199" s="140" t="e">
        <f aca="false">VLOOKUP($C199,#REF!,15,0)</f>
        <v>#VALUE!</v>
      </c>
      <c r="Q199" s="138" t="e">
        <f aca="false">VLOOKUP($C199,#REF!,16,0)</f>
        <v>#VALUE!</v>
      </c>
      <c r="R199" s="139" t="e">
        <f aca="false">VLOOKUP($C199,#REF!,17,0)</f>
        <v>#VALUE!</v>
      </c>
      <c r="S199" s="140" t="e">
        <f aca="false">VLOOKUP($C199,#REF!,18,0)</f>
        <v>#VALUE!</v>
      </c>
      <c r="T199" s="139" t="e">
        <f aca="false">VLOOKUP($C199,#REF!,19,0)</f>
        <v>#VALUE!</v>
      </c>
      <c r="U199" s="140"/>
      <c r="V199" s="138" t="e">
        <f aca="false">VLOOKUP($C199,#REF!,20,0)</f>
        <v>#VALUE!</v>
      </c>
      <c r="W199" s="140" t="e">
        <f aca="false">VLOOKUP($C199,#REF!,21,0)</f>
        <v>#VALUE!</v>
      </c>
      <c r="X199" s="138" t="e">
        <f aca="false">VLOOKUP($C199,#REF!,22,0)</f>
        <v>#VALUE!</v>
      </c>
      <c r="Y199" s="140" t="e">
        <f aca="false">VLOOKUP($C199,#REF!,23,0)</f>
        <v>#VALUE!</v>
      </c>
      <c r="Z199" s="138" t="e">
        <f aca="false">VLOOKUP($C199,#REF!,24,0)</f>
        <v>#VALUE!</v>
      </c>
      <c r="AA199" s="139" t="e">
        <f aca="false">VLOOKUP($C199,#REF!,25,0)</f>
        <v>#VALUE!</v>
      </c>
      <c r="AB199" s="140" t="e">
        <f aca="false">VLOOKUP($C199,#REF!,26,0)</f>
        <v>#VALUE!</v>
      </c>
      <c r="AC199" s="139" t="e">
        <f aca="false">VLOOKUP($C199,#REF!,27,0)</f>
        <v>#VALUE!</v>
      </c>
      <c r="AE199" s="138" t="e">
        <f aca="false">IF(M199="-","-","0,5 GB")</f>
        <v>#VALUE!</v>
      </c>
      <c r="AF199" s="141" t="s">
        <v>92</v>
      </c>
      <c r="AG199" s="141" t="s">
        <v>93</v>
      </c>
      <c r="AH199" s="139" t="s">
        <v>94</v>
      </c>
      <c r="AJ199" s="138" t="s">
        <v>95</v>
      </c>
      <c r="AK199" s="141" t="s">
        <v>96</v>
      </c>
      <c r="AL199" s="141" t="s">
        <v>97</v>
      </c>
      <c r="AM199" s="141" t="s">
        <v>98</v>
      </c>
      <c r="AN199" s="141" t="s">
        <v>98</v>
      </c>
      <c r="AO199" s="139" t="s">
        <v>92</v>
      </c>
      <c r="AQ199" s="142"/>
      <c r="AR199" s="137"/>
      <c r="AS199" s="138" t="n">
        <v>0</v>
      </c>
      <c r="AT199" s="139" t="n">
        <v>0</v>
      </c>
      <c r="AU199" s="140"/>
      <c r="AV199" s="138" t="n">
        <f aca="false">IFERROR(ROUND($D199-M199-AW199,0),0)</f>
        <v>0</v>
      </c>
      <c r="AW199" s="139" t="n">
        <f aca="false">IFERROR(N199*$G199,0)</f>
        <v>0</v>
      </c>
      <c r="AX199" s="138" t="n">
        <f aca="false">IFERROR(ROUND($D199-O199-AY199,0),0)</f>
        <v>0</v>
      </c>
      <c r="AY199" s="139" t="n">
        <f aca="false">IFERROR(P199*$G199,0)</f>
        <v>0</v>
      </c>
      <c r="AZ199" s="138" t="n">
        <f aca="false">IFERROR(ROUND($D199-Q199-BA199,0),0)</f>
        <v>0</v>
      </c>
      <c r="BA199" s="139" t="n">
        <f aca="false">IFERROR(R199*$G199,0)</f>
        <v>0</v>
      </c>
      <c r="BB199" s="140" t="n">
        <f aca="false">IFERROR(ROUND($D199-S199-BC199,0),0)</f>
        <v>0</v>
      </c>
      <c r="BC199" s="139" t="n">
        <f aca="false">IFERROR(T199*$G199,0)</f>
        <v>0</v>
      </c>
      <c r="BD199" s="140"/>
      <c r="BE199" s="138" t="n">
        <f aca="false">IFERROR(ROUND($D199-V199-BF199,0),0)</f>
        <v>0</v>
      </c>
      <c r="BF199" s="139" t="n">
        <f aca="false">IFERROR(W199*$G199,0)</f>
        <v>0</v>
      </c>
      <c r="BG199" s="138" t="n">
        <f aca="false">IFERROR(ROUND($D199-X199-BH199,0),0)</f>
        <v>0</v>
      </c>
      <c r="BH199" s="139" t="n">
        <f aca="false">IFERROR(Y199*$G199,0)</f>
        <v>0</v>
      </c>
      <c r="BI199" s="140" t="n">
        <f aca="false">IFERROR(ROUND($D199-Z199-BJ199,0),0)</f>
        <v>0</v>
      </c>
      <c r="BJ199" s="139" t="n">
        <f aca="false">IFERROR(AA199*$G199,0)</f>
        <v>0</v>
      </c>
      <c r="BK199" s="140" t="n">
        <f aca="false">IFERROR(ROUND($D199-AB199-BL199,0),0)</f>
        <v>0</v>
      </c>
      <c r="BL199" s="139" t="n">
        <f aca="false">IFERROR(AC199*$G199,0)</f>
        <v>0</v>
      </c>
      <c r="BN199" s="142"/>
      <c r="BO199" s="137"/>
      <c r="BP199" s="138"/>
      <c r="BQ199" s="139"/>
      <c r="BR199" s="140"/>
      <c r="BS199" s="138"/>
      <c r="BT199" s="139"/>
      <c r="BU199" s="138"/>
      <c r="BV199" s="139"/>
      <c r="BW199" s="138"/>
      <c r="BX199" s="139"/>
      <c r="BY199" s="138"/>
      <c r="BZ199" s="139"/>
      <c r="CA199" s="140"/>
      <c r="CB199" s="138"/>
      <c r="CC199" s="139"/>
      <c r="CD199" s="138"/>
      <c r="CE199" s="139"/>
      <c r="CF199" s="138"/>
      <c r="CG199" s="139"/>
      <c r="CH199" s="138"/>
      <c r="CI199" s="139"/>
      <c r="CK199" s="143"/>
      <c r="CL199" s="137"/>
      <c r="CM199" s="144" t="str">
        <f aca="false">IFERROR(+$H199-($J199+$K199*$G199),"-")</f>
        <v>-</v>
      </c>
      <c r="CN199" s="137"/>
      <c r="CO199" s="144" t="str">
        <f aca="false">IFERROR(+$H199-($M199+$N199*$G199),"-")</f>
        <v>-</v>
      </c>
      <c r="CP199" s="144" t="str">
        <f aca="false">IFERROR(+$H199-($O199+$P199*$G199),"-")</f>
        <v>-</v>
      </c>
      <c r="CQ199" s="144" t="str">
        <f aca="false">IFERROR(+$H199-($Q199+$R199*$G199),"-")</f>
        <v>-</v>
      </c>
      <c r="CR199" s="144" t="str">
        <f aca="false">IFERROR(+$H199-($Q199+$R199*$G199),"-")</f>
        <v>-</v>
      </c>
      <c r="CS199" s="137"/>
      <c r="CT199" s="144" t="str">
        <f aca="false">IFERROR(+$H199-($V199+$W199*$G199),"-")</f>
        <v>-</v>
      </c>
      <c r="CU199" s="144" t="str">
        <f aca="false">IFERROR(+$H199-($X199+$Y199*$G199),"-")</f>
        <v>-</v>
      </c>
      <c r="CV199" s="144" t="str">
        <f aca="false">IFERROR(+$H199-($Z199+$AA199*$G199),"-")</f>
        <v>-</v>
      </c>
      <c r="CW199" s="144" t="str">
        <f aca="false">IFERROR(+$H199-($AB199+$AC199*$G199),"-")</f>
        <v>-</v>
      </c>
    </row>
    <row r="200" s="156" customFormat="true" ht="12.75" hidden="false" customHeight="true" outlineLevel="0" collapsed="false">
      <c r="A200" s="1"/>
      <c r="B200" s="145" t="s">
        <v>287</v>
      </c>
      <c r="C200" s="146" t="s">
        <v>288</v>
      </c>
      <c r="D200" s="147" t="e">
        <f aca="false">VLOOKUP($C200,#REF!,5,0)</f>
        <v>#VALUE!</v>
      </c>
      <c r="E200" s="148" t="e">
        <f aca="false">VLOOKUP($C200,#REF!,6,0)</f>
        <v>#VALUE!</v>
      </c>
      <c r="F200" s="146" t="e">
        <f aca="false">VLOOKUP($C200,#REF!,7,0)</f>
        <v>#VALUE!</v>
      </c>
      <c r="G200" s="146" t="e">
        <f aca="false">VLOOKUP($C200,#REF!,8,0)</f>
        <v>#VALUE!</v>
      </c>
      <c r="H200" s="149" t="e">
        <f aca="false">VLOOKUP($C200,#REF!,9,0)</f>
        <v>#VALUE!</v>
      </c>
      <c r="I200" s="137"/>
      <c r="J200" s="150" t="e">
        <f aca="false">VLOOKUP($C200,#REF!,10,0)</f>
        <v>#VALUE!</v>
      </c>
      <c r="K200" s="151" t="e">
        <f aca="false">VLOOKUP($C200,#REF!,11,0)</f>
        <v>#VALUE!</v>
      </c>
      <c r="L200" s="140"/>
      <c r="M200" s="150" t="e">
        <f aca="false">VLOOKUP($C200,#REF!,12,0)</f>
        <v>#VALUE!</v>
      </c>
      <c r="N200" s="152" t="e">
        <f aca="false">VLOOKUP($C200,#REF!,13,0)</f>
        <v>#VALUE!</v>
      </c>
      <c r="O200" s="150" t="e">
        <f aca="false">VLOOKUP($C200,#REF!,14,0)</f>
        <v>#VALUE!</v>
      </c>
      <c r="P200" s="152" t="e">
        <f aca="false">VLOOKUP($C200,#REF!,15,0)</f>
        <v>#VALUE!</v>
      </c>
      <c r="Q200" s="150" t="e">
        <f aca="false">VLOOKUP($C200,#REF!,16,0)</f>
        <v>#VALUE!</v>
      </c>
      <c r="R200" s="151" t="e">
        <f aca="false">VLOOKUP($C200,#REF!,17,0)</f>
        <v>#VALUE!</v>
      </c>
      <c r="S200" s="152" t="e">
        <f aca="false">VLOOKUP($C200,#REF!,18,0)</f>
        <v>#VALUE!</v>
      </c>
      <c r="T200" s="151" t="e">
        <f aca="false">VLOOKUP($C200,#REF!,19,0)</f>
        <v>#VALUE!</v>
      </c>
      <c r="U200" s="140"/>
      <c r="V200" s="150" t="e">
        <f aca="false">VLOOKUP($C200,#REF!,20,0)</f>
        <v>#VALUE!</v>
      </c>
      <c r="W200" s="152" t="e">
        <f aca="false">VLOOKUP($C200,#REF!,21,0)</f>
        <v>#VALUE!</v>
      </c>
      <c r="X200" s="150" t="e">
        <f aca="false">VLOOKUP($C200,#REF!,22,0)</f>
        <v>#VALUE!</v>
      </c>
      <c r="Y200" s="152" t="e">
        <f aca="false">VLOOKUP($C200,#REF!,23,0)</f>
        <v>#VALUE!</v>
      </c>
      <c r="Z200" s="150" t="e">
        <f aca="false">VLOOKUP($C200,#REF!,24,0)</f>
        <v>#VALUE!</v>
      </c>
      <c r="AA200" s="151" t="e">
        <f aca="false">VLOOKUP($C200,#REF!,25,0)</f>
        <v>#VALUE!</v>
      </c>
      <c r="AB200" s="152" t="e">
        <f aca="false">VLOOKUP($C200,#REF!,26,0)</f>
        <v>#VALUE!</v>
      </c>
      <c r="AC200" s="151" t="e">
        <f aca="false">VLOOKUP($C200,#REF!,27,0)</f>
        <v>#VALUE!</v>
      </c>
      <c r="AD200" s="1"/>
      <c r="AE200" s="150" t="e">
        <f aca="false">IF(M200="-","-","0,5 GB")</f>
        <v>#VALUE!</v>
      </c>
      <c r="AF200" s="153" t="s">
        <v>92</v>
      </c>
      <c r="AG200" s="153" t="s">
        <v>93</v>
      </c>
      <c r="AH200" s="151" t="s">
        <v>94</v>
      </c>
      <c r="AI200" s="1"/>
      <c r="AJ200" s="150" t="s">
        <v>95</v>
      </c>
      <c r="AK200" s="153" t="s">
        <v>96</v>
      </c>
      <c r="AL200" s="153" t="s">
        <v>97</v>
      </c>
      <c r="AM200" s="153" t="s">
        <v>98</v>
      </c>
      <c r="AN200" s="153" t="s">
        <v>98</v>
      </c>
      <c r="AO200" s="151" t="s">
        <v>92</v>
      </c>
      <c r="AP200" s="1"/>
      <c r="AQ200" s="154" t="n">
        <v>8</v>
      </c>
      <c r="AR200" s="137"/>
      <c r="AS200" s="150" t="n">
        <v>0</v>
      </c>
      <c r="AT200" s="151" t="n">
        <v>0</v>
      </c>
      <c r="AU200" s="140"/>
      <c r="AV200" s="150" t="n">
        <f aca="false">IFERROR(ROUND($D200-M200-AW200,0),0)</f>
        <v>0</v>
      </c>
      <c r="AW200" s="151" t="n">
        <f aca="false">IFERROR(N200*$G200,0)</f>
        <v>0</v>
      </c>
      <c r="AX200" s="150" t="n">
        <f aca="false">IFERROR(ROUND($D200-O200-AY200,0),0)</f>
        <v>0</v>
      </c>
      <c r="AY200" s="151" t="n">
        <f aca="false">IFERROR(P200*$G200,0)</f>
        <v>0</v>
      </c>
      <c r="AZ200" s="150" t="n">
        <f aca="false">IFERROR(ROUND($D200-Q200-BA200,0),0)</f>
        <v>0</v>
      </c>
      <c r="BA200" s="151" t="n">
        <f aca="false">IFERROR(R200*$G200,0)</f>
        <v>0</v>
      </c>
      <c r="BB200" s="152" t="n">
        <f aca="false">IFERROR(ROUND($D200-S200-BC200,0),0)</f>
        <v>0</v>
      </c>
      <c r="BC200" s="151" t="n">
        <f aca="false">IFERROR(T200*$G200,0)</f>
        <v>0</v>
      </c>
      <c r="BD200" s="140"/>
      <c r="BE200" s="150" t="n">
        <f aca="false">IFERROR(ROUND($D200-V200-BF200,0),0)</f>
        <v>0</v>
      </c>
      <c r="BF200" s="151" t="n">
        <f aca="false">IFERROR(W200*$G200,0)</f>
        <v>0</v>
      </c>
      <c r="BG200" s="150" t="n">
        <f aca="false">IFERROR(ROUND($D200-X200-BH200,0),0)</f>
        <v>0</v>
      </c>
      <c r="BH200" s="151" t="n">
        <f aca="false">IFERROR(Y200*$G200,0)</f>
        <v>0</v>
      </c>
      <c r="BI200" s="152" t="n">
        <f aca="false">IFERROR(ROUND($D200-Z200-BJ200,0),0)</f>
        <v>0</v>
      </c>
      <c r="BJ200" s="151" t="n">
        <f aca="false">IFERROR(AA200*$G200,0)</f>
        <v>0</v>
      </c>
      <c r="BK200" s="152" t="n">
        <f aca="false">IFERROR(ROUND($D200-AB200-BL200,0),0)</f>
        <v>0</v>
      </c>
      <c r="BL200" s="151" t="n">
        <f aca="false">IFERROR(AC200*$G200,0)</f>
        <v>0</v>
      </c>
      <c r="BM200" s="1"/>
      <c r="BN200" s="154" t="n">
        <v>0</v>
      </c>
      <c r="BO200" s="155"/>
      <c r="BP200" s="150" t="n">
        <v>0</v>
      </c>
      <c r="BQ200" s="151" t="n">
        <v>0</v>
      </c>
      <c r="BR200" s="152"/>
      <c r="BS200" s="150" t="n">
        <v>0</v>
      </c>
      <c r="BT200" s="151" t="n">
        <v>0</v>
      </c>
      <c r="BU200" s="150" t="n">
        <v>0</v>
      </c>
      <c r="BV200" s="151" t="n">
        <v>0</v>
      </c>
      <c r="BW200" s="150" t="n">
        <v>0</v>
      </c>
      <c r="BX200" s="151" t="n">
        <v>0</v>
      </c>
      <c r="BY200" s="150" t="n">
        <v>0</v>
      </c>
      <c r="BZ200" s="151" t="n">
        <v>0</v>
      </c>
      <c r="CA200" s="152"/>
      <c r="CB200" s="150" t="n">
        <v>0</v>
      </c>
      <c r="CC200" s="151" t="n">
        <v>0</v>
      </c>
      <c r="CD200" s="150" t="n">
        <v>0</v>
      </c>
      <c r="CE200" s="151" t="n">
        <v>0</v>
      </c>
      <c r="CF200" s="150" t="n">
        <v>0</v>
      </c>
      <c r="CG200" s="151" t="n">
        <v>0</v>
      </c>
      <c r="CH200" s="150" t="n">
        <v>0</v>
      </c>
      <c r="CI200" s="151" t="n">
        <v>0</v>
      </c>
      <c r="CJ200" s="1"/>
      <c r="CK200" s="149"/>
      <c r="CL200" s="137"/>
      <c r="CM200" s="154" t="str">
        <f aca="false">IFERROR(+$H200-($J200+$K200*$G200),"-")</f>
        <v>-</v>
      </c>
      <c r="CN200" s="137"/>
      <c r="CO200" s="154" t="str">
        <f aca="false">IFERROR(+$H200-($M200+$N200*$G200),"-")</f>
        <v>-</v>
      </c>
      <c r="CP200" s="154" t="str">
        <f aca="false">IFERROR(+$H200-($O200+$P200*$G200),"-")</f>
        <v>-</v>
      </c>
      <c r="CQ200" s="154" t="str">
        <f aca="false">IFERROR(+$H200-($Q200+$R200*$G200),"-")</f>
        <v>-</v>
      </c>
      <c r="CR200" s="154" t="str">
        <f aca="false">IFERROR(+$H200-($Q200+$R200*$G200),"-")</f>
        <v>-</v>
      </c>
      <c r="CS200" s="137"/>
      <c r="CT200" s="154" t="str">
        <f aca="false">IFERROR(+$H200-($V200+$W200*$G200),"-")</f>
        <v>-</v>
      </c>
      <c r="CU200" s="154" t="str">
        <f aca="false">IFERROR(+$H200-($X200+$Y200*$G200),"-")</f>
        <v>-</v>
      </c>
      <c r="CV200" s="154" t="str">
        <f aca="false">IFERROR(+$H200-($Z200+$AA200*$G200),"-")</f>
        <v>-</v>
      </c>
      <c r="CW200" s="154" t="str">
        <f aca="false">IFERROR(+$H200-($AB200+$AC200*$G200),"-")</f>
        <v>-</v>
      </c>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row>
    <row r="201" s="1" customFormat="true" ht="12.75" hidden="false" customHeight="true" outlineLevel="0" collapsed="false">
      <c r="B201" s="134" t="s">
        <v>289</v>
      </c>
      <c r="C201" s="135" t="s">
        <v>290</v>
      </c>
      <c r="D201" s="136" t="e">
        <f aca="false">VLOOKUP($C201,#REF!,5,0)</f>
        <v>#VALUE!</v>
      </c>
      <c r="E201" s="157" t="e">
        <f aca="false">VLOOKUP($C201,#REF!,6,0)</f>
        <v>#VALUE!</v>
      </c>
      <c r="F201" s="135" t="e">
        <f aca="false">VLOOKUP($C201,#REF!,7,0)</f>
        <v>#VALUE!</v>
      </c>
      <c r="G201" s="135" t="e">
        <f aca="false">VLOOKUP($C201,#REF!,8,0)</f>
        <v>#VALUE!</v>
      </c>
      <c r="H201" s="158" t="e">
        <f aca="false">VLOOKUP($C201,#REF!,9,0)</f>
        <v>#VALUE!</v>
      </c>
      <c r="I201" s="137"/>
      <c r="J201" s="138" t="e">
        <f aca="false">VLOOKUP($C201,#REF!,10,0)</f>
        <v>#VALUE!</v>
      </c>
      <c r="K201" s="139" t="e">
        <f aca="false">VLOOKUP($C201,#REF!,11,0)</f>
        <v>#VALUE!</v>
      </c>
      <c r="L201" s="140"/>
      <c r="M201" s="138" t="e">
        <f aca="false">VLOOKUP($C201,#REF!,12,0)</f>
        <v>#VALUE!</v>
      </c>
      <c r="N201" s="140" t="e">
        <f aca="false">VLOOKUP($C201,#REF!,13,0)</f>
        <v>#VALUE!</v>
      </c>
      <c r="O201" s="138" t="e">
        <f aca="false">VLOOKUP($C201,#REF!,14,0)</f>
        <v>#VALUE!</v>
      </c>
      <c r="P201" s="140" t="e">
        <f aca="false">VLOOKUP($C201,#REF!,15,0)</f>
        <v>#VALUE!</v>
      </c>
      <c r="Q201" s="138" t="e">
        <f aca="false">VLOOKUP($C201,#REF!,16,0)</f>
        <v>#VALUE!</v>
      </c>
      <c r="R201" s="139" t="e">
        <f aca="false">VLOOKUP($C201,#REF!,17,0)</f>
        <v>#VALUE!</v>
      </c>
      <c r="S201" s="140" t="e">
        <f aca="false">VLOOKUP($C201,#REF!,18,0)</f>
        <v>#VALUE!</v>
      </c>
      <c r="T201" s="139" t="e">
        <f aca="false">VLOOKUP($C201,#REF!,19,0)</f>
        <v>#VALUE!</v>
      </c>
      <c r="U201" s="140"/>
      <c r="V201" s="138" t="e">
        <f aca="false">VLOOKUP($C201,#REF!,20,0)</f>
        <v>#VALUE!</v>
      </c>
      <c r="W201" s="140" t="e">
        <f aca="false">VLOOKUP($C201,#REF!,21,0)</f>
        <v>#VALUE!</v>
      </c>
      <c r="X201" s="138" t="e">
        <f aca="false">VLOOKUP($C201,#REF!,22,0)</f>
        <v>#VALUE!</v>
      </c>
      <c r="Y201" s="140" t="e">
        <f aca="false">VLOOKUP($C201,#REF!,23,0)</f>
        <v>#VALUE!</v>
      </c>
      <c r="Z201" s="138" t="e">
        <f aca="false">VLOOKUP($C201,#REF!,24,0)</f>
        <v>#VALUE!</v>
      </c>
      <c r="AA201" s="139" t="e">
        <f aca="false">VLOOKUP($C201,#REF!,25,0)</f>
        <v>#VALUE!</v>
      </c>
      <c r="AB201" s="140" t="e">
        <f aca="false">VLOOKUP($C201,#REF!,26,0)</f>
        <v>#VALUE!</v>
      </c>
      <c r="AC201" s="139" t="e">
        <f aca="false">VLOOKUP($C201,#REF!,27,0)</f>
        <v>#VALUE!</v>
      </c>
      <c r="AE201" s="138" t="e">
        <f aca="false">IF(M201="-","-","0,5 GB")</f>
        <v>#VALUE!</v>
      </c>
      <c r="AF201" s="141" t="s">
        <v>92</v>
      </c>
      <c r="AG201" s="141" t="s">
        <v>93</v>
      </c>
      <c r="AH201" s="139" t="s">
        <v>94</v>
      </c>
      <c r="AJ201" s="138" t="s">
        <v>95</v>
      </c>
      <c r="AK201" s="141" t="s">
        <v>96</v>
      </c>
      <c r="AL201" s="141" t="s">
        <v>97</v>
      </c>
      <c r="AM201" s="141" t="s">
        <v>98</v>
      </c>
      <c r="AN201" s="141" t="s">
        <v>98</v>
      </c>
      <c r="AO201" s="139" t="s">
        <v>92</v>
      </c>
      <c r="AQ201" s="142" t="n">
        <v>1</v>
      </c>
      <c r="AR201" s="137"/>
      <c r="AS201" s="138" t="n">
        <v>0</v>
      </c>
      <c r="AT201" s="139" t="n">
        <v>0</v>
      </c>
      <c r="AU201" s="140"/>
      <c r="AV201" s="138" t="n">
        <f aca="false">IFERROR(ROUND($D201-M201-AW201,0),0)</f>
        <v>0</v>
      </c>
      <c r="AW201" s="139" t="n">
        <f aca="false">IFERROR(N201*$G201,0)</f>
        <v>0</v>
      </c>
      <c r="AX201" s="138" t="n">
        <f aca="false">IFERROR(ROUND($D201-O201-AY201,0),0)</f>
        <v>0</v>
      </c>
      <c r="AY201" s="139" t="n">
        <f aca="false">IFERROR(P201*$G201,0)</f>
        <v>0</v>
      </c>
      <c r="AZ201" s="138" t="n">
        <f aca="false">IFERROR(ROUND($D201-Q201-BA201,0),0)</f>
        <v>0</v>
      </c>
      <c r="BA201" s="139" t="n">
        <f aca="false">IFERROR(R201*$G201,0)</f>
        <v>0</v>
      </c>
      <c r="BB201" s="140" t="n">
        <f aca="false">IFERROR(ROUND($D201-S201-BC201,0),0)</f>
        <v>0</v>
      </c>
      <c r="BC201" s="139" t="n">
        <f aca="false">IFERROR(T201*$G201,0)</f>
        <v>0</v>
      </c>
      <c r="BD201" s="140"/>
      <c r="BE201" s="138" t="n">
        <f aca="false">IFERROR(ROUND($D201-V201-BF201,0),0)</f>
        <v>0</v>
      </c>
      <c r="BF201" s="139" t="n">
        <f aca="false">IFERROR(W201*$G201,0)</f>
        <v>0</v>
      </c>
      <c r="BG201" s="138" t="n">
        <f aca="false">IFERROR(ROUND($D201-X201-BH201,0),0)</f>
        <v>0</v>
      </c>
      <c r="BH201" s="139" t="n">
        <f aca="false">IFERROR(Y201*$G201,0)</f>
        <v>0</v>
      </c>
      <c r="BI201" s="140" t="n">
        <f aca="false">IFERROR(ROUND($D201-Z201-BJ201,0),0)</f>
        <v>0</v>
      </c>
      <c r="BJ201" s="139" t="n">
        <f aca="false">IFERROR(AA201*$G201,0)</f>
        <v>0</v>
      </c>
      <c r="BK201" s="140" t="n">
        <f aca="false">IFERROR(ROUND($D201-AB201-BL201,0),0)</f>
        <v>0</v>
      </c>
      <c r="BL201" s="139" t="n">
        <f aca="false">IFERROR(AC201*$G201,0)</f>
        <v>0</v>
      </c>
      <c r="BN201" s="142" t="e">
        <f aca="false">#N/A</f>
        <v>#N/A</v>
      </c>
      <c r="BO201" s="137"/>
      <c r="BP201" s="138" t="e">
        <f aca="false">#N/A</f>
        <v>#N/A</v>
      </c>
      <c r="BQ201" s="139" t="e">
        <f aca="false">#N/A</f>
        <v>#N/A</v>
      </c>
      <c r="BR201" s="140"/>
      <c r="BS201" s="138" t="e">
        <f aca="false">#N/A</f>
        <v>#N/A</v>
      </c>
      <c r="BT201" s="139" t="e">
        <f aca="false">#N/A</f>
        <v>#N/A</v>
      </c>
      <c r="BU201" s="138" t="e">
        <f aca="false">#N/A</f>
        <v>#N/A</v>
      </c>
      <c r="BV201" s="139" t="e">
        <f aca="false">#N/A</f>
        <v>#N/A</v>
      </c>
      <c r="BW201" s="138" t="e">
        <f aca="false">#N/A</f>
        <v>#N/A</v>
      </c>
      <c r="BX201" s="139" t="e">
        <f aca="false">#N/A</f>
        <v>#N/A</v>
      </c>
      <c r="BY201" s="138" t="e">
        <f aca="false">#N/A</f>
        <v>#N/A</v>
      </c>
      <c r="BZ201" s="139" t="e">
        <f aca="false">#N/A</f>
        <v>#N/A</v>
      </c>
      <c r="CA201" s="140"/>
      <c r="CB201" s="138" t="e">
        <f aca="false">#N/A</f>
        <v>#N/A</v>
      </c>
      <c r="CC201" s="139" t="e">
        <f aca="false">#N/A</f>
        <v>#N/A</v>
      </c>
      <c r="CD201" s="138" t="e">
        <f aca="false">#N/A</f>
        <v>#N/A</v>
      </c>
      <c r="CE201" s="139" t="e">
        <f aca="false">#N/A</f>
        <v>#N/A</v>
      </c>
      <c r="CF201" s="138" t="e">
        <f aca="false">#N/A</f>
        <v>#N/A</v>
      </c>
      <c r="CG201" s="139" t="e">
        <f aca="false">#N/A</f>
        <v>#N/A</v>
      </c>
      <c r="CH201" s="138" t="e">
        <f aca="false">#N/A</f>
        <v>#N/A</v>
      </c>
      <c r="CI201" s="139" t="e">
        <f aca="false">#N/A</f>
        <v>#N/A</v>
      </c>
      <c r="CK201" s="143"/>
      <c r="CL201" s="137"/>
      <c r="CM201" s="144" t="str">
        <f aca="false">IFERROR(+$H201-($J201+$K201*$G201),"-")</f>
        <v>-</v>
      </c>
      <c r="CN201" s="137"/>
      <c r="CO201" s="144" t="str">
        <f aca="false">IFERROR(+$H201-($M201+$N201*$G201),"-")</f>
        <v>-</v>
      </c>
      <c r="CP201" s="144" t="str">
        <f aca="false">IFERROR(+$H201-($O201+$P201*$G201),"-")</f>
        <v>-</v>
      </c>
      <c r="CQ201" s="144" t="str">
        <f aca="false">IFERROR(+$H201-($Q201+$R201*$G201),"-")</f>
        <v>-</v>
      </c>
      <c r="CR201" s="144" t="str">
        <f aca="false">IFERROR(+$H201-($Q201+$R201*$G201),"-")</f>
        <v>-</v>
      </c>
      <c r="CS201" s="137"/>
      <c r="CT201" s="144" t="str">
        <f aca="false">IFERROR(+$H201-($V201+$W201*$G201),"-")</f>
        <v>-</v>
      </c>
      <c r="CU201" s="144" t="str">
        <f aca="false">IFERROR(+$H201-($X201+$Y201*$G201),"-")</f>
        <v>-</v>
      </c>
      <c r="CV201" s="144" t="str">
        <f aca="false">IFERROR(+$H201-($Z201+$AA201*$G201),"-")</f>
        <v>-</v>
      </c>
      <c r="CW201" s="144" t="str">
        <f aca="false">IFERROR(+$H201-($AB201+$AC201*$G201),"-")</f>
        <v>-</v>
      </c>
    </row>
    <row r="202" s="156" customFormat="true" ht="12.75" hidden="false" customHeight="true" outlineLevel="0" collapsed="false">
      <c r="A202" s="1"/>
      <c r="B202" s="145" t="s">
        <v>277</v>
      </c>
      <c r="C202" s="146" t="s">
        <v>291</v>
      </c>
      <c r="D202" s="147" t="e">
        <f aca="false">VLOOKUP($C202,#REF!,5,0)</f>
        <v>#VALUE!</v>
      </c>
      <c r="E202" s="148" t="e">
        <f aca="false">VLOOKUP($C202,#REF!,6,0)</f>
        <v>#VALUE!</v>
      </c>
      <c r="F202" s="146" t="e">
        <f aca="false">VLOOKUP($C202,#REF!,7,0)</f>
        <v>#VALUE!</v>
      </c>
      <c r="G202" s="146" t="e">
        <f aca="false">VLOOKUP($C202,#REF!,8,0)</f>
        <v>#VALUE!</v>
      </c>
      <c r="H202" s="149" t="e">
        <f aca="false">VLOOKUP($C202,#REF!,9,0)</f>
        <v>#VALUE!</v>
      </c>
      <c r="I202" s="137"/>
      <c r="J202" s="150" t="e">
        <f aca="false">VLOOKUP($C202,#REF!,10,0)</f>
        <v>#VALUE!</v>
      </c>
      <c r="K202" s="151" t="e">
        <f aca="false">VLOOKUP($C202,#REF!,11,0)</f>
        <v>#VALUE!</v>
      </c>
      <c r="L202" s="140"/>
      <c r="M202" s="150" t="e">
        <f aca="false">VLOOKUP($C202,#REF!,12,0)</f>
        <v>#VALUE!</v>
      </c>
      <c r="N202" s="152" t="e">
        <f aca="false">VLOOKUP($C202,#REF!,13,0)</f>
        <v>#VALUE!</v>
      </c>
      <c r="O202" s="150" t="e">
        <f aca="false">VLOOKUP($C202,#REF!,14,0)</f>
        <v>#VALUE!</v>
      </c>
      <c r="P202" s="152" t="e">
        <f aca="false">VLOOKUP($C202,#REF!,15,0)</f>
        <v>#VALUE!</v>
      </c>
      <c r="Q202" s="150" t="e">
        <f aca="false">VLOOKUP($C202,#REF!,16,0)</f>
        <v>#VALUE!</v>
      </c>
      <c r="R202" s="151" t="e">
        <f aca="false">VLOOKUP($C202,#REF!,17,0)</f>
        <v>#VALUE!</v>
      </c>
      <c r="S202" s="152" t="e">
        <f aca="false">VLOOKUP($C202,#REF!,18,0)</f>
        <v>#VALUE!</v>
      </c>
      <c r="T202" s="151" t="e">
        <f aca="false">VLOOKUP($C202,#REF!,19,0)</f>
        <v>#VALUE!</v>
      </c>
      <c r="U202" s="140"/>
      <c r="V202" s="150" t="e">
        <f aca="false">VLOOKUP($C202,#REF!,20,0)</f>
        <v>#VALUE!</v>
      </c>
      <c r="W202" s="152" t="e">
        <f aca="false">VLOOKUP($C202,#REF!,21,0)</f>
        <v>#VALUE!</v>
      </c>
      <c r="X202" s="150" t="e">
        <f aca="false">VLOOKUP($C202,#REF!,22,0)</f>
        <v>#VALUE!</v>
      </c>
      <c r="Y202" s="152" t="e">
        <f aca="false">VLOOKUP($C202,#REF!,23,0)</f>
        <v>#VALUE!</v>
      </c>
      <c r="Z202" s="150" t="e">
        <f aca="false">VLOOKUP($C202,#REF!,24,0)</f>
        <v>#VALUE!</v>
      </c>
      <c r="AA202" s="151" t="e">
        <f aca="false">VLOOKUP($C202,#REF!,25,0)</f>
        <v>#VALUE!</v>
      </c>
      <c r="AB202" s="152" t="e">
        <f aca="false">VLOOKUP($C202,#REF!,26,0)</f>
        <v>#VALUE!</v>
      </c>
      <c r="AC202" s="151" t="e">
        <f aca="false">VLOOKUP($C202,#REF!,27,0)</f>
        <v>#VALUE!</v>
      </c>
      <c r="AD202" s="1"/>
      <c r="AE202" s="150" t="e">
        <f aca="false">IF(M202="-","-","0,5 GB")</f>
        <v>#VALUE!</v>
      </c>
      <c r="AF202" s="153" t="s">
        <v>92</v>
      </c>
      <c r="AG202" s="153" t="s">
        <v>93</v>
      </c>
      <c r="AH202" s="151" t="s">
        <v>94</v>
      </c>
      <c r="AI202" s="1"/>
      <c r="AJ202" s="150" t="s">
        <v>95</v>
      </c>
      <c r="AK202" s="153" t="s">
        <v>96</v>
      </c>
      <c r="AL202" s="153" t="s">
        <v>97</v>
      </c>
      <c r="AM202" s="153" t="s">
        <v>98</v>
      </c>
      <c r="AN202" s="153" t="s">
        <v>98</v>
      </c>
      <c r="AO202" s="151" t="s">
        <v>92</v>
      </c>
      <c r="AP202" s="1"/>
      <c r="AQ202" s="154" t="n">
        <v>0</v>
      </c>
      <c r="AR202" s="137"/>
      <c r="AS202" s="150" t="n">
        <v>0</v>
      </c>
      <c r="AT202" s="151" t="n">
        <v>0</v>
      </c>
      <c r="AU202" s="140"/>
      <c r="AV202" s="150" t="n">
        <f aca="false">IFERROR(ROUND($D202-M202-AW202,0),0)</f>
        <v>0</v>
      </c>
      <c r="AW202" s="151" t="n">
        <f aca="false">IFERROR(N202*$G202,0)</f>
        <v>0</v>
      </c>
      <c r="AX202" s="150" t="n">
        <f aca="false">IFERROR(ROUND($D202-O202-AY202,0),0)</f>
        <v>0</v>
      </c>
      <c r="AY202" s="151" t="n">
        <f aca="false">IFERROR(P202*$G202,0)</f>
        <v>0</v>
      </c>
      <c r="AZ202" s="150" t="n">
        <f aca="false">IFERROR(ROUND($D202-Q202-BA202,0),0)</f>
        <v>0</v>
      </c>
      <c r="BA202" s="151" t="n">
        <f aca="false">IFERROR(R202*$G202,0)</f>
        <v>0</v>
      </c>
      <c r="BB202" s="152" t="n">
        <f aca="false">IFERROR(ROUND($D202-S202-BC202,0),0)</f>
        <v>0</v>
      </c>
      <c r="BC202" s="151" t="n">
        <f aca="false">IFERROR(T202*$G202,0)</f>
        <v>0</v>
      </c>
      <c r="BD202" s="140"/>
      <c r="BE202" s="150" t="n">
        <f aca="false">IFERROR(ROUND($D202-V202-BF202,0),0)</f>
        <v>0</v>
      </c>
      <c r="BF202" s="151" t="n">
        <f aca="false">IFERROR(W202*$G202,0)</f>
        <v>0</v>
      </c>
      <c r="BG202" s="150" t="n">
        <f aca="false">IFERROR(ROUND($D202-X202-BH202,0),0)</f>
        <v>0</v>
      </c>
      <c r="BH202" s="151" t="n">
        <f aca="false">IFERROR(Y202*$G202,0)</f>
        <v>0</v>
      </c>
      <c r="BI202" s="152" t="n">
        <f aca="false">IFERROR(ROUND($D202-Z202-BJ202,0),0)</f>
        <v>0</v>
      </c>
      <c r="BJ202" s="151" t="n">
        <f aca="false">IFERROR(AA202*$G202,0)</f>
        <v>0</v>
      </c>
      <c r="BK202" s="152" t="n">
        <f aca="false">IFERROR(ROUND($D202-AB202-BL202,0),0)</f>
        <v>0</v>
      </c>
      <c r="BL202" s="151" t="n">
        <f aca="false">IFERROR(AC202*$G202,0)</f>
        <v>0</v>
      </c>
      <c r="BM202" s="1"/>
      <c r="BN202" s="154" t="e">
        <f aca="false">#N/A</f>
        <v>#N/A</v>
      </c>
      <c r="BO202" s="155"/>
      <c r="BP202" s="150" t="e">
        <f aca="false">#N/A</f>
        <v>#N/A</v>
      </c>
      <c r="BQ202" s="151" t="e">
        <f aca="false">#N/A</f>
        <v>#N/A</v>
      </c>
      <c r="BR202" s="152"/>
      <c r="BS202" s="150" t="e">
        <f aca="false">#N/A</f>
        <v>#N/A</v>
      </c>
      <c r="BT202" s="151" t="e">
        <f aca="false">#N/A</f>
        <v>#N/A</v>
      </c>
      <c r="BU202" s="150" t="e">
        <f aca="false">#N/A</f>
        <v>#N/A</v>
      </c>
      <c r="BV202" s="151" t="e">
        <f aca="false">#N/A</f>
        <v>#N/A</v>
      </c>
      <c r="BW202" s="150" t="e">
        <f aca="false">#N/A</f>
        <v>#N/A</v>
      </c>
      <c r="BX202" s="151" t="e">
        <f aca="false">#N/A</f>
        <v>#N/A</v>
      </c>
      <c r="BY202" s="150" t="e">
        <f aca="false">#N/A</f>
        <v>#N/A</v>
      </c>
      <c r="BZ202" s="151" t="e">
        <f aca="false">#N/A</f>
        <v>#N/A</v>
      </c>
      <c r="CA202" s="152"/>
      <c r="CB202" s="150" t="e">
        <f aca="false">#N/A</f>
        <v>#N/A</v>
      </c>
      <c r="CC202" s="151" t="e">
        <f aca="false">#N/A</f>
        <v>#N/A</v>
      </c>
      <c r="CD202" s="150" t="e">
        <f aca="false">#N/A</f>
        <v>#N/A</v>
      </c>
      <c r="CE202" s="151" t="e">
        <f aca="false">#N/A</f>
        <v>#N/A</v>
      </c>
      <c r="CF202" s="150" t="e">
        <f aca="false">#N/A</f>
        <v>#N/A</v>
      </c>
      <c r="CG202" s="151" t="e">
        <f aca="false">#N/A</f>
        <v>#N/A</v>
      </c>
      <c r="CH202" s="150" t="e">
        <f aca="false">#N/A</f>
        <v>#N/A</v>
      </c>
      <c r="CI202" s="151" t="e">
        <f aca="false">#N/A</f>
        <v>#N/A</v>
      </c>
      <c r="CJ202" s="1"/>
      <c r="CK202" s="149"/>
      <c r="CL202" s="137"/>
      <c r="CM202" s="154" t="str">
        <f aca="false">IFERROR(+$H202-($J202+$K202*$G202),"-")</f>
        <v>-</v>
      </c>
      <c r="CN202" s="137"/>
      <c r="CO202" s="154" t="str">
        <f aca="false">IFERROR(+$H202-($M202+$N202*$G202),"-")</f>
        <v>-</v>
      </c>
      <c r="CP202" s="154" t="str">
        <f aca="false">IFERROR(+$H202-($O202+$P202*$G202),"-")</f>
        <v>-</v>
      </c>
      <c r="CQ202" s="154" t="str">
        <f aca="false">IFERROR(+$H202-($Q202+$R202*$G202),"-")</f>
        <v>-</v>
      </c>
      <c r="CR202" s="154" t="str">
        <f aca="false">IFERROR(+$H202-($Q202+$R202*$G202),"-")</f>
        <v>-</v>
      </c>
      <c r="CS202" s="137"/>
      <c r="CT202" s="154" t="str">
        <f aca="false">IFERROR(+$H202-($V202+$W202*$G202),"-")</f>
        <v>-</v>
      </c>
      <c r="CU202" s="154" t="str">
        <f aca="false">IFERROR(+$H202-($X202+$Y202*$G202),"-")</f>
        <v>-</v>
      </c>
      <c r="CV202" s="154" t="str">
        <f aca="false">IFERROR(+$H202-($Z202+$AA202*$G202),"-")</f>
        <v>-</v>
      </c>
      <c r="CW202" s="154" t="str">
        <f aca="false">IFERROR(+$H202-($AB202+$AC202*$G202),"-")</f>
        <v>-</v>
      </c>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c r="EG202" s="1"/>
      <c r="EH202" s="1"/>
    </row>
    <row r="203" s="1" customFormat="true" ht="12.75" hidden="false" customHeight="true" outlineLevel="0" collapsed="false">
      <c r="B203" s="134" t="s">
        <v>292</v>
      </c>
      <c r="C203" s="135" t="s">
        <v>293</v>
      </c>
      <c r="D203" s="136" t="e">
        <f aca="false">VLOOKUP($C203,#REF!,5,0)</f>
        <v>#VALUE!</v>
      </c>
      <c r="E203" s="157" t="e">
        <f aca="false">VLOOKUP($C203,#REF!,6,0)</f>
        <v>#VALUE!</v>
      </c>
      <c r="F203" s="135" t="e">
        <f aca="false">VLOOKUP($C203,#REF!,7,0)</f>
        <v>#VALUE!</v>
      </c>
      <c r="G203" s="135" t="e">
        <f aca="false">VLOOKUP($C203,#REF!,8,0)</f>
        <v>#VALUE!</v>
      </c>
      <c r="H203" s="158" t="e">
        <f aca="false">VLOOKUP($C203,#REF!,9,0)</f>
        <v>#VALUE!</v>
      </c>
      <c r="I203" s="137"/>
      <c r="J203" s="138" t="e">
        <f aca="false">VLOOKUP($C203,#REF!,10,0)</f>
        <v>#VALUE!</v>
      </c>
      <c r="K203" s="139" t="e">
        <f aca="false">VLOOKUP($C203,#REF!,11,0)</f>
        <v>#VALUE!</v>
      </c>
      <c r="L203" s="140"/>
      <c r="M203" s="138" t="e">
        <f aca="false">VLOOKUP($C203,#REF!,12,0)</f>
        <v>#VALUE!</v>
      </c>
      <c r="N203" s="140" t="e">
        <f aca="false">VLOOKUP($C203,#REF!,13,0)</f>
        <v>#VALUE!</v>
      </c>
      <c r="O203" s="138" t="e">
        <f aca="false">VLOOKUP($C203,#REF!,14,0)</f>
        <v>#VALUE!</v>
      </c>
      <c r="P203" s="140" t="e">
        <f aca="false">VLOOKUP($C203,#REF!,15,0)</f>
        <v>#VALUE!</v>
      </c>
      <c r="Q203" s="138" t="e">
        <f aca="false">VLOOKUP($C203,#REF!,16,0)</f>
        <v>#VALUE!</v>
      </c>
      <c r="R203" s="139" t="e">
        <f aca="false">VLOOKUP($C203,#REF!,17,0)</f>
        <v>#VALUE!</v>
      </c>
      <c r="S203" s="140" t="e">
        <f aca="false">VLOOKUP($C203,#REF!,18,0)</f>
        <v>#VALUE!</v>
      </c>
      <c r="T203" s="139" t="e">
        <f aca="false">VLOOKUP($C203,#REF!,19,0)</f>
        <v>#VALUE!</v>
      </c>
      <c r="U203" s="140"/>
      <c r="V203" s="138" t="e">
        <f aca="false">VLOOKUP($C203,#REF!,20,0)</f>
        <v>#VALUE!</v>
      </c>
      <c r="W203" s="140" t="e">
        <f aca="false">VLOOKUP($C203,#REF!,21,0)</f>
        <v>#VALUE!</v>
      </c>
      <c r="X203" s="138" t="e">
        <f aca="false">VLOOKUP($C203,#REF!,22,0)</f>
        <v>#VALUE!</v>
      </c>
      <c r="Y203" s="140" t="e">
        <f aca="false">VLOOKUP($C203,#REF!,23,0)</f>
        <v>#VALUE!</v>
      </c>
      <c r="Z203" s="138" t="e">
        <f aca="false">VLOOKUP($C203,#REF!,24,0)</f>
        <v>#VALUE!</v>
      </c>
      <c r="AA203" s="139" t="e">
        <f aca="false">VLOOKUP($C203,#REF!,25,0)</f>
        <v>#VALUE!</v>
      </c>
      <c r="AB203" s="140" t="e">
        <f aca="false">VLOOKUP($C203,#REF!,26,0)</f>
        <v>#VALUE!</v>
      </c>
      <c r="AC203" s="139" t="e">
        <f aca="false">VLOOKUP($C203,#REF!,27,0)</f>
        <v>#VALUE!</v>
      </c>
      <c r="AE203" s="138" t="e">
        <f aca="false">IF(M203="-","-","0,5 GB")</f>
        <v>#VALUE!</v>
      </c>
      <c r="AF203" s="141" t="s">
        <v>92</v>
      </c>
      <c r="AG203" s="141" t="s">
        <v>93</v>
      </c>
      <c r="AH203" s="139" t="s">
        <v>94</v>
      </c>
      <c r="AJ203" s="138" t="s">
        <v>95</v>
      </c>
      <c r="AK203" s="141" t="s">
        <v>96</v>
      </c>
      <c r="AL203" s="141" t="s">
        <v>97</v>
      </c>
      <c r="AM203" s="141" t="s">
        <v>98</v>
      </c>
      <c r="AN203" s="141" t="s">
        <v>98</v>
      </c>
      <c r="AO203" s="139" t="s">
        <v>92</v>
      </c>
      <c r="AQ203" s="142" t="n">
        <v>0</v>
      </c>
      <c r="AR203" s="137"/>
      <c r="AS203" s="138" t="n">
        <v>0</v>
      </c>
      <c r="AT203" s="139" t="n">
        <v>0</v>
      </c>
      <c r="AU203" s="140"/>
      <c r="AV203" s="138" t="n">
        <f aca="false">IFERROR(ROUND($D203-M203-AW203,0),0)</f>
        <v>0</v>
      </c>
      <c r="AW203" s="139" t="n">
        <f aca="false">IFERROR(N203*$G203,0)</f>
        <v>0</v>
      </c>
      <c r="AX203" s="138" t="n">
        <f aca="false">IFERROR(ROUND($D203-O203-AY203,0),0)</f>
        <v>0</v>
      </c>
      <c r="AY203" s="139" t="n">
        <f aca="false">IFERROR(P203*$G203,0)</f>
        <v>0</v>
      </c>
      <c r="AZ203" s="138" t="n">
        <f aca="false">IFERROR(ROUND($D203-Q203-BA203,0),0)</f>
        <v>0</v>
      </c>
      <c r="BA203" s="139" t="n">
        <f aca="false">IFERROR(R203*$G203,0)</f>
        <v>0</v>
      </c>
      <c r="BB203" s="140" t="n">
        <f aca="false">IFERROR(ROUND($D203-S203-BC203,0),0)</f>
        <v>0</v>
      </c>
      <c r="BC203" s="139" t="n">
        <f aca="false">IFERROR(T203*$G203,0)</f>
        <v>0</v>
      </c>
      <c r="BD203" s="140"/>
      <c r="BE203" s="138" t="n">
        <f aca="false">IFERROR(ROUND($D203-V203-BF203,0),0)</f>
        <v>0</v>
      </c>
      <c r="BF203" s="139" t="n">
        <f aca="false">IFERROR(W203*$G203,0)</f>
        <v>0</v>
      </c>
      <c r="BG203" s="138" t="n">
        <f aca="false">IFERROR(ROUND($D203-X203-BH203,0),0)</f>
        <v>0</v>
      </c>
      <c r="BH203" s="139" t="n">
        <f aca="false">IFERROR(Y203*$G203,0)</f>
        <v>0</v>
      </c>
      <c r="BI203" s="140" t="n">
        <f aca="false">IFERROR(ROUND($D203-Z203-BJ203,0),0)</f>
        <v>0</v>
      </c>
      <c r="BJ203" s="139" t="n">
        <f aca="false">IFERROR(AA203*$G203,0)</f>
        <v>0</v>
      </c>
      <c r="BK203" s="140" t="n">
        <f aca="false">IFERROR(ROUND($D203-AB203-BL203,0),0)</f>
        <v>0</v>
      </c>
      <c r="BL203" s="139" t="n">
        <f aca="false">IFERROR(AC203*$G203,0)</f>
        <v>0</v>
      </c>
      <c r="BN203" s="142" t="e">
        <f aca="false">#N/A</f>
        <v>#N/A</v>
      </c>
      <c r="BO203" s="137"/>
      <c r="BP203" s="138" t="e">
        <f aca="false">#N/A</f>
        <v>#N/A</v>
      </c>
      <c r="BQ203" s="139" t="e">
        <f aca="false">#N/A</f>
        <v>#N/A</v>
      </c>
      <c r="BR203" s="140"/>
      <c r="BS203" s="138" t="e">
        <f aca="false">#N/A</f>
        <v>#N/A</v>
      </c>
      <c r="BT203" s="139" t="e">
        <f aca="false">#N/A</f>
        <v>#N/A</v>
      </c>
      <c r="BU203" s="138" t="e">
        <f aca="false">#N/A</f>
        <v>#N/A</v>
      </c>
      <c r="BV203" s="139" t="e">
        <f aca="false">#N/A</f>
        <v>#N/A</v>
      </c>
      <c r="BW203" s="138" t="e">
        <f aca="false">#N/A</f>
        <v>#N/A</v>
      </c>
      <c r="BX203" s="139" t="e">
        <f aca="false">#N/A</f>
        <v>#N/A</v>
      </c>
      <c r="BY203" s="138" t="e">
        <f aca="false">#N/A</f>
        <v>#N/A</v>
      </c>
      <c r="BZ203" s="139" t="e">
        <f aca="false">#N/A</f>
        <v>#N/A</v>
      </c>
      <c r="CA203" s="140"/>
      <c r="CB203" s="138" t="e">
        <f aca="false">#N/A</f>
        <v>#N/A</v>
      </c>
      <c r="CC203" s="139" t="e">
        <f aca="false">#N/A</f>
        <v>#N/A</v>
      </c>
      <c r="CD203" s="138" t="e">
        <f aca="false">#N/A</f>
        <v>#N/A</v>
      </c>
      <c r="CE203" s="139" t="e">
        <f aca="false">#N/A</f>
        <v>#N/A</v>
      </c>
      <c r="CF203" s="138" t="e">
        <f aca="false">#N/A</f>
        <v>#N/A</v>
      </c>
      <c r="CG203" s="139" t="e">
        <f aca="false">#N/A</f>
        <v>#N/A</v>
      </c>
      <c r="CH203" s="138" t="e">
        <f aca="false">#N/A</f>
        <v>#N/A</v>
      </c>
      <c r="CI203" s="139" t="e">
        <f aca="false">#N/A</f>
        <v>#N/A</v>
      </c>
      <c r="CK203" s="143"/>
      <c r="CL203" s="137"/>
      <c r="CM203" s="144" t="str">
        <f aca="false">IFERROR(+$H203-($J203+$K203*$G203),"-")</f>
        <v>-</v>
      </c>
      <c r="CN203" s="137"/>
      <c r="CO203" s="144" t="str">
        <f aca="false">IFERROR(+$H203-($M203+$N203*$G203),"-")</f>
        <v>-</v>
      </c>
      <c r="CP203" s="144" t="str">
        <f aca="false">IFERROR(+$H203-($O203+$P203*$G203),"-")</f>
        <v>-</v>
      </c>
      <c r="CQ203" s="144" t="str">
        <f aca="false">IFERROR(+$H203-($Q203+$R203*$G203),"-")</f>
        <v>-</v>
      </c>
      <c r="CR203" s="144" t="str">
        <f aca="false">IFERROR(+$H203-($Q203+$R203*$G203),"-")</f>
        <v>-</v>
      </c>
      <c r="CS203" s="137"/>
      <c r="CT203" s="144" t="str">
        <f aca="false">IFERROR(+$H203-($V203+$W203*$G203),"-")</f>
        <v>-</v>
      </c>
      <c r="CU203" s="144" t="str">
        <f aca="false">IFERROR(+$H203-($X203+$Y203*$G203),"-")</f>
        <v>-</v>
      </c>
      <c r="CV203" s="144" t="str">
        <f aca="false">IFERROR(+$H203-($Z203+$AA203*$G203),"-")</f>
        <v>-</v>
      </c>
      <c r="CW203" s="144" t="str">
        <f aca="false">IFERROR(+$H203-($AB203+$AC203*$G203),"-")</f>
        <v>-</v>
      </c>
    </row>
    <row r="204" s="156" customFormat="true" ht="12.75" hidden="false" customHeight="true" outlineLevel="0" collapsed="false">
      <c r="A204" s="1"/>
      <c r="B204" s="145" t="s">
        <v>292</v>
      </c>
      <c r="C204" s="146" t="s">
        <v>294</v>
      </c>
      <c r="D204" s="147" t="e">
        <f aca="false">VLOOKUP($C204,#REF!,5,0)</f>
        <v>#VALUE!</v>
      </c>
      <c r="E204" s="148" t="e">
        <f aca="false">VLOOKUP($C204,#REF!,6,0)</f>
        <v>#VALUE!</v>
      </c>
      <c r="F204" s="146" t="e">
        <f aca="false">VLOOKUP($C204,#REF!,7,0)</f>
        <v>#VALUE!</v>
      </c>
      <c r="G204" s="146" t="e">
        <f aca="false">VLOOKUP($C204,#REF!,8,0)</f>
        <v>#VALUE!</v>
      </c>
      <c r="H204" s="149" t="e">
        <f aca="false">VLOOKUP($C204,#REF!,9,0)</f>
        <v>#VALUE!</v>
      </c>
      <c r="I204" s="137"/>
      <c r="J204" s="150" t="e">
        <f aca="false">VLOOKUP($C204,#REF!,10,0)</f>
        <v>#VALUE!</v>
      </c>
      <c r="K204" s="151" t="e">
        <f aca="false">VLOOKUP($C204,#REF!,11,0)</f>
        <v>#VALUE!</v>
      </c>
      <c r="L204" s="140"/>
      <c r="M204" s="150" t="e">
        <f aca="false">VLOOKUP($C204,#REF!,12,0)</f>
        <v>#VALUE!</v>
      </c>
      <c r="N204" s="152" t="e">
        <f aca="false">VLOOKUP($C204,#REF!,13,0)</f>
        <v>#VALUE!</v>
      </c>
      <c r="O204" s="150" t="e">
        <f aca="false">VLOOKUP($C204,#REF!,14,0)</f>
        <v>#VALUE!</v>
      </c>
      <c r="P204" s="152" t="e">
        <f aca="false">VLOOKUP($C204,#REF!,15,0)</f>
        <v>#VALUE!</v>
      </c>
      <c r="Q204" s="150" t="e">
        <f aca="false">VLOOKUP($C204,#REF!,16,0)</f>
        <v>#VALUE!</v>
      </c>
      <c r="R204" s="151" t="e">
        <f aca="false">VLOOKUP($C204,#REF!,17,0)</f>
        <v>#VALUE!</v>
      </c>
      <c r="S204" s="152" t="e">
        <f aca="false">VLOOKUP($C204,#REF!,18,0)</f>
        <v>#VALUE!</v>
      </c>
      <c r="T204" s="151" t="e">
        <f aca="false">VLOOKUP($C204,#REF!,19,0)</f>
        <v>#VALUE!</v>
      </c>
      <c r="U204" s="140"/>
      <c r="V204" s="150" t="e">
        <f aca="false">VLOOKUP($C204,#REF!,20,0)</f>
        <v>#VALUE!</v>
      </c>
      <c r="W204" s="152" t="e">
        <f aca="false">VLOOKUP($C204,#REF!,21,0)</f>
        <v>#VALUE!</v>
      </c>
      <c r="X204" s="150" t="e">
        <f aca="false">VLOOKUP($C204,#REF!,22,0)</f>
        <v>#VALUE!</v>
      </c>
      <c r="Y204" s="152" t="e">
        <f aca="false">VLOOKUP($C204,#REF!,23,0)</f>
        <v>#VALUE!</v>
      </c>
      <c r="Z204" s="150" t="e">
        <f aca="false">VLOOKUP($C204,#REF!,24,0)</f>
        <v>#VALUE!</v>
      </c>
      <c r="AA204" s="151" t="e">
        <f aca="false">VLOOKUP($C204,#REF!,25,0)</f>
        <v>#VALUE!</v>
      </c>
      <c r="AB204" s="152" t="e">
        <f aca="false">VLOOKUP($C204,#REF!,26,0)</f>
        <v>#VALUE!</v>
      </c>
      <c r="AC204" s="151" t="e">
        <f aca="false">VLOOKUP($C204,#REF!,27,0)</f>
        <v>#VALUE!</v>
      </c>
      <c r="AD204" s="1"/>
      <c r="AE204" s="150" t="e">
        <f aca="false">IF(M204="-","-","0,5 GB")</f>
        <v>#VALUE!</v>
      </c>
      <c r="AF204" s="153" t="s">
        <v>92</v>
      </c>
      <c r="AG204" s="153" t="s">
        <v>93</v>
      </c>
      <c r="AH204" s="151" t="s">
        <v>94</v>
      </c>
      <c r="AI204" s="1"/>
      <c r="AJ204" s="150" t="s">
        <v>95</v>
      </c>
      <c r="AK204" s="153" t="s">
        <v>96</v>
      </c>
      <c r="AL204" s="153" t="s">
        <v>97</v>
      </c>
      <c r="AM204" s="153" t="s">
        <v>98</v>
      </c>
      <c r="AN204" s="153" t="s">
        <v>98</v>
      </c>
      <c r="AO204" s="151" t="s">
        <v>92</v>
      </c>
      <c r="AP204" s="1"/>
      <c r="AQ204" s="154" t="n">
        <v>1</v>
      </c>
      <c r="AR204" s="137"/>
      <c r="AS204" s="150" t="n">
        <v>0</v>
      </c>
      <c r="AT204" s="151" t="n">
        <v>0</v>
      </c>
      <c r="AU204" s="140"/>
      <c r="AV204" s="150" t="n">
        <f aca="false">IFERROR(ROUND($D204-M204-AW204,0),0)</f>
        <v>0</v>
      </c>
      <c r="AW204" s="151" t="n">
        <f aca="false">IFERROR(N204*$G204,0)</f>
        <v>0</v>
      </c>
      <c r="AX204" s="150" t="n">
        <f aca="false">IFERROR(ROUND($D204-O204-AY204,0),0)</f>
        <v>0</v>
      </c>
      <c r="AY204" s="151" t="n">
        <f aca="false">IFERROR(P204*$G204,0)</f>
        <v>0</v>
      </c>
      <c r="AZ204" s="150" t="n">
        <f aca="false">IFERROR(ROUND($D204-Q204-BA204,0),0)</f>
        <v>0</v>
      </c>
      <c r="BA204" s="151" t="n">
        <f aca="false">IFERROR(R204*$G204,0)</f>
        <v>0</v>
      </c>
      <c r="BB204" s="152" t="n">
        <f aca="false">IFERROR(ROUND($D204-S204-BC204,0),0)</f>
        <v>0</v>
      </c>
      <c r="BC204" s="151" t="n">
        <f aca="false">IFERROR(T204*$G204,0)</f>
        <v>0</v>
      </c>
      <c r="BD204" s="140"/>
      <c r="BE204" s="150" t="n">
        <f aca="false">IFERROR(ROUND($D204-V204-BF204,0),0)</f>
        <v>0</v>
      </c>
      <c r="BF204" s="151" t="n">
        <f aca="false">IFERROR(W204*$G204,0)</f>
        <v>0</v>
      </c>
      <c r="BG204" s="150" t="n">
        <f aca="false">IFERROR(ROUND($D204-X204-BH204,0),0)</f>
        <v>0</v>
      </c>
      <c r="BH204" s="151" t="n">
        <f aca="false">IFERROR(Y204*$G204,0)</f>
        <v>0</v>
      </c>
      <c r="BI204" s="152" t="n">
        <f aca="false">IFERROR(ROUND($D204-Z204-BJ204,0),0)</f>
        <v>0</v>
      </c>
      <c r="BJ204" s="151" t="n">
        <f aca="false">IFERROR(AA204*$G204,0)</f>
        <v>0</v>
      </c>
      <c r="BK204" s="152" t="n">
        <f aca="false">IFERROR(ROUND($D204-AB204-BL204,0),0)</f>
        <v>0</v>
      </c>
      <c r="BL204" s="151" t="n">
        <f aca="false">IFERROR(AC204*$G204,0)</f>
        <v>0</v>
      </c>
      <c r="BM204" s="1"/>
      <c r="BN204" s="154" t="e">
        <f aca="false">#N/A</f>
        <v>#N/A</v>
      </c>
      <c r="BO204" s="155"/>
      <c r="BP204" s="150" t="e">
        <f aca="false">#N/A</f>
        <v>#N/A</v>
      </c>
      <c r="BQ204" s="151" t="e">
        <f aca="false">#N/A</f>
        <v>#N/A</v>
      </c>
      <c r="BR204" s="152"/>
      <c r="BS204" s="150" t="e">
        <f aca="false">#N/A</f>
        <v>#N/A</v>
      </c>
      <c r="BT204" s="151" t="e">
        <f aca="false">#N/A</f>
        <v>#N/A</v>
      </c>
      <c r="BU204" s="150" t="e">
        <f aca="false">#N/A</f>
        <v>#N/A</v>
      </c>
      <c r="BV204" s="151" t="e">
        <f aca="false">#N/A</f>
        <v>#N/A</v>
      </c>
      <c r="BW204" s="150" t="e">
        <f aca="false">#N/A</f>
        <v>#N/A</v>
      </c>
      <c r="BX204" s="151" t="e">
        <f aca="false">#N/A</f>
        <v>#N/A</v>
      </c>
      <c r="BY204" s="150" t="e">
        <f aca="false">#N/A</f>
        <v>#N/A</v>
      </c>
      <c r="BZ204" s="151" t="e">
        <f aca="false">#N/A</f>
        <v>#N/A</v>
      </c>
      <c r="CA204" s="152"/>
      <c r="CB204" s="150" t="e">
        <f aca="false">#N/A</f>
        <v>#N/A</v>
      </c>
      <c r="CC204" s="151" t="e">
        <f aca="false">#N/A</f>
        <v>#N/A</v>
      </c>
      <c r="CD204" s="150" t="e">
        <f aca="false">#N/A</f>
        <v>#N/A</v>
      </c>
      <c r="CE204" s="151" t="e">
        <f aca="false">#N/A</f>
        <v>#N/A</v>
      </c>
      <c r="CF204" s="150" t="e">
        <f aca="false">#N/A</f>
        <v>#N/A</v>
      </c>
      <c r="CG204" s="151" t="e">
        <f aca="false">#N/A</f>
        <v>#N/A</v>
      </c>
      <c r="CH204" s="150" t="e">
        <f aca="false">#N/A</f>
        <v>#N/A</v>
      </c>
      <c r="CI204" s="151" t="e">
        <f aca="false">#N/A</f>
        <v>#N/A</v>
      </c>
      <c r="CJ204" s="1"/>
      <c r="CK204" s="149"/>
      <c r="CL204" s="137"/>
      <c r="CM204" s="154" t="str">
        <f aca="false">IFERROR(+$H204-($J204+$K204*$G204),"-")</f>
        <v>-</v>
      </c>
      <c r="CN204" s="137"/>
      <c r="CO204" s="154" t="str">
        <f aca="false">IFERROR(+$H204-($M204+$N204*$G204),"-")</f>
        <v>-</v>
      </c>
      <c r="CP204" s="154" t="str">
        <f aca="false">IFERROR(+$H204-($O204+$P204*$G204),"-")</f>
        <v>-</v>
      </c>
      <c r="CQ204" s="154" t="str">
        <f aca="false">IFERROR(+$H204-($Q204+$R204*$G204),"-")</f>
        <v>-</v>
      </c>
      <c r="CR204" s="154" t="str">
        <f aca="false">IFERROR(+$H204-($Q204+$R204*$G204),"-")</f>
        <v>-</v>
      </c>
      <c r="CS204" s="137"/>
      <c r="CT204" s="154" t="str">
        <f aca="false">IFERROR(+$H204-($V204+$W204*$G204),"-")</f>
        <v>-</v>
      </c>
      <c r="CU204" s="154" t="str">
        <f aca="false">IFERROR(+$H204-($X204+$Y204*$G204),"-")</f>
        <v>-</v>
      </c>
      <c r="CV204" s="154" t="str">
        <f aca="false">IFERROR(+$H204-($Z204+$AA204*$G204),"-")</f>
        <v>-</v>
      </c>
      <c r="CW204" s="154" t="str">
        <f aca="false">IFERROR(+$H204-($AB204+$AC204*$G204),"-")</f>
        <v>-</v>
      </c>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row>
    <row r="205" s="1" customFormat="true" ht="12.75" hidden="false" customHeight="true" outlineLevel="0" collapsed="false">
      <c r="B205" s="134" t="s">
        <v>287</v>
      </c>
      <c r="C205" s="135" t="s">
        <v>295</v>
      </c>
      <c r="D205" s="136" t="e">
        <f aca="false">VLOOKUP($C205,#REF!,5,0)</f>
        <v>#VALUE!</v>
      </c>
      <c r="E205" s="157" t="e">
        <f aca="false">VLOOKUP($C205,#REF!,6,0)</f>
        <v>#VALUE!</v>
      </c>
      <c r="F205" s="135" t="e">
        <f aca="false">VLOOKUP($C205,#REF!,7,0)</f>
        <v>#VALUE!</v>
      </c>
      <c r="G205" s="135" t="e">
        <f aca="false">VLOOKUP($C205,#REF!,8,0)</f>
        <v>#VALUE!</v>
      </c>
      <c r="H205" s="158" t="e">
        <f aca="false">VLOOKUP($C205,#REF!,9,0)</f>
        <v>#VALUE!</v>
      </c>
      <c r="I205" s="137"/>
      <c r="J205" s="138" t="e">
        <f aca="false">VLOOKUP($C205,#REF!,10,0)</f>
        <v>#VALUE!</v>
      </c>
      <c r="K205" s="139" t="e">
        <f aca="false">VLOOKUP($C205,#REF!,11,0)</f>
        <v>#VALUE!</v>
      </c>
      <c r="L205" s="140"/>
      <c r="M205" s="138" t="e">
        <f aca="false">VLOOKUP($C205,#REF!,12,0)</f>
        <v>#VALUE!</v>
      </c>
      <c r="N205" s="140" t="e">
        <f aca="false">VLOOKUP($C205,#REF!,13,0)</f>
        <v>#VALUE!</v>
      </c>
      <c r="O205" s="138" t="e">
        <f aca="false">VLOOKUP($C205,#REF!,14,0)</f>
        <v>#VALUE!</v>
      </c>
      <c r="P205" s="140" t="e">
        <f aca="false">VLOOKUP($C205,#REF!,15,0)</f>
        <v>#VALUE!</v>
      </c>
      <c r="Q205" s="138" t="e">
        <f aca="false">VLOOKUP($C205,#REF!,16,0)</f>
        <v>#VALUE!</v>
      </c>
      <c r="R205" s="139" t="e">
        <f aca="false">VLOOKUP($C205,#REF!,17,0)</f>
        <v>#VALUE!</v>
      </c>
      <c r="S205" s="140" t="e">
        <f aca="false">VLOOKUP($C205,#REF!,18,0)</f>
        <v>#VALUE!</v>
      </c>
      <c r="T205" s="139" t="e">
        <f aca="false">VLOOKUP($C205,#REF!,19,0)</f>
        <v>#VALUE!</v>
      </c>
      <c r="U205" s="140"/>
      <c r="V205" s="138" t="e">
        <f aca="false">VLOOKUP($C205,#REF!,20,0)</f>
        <v>#VALUE!</v>
      </c>
      <c r="W205" s="140" t="e">
        <f aca="false">VLOOKUP($C205,#REF!,21,0)</f>
        <v>#VALUE!</v>
      </c>
      <c r="X205" s="138" t="e">
        <f aca="false">VLOOKUP($C205,#REF!,22,0)</f>
        <v>#VALUE!</v>
      </c>
      <c r="Y205" s="140" t="e">
        <f aca="false">VLOOKUP($C205,#REF!,23,0)</f>
        <v>#VALUE!</v>
      </c>
      <c r="Z205" s="138" t="e">
        <f aca="false">VLOOKUP($C205,#REF!,24,0)</f>
        <v>#VALUE!</v>
      </c>
      <c r="AA205" s="139" t="e">
        <f aca="false">VLOOKUP($C205,#REF!,25,0)</f>
        <v>#VALUE!</v>
      </c>
      <c r="AB205" s="140" t="e">
        <f aca="false">VLOOKUP($C205,#REF!,26,0)</f>
        <v>#VALUE!</v>
      </c>
      <c r="AC205" s="139" t="e">
        <f aca="false">VLOOKUP($C205,#REF!,27,0)</f>
        <v>#VALUE!</v>
      </c>
      <c r="AE205" s="138" t="e">
        <f aca="false">IF(M205="-","-","0,5 GB")</f>
        <v>#VALUE!</v>
      </c>
      <c r="AF205" s="141" t="s">
        <v>92</v>
      </c>
      <c r="AG205" s="141" t="s">
        <v>93</v>
      </c>
      <c r="AH205" s="139" t="s">
        <v>94</v>
      </c>
      <c r="AJ205" s="138" t="s">
        <v>95</v>
      </c>
      <c r="AK205" s="141" t="s">
        <v>96</v>
      </c>
      <c r="AL205" s="141" t="s">
        <v>97</v>
      </c>
      <c r="AM205" s="141" t="s">
        <v>98</v>
      </c>
      <c r="AN205" s="141" t="s">
        <v>98</v>
      </c>
      <c r="AO205" s="139" t="s">
        <v>92</v>
      </c>
      <c r="AQ205" s="142" t="n">
        <v>1</v>
      </c>
      <c r="AR205" s="137"/>
      <c r="AS205" s="138" t="n">
        <v>0</v>
      </c>
      <c r="AT205" s="139" t="n">
        <v>0</v>
      </c>
      <c r="AU205" s="140"/>
      <c r="AV205" s="138" t="n">
        <f aca="false">IFERROR(ROUND($D205-M205-AW205,0),0)</f>
        <v>0</v>
      </c>
      <c r="AW205" s="139" t="n">
        <f aca="false">IFERROR(N205*$G205,0)</f>
        <v>0</v>
      </c>
      <c r="AX205" s="138" t="n">
        <f aca="false">IFERROR(ROUND($D205-O205-AY205,0),0)</f>
        <v>0</v>
      </c>
      <c r="AY205" s="139" t="n">
        <f aca="false">IFERROR(P205*$G205,0)</f>
        <v>0</v>
      </c>
      <c r="AZ205" s="138" t="n">
        <f aca="false">IFERROR(ROUND($D205-Q205-BA205,0),0)</f>
        <v>0</v>
      </c>
      <c r="BA205" s="139" t="n">
        <f aca="false">IFERROR(R205*$G205,0)</f>
        <v>0</v>
      </c>
      <c r="BB205" s="140" t="n">
        <f aca="false">IFERROR(ROUND($D205-S205-BC205,0),0)</f>
        <v>0</v>
      </c>
      <c r="BC205" s="139" t="n">
        <f aca="false">IFERROR(T205*$G205,0)</f>
        <v>0</v>
      </c>
      <c r="BD205" s="140"/>
      <c r="BE205" s="138" t="n">
        <f aca="false">IFERROR(ROUND($D205-V205-BF205,0),0)</f>
        <v>0</v>
      </c>
      <c r="BF205" s="139" t="n">
        <f aca="false">IFERROR(W205*$G205,0)</f>
        <v>0</v>
      </c>
      <c r="BG205" s="138" t="n">
        <f aca="false">IFERROR(ROUND($D205-X205-BH205,0),0)</f>
        <v>0</v>
      </c>
      <c r="BH205" s="139" t="n">
        <f aca="false">IFERROR(Y205*$G205,0)</f>
        <v>0</v>
      </c>
      <c r="BI205" s="140" t="n">
        <f aca="false">IFERROR(ROUND($D205-Z205-BJ205,0),0)</f>
        <v>0</v>
      </c>
      <c r="BJ205" s="139" t="n">
        <f aca="false">IFERROR(AA205*$G205,0)</f>
        <v>0</v>
      </c>
      <c r="BK205" s="140" t="n">
        <f aca="false">IFERROR(ROUND($D205-AB205-BL205,0),0)</f>
        <v>0</v>
      </c>
      <c r="BL205" s="139" t="n">
        <f aca="false">IFERROR(AC205*$G205,0)</f>
        <v>0</v>
      </c>
      <c r="BN205" s="142" t="e">
        <f aca="false">#N/A</f>
        <v>#N/A</v>
      </c>
      <c r="BO205" s="137"/>
      <c r="BP205" s="138" t="e">
        <f aca="false">#N/A</f>
        <v>#N/A</v>
      </c>
      <c r="BQ205" s="139" t="e">
        <f aca="false">#N/A</f>
        <v>#N/A</v>
      </c>
      <c r="BR205" s="140"/>
      <c r="BS205" s="138" t="e">
        <f aca="false">#N/A</f>
        <v>#N/A</v>
      </c>
      <c r="BT205" s="139" t="e">
        <f aca="false">#N/A</f>
        <v>#N/A</v>
      </c>
      <c r="BU205" s="138" t="e">
        <f aca="false">#N/A</f>
        <v>#N/A</v>
      </c>
      <c r="BV205" s="139" t="e">
        <f aca="false">#N/A</f>
        <v>#N/A</v>
      </c>
      <c r="BW205" s="138" t="e">
        <f aca="false">#N/A</f>
        <v>#N/A</v>
      </c>
      <c r="BX205" s="139" t="e">
        <f aca="false">#N/A</f>
        <v>#N/A</v>
      </c>
      <c r="BY205" s="138" t="e">
        <f aca="false">#N/A</f>
        <v>#N/A</v>
      </c>
      <c r="BZ205" s="139" t="e">
        <f aca="false">#N/A</f>
        <v>#N/A</v>
      </c>
      <c r="CA205" s="140"/>
      <c r="CB205" s="138" t="e">
        <f aca="false">#N/A</f>
        <v>#N/A</v>
      </c>
      <c r="CC205" s="139" t="e">
        <f aca="false">#N/A</f>
        <v>#N/A</v>
      </c>
      <c r="CD205" s="138" t="e">
        <f aca="false">#N/A</f>
        <v>#N/A</v>
      </c>
      <c r="CE205" s="139" t="e">
        <f aca="false">#N/A</f>
        <v>#N/A</v>
      </c>
      <c r="CF205" s="138" t="e">
        <f aca="false">#N/A</f>
        <v>#N/A</v>
      </c>
      <c r="CG205" s="139" t="e">
        <f aca="false">#N/A</f>
        <v>#N/A</v>
      </c>
      <c r="CH205" s="138" t="e">
        <f aca="false">#N/A</f>
        <v>#N/A</v>
      </c>
      <c r="CI205" s="139" t="e">
        <f aca="false">#N/A</f>
        <v>#N/A</v>
      </c>
      <c r="CK205" s="143"/>
      <c r="CL205" s="137"/>
      <c r="CM205" s="144" t="str">
        <f aca="false">IFERROR(+$H205-($J205+$K205*$G205),"-")</f>
        <v>-</v>
      </c>
      <c r="CN205" s="137"/>
      <c r="CO205" s="144" t="str">
        <f aca="false">IFERROR(+$H205-($M205+$N205*$G205),"-")</f>
        <v>-</v>
      </c>
      <c r="CP205" s="144" t="str">
        <f aca="false">IFERROR(+$H205-($O205+$P205*$G205),"-")</f>
        <v>-</v>
      </c>
      <c r="CQ205" s="144" t="str">
        <f aca="false">IFERROR(+$H205-($Q205+$R205*$G205),"-")</f>
        <v>-</v>
      </c>
      <c r="CR205" s="144" t="str">
        <f aca="false">IFERROR(+$H205-($Q205+$R205*$G205),"-")</f>
        <v>-</v>
      </c>
      <c r="CS205" s="137"/>
      <c r="CT205" s="144" t="str">
        <f aca="false">IFERROR(+$H205-($V205+$W205*$G205),"-")</f>
        <v>-</v>
      </c>
      <c r="CU205" s="144" t="str">
        <f aca="false">IFERROR(+$H205-($X205+$Y205*$G205),"-")</f>
        <v>-</v>
      </c>
      <c r="CV205" s="144" t="str">
        <f aca="false">IFERROR(+$H205-($Z205+$AA205*$G205),"-")</f>
        <v>-</v>
      </c>
      <c r="CW205" s="144" t="str">
        <f aca="false">IFERROR(+$H205-($AB205+$AC205*$G205),"-")</f>
        <v>-</v>
      </c>
    </row>
    <row r="206" s="156" customFormat="true" ht="12.75" hidden="false" customHeight="true" outlineLevel="0" collapsed="false">
      <c r="A206" s="1"/>
      <c r="B206" s="145" t="s">
        <v>287</v>
      </c>
      <c r="C206" s="146" t="s">
        <v>296</v>
      </c>
      <c r="D206" s="147" t="e">
        <f aca="false">VLOOKUP($C206,#REF!,5,0)</f>
        <v>#VALUE!</v>
      </c>
      <c r="E206" s="148" t="e">
        <f aca="false">VLOOKUP($C206,#REF!,6,0)</f>
        <v>#VALUE!</v>
      </c>
      <c r="F206" s="146" t="e">
        <f aca="false">VLOOKUP($C206,#REF!,7,0)</f>
        <v>#VALUE!</v>
      </c>
      <c r="G206" s="146" t="e">
        <f aca="false">VLOOKUP($C206,#REF!,8,0)</f>
        <v>#VALUE!</v>
      </c>
      <c r="H206" s="149" t="e">
        <f aca="false">VLOOKUP($C206,#REF!,9,0)</f>
        <v>#VALUE!</v>
      </c>
      <c r="I206" s="137"/>
      <c r="J206" s="150" t="e">
        <f aca="false">VLOOKUP($C206,#REF!,10,0)</f>
        <v>#VALUE!</v>
      </c>
      <c r="K206" s="151" t="e">
        <f aca="false">VLOOKUP($C206,#REF!,11,0)</f>
        <v>#VALUE!</v>
      </c>
      <c r="L206" s="140"/>
      <c r="M206" s="150" t="e">
        <f aca="false">VLOOKUP($C206,#REF!,12,0)</f>
        <v>#VALUE!</v>
      </c>
      <c r="N206" s="152" t="e">
        <f aca="false">VLOOKUP($C206,#REF!,13,0)</f>
        <v>#VALUE!</v>
      </c>
      <c r="O206" s="150" t="e">
        <f aca="false">VLOOKUP($C206,#REF!,14,0)</f>
        <v>#VALUE!</v>
      </c>
      <c r="P206" s="152" t="e">
        <f aca="false">VLOOKUP($C206,#REF!,15,0)</f>
        <v>#VALUE!</v>
      </c>
      <c r="Q206" s="150" t="e">
        <f aca="false">VLOOKUP($C206,#REF!,16,0)</f>
        <v>#VALUE!</v>
      </c>
      <c r="R206" s="151" t="e">
        <f aca="false">VLOOKUP($C206,#REF!,17,0)</f>
        <v>#VALUE!</v>
      </c>
      <c r="S206" s="152" t="e">
        <f aca="false">VLOOKUP($C206,#REF!,18,0)</f>
        <v>#VALUE!</v>
      </c>
      <c r="T206" s="151" t="e">
        <f aca="false">VLOOKUP($C206,#REF!,19,0)</f>
        <v>#VALUE!</v>
      </c>
      <c r="U206" s="140"/>
      <c r="V206" s="150" t="e">
        <f aca="false">VLOOKUP($C206,#REF!,20,0)</f>
        <v>#VALUE!</v>
      </c>
      <c r="W206" s="152" t="e">
        <f aca="false">VLOOKUP($C206,#REF!,21,0)</f>
        <v>#VALUE!</v>
      </c>
      <c r="X206" s="150" t="e">
        <f aca="false">VLOOKUP($C206,#REF!,22,0)</f>
        <v>#VALUE!</v>
      </c>
      <c r="Y206" s="152" t="e">
        <f aca="false">VLOOKUP($C206,#REF!,23,0)</f>
        <v>#VALUE!</v>
      </c>
      <c r="Z206" s="150" t="e">
        <f aca="false">VLOOKUP($C206,#REF!,24,0)</f>
        <v>#VALUE!</v>
      </c>
      <c r="AA206" s="151" t="e">
        <f aca="false">VLOOKUP($C206,#REF!,25,0)</f>
        <v>#VALUE!</v>
      </c>
      <c r="AB206" s="152" t="e">
        <f aca="false">VLOOKUP($C206,#REF!,26,0)</f>
        <v>#VALUE!</v>
      </c>
      <c r="AC206" s="151" t="e">
        <f aca="false">VLOOKUP($C206,#REF!,27,0)</f>
        <v>#VALUE!</v>
      </c>
      <c r="AD206" s="1"/>
      <c r="AE206" s="150" t="e">
        <f aca="false">IF(M206="-","-","0,5 GB")</f>
        <v>#VALUE!</v>
      </c>
      <c r="AF206" s="153" t="s">
        <v>92</v>
      </c>
      <c r="AG206" s="153" t="s">
        <v>93</v>
      </c>
      <c r="AH206" s="151" t="s">
        <v>94</v>
      </c>
      <c r="AI206" s="1"/>
      <c r="AJ206" s="150" t="s">
        <v>95</v>
      </c>
      <c r="AK206" s="153" t="s">
        <v>96</v>
      </c>
      <c r="AL206" s="153" t="s">
        <v>97</v>
      </c>
      <c r="AM206" s="153" t="s">
        <v>98</v>
      </c>
      <c r="AN206" s="153" t="s">
        <v>98</v>
      </c>
      <c r="AO206" s="151" t="s">
        <v>92</v>
      </c>
      <c r="AP206" s="1"/>
      <c r="AQ206" s="154" t="n">
        <v>198</v>
      </c>
      <c r="AR206" s="137"/>
      <c r="AS206" s="150" t="n">
        <v>0</v>
      </c>
      <c r="AT206" s="151" t="n">
        <v>0</v>
      </c>
      <c r="AU206" s="140"/>
      <c r="AV206" s="150" t="n">
        <f aca="false">IFERROR(ROUND($D206-M206-AW206,0),0)</f>
        <v>0</v>
      </c>
      <c r="AW206" s="151" t="n">
        <f aca="false">IFERROR(N206*$G206,0)</f>
        <v>0</v>
      </c>
      <c r="AX206" s="150" t="n">
        <f aca="false">IFERROR(ROUND($D206-O206-AY206,0),0)</f>
        <v>0</v>
      </c>
      <c r="AY206" s="151" t="n">
        <f aca="false">IFERROR(P206*$G206,0)</f>
        <v>0</v>
      </c>
      <c r="AZ206" s="150" t="n">
        <f aca="false">IFERROR(ROUND($D206-Q206-BA206,0),0)</f>
        <v>0</v>
      </c>
      <c r="BA206" s="151" t="n">
        <f aca="false">IFERROR(R206*$G206,0)</f>
        <v>0</v>
      </c>
      <c r="BB206" s="152" t="n">
        <f aca="false">IFERROR(ROUND($D206-S206-BC206,0),0)</f>
        <v>0</v>
      </c>
      <c r="BC206" s="151" t="n">
        <f aca="false">IFERROR(T206*$G206,0)</f>
        <v>0</v>
      </c>
      <c r="BD206" s="140"/>
      <c r="BE206" s="150" t="n">
        <f aca="false">IFERROR(ROUND($D206-V206-BF206,0),0)</f>
        <v>0</v>
      </c>
      <c r="BF206" s="151" t="n">
        <f aca="false">IFERROR(W206*$G206,0)</f>
        <v>0</v>
      </c>
      <c r="BG206" s="150" t="n">
        <f aca="false">IFERROR(ROUND($D206-X206-BH206,0),0)</f>
        <v>0</v>
      </c>
      <c r="BH206" s="151" t="n">
        <f aca="false">IFERROR(Y206*$G206,0)</f>
        <v>0</v>
      </c>
      <c r="BI206" s="152" t="n">
        <f aca="false">IFERROR(ROUND($D206-Z206-BJ206,0),0)</f>
        <v>0</v>
      </c>
      <c r="BJ206" s="151" t="n">
        <f aca="false">IFERROR(AA206*$G206,0)</f>
        <v>0</v>
      </c>
      <c r="BK206" s="152" t="n">
        <f aca="false">IFERROR(ROUND($D206-AB206-BL206,0),0)</f>
        <v>0</v>
      </c>
      <c r="BL206" s="151" t="n">
        <f aca="false">IFERROR(AC206*$G206,0)</f>
        <v>0</v>
      </c>
      <c r="BM206" s="1"/>
      <c r="BN206" s="154" t="n">
        <v>0</v>
      </c>
      <c r="BO206" s="155"/>
      <c r="BP206" s="150" t="n">
        <v>0</v>
      </c>
      <c r="BQ206" s="151" t="n">
        <v>0</v>
      </c>
      <c r="BR206" s="152"/>
      <c r="BS206" s="150" t="n">
        <v>0</v>
      </c>
      <c r="BT206" s="151" t="n">
        <v>0</v>
      </c>
      <c r="BU206" s="150" t="n">
        <v>0</v>
      </c>
      <c r="BV206" s="151" t="n">
        <v>0</v>
      </c>
      <c r="BW206" s="150" t="n">
        <v>0</v>
      </c>
      <c r="BX206" s="151" t="n">
        <v>0</v>
      </c>
      <c r="BY206" s="150" t="n">
        <v>0</v>
      </c>
      <c r="BZ206" s="151" t="n">
        <v>0</v>
      </c>
      <c r="CA206" s="152"/>
      <c r="CB206" s="150" t="n">
        <v>0</v>
      </c>
      <c r="CC206" s="151" t="n">
        <v>0</v>
      </c>
      <c r="CD206" s="150" t="n">
        <v>0</v>
      </c>
      <c r="CE206" s="151" t="n">
        <v>0</v>
      </c>
      <c r="CF206" s="150" t="n">
        <v>0</v>
      </c>
      <c r="CG206" s="151" t="n">
        <v>0</v>
      </c>
      <c r="CH206" s="150" t="n">
        <v>0</v>
      </c>
      <c r="CI206" s="151" t="n">
        <v>0</v>
      </c>
      <c r="CJ206" s="1"/>
      <c r="CK206" s="149"/>
      <c r="CL206" s="137"/>
      <c r="CM206" s="154" t="str">
        <f aca="false">IFERROR(+$H206-($J206+$K206*$G206),"-")</f>
        <v>-</v>
      </c>
      <c r="CN206" s="137"/>
      <c r="CO206" s="154" t="str">
        <f aca="false">IFERROR(+$H206-($M206+$N206*$G206),"-")</f>
        <v>-</v>
      </c>
      <c r="CP206" s="154" t="str">
        <f aca="false">IFERROR(+$H206-($O206+$P206*$G206),"-")</f>
        <v>-</v>
      </c>
      <c r="CQ206" s="154" t="str">
        <f aca="false">IFERROR(+$H206-($Q206+$R206*$G206),"-")</f>
        <v>-</v>
      </c>
      <c r="CR206" s="154" t="str">
        <f aca="false">IFERROR(+$H206-($Q206+$R206*$G206),"-")</f>
        <v>-</v>
      </c>
      <c r="CS206" s="137"/>
      <c r="CT206" s="154" t="str">
        <f aca="false">IFERROR(+$H206-($V206+$W206*$G206),"-")</f>
        <v>-</v>
      </c>
      <c r="CU206" s="154" t="str">
        <f aca="false">IFERROR(+$H206-($X206+$Y206*$G206),"-")</f>
        <v>-</v>
      </c>
      <c r="CV206" s="154" t="str">
        <f aca="false">IFERROR(+$H206-($Z206+$AA206*$G206),"-")</f>
        <v>-</v>
      </c>
      <c r="CW206" s="154" t="str">
        <f aca="false">IFERROR(+$H206-($AB206+$AC206*$G206),"-")</f>
        <v>-</v>
      </c>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c r="EG206" s="1"/>
      <c r="EH206" s="1"/>
    </row>
    <row r="207" s="1" customFormat="true" ht="12.75" hidden="false" customHeight="true" outlineLevel="0" collapsed="false">
      <c r="B207" s="134" t="s">
        <v>297</v>
      </c>
      <c r="C207" s="135" t="s">
        <v>298</v>
      </c>
      <c r="D207" s="136" t="e">
        <f aca="false">VLOOKUP($C207,#REF!,5,0)</f>
        <v>#VALUE!</v>
      </c>
      <c r="E207" s="157" t="e">
        <f aca="false">VLOOKUP($C207,#REF!,6,0)</f>
        <v>#VALUE!</v>
      </c>
      <c r="F207" s="135" t="e">
        <f aca="false">VLOOKUP($C207,#REF!,7,0)</f>
        <v>#VALUE!</v>
      </c>
      <c r="G207" s="135" t="e">
        <f aca="false">VLOOKUP($C207,#REF!,8,0)</f>
        <v>#VALUE!</v>
      </c>
      <c r="H207" s="158" t="e">
        <f aca="false">VLOOKUP($C207,#REF!,9,0)</f>
        <v>#VALUE!</v>
      </c>
      <c r="I207" s="137"/>
      <c r="J207" s="138" t="e">
        <f aca="false">VLOOKUP($C207,#REF!,10,0)</f>
        <v>#VALUE!</v>
      </c>
      <c r="K207" s="139" t="e">
        <f aca="false">VLOOKUP($C207,#REF!,11,0)</f>
        <v>#VALUE!</v>
      </c>
      <c r="L207" s="140"/>
      <c r="M207" s="138" t="e">
        <f aca="false">VLOOKUP($C207,#REF!,12,0)</f>
        <v>#VALUE!</v>
      </c>
      <c r="N207" s="140" t="e">
        <f aca="false">VLOOKUP($C207,#REF!,13,0)</f>
        <v>#VALUE!</v>
      </c>
      <c r="O207" s="138" t="e">
        <f aca="false">VLOOKUP($C207,#REF!,14,0)</f>
        <v>#VALUE!</v>
      </c>
      <c r="P207" s="140" t="e">
        <f aca="false">VLOOKUP($C207,#REF!,15,0)</f>
        <v>#VALUE!</v>
      </c>
      <c r="Q207" s="138" t="e">
        <f aca="false">VLOOKUP($C207,#REF!,16,0)</f>
        <v>#VALUE!</v>
      </c>
      <c r="R207" s="139" t="e">
        <f aca="false">VLOOKUP($C207,#REF!,17,0)</f>
        <v>#VALUE!</v>
      </c>
      <c r="S207" s="140" t="e">
        <f aca="false">VLOOKUP($C207,#REF!,18,0)</f>
        <v>#VALUE!</v>
      </c>
      <c r="T207" s="139" t="e">
        <f aca="false">VLOOKUP($C207,#REF!,19,0)</f>
        <v>#VALUE!</v>
      </c>
      <c r="U207" s="140"/>
      <c r="V207" s="138" t="e">
        <f aca="false">VLOOKUP($C207,#REF!,20,0)</f>
        <v>#VALUE!</v>
      </c>
      <c r="W207" s="140" t="e">
        <f aca="false">VLOOKUP($C207,#REF!,21,0)</f>
        <v>#VALUE!</v>
      </c>
      <c r="X207" s="138" t="e">
        <f aca="false">VLOOKUP($C207,#REF!,22,0)</f>
        <v>#VALUE!</v>
      </c>
      <c r="Y207" s="140" t="e">
        <f aca="false">VLOOKUP($C207,#REF!,23,0)</f>
        <v>#VALUE!</v>
      </c>
      <c r="Z207" s="138" t="e">
        <f aca="false">VLOOKUP($C207,#REF!,24,0)</f>
        <v>#VALUE!</v>
      </c>
      <c r="AA207" s="139" t="e">
        <f aca="false">VLOOKUP($C207,#REF!,25,0)</f>
        <v>#VALUE!</v>
      </c>
      <c r="AB207" s="140" t="e">
        <f aca="false">VLOOKUP($C207,#REF!,26,0)</f>
        <v>#VALUE!</v>
      </c>
      <c r="AC207" s="139" t="e">
        <f aca="false">VLOOKUP($C207,#REF!,27,0)</f>
        <v>#VALUE!</v>
      </c>
      <c r="AE207" s="138" t="e">
        <f aca="false">IF(M207="-","-","0,5 GB")</f>
        <v>#VALUE!</v>
      </c>
      <c r="AF207" s="141" t="s">
        <v>92</v>
      </c>
      <c r="AG207" s="141" t="s">
        <v>93</v>
      </c>
      <c r="AH207" s="139" t="s">
        <v>94</v>
      </c>
      <c r="AJ207" s="138" t="s">
        <v>95</v>
      </c>
      <c r="AK207" s="141" t="s">
        <v>96</v>
      </c>
      <c r="AL207" s="141" t="s">
        <v>97</v>
      </c>
      <c r="AM207" s="141" t="s">
        <v>98</v>
      </c>
      <c r="AN207" s="141" t="s">
        <v>98</v>
      </c>
      <c r="AO207" s="139" t="s">
        <v>92</v>
      </c>
      <c r="AQ207" s="142" t="n">
        <v>206</v>
      </c>
      <c r="AR207" s="137"/>
      <c r="AS207" s="138" t="n">
        <v>0</v>
      </c>
      <c r="AT207" s="139" t="n">
        <v>0</v>
      </c>
      <c r="AU207" s="140"/>
      <c r="AV207" s="138" t="n">
        <f aca="false">IFERROR(ROUND($D207-M207-AW207,0),0)</f>
        <v>0</v>
      </c>
      <c r="AW207" s="139" t="n">
        <f aca="false">IFERROR(N207*$G207,0)</f>
        <v>0</v>
      </c>
      <c r="AX207" s="138" t="n">
        <f aca="false">IFERROR(ROUND($D207-O207-AY207,0),0)</f>
        <v>0</v>
      </c>
      <c r="AY207" s="139" t="n">
        <f aca="false">IFERROR(P207*$G207,0)</f>
        <v>0</v>
      </c>
      <c r="AZ207" s="138" t="n">
        <f aca="false">IFERROR(ROUND($D207-Q207-BA207,0),0)</f>
        <v>0</v>
      </c>
      <c r="BA207" s="139" t="n">
        <f aca="false">IFERROR(R207*$G207,0)</f>
        <v>0</v>
      </c>
      <c r="BB207" s="140" t="n">
        <f aca="false">IFERROR(ROUND($D207-S207-BC207,0),0)</f>
        <v>0</v>
      </c>
      <c r="BC207" s="139" t="n">
        <f aca="false">IFERROR(T207*$G207,0)</f>
        <v>0</v>
      </c>
      <c r="BD207" s="140"/>
      <c r="BE207" s="138" t="n">
        <f aca="false">IFERROR(ROUND($D207-V207-BF207,0),0)</f>
        <v>0</v>
      </c>
      <c r="BF207" s="139" t="n">
        <f aca="false">IFERROR(W207*$G207,0)</f>
        <v>0</v>
      </c>
      <c r="BG207" s="138" t="n">
        <f aca="false">IFERROR(ROUND($D207-X207-BH207,0),0)</f>
        <v>0</v>
      </c>
      <c r="BH207" s="139" t="n">
        <f aca="false">IFERROR(Y207*$G207,0)</f>
        <v>0</v>
      </c>
      <c r="BI207" s="140" t="n">
        <f aca="false">IFERROR(ROUND($D207-Z207-BJ207,0),0)</f>
        <v>0</v>
      </c>
      <c r="BJ207" s="139" t="n">
        <f aca="false">IFERROR(AA207*$G207,0)</f>
        <v>0</v>
      </c>
      <c r="BK207" s="140" t="n">
        <f aca="false">IFERROR(ROUND($D207-AB207-BL207,0),0)</f>
        <v>0</v>
      </c>
      <c r="BL207" s="139" t="n">
        <f aca="false">IFERROR(AC207*$G207,0)</f>
        <v>0</v>
      </c>
      <c r="BN207" s="142" t="n">
        <v>-165.29</v>
      </c>
      <c r="BO207" s="137"/>
      <c r="BP207" s="138" t="n">
        <v>-165.29</v>
      </c>
      <c r="BQ207" s="139" t="n">
        <v>0</v>
      </c>
      <c r="BR207" s="140"/>
      <c r="BS207" s="138" t="n">
        <v>0</v>
      </c>
      <c r="BT207" s="139" t="n">
        <v>0</v>
      </c>
      <c r="BU207" s="138" t="n">
        <v>0</v>
      </c>
      <c r="BV207" s="139" t="n">
        <v>0</v>
      </c>
      <c r="BW207" s="138" t="n">
        <v>0</v>
      </c>
      <c r="BX207" s="139" t="n">
        <v>0</v>
      </c>
      <c r="BY207" s="138" t="n">
        <v>0</v>
      </c>
      <c r="BZ207" s="139" t="n">
        <v>0</v>
      </c>
      <c r="CA207" s="140"/>
      <c r="CB207" s="138" t="n">
        <v>0</v>
      </c>
      <c r="CC207" s="139" t="n">
        <v>0</v>
      </c>
      <c r="CD207" s="138" t="n">
        <v>0</v>
      </c>
      <c r="CE207" s="139" t="n">
        <v>0</v>
      </c>
      <c r="CF207" s="138" t="n">
        <v>0</v>
      </c>
      <c r="CG207" s="139" t="n">
        <v>0</v>
      </c>
      <c r="CH207" s="138" t="n">
        <v>0</v>
      </c>
      <c r="CI207" s="139" t="n">
        <v>0</v>
      </c>
      <c r="CK207" s="143"/>
      <c r="CL207" s="137"/>
      <c r="CM207" s="144" t="str">
        <f aca="false">IFERROR(+$H207-($J207+$K207*$G207),"-")</f>
        <v>-</v>
      </c>
      <c r="CN207" s="137"/>
      <c r="CO207" s="144" t="str">
        <f aca="false">IFERROR(+$H207-($M207+$N207*$G207),"-")</f>
        <v>-</v>
      </c>
      <c r="CP207" s="144" t="str">
        <f aca="false">IFERROR(+$H207-($O207+$P207*$G207),"-")</f>
        <v>-</v>
      </c>
      <c r="CQ207" s="144" t="str">
        <f aca="false">IFERROR(+$H207-($Q207+$R207*$G207),"-")</f>
        <v>-</v>
      </c>
      <c r="CR207" s="144" t="str">
        <f aca="false">IFERROR(+$H207-($Q207+$R207*$G207),"-")</f>
        <v>-</v>
      </c>
      <c r="CS207" s="137"/>
      <c r="CT207" s="144" t="str">
        <f aca="false">IFERROR(+$H207-($V207+$W207*$G207),"-")</f>
        <v>-</v>
      </c>
      <c r="CU207" s="144" t="str">
        <f aca="false">IFERROR(+$H207-($X207+$Y207*$G207),"-")</f>
        <v>-</v>
      </c>
      <c r="CV207" s="144" t="str">
        <f aca="false">IFERROR(+$H207-($Z207+$AA207*$G207),"-")</f>
        <v>-</v>
      </c>
      <c r="CW207" s="144" t="str">
        <f aca="false">IFERROR(+$H207-($AB207+$AC207*$G207),"-")</f>
        <v>-</v>
      </c>
    </row>
    <row r="208" s="156" customFormat="true" ht="12.75" hidden="false" customHeight="true" outlineLevel="0" collapsed="false">
      <c r="A208" s="1"/>
      <c r="B208" s="161" t="s">
        <v>110</v>
      </c>
      <c r="C208" s="162" t="s">
        <v>299</v>
      </c>
      <c r="D208" s="147" t="e">
        <f aca="false">VLOOKUP($C208,#REF!,5,0)</f>
        <v>#VALUE!</v>
      </c>
      <c r="E208" s="148" t="e">
        <f aca="false">VLOOKUP($C208,#REF!,6,0)</f>
        <v>#VALUE!</v>
      </c>
      <c r="F208" s="146" t="e">
        <f aca="false">VLOOKUP($C208,#REF!,7,0)</f>
        <v>#VALUE!</v>
      </c>
      <c r="G208" s="146" t="e">
        <f aca="false">VLOOKUP($C208,#REF!,8,0)</f>
        <v>#VALUE!</v>
      </c>
      <c r="H208" s="149" t="e">
        <f aca="false">VLOOKUP($C208,#REF!,9,0)</f>
        <v>#VALUE!</v>
      </c>
      <c r="I208" s="137"/>
      <c r="J208" s="150" t="e">
        <f aca="false">VLOOKUP($C208,#REF!,10,0)</f>
        <v>#VALUE!</v>
      </c>
      <c r="K208" s="151" t="e">
        <f aca="false">VLOOKUP($C208,#REF!,11,0)</f>
        <v>#VALUE!</v>
      </c>
      <c r="L208" s="140"/>
      <c r="M208" s="150" t="e">
        <f aca="false">VLOOKUP($C208,#REF!,12,0)</f>
        <v>#VALUE!</v>
      </c>
      <c r="N208" s="152" t="e">
        <f aca="false">VLOOKUP($C208,#REF!,13,0)</f>
        <v>#VALUE!</v>
      </c>
      <c r="O208" s="150" t="e">
        <f aca="false">VLOOKUP($C208,#REF!,14,0)</f>
        <v>#VALUE!</v>
      </c>
      <c r="P208" s="152" t="e">
        <f aca="false">VLOOKUP($C208,#REF!,15,0)</f>
        <v>#VALUE!</v>
      </c>
      <c r="Q208" s="150" t="e">
        <f aca="false">VLOOKUP($C208,#REF!,16,0)</f>
        <v>#VALUE!</v>
      </c>
      <c r="R208" s="151" t="e">
        <f aca="false">VLOOKUP($C208,#REF!,17,0)</f>
        <v>#VALUE!</v>
      </c>
      <c r="S208" s="152" t="e">
        <f aca="false">VLOOKUP($C208,#REF!,18,0)</f>
        <v>#VALUE!</v>
      </c>
      <c r="T208" s="151" t="e">
        <f aca="false">VLOOKUP($C208,#REF!,19,0)</f>
        <v>#VALUE!</v>
      </c>
      <c r="U208" s="140"/>
      <c r="V208" s="150" t="e">
        <f aca="false">VLOOKUP($C208,#REF!,20,0)</f>
        <v>#VALUE!</v>
      </c>
      <c r="W208" s="152" t="e">
        <f aca="false">VLOOKUP($C208,#REF!,21,0)</f>
        <v>#VALUE!</v>
      </c>
      <c r="X208" s="150" t="e">
        <f aca="false">VLOOKUP($C208,#REF!,22,0)</f>
        <v>#VALUE!</v>
      </c>
      <c r="Y208" s="152" t="e">
        <f aca="false">VLOOKUP($C208,#REF!,23,0)</f>
        <v>#VALUE!</v>
      </c>
      <c r="Z208" s="150" t="e">
        <f aca="false">VLOOKUP($C208,#REF!,24,0)</f>
        <v>#VALUE!</v>
      </c>
      <c r="AA208" s="151" t="e">
        <f aca="false">VLOOKUP($C208,#REF!,25,0)</f>
        <v>#VALUE!</v>
      </c>
      <c r="AB208" s="152" t="e">
        <f aca="false">VLOOKUP($C208,#REF!,26,0)</f>
        <v>#VALUE!</v>
      </c>
      <c r="AC208" s="151" t="e">
        <f aca="false">VLOOKUP($C208,#REF!,27,0)</f>
        <v>#VALUE!</v>
      </c>
      <c r="AD208" s="1"/>
      <c r="AE208" s="150" t="e">
        <f aca="false">IF(M208="-","-","0,5 GB")</f>
        <v>#VALUE!</v>
      </c>
      <c r="AF208" s="153" t="s">
        <v>92</v>
      </c>
      <c r="AG208" s="153" t="s">
        <v>93</v>
      </c>
      <c r="AH208" s="151" t="s">
        <v>94</v>
      </c>
      <c r="AI208" s="1"/>
      <c r="AJ208" s="150" t="s">
        <v>95</v>
      </c>
      <c r="AK208" s="153" t="s">
        <v>96</v>
      </c>
      <c r="AL208" s="153" t="s">
        <v>97</v>
      </c>
      <c r="AM208" s="153" t="s">
        <v>98</v>
      </c>
      <c r="AN208" s="153" t="s">
        <v>98</v>
      </c>
      <c r="AO208" s="151" t="s">
        <v>92</v>
      </c>
      <c r="AP208" s="1"/>
      <c r="AQ208" s="154" t="n">
        <v>206</v>
      </c>
      <c r="AR208" s="137"/>
      <c r="AS208" s="150" t="n">
        <v>0</v>
      </c>
      <c r="AT208" s="151" t="n">
        <v>0</v>
      </c>
      <c r="AU208" s="140"/>
      <c r="AV208" s="150" t="n">
        <f aca="false">IFERROR(ROUND($D208-M208-AW208,0),0)</f>
        <v>0</v>
      </c>
      <c r="AW208" s="151" t="n">
        <f aca="false">IFERROR(N208*$G208,0)</f>
        <v>0</v>
      </c>
      <c r="AX208" s="150" t="n">
        <f aca="false">IFERROR(ROUND($D208-O208-AY208,0),0)</f>
        <v>0</v>
      </c>
      <c r="AY208" s="151" t="n">
        <f aca="false">IFERROR(P208*$G208,0)</f>
        <v>0</v>
      </c>
      <c r="AZ208" s="150" t="n">
        <f aca="false">IFERROR(ROUND($D208-Q208-BA208,0),0)</f>
        <v>0</v>
      </c>
      <c r="BA208" s="151" t="n">
        <f aca="false">IFERROR(R208*$G208,0)</f>
        <v>0</v>
      </c>
      <c r="BB208" s="152" t="n">
        <f aca="false">IFERROR(ROUND($D208-S208-BC208,0),0)</f>
        <v>0</v>
      </c>
      <c r="BC208" s="151" t="n">
        <f aca="false">IFERROR(T208*$G208,0)</f>
        <v>0</v>
      </c>
      <c r="BD208" s="140"/>
      <c r="BE208" s="150" t="n">
        <f aca="false">IFERROR(ROUND($D208-V208-BF208,0),0)</f>
        <v>0</v>
      </c>
      <c r="BF208" s="151" t="n">
        <f aca="false">IFERROR(W208*$G208,0)</f>
        <v>0</v>
      </c>
      <c r="BG208" s="150" t="n">
        <f aca="false">IFERROR(ROUND($D208-X208-BH208,0),0)</f>
        <v>0</v>
      </c>
      <c r="BH208" s="151" t="n">
        <f aca="false">IFERROR(Y208*$G208,0)</f>
        <v>0</v>
      </c>
      <c r="BI208" s="152" t="n">
        <f aca="false">IFERROR(ROUND($D208-Z208-BJ208,0),0)</f>
        <v>0</v>
      </c>
      <c r="BJ208" s="151" t="n">
        <f aca="false">IFERROR(AA208*$G208,0)</f>
        <v>0</v>
      </c>
      <c r="BK208" s="152" t="n">
        <f aca="false">IFERROR(ROUND($D208-AB208-BL208,0),0)</f>
        <v>0</v>
      </c>
      <c r="BL208" s="151" t="n">
        <f aca="false">IFERROR(AC208*$G208,0)</f>
        <v>0</v>
      </c>
      <c r="BM208" s="1"/>
      <c r="BN208" s="154" t="n">
        <v>-165.29</v>
      </c>
      <c r="BO208" s="155"/>
      <c r="BP208" s="150" t="n">
        <v>-165.29</v>
      </c>
      <c r="BQ208" s="151" t="n">
        <v>0</v>
      </c>
      <c r="BR208" s="152"/>
      <c r="BS208" s="150" t="n">
        <v>0</v>
      </c>
      <c r="BT208" s="151" t="n">
        <v>0</v>
      </c>
      <c r="BU208" s="150" t="n">
        <v>0</v>
      </c>
      <c r="BV208" s="151" t="n">
        <v>0</v>
      </c>
      <c r="BW208" s="150" t="n">
        <v>0</v>
      </c>
      <c r="BX208" s="151" t="n">
        <v>0</v>
      </c>
      <c r="BY208" s="150" t="n">
        <v>0</v>
      </c>
      <c r="BZ208" s="151" t="n">
        <v>0</v>
      </c>
      <c r="CA208" s="152"/>
      <c r="CB208" s="150" t="n">
        <v>0</v>
      </c>
      <c r="CC208" s="151" t="n">
        <v>0</v>
      </c>
      <c r="CD208" s="150" t="n">
        <v>0</v>
      </c>
      <c r="CE208" s="151" t="n">
        <v>0</v>
      </c>
      <c r="CF208" s="150" t="n">
        <v>0</v>
      </c>
      <c r="CG208" s="151" t="n">
        <v>0</v>
      </c>
      <c r="CH208" s="150" t="n">
        <v>0</v>
      </c>
      <c r="CI208" s="151" t="n">
        <v>0</v>
      </c>
      <c r="CJ208" s="1"/>
      <c r="CK208" s="149"/>
      <c r="CL208" s="137"/>
      <c r="CM208" s="154" t="str">
        <f aca="false">IFERROR(+$H208-($J208+$K208*$G208),"-")</f>
        <v>-</v>
      </c>
      <c r="CN208" s="137"/>
      <c r="CO208" s="154" t="str">
        <f aca="false">IFERROR(+$H208-($M208+$N208*$G208),"-")</f>
        <v>-</v>
      </c>
      <c r="CP208" s="154" t="str">
        <f aca="false">IFERROR(+$H208-($O208+$P208*$G208),"-")</f>
        <v>-</v>
      </c>
      <c r="CQ208" s="154" t="str">
        <f aca="false">IFERROR(+$H208-($Q208+$R208*$G208),"-")</f>
        <v>-</v>
      </c>
      <c r="CR208" s="154" t="str">
        <f aca="false">IFERROR(+$H208-($Q208+$R208*$G208),"-")</f>
        <v>-</v>
      </c>
      <c r="CS208" s="137"/>
      <c r="CT208" s="154" t="str">
        <f aca="false">IFERROR(+$H208-($V208+$W208*$G208),"-")</f>
        <v>-</v>
      </c>
      <c r="CU208" s="154" t="str">
        <f aca="false">IFERROR(+$H208-($X208+$Y208*$G208),"-")</f>
        <v>-</v>
      </c>
      <c r="CV208" s="154" t="str">
        <f aca="false">IFERROR(+$H208-($Z208+$AA208*$G208),"-")</f>
        <v>-</v>
      </c>
      <c r="CW208" s="154" t="str">
        <f aca="false">IFERROR(+$H208-($AB208+$AC208*$G208),"-")</f>
        <v>-</v>
      </c>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row>
    <row r="209" s="1" customFormat="true" ht="12.75" hidden="false" customHeight="true" outlineLevel="0" collapsed="false">
      <c r="B209" s="134" t="s">
        <v>300</v>
      </c>
      <c r="C209" s="135" t="s">
        <v>301</v>
      </c>
      <c r="D209" s="136" t="e">
        <f aca="false">VLOOKUP($C209,#REF!,5,0)</f>
        <v>#VALUE!</v>
      </c>
      <c r="E209" s="157" t="e">
        <f aca="false">VLOOKUP($C209,#REF!,6,0)</f>
        <v>#VALUE!</v>
      </c>
      <c r="F209" s="135" t="e">
        <f aca="false">VLOOKUP($C209,#REF!,7,0)</f>
        <v>#VALUE!</v>
      </c>
      <c r="G209" s="135" t="e">
        <f aca="false">VLOOKUP($C209,#REF!,8,0)</f>
        <v>#VALUE!</v>
      </c>
      <c r="H209" s="158" t="e">
        <f aca="false">VLOOKUP($C209,#REF!,9,0)</f>
        <v>#VALUE!</v>
      </c>
      <c r="I209" s="137"/>
      <c r="J209" s="138" t="e">
        <f aca="false">VLOOKUP($C209,#REF!,10,0)</f>
        <v>#VALUE!</v>
      </c>
      <c r="K209" s="139" t="e">
        <f aca="false">VLOOKUP($C209,#REF!,11,0)</f>
        <v>#VALUE!</v>
      </c>
      <c r="L209" s="140"/>
      <c r="M209" s="138" t="e">
        <f aca="false">VLOOKUP($C209,#REF!,12,0)</f>
        <v>#VALUE!</v>
      </c>
      <c r="N209" s="140" t="e">
        <f aca="false">VLOOKUP($C209,#REF!,13,0)</f>
        <v>#VALUE!</v>
      </c>
      <c r="O209" s="138" t="e">
        <f aca="false">VLOOKUP($C209,#REF!,14,0)</f>
        <v>#VALUE!</v>
      </c>
      <c r="P209" s="140" t="e">
        <f aca="false">VLOOKUP($C209,#REF!,15,0)</f>
        <v>#VALUE!</v>
      </c>
      <c r="Q209" s="138" t="e">
        <f aca="false">VLOOKUP($C209,#REF!,16,0)</f>
        <v>#VALUE!</v>
      </c>
      <c r="R209" s="139" t="e">
        <f aca="false">VLOOKUP($C209,#REF!,17,0)</f>
        <v>#VALUE!</v>
      </c>
      <c r="S209" s="140" t="e">
        <f aca="false">VLOOKUP($C209,#REF!,18,0)</f>
        <v>#VALUE!</v>
      </c>
      <c r="T209" s="139" t="e">
        <f aca="false">VLOOKUP($C209,#REF!,19,0)</f>
        <v>#VALUE!</v>
      </c>
      <c r="U209" s="140"/>
      <c r="V209" s="138" t="e">
        <f aca="false">VLOOKUP($C209,#REF!,20,0)</f>
        <v>#VALUE!</v>
      </c>
      <c r="W209" s="140" t="e">
        <f aca="false">VLOOKUP($C209,#REF!,21,0)</f>
        <v>#VALUE!</v>
      </c>
      <c r="X209" s="138" t="e">
        <f aca="false">VLOOKUP($C209,#REF!,22,0)</f>
        <v>#VALUE!</v>
      </c>
      <c r="Y209" s="140" t="e">
        <f aca="false">VLOOKUP($C209,#REF!,23,0)</f>
        <v>#VALUE!</v>
      </c>
      <c r="Z209" s="138" t="e">
        <f aca="false">VLOOKUP($C209,#REF!,24,0)</f>
        <v>#VALUE!</v>
      </c>
      <c r="AA209" s="139" t="e">
        <f aca="false">VLOOKUP($C209,#REF!,25,0)</f>
        <v>#VALUE!</v>
      </c>
      <c r="AB209" s="140" t="e">
        <f aca="false">VLOOKUP($C209,#REF!,26,0)</f>
        <v>#VALUE!</v>
      </c>
      <c r="AC209" s="139" t="e">
        <f aca="false">VLOOKUP($C209,#REF!,27,0)</f>
        <v>#VALUE!</v>
      </c>
      <c r="AE209" s="138" t="e">
        <f aca="false">IF(M209="-","-","0,5 GB")</f>
        <v>#VALUE!</v>
      </c>
      <c r="AF209" s="141" t="s">
        <v>92</v>
      </c>
      <c r="AG209" s="141" t="s">
        <v>93</v>
      </c>
      <c r="AH209" s="139" t="s">
        <v>94</v>
      </c>
      <c r="AJ209" s="138" t="s">
        <v>95</v>
      </c>
      <c r="AK209" s="141" t="s">
        <v>96</v>
      </c>
      <c r="AL209" s="141" t="s">
        <v>97</v>
      </c>
      <c r="AM209" s="141" t="s">
        <v>98</v>
      </c>
      <c r="AN209" s="141" t="s">
        <v>98</v>
      </c>
      <c r="AO209" s="139" t="s">
        <v>92</v>
      </c>
      <c r="AQ209" s="142" t="n">
        <v>29</v>
      </c>
      <c r="AR209" s="137"/>
      <c r="AS209" s="138" t="n">
        <v>0</v>
      </c>
      <c r="AT209" s="139" t="n">
        <v>0</v>
      </c>
      <c r="AU209" s="140"/>
      <c r="AV209" s="138" t="n">
        <f aca="false">IFERROR(ROUND($D209-M209-AW209,0),0)</f>
        <v>0</v>
      </c>
      <c r="AW209" s="139" t="n">
        <f aca="false">IFERROR(N209*$G209,0)</f>
        <v>0</v>
      </c>
      <c r="AX209" s="138" t="n">
        <f aca="false">IFERROR(ROUND($D209-O209-AY209,0),0)</f>
        <v>0</v>
      </c>
      <c r="AY209" s="139" t="n">
        <f aca="false">IFERROR(P209*$G209,0)</f>
        <v>0</v>
      </c>
      <c r="AZ209" s="138" t="n">
        <f aca="false">IFERROR(ROUND($D209-Q209-BA209,0),0)</f>
        <v>0</v>
      </c>
      <c r="BA209" s="139" t="n">
        <f aca="false">IFERROR(R209*$G209,0)</f>
        <v>0</v>
      </c>
      <c r="BB209" s="140" t="n">
        <f aca="false">IFERROR(ROUND($D209-S209-BC209,0),0)</f>
        <v>0</v>
      </c>
      <c r="BC209" s="139" t="n">
        <f aca="false">IFERROR(T209*$G209,0)</f>
        <v>0</v>
      </c>
      <c r="BD209" s="140"/>
      <c r="BE209" s="138" t="n">
        <f aca="false">IFERROR(ROUND($D209-V209-BF209,0),0)</f>
        <v>0</v>
      </c>
      <c r="BF209" s="139" t="n">
        <f aca="false">IFERROR(W209*$G209,0)</f>
        <v>0</v>
      </c>
      <c r="BG209" s="138" t="n">
        <f aca="false">IFERROR(ROUND($D209-X209-BH209,0),0)</f>
        <v>0</v>
      </c>
      <c r="BH209" s="139" t="n">
        <f aca="false">IFERROR(Y209*$G209,0)</f>
        <v>0</v>
      </c>
      <c r="BI209" s="140" t="n">
        <f aca="false">IFERROR(ROUND($D209-Z209-BJ209,0),0)</f>
        <v>0</v>
      </c>
      <c r="BJ209" s="139" t="n">
        <f aca="false">IFERROR(AA209*$G209,0)</f>
        <v>0</v>
      </c>
      <c r="BK209" s="140" t="n">
        <f aca="false">IFERROR(ROUND($D209-AB209-BL209,0),0)</f>
        <v>0</v>
      </c>
      <c r="BL209" s="139" t="n">
        <f aca="false">IFERROR(AC209*$G209,0)</f>
        <v>0</v>
      </c>
      <c r="BN209" s="142" t="n">
        <v>-16.53</v>
      </c>
      <c r="BO209" s="137"/>
      <c r="BP209" s="138" t="n">
        <v>-16.53</v>
      </c>
      <c r="BQ209" s="139" t="n">
        <v>0</v>
      </c>
      <c r="BR209" s="140"/>
      <c r="BS209" s="138" t="n">
        <v>0</v>
      </c>
      <c r="BT209" s="139" t="n">
        <v>0</v>
      </c>
      <c r="BU209" s="138" t="n">
        <v>0</v>
      </c>
      <c r="BV209" s="139" t="n">
        <v>0</v>
      </c>
      <c r="BW209" s="138" t="n">
        <v>0</v>
      </c>
      <c r="BX209" s="139" t="n">
        <v>0</v>
      </c>
      <c r="BY209" s="138" t="n">
        <v>0</v>
      </c>
      <c r="BZ209" s="139" t="n">
        <v>0</v>
      </c>
      <c r="CA209" s="140"/>
      <c r="CB209" s="138" t="n">
        <v>0</v>
      </c>
      <c r="CC209" s="139" t="n">
        <v>0</v>
      </c>
      <c r="CD209" s="138" t="n">
        <v>0</v>
      </c>
      <c r="CE209" s="139" t="n">
        <v>0</v>
      </c>
      <c r="CF209" s="138" t="n">
        <v>0</v>
      </c>
      <c r="CG209" s="139" t="n">
        <v>0</v>
      </c>
      <c r="CH209" s="138" t="n">
        <v>0</v>
      </c>
      <c r="CI209" s="139" t="n">
        <v>0</v>
      </c>
      <c r="CK209" s="143"/>
      <c r="CL209" s="137"/>
      <c r="CM209" s="144" t="str">
        <f aca="false">IFERROR(+$H209-($J209+$K209*$G209),"-")</f>
        <v>-</v>
      </c>
      <c r="CN209" s="137"/>
      <c r="CO209" s="144" t="str">
        <f aca="false">IFERROR(+$H209-($M209+$N209*$G209),"-")</f>
        <v>-</v>
      </c>
      <c r="CP209" s="144" t="str">
        <f aca="false">IFERROR(+$H209-($O209+$P209*$G209),"-")</f>
        <v>-</v>
      </c>
      <c r="CQ209" s="144" t="str">
        <f aca="false">IFERROR(+$H209-($Q209+$R209*$G209),"-")</f>
        <v>-</v>
      </c>
      <c r="CR209" s="144" t="str">
        <f aca="false">IFERROR(+$H209-($Q209+$R209*$G209),"-")</f>
        <v>-</v>
      </c>
      <c r="CS209" s="137"/>
      <c r="CT209" s="144" t="str">
        <f aca="false">IFERROR(+$H209-($V209+$W209*$G209),"-")</f>
        <v>-</v>
      </c>
      <c r="CU209" s="144" t="str">
        <f aca="false">IFERROR(+$H209-($X209+$Y209*$G209),"-")</f>
        <v>-</v>
      </c>
      <c r="CV209" s="144" t="str">
        <f aca="false">IFERROR(+$H209-($Z209+$AA209*$G209),"-")</f>
        <v>-</v>
      </c>
      <c r="CW209" s="144" t="str">
        <f aca="false">IFERROR(+$H209-($AB209+$AC209*$G209),"-")</f>
        <v>-</v>
      </c>
    </row>
    <row r="210" s="156" customFormat="true" ht="12.75" hidden="false" customHeight="true" outlineLevel="0" collapsed="false">
      <c r="A210" s="1"/>
      <c r="B210" s="145" t="s">
        <v>190</v>
      </c>
      <c r="C210" s="146" t="s">
        <v>302</v>
      </c>
      <c r="D210" s="147" t="e">
        <f aca="false">VLOOKUP($C210,#REF!,5,0)</f>
        <v>#VALUE!</v>
      </c>
      <c r="E210" s="148" t="e">
        <f aca="false">VLOOKUP($C210,#REF!,6,0)</f>
        <v>#VALUE!</v>
      </c>
      <c r="F210" s="146" t="e">
        <f aca="false">VLOOKUP($C210,#REF!,7,0)</f>
        <v>#VALUE!</v>
      </c>
      <c r="G210" s="146" t="e">
        <f aca="false">VLOOKUP($C210,#REF!,8,0)</f>
        <v>#VALUE!</v>
      </c>
      <c r="H210" s="149" t="e">
        <f aca="false">VLOOKUP($C210,#REF!,9,0)</f>
        <v>#VALUE!</v>
      </c>
      <c r="I210" s="137"/>
      <c r="J210" s="150" t="e">
        <f aca="false">VLOOKUP($C210,#REF!,10,0)</f>
        <v>#VALUE!</v>
      </c>
      <c r="K210" s="151" t="e">
        <f aca="false">VLOOKUP($C210,#REF!,11,0)</f>
        <v>#VALUE!</v>
      </c>
      <c r="L210" s="140"/>
      <c r="M210" s="150" t="e">
        <f aca="false">VLOOKUP($C210,#REF!,12,0)</f>
        <v>#VALUE!</v>
      </c>
      <c r="N210" s="152" t="e">
        <f aca="false">VLOOKUP($C210,#REF!,13,0)</f>
        <v>#VALUE!</v>
      </c>
      <c r="O210" s="150" t="e">
        <f aca="false">VLOOKUP($C210,#REF!,14,0)</f>
        <v>#VALUE!</v>
      </c>
      <c r="P210" s="152" t="e">
        <f aca="false">VLOOKUP($C210,#REF!,15,0)</f>
        <v>#VALUE!</v>
      </c>
      <c r="Q210" s="150" t="e">
        <f aca="false">VLOOKUP($C210,#REF!,16,0)</f>
        <v>#VALUE!</v>
      </c>
      <c r="R210" s="151" t="e">
        <f aca="false">VLOOKUP($C210,#REF!,17,0)</f>
        <v>#VALUE!</v>
      </c>
      <c r="S210" s="152" t="e">
        <f aca="false">VLOOKUP($C210,#REF!,18,0)</f>
        <v>#VALUE!</v>
      </c>
      <c r="T210" s="151" t="e">
        <f aca="false">VLOOKUP($C210,#REF!,19,0)</f>
        <v>#VALUE!</v>
      </c>
      <c r="U210" s="140"/>
      <c r="V210" s="150" t="e">
        <f aca="false">VLOOKUP($C210,#REF!,20,0)</f>
        <v>#VALUE!</v>
      </c>
      <c r="W210" s="152" t="e">
        <f aca="false">VLOOKUP($C210,#REF!,21,0)</f>
        <v>#VALUE!</v>
      </c>
      <c r="X210" s="150" t="e">
        <f aca="false">VLOOKUP($C210,#REF!,22,0)</f>
        <v>#VALUE!</v>
      </c>
      <c r="Y210" s="152" t="e">
        <f aca="false">VLOOKUP($C210,#REF!,23,0)</f>
        <v>#VALUE!</v>
      </c>
      <c r="Z210" s="150" t="e">
        <f aca="false">VLOOKUP($C210,#REF!,24,0)</f>
        <v>#VALUE!</v>
      </c>
      <c r="AA210" s="151" t="e">
        <f aca="false">VLOOKUP($C210,#REF!,25,0)</f>
        <v>#VALUE!</v>
      </c>
      <c r="AB210" s="152" t="e">
        <f aca="false">VLOOKUP($C210,#REF!,26,0)</f>
        <v>#VALUE!</v>
      </c>
      <c r="AC210" s="151" t="e">
        <f aca="false">VLOOKUP($C210,#REF!,27,0)</f>
        <v>#VALUE!</v>
      </c>
      <c r="AD210" s="1"/>
      <c r="AE210" s="150" t="e">
        <f aca="false">IF(M210="-","-","0,5 GB")</f>
        <v>#VALUE!</v>
      </c>
      <c r="AF210" s="153" t="s">
        <v>92</v>
      </c>
      <c r="AG210" s="153" t="s">
        <v>93</v>
      </c>
      <c r="AH210" s="151" t="s">
        <v>94</v>
      </c>
      <c r="AI210" s="1"/>
      <c r="AJ210" s="150" t="s">
        <v>95</v>
      </c>
      <c r="AK210" s="153" t="s">
        <v>96</v>
      </c>
      <c r="AL210" s="153" t="s">
        <v>97</v>
      </c>
      <c r="AM210" s="153" t="s">
        <v>98</v>
      </c>
      <c r="AN210" s="153" t="s">
        <v>98</v>
      </c>
      <c r="AO210" s="151" t="s">
        <v>92</v>
      </c>
      <c r="AP210" s="1"/>
      <c r="AQ210" s="154"/>
      <c r="AR210" s="137"/>
      <c r="AS210" s="150" t="n">
        <v>0</v>
      </c>
      <c r="AT210" s="151" t="n">
        <v>0</v>
      </c>
      <c r="AU210" s="140"/>
      <c r="AV210" s="150" t="n">
        <f aca="false">IFERROR(ROUND($D210-M210-AW210,0),0)</f>
        <v>0</v>
      </c>
      <c r="AW210" s="151" t="n">
        <f aca="false">IFERROR(N210*$G210,0)</f>
        <v>0</v>
      </c>
      <c r="AX210" s="150" t="n">
        <f aca="false">IFERROR(ROUND($D210-O210-AY210,0),0)</f>
        <v>0</v>
      </c>
      <c r="AY210" s="151" t="n">
        <f aca="false">IFERROR(P210*$G210,0)</f>
        <v>0</v>
      </c>
      <c r="AZ210" s="150" t="n">
        <f aca="false">IFERROR(ROUND($D210-Q210-BA210,0),0)</f>
        <v>0</v>
      </c>
      <c r="BA210" s="151" t="n">
        <f aca="false">IFERROR(R210*$G210,0)</f>
        <v>0</v>
      </c>
      <c r="BB210" s="152" t="n">
        <f aca="false">IFERROR(ROUND($D210-S210-BC210,0),0)</f>
        <v>0</v>
      </c>
      <c r="BC210" s="151" t="n">
        <f aca="false">IFERROR(T210*$G210,0)</f>
        <v>0</v>
      </c>
      <c r="BD210" s="140"/>
      <c r="BE210" s="150" t="n">
        <f aca="false">IFERROR(ROUND($D210-V210-BF210,0),0)</f>
        <v>0</v>
      </c>
      <c r="BF210" s="151" t="n">
        <f aca="false">IFERROR(W210*$G210,0)</f>
        <v>0</v>
      </c>
      <c r="BG210" s="150" t="n">
        <f aca="false">IFERROR(ROUND($D210-X210-BH210,0),0)</f>
        <v>0</v>
      </c>
      <c r="BH210" s="151" t="n">
        <f aca="false">IFERROR(Y210*$G210,0)</f>
        <v>0</v>
      </c>
      <c r="BI210" s="152" t="n">
        <f aca="false">IFERROR(ROUND($D210-Z210-BJ210,0),0)</f>
        <v>0</v>
      </c>
      <c r="BJ210" s="151" t="n">
        <f aca="false">IFERROR(AA210*$G210,0)</f>
        <v>0</v>
      </c>
      <c r="BK210" s="152" t="n">
        <f aca="false">IFERROR(ROUND($D210-AB210-BL210,0),0)</f>
        <v>0</v>
      </c>
      <c r="BL210" s="151" t="n">
        <f aca="false">IFERROR(AC210*$G210,0)</f>
        <v>0</v>
      </c>
      <c r="BM210" s="1"/>
      <c r="BN210" s="154"/>
      <c r="BO210" s="155"/>
      <c r="BP210" s="150"/>
      <c r="BQ210" s="151"/>
      <c r="BR210" s="152"/>
      <c r="BS210" s="150"/>
      <c r="BT210" s="151"/>
      <c r="BU210" s="150"/>
      <c r="BV210" s="151"/>
      <c r="BW210" s="150"/>
      <c r="BX210" s="151"/>
      <c r="BY210" s="150"/>
      <c r="BZ210" s="151"/>
      <c r="CA210" s="152"/>
      <c r="CB210" s="150"/>
      <c r="CC210" s="151"/>
      <c r="CD210" s="150"/>
      <c r="CE210" s="151"/>
      <c r="CF210" s="150"/>
      <c r="CG210" s="151"/>
      <c r="CH210" s="150"/>
      <c r="CI210" s="151"/>
      <c r="CJ210" s="1"/>
      <c r="CK210" s="149"/>
      <c r="CL210" s="137"/>
      <c r="CM210" s="154" t="str">
        <f aca="false">IFERROR(+$H210-($J210+$K210*$G210),"-")</f>
        <v>-</v>
      </c>
      <c r="CN210" s="137"/>
      <c r="CO210" s="154" t="str">
        <f aca="false">IFERROR(+$H210-($M210+$N210*$G210),"-")</f>
        <v>-</v>
      </c>
      <c r="CP210" s="154" t="str">
        <f aca="false">IFERROR(+$H210-($O210+$P210*$G210),"-")</f>
        <v>-</v>
      </c>
      <c r="CQ210" s="154" t="str">
        <f aca="false">IFERROR(+$H210-($Q210+$R210*$G210),"-")</f>
        <v>-</v>
      </c>
      <c r="CR210" s="154" t="str">
        <f aca="false">IFERROR(+$H210-($Q210+$R210*$G210),"-")</f>
        <v>-</v>
      </c>
      <c r="CS210" s="137"/>
      <c r="CT210" s="154" t="str">
        <f aca="false">IFERROR(+$H210-($V210+$W210*$G210),"-")</f>
        <v>-</v>
      </c>
      <c r="CU210" s="154" t="str">
        <f aca="false">IFERROR(+$H210-($X210+$Y210*$G210),"-")</f>
        <v>-</v>
      </c>
      <c r="CV210" s="154" t="str">
        <f aca="false">IFERROR(+$H210-($Z210+$AA210*$G210),"-")</f>
        <v>-</v>
      </c>
      <c r="CW210" s="154" t="str">
        <f aca="false">IFERROR(+$H210-($AB210+$AC210*$G210),"-")</f>
        <v>-</v>
      </c>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row>
    <row r="211" s="1" customFormat="true" ht="12.75" hidden="false" customHeight="true" outlineLevel="0" collapsed="false">
      <c r="B211" s="134" t="s">
        <v>292</v>
      </c>
      <c r="C211" s="135" t="s">
        <v>303</v>
      </c>
      <c r="D211" s="136" t="e">
        <f aca="false">VLOOKUP($C211,#REF!,5,0)</f>
        <v>#VALUE!</v>
      </c>
      <c r="E211" s="157" t="e">
        <f aca="false">VLOOKUP($C211,#REF!,6,0)</f>
        <v>#VALUE!</v>
      </c>
      <c r="F211" s="135" t="e">
        <f aca="false">VLOOKUP($C211,#REF!,7,0)</f>
        <v>#VALUE!</v>
      </c>
      <c r="G211" s="135" t="e">
        <f aca="false">VLOOKUP($C211,#REF!,8,0)</f>
        <v>#VALUE!</v>
      </c>
      <c r="H211" s="158" t="e">
        <f aca="false">VLOOKUP($C211,#REF!,9,0)</f>
        <v>#VALUE!</v>
      </c>
      <c r="I211" s="137"/>
      <c r="J211" s="138" t="e">
        <f aca="false">VLOOKUP($C211,#REF!,10,0)</f>
        <v>#VALUE!</v>
      </c>
      <c r="K211" s="139" t="e">
        <f aca="false">VLOOKUP($C211,#REF!,11,0)</f>
        <v>#VALUE!</v>
      </c>
      <c r="L211" s="140"/>
      <c r="M211" s="138" t="e">
        <f aca="false">VLOOKUP($C211,#REF!,12,0)</f>
        <v>#VALUE!</v>
      </c>
      <c r="N211" s="140" t="e">
        <f aca="false">VLOOKUP($C211,#REF!,13,0)</f>
        <v>#VALUE!</v>
      </c>
      <c r="O211" s="138" t="e">
        <f aca="false">VLOOKUP($C211,#REF!,14,0)</f>
        <v>#VALUE!</v>
      </c>
      <c r="P211" s="140" t="e">
        <f aca="false">VLOOKUP($C211,#REF!,15,0)</f>
        <v>#VALUE!</v>
      </c>
      <c r="Q211" s="138" t="e">
        <f aca="false">VLOOKUP($C211,#REF!,16,0)</f>
        <v>#VALUE!</v>
      </c>
      <c r="R211" s="139" t="e">
        <f aca="false">VLOOKUP($C211,#REF!,17,0)</f>
        <v>#VALUE!</v>
      </c>
      <c r="S211" s="140" t="e">
        <f aca="false">VLOOKUP($C211,#REF!,18,0)</f>
        <v>#VALUE!</v>
      </c>
      <c r="T211" s="139" t="e">
        <f aca="false">VLOOKUP($C211,#REF!,19,0)</f>
        <v>#VALUE!</v>
      </c>
      <c r="U211" s="140"/>
      <c r="V211" s="138" t="e">
        <f aca="false">VLOOKUP($C211,#REF!,20,0)</f>
        <v>#VALUE!</v>
      </c>
      <c r="W211" s="140" t="e">
        <f aca="false">VLOOKUP($C211,#REF!,21,0)</f>
        <v>#VALUE!</v>
      </c>
      <c r="X211" s="138" t="e">
        <f aca="false">VLOOKUP($C211,#REF!,22,0)</f>
        <v>#VALUE!</v>
      </c>
      <c r="Y211" s="140" t="e">
        <f aca="false">VLOOKUP($C211,#REF!,23,0)</f>
        <v>#VALUE!</v>
      </c>
      <c r="Z211" s="138" t="e">
        <f aca="false">VLOOKUP($C211,#REF!,24,0)</f>
        <v>#VALUE!</v>
      </c>
      <c r="AA211" s="139" t="e">
        <f aca="false">VLOOKUP($C211,#REF!,25,0)</f>
        <v>#VALUE!</v>
      </c>
      <c r="AB211" s="140" t="e">
        <f aca="false">VLOOKUP($C211,#REF!,26,0)</f>
        <v>#VALUE!</v>
      </c>
      <c r="AC211" s="139" t="e">
        <f aca="false">VLOOKUP($C211,#REF!,27,0)</f>
        <v>#VALUE!</v>
      </c>
      <c r="AE211" s="138" t="e">
        <f aca="false">IF(M211="-","-","0,5 GB")</f>
        <v>#VALUE!</v>
      </c>
      <c r="AF211" s="141" t="s">
        <v>92</v>
      </c>
      <c r="AG211" s="141" t="s">
        <v>93</v>
      </c>
      <c r="AH211" s="139" t="s">
        <v>94</v>
      </c>
      <c r="AJ211" s="138" t="s">
        <v>95</v>
      </c>
      <c r="AK211" s="141" t="s">
        <v>96</v>
      </c>
      <c r="AL211" s="141" t="s">
        <v>97</v>
      </c>
      <c r="AM211" s="141" t="s">
        <v>98</v>
      </c>
      <c r="AN211" s="141" t="s">
        <v>98</v>
      </c>
      <c r="AO211" s="139" t="s">
        <v>92</v>
      </c>
      <c r="AQ211" s="142" t="n">
        <v>0</v>
      </c>
      <c r="AR211" s="137"/>
      <c r="AS211" s="138" t="n">
        <v>0</v>
      </c>
      <c r="AT211" s="139" t="n">
        <v>0</v>
      </c>
      <c r="AU211" s="140"/>
      <c r="AV211" s="138" t="n">
        <f aca="false">IFERROR(ROUND($D211-M211-AW211,0),0)</f>
        <v>0</v>
      </c>
      <c r="AW211" s="139" t="n">
        <f aca="false">IFERROR(N211*$G211,0)</f>
        <v>0</v>
      </c>
      <c r="AX211" s="138" t="n">
        <f aca="false">IFERROR(ROUND($D211-O211-AY211,0),0)</f>
        <v>0</v>
      </c>
      <c r="AY211" s="139" t="n">
        <f aca="false">IFERROR(P211*$G211,0)</f>
        <v>0</v>
      </c>
      <c r="AZ211" s="138" t="n">
        <f aca="false">IFERROR(ROUND($D211-Q211-BA211,0),0)</f>
        <v>0</v>
      </c>
      <c r="BA211" s="139" t="n">
        <f aca="false">IFERROR(R211*$G211,0)</f>
        <v>0</v>
      </c>
      <c r="BB211" s="140" t="n">
        <f aca="false">IFERROR(ROUND($D211-S211-BC211,0),0)</f>
        <v>0</v>
      </c>
      <c r="BC211" s="139" t="n">
        <f aca="false">IFERROR(T211*$G211,0)</f>
        <v>0</v>
      </c>
      <c r="BD211" s="140"/>
      <c r="BE211" s="138" t="n">
        <f aca="false">IFERROR(ROUND($D211-V211-BF211,0),0)</f>
        <v>0</v>
      </c>
      <c r="BF211" s="139" t="n">
        <f aca="false">IFERROR(W211*$G211,0)</f>
        <v>0</v>
      </c>
      <c r="BG211" s="138" t="n">
        <f aca="false">IFERROR(ROUND($D211-X211-BH211,0),0)</f>
        <v>0</v>
      </c>
      <c r="BH211" s="139" t="n">
        <f aca="false">IFERROR(Y211*$G211,0)</f>
        <v>0</v>
      </c>
      <c r="BI211" s="140" t="n">
        <f aca="false">IFERROR(ROUND($D211-Z211-BJ211,0),0)</f>
        <v>0</v>
      </c>
      <c r="BJ211" s="139" t="n">
        <f aca="false">IFERROR(AA211*$G211,0)</f>
        <v>0</v>
      </c>
      <c r="BK211" s="140" t="n">
        <f aca="false">IFERROR(ROUND($D211-AB211-BL211,0),0)</f>
        <v>0</v>
      </c>
      <c r="BL211" s="139" t="n">
        <f aca="false">IFERROR(AC211*$G211,0)</f>
        <v>0</v>
      </c>
      <c r="BN211" s="142" t="n">
        <v>0</v>
      </c>
      <c r="BO211" s="137"/>
      <c r="BP211" s="138" t="n">
        <v>0</v>
      </c>
      <c r="BQ211" s="139" t="n">
        <v>0</v>
      </c>
      <c r="BR211" s="140"/>
      <c r="BS211" s="138" t="n">
        <v>0</v>
      </c>
      <c r="BT211" s="139" t="n">
        <v>0</v>
      </c>
      <c r="BU211" s="138" t="n">
        <v>0</v>
      </c>
      <c r="BV211" s="139" t="n">
        <v>0</v>
      </c>
      <c r="BW211" s="138" t="n">
        <v>0</v>
      </c>
      <c r="BX211" s="139" t="n">
        <v>0</v>
      </c>
      <c r="BY211" s="138" t="n">
        <v>0</v>
      </c>
      <c r="BZ211" s="139" t="n">
        <v>0</v>
      </c>
      <c r="CA211" s="140"/>
      <c r="CB211" s="138" t="n">
        <v>0</v>
      </c>
      <c r="CC211" s="139" t="n">
        <v>0</v>
      </c>
      <c r="CD211" s="138" t="n">
        <v>0</v>
      </c>
      <c r="CE211" s="139" t="n">
        <v>0</v>
      </c>
      <c r="CF211" s="138" t="n">
        <v>0</v>
      </c>
      <c r="CG211" s="139" t="n">
        <v>0</v>
      </c>
      <c r="CH211" s="138" t="n">
        <v>0</v>
      </c>
      <c r="CI211" s="139" t="n">
        <v>0</v>
      </c>
      <c r="CK211" s="143"/>
      <c r="CL211" s="137"/>
      <c r="CM211" s="144" t="str">
        <f aca="false">IFERROR(+$H211-($J211+$K211*$G211),"-")</f>
        <v>-</v>
      </c>
      <c r="CN211" s="137"/>
      <c r="CO211" s="144" t="str">
        <f aca="false">IFERROR(+$H211-($M211+$N211*$G211),"-")</f>
        <v>-</v>
      </c>
      <c r="CP211" s="144" t="str">
        <f aca="false">IFERROR(+$H211-($O211+$P211*$G211),"-")</f>
        <v>-</v>
      </c>
      <c r="CQ211" s="144" t="str">
        <f aca="false">IFERROR(+$H211-($Q211+$R211*$G211),"-")</f>
        <v>-</v>
      </c>
      <c r="CR211" s="144" t="str">
        <f aca="false">IFERROR(+$H211-($Q211+$R211*$G211),"-")</f>
        <v>-</v>
      </c>
      <c r="CS211" s="137"/>
      <c r="CT211" s="144" t="str">
        <f aca="false">IFERROR(+$H211-($V211+$W211*$G211),"-")</f>
        <v>-</v>
      </c>
      <c r="CU211" s="144" t="str">
        <f aca="false">IFERROR(+$H211-($X211+$Y211*$G211),"-")</f>
        <v>-</v>
      </c>
      <c r="CV211" s="144" t="str">
        <f aca="false">IFERROR(+$H211-($Z211+$AA211*$G211),"-")</f>
        <v>-</v>
      </c>
      <c r="CW211" s="144" t="str">
        <f aca="false">IFERROR(+$H211-($AB211+$AC211*$G211),"-")</f>
        <v>-</v>
      </c>
    </row>
    <row r="212" s="156" customFormat="true" ht="12.75" hidden="false" customHeight="true" outlineLevel="0" collapsed="false">
      <c r="A212" s="1"/>
      <c r="B212" s="145" t="s">
        <v>110</v>
      </c>
      <c r="C212" s="146" t="s">
        <v>304</v>
      </c>
      <c r="D212" s="147" t="e">
        <f aca="false">VLOOKUP($C212,#REF!,5,0)</f>
        <v>#VALUE!</v>
      </c>
      <c r="E212" s="148" t="e">
        <f aca="false">VLOOKUP($C212,#REF!,6,0)</f>
        <v>#VALUE!</v>
      </c>
      <c r="F212" s="146" t="e">
        <f aca="false">VLOOKUP($C212,#REF!,7,0)</f>
        <v>#VALUE!</v>
      </c>
      <c r="G212" s="146" t="e">
        <f aca="false">VLOOKUP($C212,#REF!,8,0)</f>
        <v>#VALUE!</v>
      </c>
      <c r="H212" s="149" t="e">
        <f aca="false">VLOOKUP($C212,#REF!,9,0)</f>
        <v>#VALUE!</v>
      </c>
      <c r="I212" s="137"/>
      <c r="J212" s="150" t="e">
        <f aca="false">VLOOKUP($C212,#REF!,10,0)</f>
        <v>#VALUE!</v>
      </c>
      <c r="K212" s="151" t="e">
        <f aca="false">VLOOKUP($C212,#REF!,11,0)</f>
        <v>#VALUE!</v>
      </c>
      <c r="L212" s="140"/>
      <c r="M212" s="150" t="e">
        <f aca="false">VLOOKUP($C212,#REF!,12,0)</f>
        <v>#VALUE!</v>
      </c>
      <c r="N212" s="152" t="e">
        <f aca="false">VLOOKUP($C212,#REF!,13,0)</f>
        <v>#VALUE!</v>
      </c>
      <c r="O212" s="150" t="e">
        <f aca="false">VLOOKUP($C212,#REF!,14,0)</f>
        <v>#VALUE!</v>
      </c>
      <c r="P212" s="152" t="e">
        <f aca="false">VLOOKUP($C212,#REF!,15,0)</f>
        <v>#VALUE!</v>
      </c>
      <c r="Q212" s="150" t="e">
        <f aca="false">VLOOKUP($C212,#REF!,16,0)</f>
        <v>#VALUE!</v>
      </c>
      <c r="R212" s="151" t="e">
        <f aca="false">VLOOKUP($C212,#REF!,17,0)</f>
        <v>#VALUE!</v>
      </c>
      <c r="S212" s="152" t="e">
        <f aca="false">VLOOKUP($C212,#REF!,18,0)</f>
        <v>#VALUE!</v>
      </c>
      <c r="T212" s="151" t="e">
        <f aca="false">VLOOKUP($C212,#REF!,19,0)</f>
        <v>#VALUE!</v>
      </c>
      <c r="U212" s="140"/>
      <c r="V212" s="150" t="e">
        <f aca="false">VLOOKUP($C212,#REF!,20,0)</f>
        <v>#VALUE!</v>
      </c>
      <c r="W212" s="152" t="e">
        <f aca="false">VLOOKUP($C212,#REF!,21,0)</f>
        <v>#VALUE!</v>
      </c>
      <c r="X212" s="150" t="e">
        <f aca="false">VLOOKUP($C212,#REF!,22,0)</f>
        <v>#VALUE!</v>
      </c>
      <c r="Y212" s="152" t="e">
        <f aca="false">VLOOKUP($C212,#REF!,23,0)</f>
        <v>#VALUE!</v>
      </c>
      <c r="Z212" s="150" t="e">
        <f aca="false">VLOOKUP($C212,#REF!,24,0)</f>
        <v>#VALUE!</v>
      </c>
      <c r="AA212" s="151" t="e">
        <f aca="false">VLOOKUP($C212,#REF!,25,0)</f>
        <v>#VALUE!</v>
      </c>
      <c r="AB212" s="152" t="e">
        <f aca="false">VLOOKUP($C212,#REF!,26,0)</f>
        <v>#VALUE!</v>
      </c>
      <c r="AC212" s="151" t="e">
        <f aca="false">VLOOKUP($C212,#REF!,27,0)</f>
        <v>#VALUE!</v>
      </c>
      <c r="AD212" s="1"/>
      <c r="AE212" s="150" t="e">
        <f aca="false">IF(M212="-","-","0,5 GB")</f>
        <v>#VALUE!</v>
      </c>
      <c r="AF212" s="153" t="s">
        <v>92</v>
      </c>
      <c r="AG212" s="153" t="s">
        <v>93</v>
      </c>
      <c r="AH212" s="151" t="s">
        <v>94</v>
      </c>
      <c r="AI212" s="1"/>
      <c r="AJ212" s="150" t="s">
        <v>95</v>
      </c>
      <c r="AK212" s="153" t="s">
        <v>96</v>
      </c>
      <c r="AL212" s="153" t="s">
        <v>97</v>
      </c>
      <c r="AM212" s="153" t="s">
        <v>98</v>
      </c>
      <c r="AN212" s="153" t="s">
        <v>98</v>
      </c>
      <c r="AO212" s="151" t="s">
        <v>92</v>
      </c>
      <c r="AP212" s="1"/>
      <c r="AQ212" s="154" t="n">
        <v>1</v>
      </c>
      <c r="AR212" s="137"/>
      <c r="AS212" s="150" t="n">
        <v>0</v>
      </c>
      <c r="AT212" s="151" t="n">
        <v>0</v>
      </c>
      <c r="AU212" s="140"/>
      <c r="AV212" s="150" t="n">
        <f aca="false">IFERROR(ROUND($D212-M212-AW212,0),0)</f>
        <v>0</v>
      </c>
      <c r="AW212" s="151" t="n">
        <f aca="false">IFERROR(N212*$G212,0)</f>
        <v>0</v>
      </c>
      <c r="AX212" s="150" t="n">
        <f aca="false">IFERROR(ROUND($D212-O212-AY212,0),0)</f>
        <v>0</v>
      </c>
      <c r="AY212" s="151" t="n">
        <f aca="false">IFERROR(P212*$G212,0)</f>
        <v>0</v>
      </c>
      <c r="AZ212" s="150" t="n">
        <f aca="false">IFERROR(ROUND($D212-Q212-BA212,0),0)</f>
        <v>0</v>
      </c>
      <c r="BA212" s="151" t="n">
        <f aca="false">IFERROR(R212*$G212,0)</f>
        <v>0</v>
      </c>
      <c r="BB212" s="152" t="n">
        <f aca="false">IFERROR(ROUND($D212-S212-BC212,0),0)</f>
        <v>0</v>
      </c>
      <c r="BC212" s="151" t="n">
        <f aca="false">IFERROR(T212*$G212,0)</f>
        <v>0</v>
      </c>
      <c r="BD212" s="140"/>
      <c r="BE212" s="150" t="n">
        <f aca="false">IFERROR(ROUND($D212-V212-BF212,0),0)</f>
        <v>0</v>
      </c>
      <c r="BF212" s="151" t="n">
        <f aca="false">IFERROR(W212*$G212,0)</f>
        <v>0</v>
      </c>
      <c r="BG212" s="150" t="n">
        <f aca="false">IFERROR(ROUND($D212-X212-BH212,0),0)</f>
        <v>0</v>
      </c>
      <c r="BH212" s="151" t="n">
        <f aca="false">IFERROR(Y212*$G212,0)</f>
        <v>0</v>
      </c>
      <c r="BI212" s="152" t="n">
        <f aca="false">IFERROR(ROUND($D212-Z212-BJ212,0),0)</f>
        <v>0</v>
      </c>
      <c r="BJ212" s="151" t="n">
        <f aca="false">IFERROR(AA212*$G212,0)</f>
        <v>0</v>
      </c>
      <c r="BK212" s="152" t="n">
        <f aca="false">IFERROR(ROUND($D212-AB212-BL212,0),0)</f>
        <v>0</v>
      </c>
      <c r="BL212" s="151" t="n">
        <f aca="false">IFERROR(AC212*$G212,0)</f>
        <v>0</v>
      </c>
      <c r="BM212" s="1"/>
      <c r="BN212" s="154" t="n">
        <v>0</v>
      </c>
      <c r="BO212" s="155"/>
      <c r="BP212" s="150" t="n">
        <v>0</v>
      </c>
      <c r="BQ212" s="151" t="n">
        <v>0</v>
      </c>
      <c r="BR212" s="152"/>
      <c r="BS212" s="150" t="n">
        <v>0</v>
      </c>
      <c r="BT212" s="151" t="n">
        <v>0</v>
      </c>
      <c r="BU212" s="150" t="n">
        <v>0</v>
      </c>
      <c r="BV212" s="151" t="n">
        <v>0</v>
      </c>
      <c r="BW212" s="150" t="n">
        <v>0</v>
      </c>
      <c r="BX212" s="151" t="n">
        <v>0</v>
      </c>
      <c r="BY212" s="150" t="n">
        <v>0</v>
      </c>
      <c r="BZ212" s="151" t="n">
        <v>0</v>
      </c>
      <c r="CA212" s="152"/>
      <c r="CB212" s="150" t="n">
        <v>0</v>
      </c>
      <c r="CC212" s="151" t="n">
        <v>0</v>
      </c>
      <c r="CD212" s="150" t="n">
        <v>0</v>
      </c>
      <c r="CE212" s="151" t="n">
        <v>0</v>
      </c>
      <c r="CF212" s="150" t="n">
        <v>0</v>
      </c>
      <c r="CG212" s="151" t="n">
        <v>0</v>
      </c>
      <c r="CH212" s="150" t="n">
        <v>0</v>
      </c>
      <c r="CI212" s="151" t="n">
        <v>0</v>
      </c>
      <c r="CJ212" s="1"/>
      <c r="CK212" s="149"/>
      <c r="CL212" s="137"/>
      <c r="CM212" s="154" t="str">
        <f aca="false">IFERROR(+$H212-($J212+$K212*$G212),"-")</f>
        <v>-</v>
      </c>
      <c r="CN212" s="137"/>
      <c r="CO212" s="154" t="str">
        <f aca="false">IFERROR(+$H212-($M212+$N212*$G212),"-")</f>
        <v>-</v>
      </c>
      <c r="CP212" s="154" t="str">
        <f aca="false">IFERROR(+$H212-($O212+$P212*$G212),"-")</f>
        <v>-</v>
      </c>
      <c r="CQ212" s="154" t="str">
        <f aca="false">IFERROR(+$H212-($Q212+$R212*$G212),"-")</f>
        <v>-</v>
      </c>
      <c r="CR212" s="154" t="str">
        <f aca="false">IFERROR(+$H212-($Q212+$R212*$G212),"-")</f>
        <v>-</v>
      </c>
      <c r="CS212" s="137"/>
      <c r="CT212" s="154" t="str">
        <f aca="false">IFERROR(+$H212-($V212+$W212*$G212),"-")</f>
        <v>-</v>
      </c>
      <c r="CU212" s="154" t="str">
        <f aca="false">IFERROR(+$H212-($X212+$Y212*$G212),"-")</f>
        <v>-</v>
      </c>
      <c r="CV212" s="154" t="str">
        <f aca="false">IFERROR(+$H212-($Z212+$AA212*$G212),"-")</f>
        <v>-</v>
      </c>
      <c r="CW212" s="154" t="str">
        <f aca="false">IFERROR(+$H212-($AB212+$AC212*$G212),"-")</f>
        <v>-</v>
      </c>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row>
    <row r="213" s="1" customFormat="true" ht="12.75" hidden="false" customHeight="true" outlineLevel="0" collapsed="false">
      <c r="B213" s="134" t="s">
        <v>305</v>
      </c>
      <c r="C213" s="135" t="s">
        <v>306</v>
      </c>
      <c r="D213" s="136" t="e">
        <f aca="false">VLOOKUP($C213,#REF!,5,0)</f>
        <v>#VALUE!</v>
      </c>
      <c r="E213" s="157" t="e">
        <f aca="false">VLOOKUP($C213,#REF!,6,0)</f>
        <v>#VALUE!</v>
      </c>
      <c r="F213" s="135" t="e">
        <f aca="false">VLOOKUP($C213,#REF!,7,0)</f>
        <v>#VALUE!</v>
      </c>
      <c r="G213" s="135" t="e">
        <f aca="false">VLOOKUP($C213,#REF!,8,0)</f>
        <v>#VALUE!</v>
      </c>
      <c r="H213" s="158" t="e">
        <f aca="false">VLOOKUP($C213,#REF!,9,0)</f>
        <v>#VALUE!</v>
      </c>
      <c r="I213" s="137"/>
      <c r="J213" s="138" t="e">
        <f aca="false">VLOOKUP($C213,#REF!,10,0)</f>
        <v>#VALUE!</v>
      </c>
      <c r="K213" s="139" t="e">
        <f aca="false">VLOOKUP($C213,#REF!,11,0)</f>
        <v>#VALUE!</v>
      </c>
      <c r="L213" s="140"/>
      <c r="M213" s="138" t="e">
        <f aca="false">VLOOKUP($C213,#REF!,12,0)</f>
        <v>#VALUE!</v>
      </c>
      <c r="N213" s="140" t="e">
        <f aca="false">VLOOKUP($C213,#REF!,13,0)</f>
        <v>#VALUE!</v>
      </c>
      <c r="O213" s="138" t="e">
        <f aca="false">VLOOKUP($C213,#REF!,14,0)</f>
        <v>#VALUE!</v>
      </c>
      <c r="P213" s="140" t="e">
        <f aca="false">VLOOKUP($C213,#REF!,15,0)</f>
        <v>#VALUE!</v>
      </c>
      <c r="Q213" s="138" t="e">
        <f aca="false">VLOOKUP($C213,#REF!,16,0)</f>
        <v>#VALUE!</v>
      </c>
      <c r="R213" s="139" t="e">
        <f aca="false">VLOOKUP($C213,#REF!,17,0)</f>
        <v>#VALUE!</v>
      </c>
      <c r="S213" s="140" t="e">
        <f aca="false">VLOOKUP($C213,#REF!,18,0)</f>
        <v>#VALUE!</v>
      </c>
      <c r="T213" s="139" t="e">
        <f aca="false">VLOOKUP($C213,#REF!,19,0)</f>
        <v>#VALUE!</v>
      </c>
      <c r="U213" s="140"/>
      <c r="V213" s="138" t="e">
        <f aca="false">VLOOKUP($C213,#REF!,20,0)</f>
        <v>#VALUE!</v>
      </c>
      <c r="W213" s="140" t="e">
        <f aca="false">VLOOKUP($C213,#REF!,21,0)</f>
        <v>#VALUE!</v>
      </c>
      <c r="X213" s="138" t="e">
        <f aca="false">VLOOKUP($C213,#REF!,22,0)</f>
        <v>#VALUE!</v>
      </c>
      <c r="Y213" s="140" t="e">
        <f aca="false">VLOOKUP($C213,#REF!,23,0)</f>
        <v>#VALUE!</v>
      </c>
      <c r="Z213" s="138" t="e">
        <f aca="false">VLOOKUP($C213,#REF!,24,0)</f>
        <v>#VALUE!</v>
      </c>
      <c r="AA213" s="139" t="e">
        <f aca="false">VLOOKUP($C213,#REF!,25,0)</f>
        <v>#VALUE!</v>
      </c>
      <c r="AB213" s="140" t="e">
        <f aca="false">VLOOKUP($C213,#REF!,26,0)</f>
        <v>#VALUE!</v>
      </c>
      <c r="AC213" s="139" t="e">
        <f aca="false">VLOOKUP($C213,#REF!,27,0)</f>
        <v>#VALUE!</v>
      </c>
      <c r="AE213" s="138" t="e">
        <f aca="false">IF(M213="-","-","0,5 GB")</f>
        <v>#VALUE!</v>
      </c>
      <c r="AF213" s="141" t="s">
        <v>92</v>
      </c>
      <c r="AG213" s="141" t="s">
        <v>93</v>
      </c>
      <c r="AH213" s="139" t="s">
        <v>94</v>
      </c>
      <c r="AJ213" s="138" t="s">
        <v>95</v>
      </c>
      <c r="AK213" s="141" t="s">
        <v>96</v>
      </c>
      <c r="AL213" s="141" t="s">
        <v>97</v>
      </c>
      <c r="AM213" s="141" t="s">
        <v>98</v>
      </c>
      <c r="AN213" s="141" t="s">
        <v>98</v>
      </c>
      <c r="AO213" s="139" t="s">
        <v>92</v>
      </c>
      <c r="AQ213" s="142" t="n">
        <v>0</v>
      </c>
      <c r="AR213" s="137"/>
      <c r="AS213" s="138" t="n">
        <v>0</v>
      </c>
      <c r="AT213" s="139" t="n">
        <v>0</v>
      </c>
      <c r="AU213" s="140"/>
      <c r="AV213" s="138" t="n">
        <f aca="false">IFERROR(ROUND($D213-M213-AW213,0),0)</f>
        <v>0</v>
      </c>
      <c r="AW213" s="139" t="n">
        <f aca="false">IFERROR(N213*$G213,0)</f>
        <v>0</v>
      </c>
      <c r="AX213" s="138" t="n">
        <f aca="false">IFERROR(ROUND($D213-O213-AY213,0),0)</f>
        <v>0</v>
      </c>
      <c r="AY213" s="139" t="n">
        <f aca="false">IFERROR(P213*$G213,0)</f>
        <v>0</v>
      </c>
      <c r="AZ213" s="138" t="n">
        <f aca="false">IFERROR(ROUND($D213-Q213-BA213,0),0)</f>
        <v>0</v>
      </c>
      <c r="BA213" s="139" t="n">
        <f aca="false">IFERROR(R213*$G213,0)</f>
        <v>0</v>
      </c>
      <c r="BB213" s="140" t="n">
        <f aca="false">IFERROR(ROUND($D213-S213-BC213,0),0)</f>
        <v>0</v>
      </c>
      <c r="BC213" s="139" t="n">
        <f aca="false">IFERROR(T213*$G213,0)</f>
        <v>0</v>
      </c>
      <c r="BD213" s="140"/>
      <c r="BE213" s="138" t="n">
        <f aca="false">IFERROR(ROUND($D213-V213-BF213,0),0)</f>
        <v>0</v>
      </c>
      <c r="BF213" s="139" t="n">
        <f aca="false">IFERROR(W213*$G213,0)</f>
        <v>0</v>
      </c>
      <c r="BG213" s="138" t="n">
        <f aca="false">IFERROR(ROUND($D213-X213-BH213,0),0)</f>
        <v>0</v>
      </c>
      <c r="BH213" s="139" t="n">
        <f aca="false">IFERROR(Y213*$G213,0)</f>
        <v>0</v>
      </c>
      <c r="BI213" s="140" t="n">
        <f aca="false">IFERROR(ROUND($D213-Z213-BJ213,0),0)</f>
        <v>0</v>
      </c>
      <c r="BJ213" s="139" t="n">
        <f aca="false">IFERROR(AA213*$G213,0)</f>
        <v>0</v>
      </c>
      <c r="BK213" s="140" t="n">
        <f aca="false">IFERROR(ROUND($D213-AB213-BL213,0),0)</f>
        <v>0</v>
      </c>
      <c r="BL213" s="139" t="n">
        <f aca="false">IFERROR(AC213*$G213,0)</f>
        <v>0</v>
      </c>
      <c r="BN213" s="142" t="n">
        <v>0</v>
      </c>
      <c r="BO213" s="137"/>
      <c r="BP213" s="138" t="n">
        <v>0</v>
      </c>
      <c r="BQ213" s="139" t="n">
        <v>0</v>
      </c>
      <c r="BR213" s="140"/>
      <c r="BS213" s="138" t="n">
        <v>0</v>
      </c>
      <c r="BT213" s="139" t="n">
        <v>0</v>
      </c>
      <c r="BU213" s="138" t="n">
        <v>0</v>
      </c>
      <c r="BV213" s="139" t="n">
        <v>0</v>
      </c>
      <c r="BW213" s="138" t="n">
        <v>0</v>
      </c>
      <c r="BX213" s="139" t="n">
        <v>0</v>
      </c>
      <c r="BY213" s="138" t="n">
        <v>0</v>
      </c>
      <c r="BZ213" s="139" t="n">
        <v>0</v>
      </c>
      <c r="CA213" s="140"/>
      <c r="CB213" s="138" t="n">
        <v>0</v>
      </c>
      <c r="CC213" s="139" t="n">
        <v>0</v>
      </c>
      <c r="CD213" s="138" t="n">
        <v>0</v>
      </c>
      <c r="CE213" s="139" t="n">
        <v>0</v>
      </c>
      <c r="CF213" s="138" t="n">
        <v>0</v>
      </c>
      <c r="CG213" s="139" t="n">
        <v>0</v>
      </c>
      <c r="CH213" s="138" t="n">
        <v>0</v>
      </c>
      <c r="CI213" s="139" t="n">
        <v>0</v>
      </c>
      <c r="CK213" s="143"/>
      <c r="CL213" s="137"/>
      <c r="CM213" s="144" t="str">
        <f aca="false">IFERROR(+$H213-($J213+$K213*$G213),"-")</f>
        <v>-</v>
      </c>
      <c r="CN213" s="137"/>
      <c r="CO213" s="144" t="str">
        <f aca="false">IFERROR(+$H213-($M213+$N213*$G213),"-")</f>
        <v>-</v>
      </c>
      <c r="CP213" s="144" t="str">
        <f aca="false">IFERROR(+$H213-($O213+$P213*$G213),"-")</f>
        <v>-</v>
      </c>
      <c r="CQ213" s="144" t="str">
        <f aca="false">IFERROR(+$H213-($Q213+$R213*$G213),"-")</f>
        <v>-</v>
      </c>
      <c r="CR213" s="144" t="str">
        <f aca="false">IFERROR(+$H213-($Q213+$R213*$G213),"-")</f>
        <v>-</v>
      </c>
      <c r="CS213" s="137"/>
      <c r="CT213" s="144" t="str">
        <f aca="false">IFERROR(+$H213-($V213+$W213*$G213),"-")</f>
        <v>-</v>
      </c>
      <c r="CU213" s="144" t="str">
        <f aca="false">IFERROR(+$H213-($X213+$Y213*$G213),"-")</f>
        <v>-</v>
      </c>
      <c r="CV213" s="144" t="str">
        <f aca="false">IFERROR(+$H213-($Z213+$AA213*$G213),"-")</f>
        <v>-</v>
      </c>
      <c r="CW213" s="144" t="str">
        <f aca="false">IFERROR(+$H213-($AB213+$AC213*$G213),"-")</f>
        <v>-</v>
      </c>
    </row>
    <row r="214" s="156" customFormat="true" ht="12.75" hidden="false" customHeight="true" outlineLevel="0" collapsed="false">
      <c r="A214" s="1"/>
      <c r="B214" s="145" t="s">
        <v>307</v>
      </c>
      <c r="C214" s="146" t="s">
        <v>308</v>
      </c>
      <c r="D214" s="147" t="e">
        <f aca="false">VLOOKUP($C214,#REF!,5,0)</f>
        <v>#VALUE!</v>
      </c>
      <c r="E214" s="148" t="e">
        <f aca="false">VLOOKUP($C214,#REF!,6,0)</f>
        <v>#VALUE!</v>
      </c>
      <c r="F214" s="146" t="e">
        <f aca="false">VLOOKUP($C214,#REF!,7,0)</f>
        <v>#VALUE!</v>
      </c>
      <c r="G214" s="146" t="e">
        <f aca="false">VLOOKUP($C214,#REF!,8,0)</f>
        <v>#VALUE!</v>
      </c>
      <c r="H214" s="149" t="e">
        <f aca="false">VLOOKUP($C214,#REF!,9,0)</f>
        <v>#VALUE!</v>
      </c>
      <c r="I214" s="137"/>
      <c r="J214" s="150" t="e">
        <f aca="false">VLOOKUP($C214,#REF!,10,0)</f>
        <v>#VALUE!</v>
      </c>
      <c r="K214" s="151" t="e">
        <f aca="false">VLOOKUP($C214,#REF!,11,0)</f>
        <v>#VALUE!</v>
      </c>
      <c r="L214" s="140"/>
      <c r="M214" s="150" t="e">
        <f aca="false">VLOOKUP($C214,#REF!,12,0)</f>
        <v>#VALUE!</v>
      </c>
      <c r="N214" s="152" t="e">
        <f aca="false">VLOOKUP($C214,#REF!,13,0)</f>
        <v>#VALUE!</v>
      </c>
      <c r="O214" s="150" t="e">
        <f aca="false">VLOOKUP($C214,#REF!,14,0)</f>
        <v>#VALUE!</v>
      </c>
      <c r="P214" s="152" t="e">
        <f aca="false">VLOOKUP($C214,#REF!,15,0)</f>
        <v>#VALUE!</v>
      </c>
      <c r="Q214" s="150" t="e">
        <f aca="false">VLOOKUP($C214,#REF!,16,0)</f>
        <v>#VALUE!</v>
      </c>
      <c r="R214" s="151" t="e">
        <f aca="false">VLOOKUP($C214,#REF!,17,0)</f>
        <v>#VALUE!</v>
      </c>
      <c r="S214" s="152" t="e">
        <f aca="false">VLOOKUP($C214,#REF!,18,0)</f>
        <v>#VALUE!</v>
      </c>
      <c r="T214" s="151" t="e">
        <f aca="false">VLOOKUP($C214,#REF!,19,0)</f>
        <v>#VALUE!</v>
      </c>
      <c r="U214" s="140"/>
      <c r="V214" s="150" t="e">
        <f aca="false">VLOOKUP($C214,#REF!,20,0)</f>
        <v>#VALUE!</v>
      </c>
      <c r="W214" s="152" t="e">
        <f aca="false">VLOOKUP($C214,#REF!,21,0)</f>
        <v>#VALUE!</v>
      </c>
      <c r="X214" s="150" t="e">
        <f aca="false">VLOOKUP($C214,#REF!,22,0)</f>
        <v>#VALUE!</v>
      </c>
      <c r="Y214" s="152" t="e">
        <f aca="false">VLOOKUP($C214,#REF!,23,0)</f>
        <v>#VALUE!</v>
      </c>
      <c r="Z214" s="150" t="e">
        <f aca="false">VLOOKUP($C214,#REF!,24,0)</f>
        <v>#VALUE!</v>
      </c>
      <c r="AA214" s="151" t="e">
        <f aca="false">VLOOKUP($C214,#REF!,25,0)</f>
        <v>#VALUE!</v>
      </c>
      <c r="AB214" s="152" t="e">
        <f aca="false">VLOOKUP($C214,#REF!,26,0)</f>
        <v>#VALUE!</v>
      </c>
      <c r="AC214" s="151" t="e">
        <f aca="false">VLOOKUP($C214,#REF!,27,0)</f>
        <v>#VALUE!</v>
      </c>
      <c r="AD214" s="1"/>
      <c r="AE214" s="150" t="e">
        <f aca="false">IF(M214="-","-","0,5 GB")</f>
        <v>#VALUE!</v>
      </c>
      <c r="AF214" s="153" t="s">
        <v>92</v>
      </c>
      <c r="AG214" s="153" t="s">
        <v>93</v>
      </c>
      <c r="AH214" s="151" t="s">
        <v>94</v>
      </c>
      <c r="AI214" s="1"/>
      <c r="AJ214" s="150" t="s">
        <v>95</v>
      </c>
      <c r="AK214" s="153" t="s">
        <v>96</v>
      </c>
      <c r="AL214" s="153" t="s">
        <v>97</v>
      </c>
      <c r="AM214" s="153" t="s">
        <v>98</v>
      </c>
      <c r="AN214" s="153" t="s">
        <v>98</v>
      </c>
      <c r="AO214" s="151" t="s">
        <v>92</v>
      </c>
      <c r="AP214" s="1"/>
      <c r="AQ214" s="154" t="n">
        <v>1</v>
      </c>
      <c r="AR214" s="137"/>
      <c r="AS214" s="150" t="n">
        <v>0</v>
      </c>
      <c r="AT214" s="151" t="n">
        <v>0</v>
      </c>
      <c r="AU214" s="140"/>
      <c r="AV214" s="150" t="n">
        <f aca="false">IFERROR(ROUND($D214-M214-AW214,0),0)</f>
        <v>0</v>
      </c>
      <c r="AW214" s="151" t="n">
        <f aca="false">IFERROR(N214*$G214,0)</f>
        <v>0</v>
      </c>
      <c r="AX214" s="150" t="n">
        <f aca="false">IFERROR(ROUND($D214-O214-AY214,0),0)</f>
        <v>0</v>
      </c>
      <c r="AY214" s="151" t="n">
        <f aca="false">IFERROR(P214*$G214,0)</f>
        <v>0</v>
      </c>
      <c r="AZ214" s="150" t="n">
        <f aca="false">IFERROR(ROUND($D214-Q214-BA214,0),0)</f>
        <v>0</v>
      </c>
      <c r="BA214" s="151" t="n">
        <f aca="false">IFERROR(R214*$G214,0)</f>
        <v>0</v>
      </c>
      <c r="BB214" s="152" t="n">
        <f aca="false">IFERROR(ROUND($D214-S214-BC214,0),0)</f>
        <v>0</v>
      </c>
      <c r="BC214" s="151" t="n">
        <f aca="false">IFERROR(T214*$G214,0)</f>
        <v>0</v>
      </c>
      <c r="BD214" s="140"/>
      <c r="BE214" s="150" t="n">
        <f aca="false">IFERROR(ROUND($D214-V214-BF214,0),0)</f>
        <v>0</v>
      </c>
      <c r="BF214" s="151" t="n">
        <f aca="false">IFERROR(W214*$G214,0)</f>
        <v>0</v>
      </c>
      <c r="BG214" s="150" t="n">
        <f aca="false">IFERROR(ROUND($D214-X214-BH214,0),0)</f>
        <v>0</v>
      </c>
      <c r="BH214" s="151" t="n">
        <f aca="false">IFERROR(Y214*$G214,0)</f>
        <v>0</v>
      </c>
      <c r="BI214" s="152" t="n">
        <f aca="false">IFERROR(ROUND($D214-Z214-BJ214,0),0)</f>
        <v>0</v>
      </c>
      <c r="BJ214" s="151" t="n">
        <f aca="false">IFERROR(AA214*$G214,0)</f>
        <v>0</v>
      </c>
      <c r="BK214" s="152" t="n">
        <f aca="false">IFERROR(ROUND($D214-AB214-BL214,0),0)</f>
        <v>0</v>
      </c>
      <c r="BL214" s="151" t="n">
        <f aca="false">IFERROR(AC214*$G214,0)</f>
        <v>0</v>
      </c>
      <c r="BM214" s="1"/>
      <c r="BN214" s="154" t="n">
        <v>0</v>
      </c>
      <c r="BO214" s="155"/>
      <c r="BP214" s="150" t="n">
        <v>0</v>
      </c>
      <c r="BQ214" s="151" t="n">
        <v>0</v>
      </c>
      <c r="BR214" s="152"/>
      <c r="BS214" s="150" t="n">
        <v>0</v>
      </c>
      <c r="BT214" s="151" t="n">
        <v>0</v>
      </c>
      <c r="BU214" s="150" t="n">
        <v>0</v>
      </c>
      <c r="BV214" s="151" t="n">
        <v>0</v>
      </c>
      <c r="BW214" s="150" t="n">
        <v>0</v>
      </c>
      <c r="BX214" s="151" t="n">
        <v>0</v>
      </c>
      <c r="BY214" s="150" t="n">
        <v>0</v>
      </c>
      <c r="BZ214" s="151" t="n">
        <v>0</v>
      </c>
      <c r="CA214" s="152"/>
      <c r="CB214" s="150" t="n">
        <v>0</v>
      </c>
      <c r="CC214" s="151" t="n">
        <v>0</v>
      </c>
      <c r="CD214" s="150" t="n">
        <v>0</v>
      </c>
      <c r="CE214" s="151" t="n">
        <v>0</v>
      </c>
      <c r="CF214" s="150" t="n">
        <v>0</v>
      </c>
      <c r="CG214" s="151" t="n">
        <v>0</v>
      </c>
      <c r="CH214" s="150" t="n">
        <v>0</v>
      </c>
      <c r="CI214" s="151" t="n">
        <v>0</v>
      </c>
      <c r="CJ214" s="1"/>
      <c r="CK214" s="149"/>
      <c r="CL214" s="137"/>
      <c r="CM214" s="154" t="str">
        <f aca="false">IFERROR(+$H214-($J214+$K214*$G214),"-")</f>
        <v>-</v>
      </c>
      <c r="CN214" s="137"/>
      <c r="CO214" s="154" t="str">
        <f aca="false">IFERROR(+$H214-($M214+$N214*$G214),"-")</f>
        <v>-</v>
      </c>
      <c r="CP214" s="154" t="str">
        <f aca="false">IFERROR(+$H214-($O214+$P214*$G214),"-")</f>
        <v>-</v>
      </c>
      <c r="CQ214" s="154" t="str">
        <f aca="false">IFERROR(+$H214-($Q214+$R214*$G214),"-")</f>
        <v>-</v>
      </c>
      <c r="CR214" s="154" t="str">
        <f aca="false">IFERROR(+$H214-($Q214+$R214*$G214),"-")</f>
        <v>-</v>
      </c>
      <c r="CS214" s="137"/>
      <c r="CT214" s="154" t="str">
        <f aca="false">IFERROR(+$H214-($V214+$W214*$G214),"-")</f>
        <v>-</v>
      </c>
      <c r="CU214" s="154" t="str">
        <f aca="false">IFERROR(+$H214-($X214+$Y214*$G214),"-")</f>
        <v>-</v>
      </c>
      <c r="CV214" s="154" t="str">
        <f aca="false">IFERROR(+$H214-($Z214+$AA214*$G214),"-")</f>
        <v>-</v>
      </c>
      <c r="CW214" s="154" t="str">
        <f aca="false">IFERROR(+$H214-($AB214+$AC214*$G214),"-")</f>
        <v>-</v>
      </c>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c r="EG214" s="1"/>
      <c r="EH214" s="1"/>
    </row>
    <row r="215" s="1" customFormat="true" ht="12.75" hidden="false" customHeight="true" outlineLevel="0" collapsed="false">
      <c r="B215" s="134" t="s">
        <v>307</v>
      </c>
      <c r="C215" s="135" t="s">
        <v>309</v>
      </c>
      <c r="D215" s="136" t="e">
        <f aca="false">VLOOKUP($C215,#REF!,5,0)</f>
        <v>#VALUE!</v>
      </c>
      <c r="E215" s="157" t="e">
        <f aca="false">VLOOKUP($C215,#REF!,6,0)</f>
        <v>#VALUE!</v>
      </c>
      <c r="F215" s="135" t="e">
        <f aca="false">VLOOKUP($C215,#REF!,7,0)</f>
        <v>#VALUE!</v>
      </c>
      <c r="G215" s="135" t="e">
        <f aca="false">VLOOKUP($C215,#REF!,8,0)</f>
        <v>#VALUE!</v>
      </c>
      <c r="H215" s="158" t="e">
        <f aca="false">VLOOKUP($C215,#REF!,9,0)</f>
        <v>#VALUE!</v>
      </c>
      <c r="I215" s="137"/>
      <c r="J215" s="138" t="e">
        <f aca="false">VLOOKUP($C215,#REF!,10,0)</f>
        <v>#VALUE!</v>
      </c>
      <c r="K215" s="139" t="e">
        <f aca="false">VLOOKUP($C215,#REF!,11,0)</f>
        <v>#VALUE!</v>
      </c>
      <c r="L215" s="140"/>
      <c r="M215" s="138" t="e">
        <f aca="false">VLOOKUP($C215,#REF!,12,0)</f>
        <v>#VALUE!</v>
      </c>
      <c r="N215" s="140" t="e">
        <f aca="false">VLOOKUP($C215,#REF!,13,0)</f>
        <v>#VALUE!</v>
      </c>
      <c r="O215" s="138" t="e">
        <f aca="false">VLOOKUP($C215,#REF!,14,0)</f>
        <v>#VALUE!</v>
      </c>
      <c r="P215" s="140" t="e">
        <f aca="false">VLOOKUP($C215,#REF!,15,0)</f>
        <v>#VALUE!</v>
      </c>
      <c r="Q215" s="138" t="e">
        <f aca="false">VLOOKUP($C215,#REF!,16,0)</f>
        <v>#VALUE!</v>
      </c>
      <c r="R215" s="139" t="e">
        <f aca="false">VLOOKUP($C215,#REF!,17,0)</f>
        <v>#VALUE!</v>
      </c>
      <c r="S215" s="140" t="e">
        <f aca="false">VLOOKUP($C215,#REF!,18,0)</f>
        <v>#VALUE!</v>
      </c>
      <c r="T215" s="139" t="e">
        <f aca="false">VLOOKUP($C215,#REF!,19,0)</f>
        <v>#VALUE!</v>
      </c>
      <c r="U215" s="140"/>
      <c r="V215" s="138" t="e">
        <f aca="false">VLOOKUP($C215,#REF!,20,0)</f>
        <v>#VALUE!</v>
      </c>
      <c r="W215" s="140" t="e">
        <f aca="false">VLOOKUP($C215,#REF!,21,0)</f>
        <v>#VALUE!</v>
      </c>
      <c r="X215" s="138" t="e">
        <f aca="false">VLOOKUP($C215,#REF!,22,0)</f>
        <v>#VALUE!</v>
      </c>
      <c r="Y215" s="140" t="e">
        <f aca="false">VLOOKUP($C215,#REF!,23,0)</f>
        <v>#VALUE!</v>
      </c>
      <c r="Z215" s="138" t="e">
        <f aca="false">VLOOKUP($C215,#REF!,24,0)</f>
        <v>#VALUE!</v>
      </c>
      <c r="AA215" s="139" t="e">
        <f aca="false">VLOOKUP($C215,#REF!,25,0)</f>
        <v>#VALUE!</v>
      </c>
      <c r="AB215" s="140" t="e">
        <f aca="false">VLOOKUP($C215,#REF!,26,0)</f>
        <v>#VALUE!</v>
      </c>
      <c r="AC215" s="139" t="e">
        <f aca="false">VLOOKUP($C215,#REF!,27,0)</f>
        <v>#VALUE!</v>
      </c>
      <c r="AE215" s="138" t="e">
        <f aca="false">IF(M215="-","-","0,5 GB")</f>
        <v>#VALUE!</v>
      </c>
      <c r="AF215" s="141" t="s">
        <v>92</v>
      </c>
      <c r="AG215" s="141" t="s">
        <v>93</v>
      </c>
      <c r="AH215" s="139" t="s">
        <v>94</v>
      </c>
      <c r="AJ215" s="138" t="s">
        <v>95</v>
      </c>
      <c r="AK215" s="141" t="s">
        <v>96</v>
      </c>
      <c r="AL215" s="141" t="s">
        <v>97</v>
      </c>
      <c r="AM215" s="141" t="s">
        <v>98</v>
      </c>
      <c r="AN215" s="141" t="s">
        <v>98</v>
      </c>
      <c r="AO215" s="139" t="s">
        <v>92</v>
      </c>
      <c r="AQ215" s="142" t="n">
        <v>-5</v>
      </c>
      <c r="AR215" s="137"/>
      <c r="AS215" s="138" t="n">
        <v>0</v>
      </c>
      <c r="AT215" s="139" t="n">
        <v>0</v>
      </c>
      <c r="AU215" s="140"/>
      <c r="AV215" s="138" t="n">
        <f aca="false">IFERROR(ROUND($D215-M215-AW215,0),0)</f>
        <v>0</v>
      </c>
      <c r="AW215" s="139" t="n">
        <f aca="false">IFERROR(N215*$G215,0)</f>
        <v>0</v>
      </c>
      <c r="AX215" s="138" t="n">
        <f aca="false">IFERROR(ROUND($D215-O215-AY215,0),0)</f>
        <v>0</v>
      </c>
      <c r="AY215" s="139" t="n">
        <f aca="false">IFERROR(P215*$G215,0)</f>
        <v>0</v>
      </c>
      <c r="AZ215" s="138" t="n">
        <f aca="false">IFERROR(ROUND($D215-Q215-BA215,0),0)</f>
        <v>0</v>
      </c>
      <c r="BA215" s="139" t="n">
        <f aca="false">IFERROR(R215*$G215,0)</f>
        <v>0</v>
      </c>
      <c r="BB215" s="140" t="n">
        <f aca="false">IFERROR(ROUND($D215-S215-BC215,0),0)</f>
        <v>0</v>
      </c>
      <c r="BC215" s="139" t="n">
        <f aca="false">IFERROR(T215*$G215,0)</f>
        <v>0</v>
      </c>
      <c r="BD215" s="140"/>
      <c r="BE215" s="138" t="n">
        <f aca="false">IFERROR(ROUND($D215-V215-BF215,0),0)</f>
        <v>0</v>
      </c>
      <c r="BF215" s="139" t="n">
        <f aca="false">IFERROR(W215*$G215,0)</f>
        <v>0</v>
      </c>
      <c r="BG215" s="138" t="n">
        <f aca="false">IFERROR(ROUND($D215-X215-BH215,0),0)</f>
        <v>0</v>
      </c>
      <c r="BH215" s="139" t="n">
        <f aca="false">IFERROR(Y215*$G215,0)</f>
        <v>0</v>
      </c>
      <c r="BI215" s="140" t="n">
        <f aca="false">IFERROR(ROUND($D215-Z215-BJ215,0),0)</f>
        <v>0</v>
      </c>
      <c r="BJ215" s="139" t="n">
        <f aca="false">IFERROR(AA215*$G215,0)</f>
        <v>0</v>
      </c>
      <c r="BK215" s="140" t="n">
        <f aca="false">IFERROR(ROUND($D215-AB215-BL215,0),0)</f>
        <v>0</v>
      </c>
      <c r="BL215" s="139" t="n">
        <f aca="false">IFERROR(AC215*$G215,0)</f>
        <v>0</v>
      </c>
      <c r="BN215" s="142" t="n">
        <v>0</v>
      </c>
      <c r="BO215" s="137"/>
      <c r="BP215" s="138" t="n">
        <v>0</v>
      </c>
      <c r="BQ215" s="139" t="n">
        <v>0</v>
      </c>
      <c r="BR215" s="140"/>
      <c r="BS215" s="138" t="n">
        <v>0</v>
      </c>
      <c r="BT215" s="139" t="n">
        <v>0</v>
      </c>
      <c r="BU215" s="138" t="n">
        <v>0</v>
      </c>
      <c r="BV215" s="139" t="n">
        <v>0</v>
      </c>
      <c r="BW215" s="138" t="n">
        <v>0</v>
      </c>
      <c r="BX215" s="139" t="n">
        <v>0</v>
      </c>
      <c r="BY215" s="138" t="n">
        <v>0</v>
      </c>
      <c r="BZ215" s="139" t="n">
        <v>0</v>
      </c>
      <c r="CA215" s="140"/>
      <c r="CB215" s="138" t="n">
        <v>0</v>
      </c>
      <c r="CC215" s="139" t="n">
        <v>0</v>
      </c>
      <c r="CD215" s="138" t="n">
        <v>0</v>
      </c>
      <c r="CE215" s="139" t="n">
        <v>0</v>
      </c>
      <c r="CF215" s="138" t="n">
        <v>0</v>
      </c>
      <c r="CG215" s="139" t="n">
        <v>0</v>
      </c>
      <c r="CH215" s="138" t="n">
        <v>0</v>
      </c>
      <c r="CI215" s="139" t="n">
        <v>0</v>
      </c>
      <c r="CK215" s="143"/>
      <c r="CL215" s="137"/>
      <c r="CM215" s="144" t="str">
        <f aca="false">IFERROR(+$H215-($J215+$K215*$G215),"-")</f>
        <v>-</v>
      </c>
      <c r="CN215" s="137"/>
      <c r="CO215" s="144" t="str">
        <f aca="false">IFERROR(+$H215-($M215+$N215*$G215),"-")</f>
        <v>-</v>
      </c>
      <c r="CP215" s="144" t="str">
        <f aca="false">IFERROR(+$H215-($O215+$P215*$G215),"-")</f>
        <v>-</v>
      </c>
      <c r="CQ215" s="144" t="str">
        <f aca="false">IFERROR(+$H215-($Q215+$R215*$G215),"-")</f>
        <v>-</v>
      </c>
      <c r="CR215" s="144" t="str">
        <f aca="false">IFERROR(+$H215-($Q215+$R215*$G215),"-")</f>
        <v>-</v>
      </c>
      <c r="CS215" s="137"/>
      <c r="CT215" s="144" t="str">
        <f aca="false">IFERROR(+$H215-($V215+$W215*$G215),"-")</f>
        <v>-</v>
      </c>
      <c r="CU215" s="144" t="str">
        <f aca="false">IFERROR(+$H215-($X215+$Y215*$G215),"-")</f>
        <v>-</v>
      </c>
      <c r="CV215" s="144" t="str">
        <f aca="false">IFERROR(+$H215-($Z215+$AA215*$G215),"-")</f>
        <v>-</v>
      </c>
      <c r="CW215" s="144" t="str">
        <f aca="false">IFERROR(+$H215-($AB215+$AC215*$G215),"-")</f>
        <v>-</v>
      </c>
    </row>
    <row r="216" s="156" customFormat="true" ht="12.75" hidden="false" customHeight="true" outlineLevel="0" collapsed="false">
      <c r="A216" s="1"/>
      <c r="B216" s="145" t="s">
        <v>310</v>
      </c>
      <c r="C216" s="146" t="s">
        <v>311</v>
      </c>
      <c r="D216" s="147" t="e">
        <f aca="false">VLOOKUP($C216,#REF!,5,0)</f>
        <v>#VALUE!</v>
      </c>
      <c r="E216" s="148" t="e">
        <f aca="false">VLOOKUP($C216,#REF!,6,0)</f>
        <v>#VALUE!</v>
      </c>
      <c r="F216" s="146" t="e">
        <f aca="false">VLOOKUP($C216,#REF!,7,0)</f>
        <v>#VALUE!</v>
      </c>
      <c r="G216" s="146" t="e">
        <f aca="false">VLOOKUP($C216,#REF!,8,0)</f>
        <v>#VALUE!</v>
      </c>
      <c r="H216" s="149" t="e">
        <f aca="false">VLOOKUP($C216,#REF!,9,0)</f>
        <v>#VALUE!</v>
      </c>
      <c r="I216" s="137"/>
      <c r="J216" s="150" t="e">
        <f aca="false">VLOOKUP($C216,#REF!,10,0)</f>
        <v>#VALUE!</v>
      </c>
      <c r="K216" s="151" t="e">
        <f aca="false">VLOOKUP($C216,#REF!,11,0)</f>
        <v>#VALUE!</v>
      </c>
      <c r="L216" s="140"/>
      <c r="M216" s="150" t="e">
        <f aca="false">VLOOKUP($C216,#REF!,12,0)</f>
        <v>#VALUE!</v>
      </c>
      <c r="N216" s="152" t="e">
        <f aca="false">VLOOKUP($C216,#REF!,13,0)</f>
        <v>#VALUE!</v>
      </c>
      <c r="O216" s="150" t="e">
        <f aca="false">VLOOKUP($C216,#REF!,14,0)</f>
        <v>#VALUE!</v>
      </c>
      <c r="P216" s="152" t="e">
        <f aca="false">VLOOKUP($C216,#REF!,15,0)</f>
        <v>#VALUE!</v>
      </c>
      <c r="Q216" s="150" t="e">
        <f aca="false">VLOOKUP($C216,#REF!,16,0)</f>
        <v>#VALUE!</v>
      </c>
      <c r="R216" s="151" t="e">
        <f aca="false">VLOOKUP($C216,#REF!,17,0)</f>
        <v>#VALUE!</v>
      </c>
      <c r="S216" s="152" t="e">
        <f aca="false">VLOOKUP($C216,#REF!,18,0)</f>
        <v>#VALUE!</v>
      </c>
      <c r="T216" s="151" t="e">
        <f aca="false">VLOOKUP($C216,#REF!,19,0)</f>
        <v>#VALUE!</v>
      </c>
      <c r="U216" s="140"/>
      <c r="V216" s="150" t="e">
        <f aca="false">VLOOKUP($C216,#REF!,20,0)</f>
        <v>#VALUE!</v>
      </c>
      <c r="W216" s="152" t="e">
        <f aca="false">VLOOKUP($C216,#REF!,21,0)</f>
        <v>#VALUE!</v>
      </c>
      <c r="X216" s="150" t="e">
        <f aca="false">VLOOKUP($C216,#REF!,22,0)</f>
        <v>#VALUE!</v>
      </c>
      <c r="Y216" s="152" t="e">
        <f aca="false">VLOOKUP($C216,#REF!,23,0)</f>
        <v>#VALUE!</v>
      </c>
      <c r="Z216" s="150" t="e">
        <f aca="false">VLOOKUP($C216,#REF!,24,0)</f>
        <v>#VALUE!</v>
      </c>
      <c r="AA216" s="151" t="e">
        <f aca="false">VLOOKUP($C216,#REF!,25,0)</f>
        <v>#VALUE!</v>
      </c>
      <c r="AB216" s="152" t="e">
        <f aca="false">VLOOKUP($C216,#REF!,26,0)</f>
        <v>#VALUE!</v>
      </c>
      <c r="AC216" s="151" t="e">
        <f aca="false">VLOOKUP($C216,#REF!,27,0)</f>
        <v>#VALUE!</v>
      </c>
      <c r="AD216" s="1"/>
      <c r="AE216" s="150" t="e">
        <f aca="false">IF(M216="-","-","0,5 GB")</f>
        <v>#VALUE!</v>
      </c>
      <c r="AF216" s="153" t="s">
        <v>92</v>
      </c>
      <c r="AG216" s="153" t="s">
        <v>93</v>
      </c>
      <c r="AH216" s="151" t="s">
        <v>94</v>
      </c>
      <c r="AI216" s="1"/>
      <c r="AJ216" s="150" t="s">
        <v>95</v>
      </c>
      <c r="AK216" s="153" t="s">
        <v>96</v>
      </c>
      <c r="AL216" s="153" t="s">
        <v>97</v>
      </c>
      <c r="AM216" s="153" t="s">
        <v>98</v>
      </c>
      <c r="AN216" s="153" t="s">
        <v>98</v>
      </c>
      <c r="AO216" s="151" t="s">
        <v>92</v>
      </c>
      <c r="AP216" s="1"/>
      <c r="AQ216" s="154" t="n">
        <v>24</v>
      </c>
      <c r="AR216" s="137"/>
      <c r="AS216" s="150" t="n">
        <v>0</v>
      </c>
      <c r="AT216" s="151" t="n">
        <v>0</v>
      </c>
      <c r="AU216" s="140"/>
      <c r="AV216" s="150" t="n">
        <f aca="false">IFERROR(ROUND($D216-M216-AW216,0),0)</f>
        <v>0</v>
      </c>
      <c r="AW216" s="151" t="n">
        <f aca="false">IFERROR(N216*$G216,0)</f>
        <v>0</v>
      </c>
      <c r="AX216" s="150" t="n">
        <f aca="false">IFERROR(ROUND($D216-O216-AY216,0),0)</f>
        <v>0</v>
      </c>
      <c r="AY216" s="151" t="n">
        <f aca="false">IFERROR(P216*$G216,0)</f>
        <v>0</v>
      </c>
      <c r="AZ216" s="150" t="n">
        <f aca="false">IFERROR(ROUND($D216-Q216-BA216,0),0)</f>
        <v>0</v>
      </c>
      <c r="BA216" s="151" t="n">
        <f aca="false">IFERROR(R216*$G216,0)</f>
        <v>0</v>
      </c>
      <c r="BB216" s="152" t="n">
        <f aca="false">IFERROR(ROUND($D216-S216-BC216,0),0)</f>
        <v>0</v>
      </c>
      <c r="BC216" s="151" t="n">
        <f aca="false">IFERROR(T216*$G216,0)</f>
        <v>0</v>
      </c>
      <c r="BD216" s="140"/>
      <c r="BE216" s="150" t="n">
        <f aca="false">IFERROR(ROUND($D216-V216-BF216,0),0)</f>
        <v>0</v>
      </c>
      <c r="BF216" s="151" t="n">
        <f aca="false">IFERROR(W216*$G216,0)</f>
        <v>0</v>
      </c>
      <c r="BG216" s="150" t="n">
        <f aca="false">IFERROR(ROUND($D216-X216-BH216,0),0)</f>
        <v>0</v>
      </c>
      <c r="BH216" s="151" t="n">
        <f aca="false">IFERROR(Y216*$G216,0)</f>
        <v>0</v>
      </c>
      <c r="BI216" s="152" t="n">
        <f aca="false">IFERROR(ROUND($D216-Z216-BJ216,0),0)</f>
        <v>0</v>
      </c>
      <c r="BJ216" s="151" t="n">
        <f aca="false">IFERROR(AA216*$G216,0)</f>
        <v>0</v>
      </c>
      <c r="BK216" s="152" t="n">
        <f aca="false">IFERROR(ROUND($D216-AB216-BL216,0),0)</f>
        <v>0</v>
      </c>
      <c r="BL216" s="151" t="n">
        <f aca="false">IFERROR(AC216*$G216,0)</f>
        <v>0</v>
      </c>
      <c r="BM216" s="1"/>
      <c r="BN216" s="154" t="n">
        <v>0</v>
      </c>
      <c r="BO216" s="155"/>
      <c r="BP216" s="150" t="n">
        <v>0</v>
      </c>
      <c r="BQ216" s="151" t="n">
        <v>0</v>
      </c>
      <c r="BR216" s="152"/>
      <c r="BS216" s="150" t="n">
        <v>0</v>
      </c>
      <c r="BT216" s="151" t="n">
        <v>0</v>
      </c>
      <c r="BU216" s="150" t="n">
        <v>0</v>
      </c>
      <c r="BV216" s="151" t="n">
        <v>0</v>
      </c>
      <c r="BW216" s="150" t="n">
        <v>0</v>
      </c>
      <c r="BX216" s="151" t="n">
        <v>0</v>
      </c>
      <c r="BY216" s="150" t="n">
        <v>0</v>
      </c>
      <c r="BZ216" s="151" t="n">
        <v>0</v>
      </c>
      <c r="CA216" s="152"/>
      <c r="CB216" s="150" t="n">
        <v>0</v>
      </c>
      <c r="CC216" s="151" t="n">
        <v>0</v>
      </c>
      <c r="CD216" s="150" t="n">
        <v>0</v>
      </c>
      <c r="CE216" s="151" t="n">
        <v>0</v>
      </c>
      <c r="CF216" s="150" t="n">
        <v>0</v>
      </c>
      <c r="CG216" s="151" t="n">
        <v>0</v>
      </c>
      <c r="CH216" s="150" t="n">
        <v>0</v>
      </c>
      <c r="CI216" s="151" t="n">
        <v>0</v>
      </c>
      <c r="CJ216" s="1"/>
      <c r="CK216" s="149"/>
      <c r="CL216" s="137"/>
      <c r="CM216" s="154" t="str">
        <f aca="false">IFERROR(+$H216-($J216+$K216*$G216),"-")</f>
        <v>-</v>
      </c>
      <c r="CN216" s="137"/>
      <c r="CO216" s="154" t="str">
        <f aca="false">IFERROR(+$H216-($M216+$N216*$G216),"-")</f>
        <v>-</v>
      </c>
      <c r="CP216" s="154" t="str">
        <f aca="false">IFERROR(+$H216-($O216+$P216*$G216),"-")</f>
        <v>-</v>
      </c>
      <c r="CQ216" s="154" t="str">
        <f aca="false">IFERROR(+$H216-($Q216+$R216*$G216),"-")</f>
        <v>-</v>
      </c>
      <c r="CR216" s="154" t="str">
        <f aca="false">IFERROR(+$H216-($Q216+$R216*$G216),"-")</f>
        <v>-</v>
      </c>
      <c r="CS216" s="137"/>
      <c r="CT216" s="154" t="str">
        <f aca="false">IFERROR(+$H216-($V216+$W216*$G216),"-")</f>
        <v>-</v>
      </c>
      <c r="CU216" s="154" t="str">
        <f aca="false">IFERROR(+$H216-($X216+$Y216*$G216),"-")</f>
        <v>-</v>
      </c>
      <c r="CV216" s="154" t="str">
        <f aca="false">IFERROR(+$H216-($Z216+$AA216*$G216),"-")</f>
        <v>-</v>
      </c>
      <c r="CW216" s="154" t="str">
        <f aca="false">IFERROR(+$H216-($AB216+$AC216*$G216),"-")</f>
        <v>-</v>
      </c>
      <c r="CX216" s="1"/>
      <c r="CY216" s="1"/>
      <c r="CZ216" s="1"/>
      <c r="DA216" s="1"/>
      <c r="DB216" s="1"/>
      <c r="DC216" s="1"/>
      <c r="DD216" s="1"/>
      <c r="DE216" s="1"/>
      <c r="DF216" s="1"/>
      <c r="DG216" s="1"/>
      <c r="DH216" s="1"/>
      <c r="DI216" s="1"/>
      <c r="DJ216" s="1"/>
      <c r="DK216" s="1"/>
      <c r="DL216" s="1"/>
      <c r="DM216" s="1"/>
      <c r="DN216" s="1"/>
      <c r="DO216" s="1"/>
      <c r="DP216" s="1"/>
      <c r="DQ216" s="1"/>
      <c r="DR216" s="1"/>
      <c r="DS216" s="1"/>
      <c r="DT216" s="1"/>
      <c r="DU216" s="1"/>
      <c r="DV216" s="1"/>
      <c r="DW216" s="1"/>
      <c r="DX216" s="1"/>
      <c r="DY216" s="1"/>
      <c r="DZ216" s="1"/>
      <c r="EA216" s="1"/>
      <c r="EB216" s="1"/>
      <c r="EC216" s="1"/>
      <c r="ED216" s="1"/>
      <c r="EE216" s="1"/>
      <c r="EF216" s="1"/>
      <c r="EG216" s="1"/>
      <c r="EH216" s="1"/>
    </row>
    <row r="217" s="1" customFormat="true" ht="12.75" hidden="false" customHeight="true" outlineLevel="0" collapsed="false">
      <c r="B217" s="134" t="s">
        <v>312</v>
      </c>
      <c r="C217" s="135" t="s">
        <v>313</v>
      </c>
      <c r="D217" s="136" t="e">
        <f aca="false">VLOOKUP($C217,#REF!,5,0)</f>
        <v>#VALUE!</v>
      </c>
      <c r="E217" s="157" t="e">
        <f aca="false">VLOOKUP($C217,#REF!,6,0)</f>
        <v>#VALUE!</v>
      </c>
      <c r="F217" s="135" t="e">
        <f aca="false">VLOOKUP($C217,#REF!,7,0)</f>
        <v>#VALUE!</v>
      </c>
      <c r="G217" s="135" t="e">
        <f aca="false">VLOOKUP($C217,#REF!,8,0)</f>
        <v>#VALUE!</v>
      </c>
      <c r="H217" s="158" t="e">
        <f aca="false">VLOOKUP($C217,#REF!,9,0)</f>
        <v>#VALUE!</v>
      </c>
      <c r="I217" s="137"/>
      <c r="J217" s="138" t="e">
        <f aca="false">VLOOKUP($C217,#REF!,10,0)</f>
        <v>#VALUE!</v>
      </c>
      <c r="K217" s="139" t="e">
        <f aca="false">VLOOKUP($C217,#REF!,11,0)</f>
        <v>#VALUE!</v>
      </c>
      <c r="L217" s="140"/>
      <c r="M217" s="138" t="e">
        <f aca="false">VLOOKUP($C217,#REF!,12,0)</f>
        <v>#VALUE!</v>
      </c>
      <c r="N217" s="140" t="e">
        <f aca="false">VLOOKUP($C217,#REF!,13,0)</f>
        <v>#VALUE!</v>
      </c>
      <c r="O217" s="138" t="e">
        <f aca="false">VLOOKUP($C217,#REF!,14,0)</f>
        <v>#VALUE!</v>
      </c>
      <c r="P217" s="140" t="e">
        <f aca="false">VLOOKUP($C217,#REF!,15,0)</f>
        <v>#VALUE!</v>
      </c>
      <c r="Q217" s="138" t="e">
        <f aca="false">VLOOKUP($C217,#REF!,16,0)</f>
        <v>#VALUE!</v>
      </c>
      <c r="R217" s="139" t="e">
        <f aca="false">VLOOKUP($C217,#REF!,17,0)</f>
        <v>#VALUE!</v>
      </c>
      <c r="S217" s="140" t="e">
        <f aca="false">VLOOKUP($C217,#REF!,18,0)</f>
        <v>#VALUE!</v>
      </c>
      <c r="T217" s="139" t="e">
        <f aca="false">VLOOKUP($C217,#REF!,19,0)</f>
        <v>#VALUE!</v>
      </c>
      <c r="U217" s="140"/>
      <c r="V217" s="138" t="e">
        <f aca="false">VLOOKUP($C217,#REF!,20,0)</f>
        <v>#VALUE!</v>
      </c>
      <c r="W217" s="140" t="e">
        <f aca="false">VLOOKUP($C217,#REF!,21,0)</f>
        <v>#VALUE!</v>
      </c>
      <c r="X217" s="138" t="e">
        <f aca="false">VLOOKUP($C217,#REF!,22,0)</f>
        <v>#VALUE!</v>
      </c>
      <c r="Y217" s="140" t="e">
        <f aca="false">VLOOKUP($C217,#REF!,23,0)</f>
        <v>#VALUE!</v>
      </c>
      <c r="Z217" s="138" t="e">
        <f aca="false">VLOOKUP($C217,#REF!,24,0)</f>
        <v>#VALUE!</v>
      </c>
      <c r="AA217" s="139" t="e">
        <f aca="false">VLOOKUP($C217,#REF!,25,0)</f>
        <v>#VALUE!</v>
      </c>
      <c r="AB217" s="140" t="e">
        <f aca="false">VLOOKUP($C217,#REF!,26,0)</f>
        <v>#VALUE!</v>
      </c>
      <c r="AC217" s="139" t="e">
        <f aca="false">VLOOKUP($C217,#REF!,27,0)</f>
        <v>#VALUE!</v>
      </c>
      <c r="AE217" s="138" t="e">
        <f aca="false">IF(M217="-","-","0,5 GB")</f>
        <v>#VALUE!</v>
      </c>
      <c r="AF217" s="141" t="s">
        <v>92</v>
      </c>
      <c r="AG217" s="141" t="s">
        <v>93</v>
      </c>
      <c r="AH217" s="139" t="s">
        <v>94</v>
      </c>
      <c r="AJ217" s="138" t="s">
        <v>95</v>
      </c>
      <c r="AK217" s="141" t="s">
        <v>96</v>
      </c>
      <c r="AL217" s="141" t="s">
        <v>97</v>
      </c>
      <c r="AM217" s="141" t="s">
        <v>98</v>
      </c>
      <c r="AN217" s="141" t="s">
        <v>98</v>
      </c>
      <c r="AO217" s="139" t="s">
        <v>92</v>
      </c>
      <c r="AQ217" s="142" t="n">
        <v>49</v>
      </c>
      <c r="AR217" s="137"/>
      <c r="AS217" s="138" t="n">
        <v>0</v>
      </c>
      <c r="AT217" s="139" t="n">
        <v>0</v>
      </c>
      <c r="AU217" s="140"/>
      <c r="AV217" s="138" t="n">
        <f aca="false">IFERROR(ROUND($D217-M217-AW217,0),0)</f>
        <v>0</v>
      </c>
      <c r="AW217" s="139" t="n">
        <f aca="false">IFERROR(N217*$G217,0)</f>
        <v>0</v>
      </c>
      <c r="AX217" s="138" t="n">
        <f aca="false">IFERROR(ROUND($D217-O217-AY217,0),0)</f>
        <v>0</v>
      </c>
      <c r="AY217" s="139" t="n">
        <f aca="false">IFERROR(P217*$G217,0)</f>
        <v>0</v>
      </c>
      <c r="AZ217" s="138" t="n">
        <f aca="false">IFERROR(ROUND($D217-Q217-BA217,0),0)</f>
        <v>0</v>
      </c>
      <c r="BA217" s="139" t="n">
        <f aca="false">IFERROR(R217*$G217,0)</f>
        <v>0</v>
      </c>
      <c r="BB217" s="140" t="n">
        <f aca="false">IFERROR(ROUND($D217-S217-BC217,0),0)</f>
        <v>0</v>
      </c>
      <c r="BC217" s="139" t="n">
        <f aca="false">IFERROR(T217*$G217,0)</f>
        <v>0</v>
      </c>
      <c r="BD217" s="140"/>
      <c r="BE217" s="138" t="n">
        <f aca="false">IFERROR(ROUND($D217-V217-BF217,0),0)</f>
        <v>0</v>
      </c>
      <c r="BF217" s="139" t="n">
        <f aca="false">IFERROR(W217*$G217,0)</f>
        <v>0</v>
      </c>
      <c r="BG217" s="138" t="n">
        <f aca="false">IFERROR(ROUND($D217-X217-BH217,0),0)</f>
        <v>0</v>
      </c>
      <c r="BH217" s="139" t="n">
        <f aca="false">IFERROR(Y217*$G217,0)</f>
        <v>0</v>
      </c>
      <c r="BI217" s="140" t="n">
        <f aca="false">IFERROR(ROUND($D217-Z217-BJ217,0),0)</f>
        <v>0</v>
      </c>
      <c r="BJ217" s="139" t="n">
        <f aca="false">IFERROR(AA217*$G217,0)</f>
        <v>0</v>
      </c>
      <c r="BK217" s="140" t="n">
        <f aca="false">IFERROR(ROUND($D217-AB217-BL217,0),0)</f>
        <v>0</v>
      </c>
      <c r="BL217" s="139" t="n">
        <f aca="false">IFERROR(AC217*$G217,0)</f>
        <v>0</v>
      </c>
      <c r="BN217" s="142" t="n">
        <v>0</v>
      </c>
      <c r="BO217" s="137"/>
      <c r="BP217" s="138" t="n">
        <v>0</v>
      </c>
      <c r="BQ217" s="139" t="n">
        <v>0</v>
      </c>
      <c r="BR217" s="140"/>
      <c r="BS217" s="138" t="n">
        <v>0</v>
      </c>
      <c r="BT217" s="139" t="n">
        <v>0</v>
      </c>
      <c r="BU217" s="138" t="n">
        <v>0</v>
      </c>
      <c r="BV217" s="139" t="n">
        <v>0</v>
      </c>
      <c r="BW217" s="138" t="n">
        <v>0</v>
      </c>
      <c r="BX217" s="139" t="n">
        <v>0</v>
      </c>
      <c r="BY217" s="138" t="n">
        <v>0</v>
      </c>
      <c r="BZ217" s="139" t="n">
        <v>0</v>
      </c>
      <c r="CA217" s="140"/>
      <c r="CB217" s="138" t="n">
        <v>0</v>
      </c>
      <c r="CC217" s="139" t="n">
        <v>0</v>
      </c>
      <c r="CD217" s="138" t="n">
        <v>0</v>
      </c>
      <c r="CE217" s="139" t="n">
        <v>0</v>
      </c>
      <c r="CF217" s="138" t="n">
        <v>0</v>
      </c>
      <c r="CG217" s="139" t="n">
        <v>0</v>
      </c>
      <c r="CH217" s="138" t="n">
        <v>0</v>
      </c>
      <c r="CI217" s="139" t="n">
        <v>0</v>
      </c>
      <c r="CK217" s="143"/>
      <c r="CL217" s="137"/>
      <c r="CM217" s="144" t="str">
        <f aca="false">IFERROR(+$H217-($J217+$K217*$G217),"-")</f>
        <v>-</v>
      </c>
      <c r="CN217" s="137"/>
      <c r="CO217" s="144" t="str">
        <f aca="false">IFERROR(+$H217-($M217+$N217*$G217),"-")</f>
        <v>-</v>
      </c>
      <c r="CP217" s="144" t="str">
        <f aca="false">IFERROR(+$H217-($O217+$P217*$G217),"-")</f>
        <v>-</v>
      </c>
      <c r="CQ217" s="144" t="str">
        <f aca="false">IFERROR(+$H217-($Q217+$R217*$G217),"-")</f>
        <v>-</v>
      </c>
      <c r="CR217" s="144" t="str">
        <f aca="false">IFERROR(+$H217-($Q217+$R217*$G217),"-")</f>
        <v>-</v>
      </c>
      <c r="CS217" s="137"/>
      <c r="CT217" s="144" t="str">
        <f aca="false">IFERROR(+$H217-($V217+$W217*$G217),"-")</f>
        <v>-</v>
      </c>
      <c r="CU217" s="144" t="str">
        <f aca="false">IFERROR(+$H217-($X217+$Y217*$G217),"-")</f>
        <v>-</v>
      </c>
      <c r="CV217" s="144" t="str">
        <f aca="false">IFERROR(+$H217-($Z217+$AA217*$G217),"-")</f>
        <v>-</v>
      </c>
      <c r="CW217" s="144" t="str">
        <f aca="false">IFERROR(+$H217-($AB217+$AC217*$G217),"-")</f>
        <v>-</v>
      </c>
    </row>
    <row r="218" s="156" customFormat="true" ht="12.75" hidden="false" customHeight="true" outlineLevel="0" collapsed="false">
      <c r="A218" s="1"/>
      <c r="B218" s="145" t="s">
        <v>305</v>
      </c>
      <c r="C218" s="146" t="s">
        <v>314</v>
      </c>
      <c r="D218" s="147" t="e">
        <f aca="false">VLOOKUP($C218,#REF!,5,0)</f>
        <v>#VALUE!</v>
      </c>
      <c r="E218" s="148" t="e">
        <f aca="false">VLOOKUP($C218,#REF!,6,0)</f>
        <v>#VALUE!</v>
      </c>
      <c r="F218" s="146" t="e">
        <f aca="false">VLOOKUP($C218,#REF!,7,0)</f>
        <v>#VALUE!</v>
      </c>
      <c r="G218" s="146" t="e">
        <f aca="false">VLOOKUP($C218,#REF!,8,0)</f>
        <v>#VALUE!</v>
      </c>
      <c r="H218" s="149" t="e">
        <f aca="false">VLOOKUP($C218,#REF!,9,0)</f>
        <v>#VALUE!</v>
      </c>
      <c r="I218" s="137"/>
      <c r="J218" s="150" t="e">
        <f aca="false">VLOOKUP($C218,#REF!,10,0)</f>
        <v>#VALUE!</v>
      </c>
      <c r="K218" s="151" t="e">
        <f aca="false">VLOOKUP($C218,#REF!,11,0)</f>
        <v>#VALUE!</v>
      </c>
      <c r="L218" s="140"/>
      <c r="M218" s="150" t="e">
        <f aca="false">VLOOKUP($C218,#REF!,12,0)</f>
        <v>#VALUE!</v>
      </c>
      <c r="N218" s="152" t="e">
        <f aca="false">VLOOKUP($C218,#REF!,13,0)</f>
        <v>#VALUE!</v>
      </c>
      <c r="O218" s="150" t="e">
        <f aca="false">VLOOKUP($C218,#REF!,14,0)</f>
        <v>#VALUE!</v>
      </c>
      <c r="P218" s="152" t="e">
        <f aca="false">VLOOKUP($C218,#REF!,15,0)</f>
        <v>#VALUE!</v>
      </c>
      <c r="Q218" s="150" t="e">
        <f aca="false">VLOOKUP($C218,#REF!,16,0)</f>
        <v>#VALUE!</v>
      </c>
      <c r="R218" s="151" t="e">
        <f aca="false">VLOOKUP($C218,#REF!,17,0)</f>
        <v>#VALUE!</v>
      </c>
      <c r="S218" s="152" t="e">
        <f aca="false">VLOOKUP($C218,#REF!,18,0)</f>
        <v>#VALUE!</v>
      </c>
      <c r="T218" s="151" t="e">
        <f aca="false">VLOOKUP($C218,#REF!,19,0)</f>
        <v>#VALUE!</v>
      </c>
      <c r="U218" s="140"/>
      <c r="V218" s="150" t="e">
        <f aca="false">VLOOKUP($C218,#REF!,20,0)</f>
        <v>#VALUE!</v>
      </c>
      <c r="W218" s="152" t="e">
        <f aca="false">VLOOKUP($C218,#REF!,21,0)</f>
        <v>#VALUE!</v>
      </c>
      <c r="X218" s="150" t="e">
        <f aca="false">VLOOKUP($C218,#REF!,22,0)</f>
        <v>#VALUE!</v>
      </c>
      <c r="Y218" s="152" t="e">
        <f aca="false">VLOOKUP($C218,#REF!,23,0)</f>
        <v>#VALUE!</v>
      </c>
      <c r="Z218" s="150" t="e">
        <f aca="false">VLOOKUP($C218,#REF!,24,0)</f>
        <v>#VALUE!</v>
      </c>
      <c r="AA218" s="151" t="e">
        <f aca="false">VLOOKUP($C218,#REF!,25,0)</f>
        <v>#VALUE!</v>
      </c>
      <c r="AB218" s="152" t="e">
        <f aca="false">VLOOKUP($C218,#REF!,26,0)</f>
        <v>#VALUE!</v>
      </c>
      <c r="AC218" s="151" t="e">
        <f aca="false">VLOOKUP($C218,#REF!,27,0)</f>
        <v>#VALUE!</v>
      </c>
      <c r="AD218" s="1"/>
      <c r="AE218" s="150" t="e">
        <f aca="false">IF(M218="-","-","0,5 GB")</f>
        <v>#VALUE!</v>
      </c>
      <c r="AF218" s="153" t="s">
        <v>92</v>
      </c>
      <c r="AG218" s="153" t="s">
        <v>93</v>
      </c>
      <c r="AH218" s="151" t="s">
        <v>94</v>
      </c>
      <c r="AI218" s="1"/>
      <c r="AJ218" s="150" t="s">
        <v>95</v>
      </c>
      <c r="AK218" s="153" t="s">
        <v>96</v>
      </c>
      <c r="AL218" s="153" t="s">
        <v>97</v>
      </c>
      <c r="AM218" s="153" t="s">
        <v>98</v>
      </c>
      <c r="AN218" s="153" t="s">
        <v>98</v>
      </c>
      <c r="AO218" s="151" t="s">
        <v>92</v>
      </c>
      <c r="AP218" s="1"/>
      <c r="AQ218" s="154" t="n">
        <v>0</v>
      </c>
      <c r="AR218" s="137"/>
      <c r="AS218" s="150" t="n">
        <v>0</v>
      </c>
      <c r="AT218" s="151" t="n">
        <v>0</v>
      </c>
      <c r="AU218" s="140"/>
      <c r="AV218" s="150" t="n">
        <f aca="false">IFERROR(ROUND($D218-M218-AW218,0),0)</f>
        <v>0</v>
      </c>
      <c r="AW218" s="151" t="n">
        <f aca="false">IFERROR(N218*$G218,0)</f>
        <v>0</v>
      </c>
      <c r="AX218" s="150" t="n">
        <f aca="false">IFERROR(ROUND($D218-O218-AY218,0),0)</f>
        <v>0</v>
      </c>
      <c r="AY218" s="151" t="n">
        <f aca="false">IFERROR(P218*$G218,0)</f>
        <v>0</v>
      </c>
      <c r="AZ218" s="150" t="n">
        <f aca="false">IFERROR(ROUND($D218-Q218-BA218,0),0)</f>
        <v>0</v>
      </c>
      <c r="BA218" s="151" t="n">
        <f aca="false">IFERROR(R218*$G218,0)</f>
        <v>0</v>
      </c>
      <c r="BB218" s="152" t="n">
        <f aca="false">IFERROR(ROUND($D218-S218-BC218,0),0)</f>
        <v>0</v>
      </c>
      <c r="BC218" s="151" t="n">
        <f aca="false">IFERROR(T218*$G218,0)</f>
        <v>0</v>
      </c>
      <c r="BD218" s="140"/>
      <c r="BE218" s="150" t="n">
        <f aca="false">IFERROR(ROUND($D218-V218-BF218,0),0)</f>
        <v>0</v>
      </c>
      <c r="BF218" s="151" t="n">
        <f aca="false">IFERROR(W218*$G218,0)</f>
        <v>0</v>
      </c>
      <c r="BG218" s="150" t="n">
        <f aca="false">IFERROR(ROUND($D218-X218-BH218,0),0)</f>
        <v>0</v>
      </c>
      <c r="BH218" s="151" t="n">
        <f aca="false">IFERROR(Y218*$G218,0)</f>
        <v>0</v>
      </c>
      <c r="BI218" s="152" t="n">
        <f aca="false">IFERROR(ROUND($D218-Z218-BJ218,0),0)</f>
        <v>0</v>
      </c>
      <c r="BJ218" s="151" t="n">
        <f aca="false">IFERROR(AA218*$G218,0)</f>
        <v>0</v>
      </c>
      <c r="BK218" s="152" t="n">
        <f aca="false">IFERROR(ROUND($D218-AB218-BL218,0),0)</f>
        <v>0</v>
      </c>
      <c r="BL218" s="151" t="n">
        <f aca="false">IFERROR(AC218*$G218,0)</f>
        <v>0</v>
      </c>
      <c r="BM218" s="1"/>
      <c r="BN218" s="154" t="n">
        <v>0</v>
      </c>
      <c r="BO218" s="155"/>
      <c r="BP218" s="150" t="n">
        <v>0</v>
      </c>
      <c r="BQ218" s="151" t="n">
        <v>0</v>
      </c>
      <c r="BR218" s="152"/>
      <c r="BS218" s="150" t="n">
        <v>0</v>
      </c>
      <c r="BT218" s="151" t="n">
        <v>0</v>
      </c>
      <c r="BU218" s="150" t="n">
        <v>0</v>
      </c>
      <c r="BV218" s="151" t="n">
        <v>0</v>
      </c>
      <c r="BW218" s="150" t="n">
        <v>0</v>
      </c>
      <c r="BX218" s="151" t="n">
        <v>0</v>
      </c>
      <c r="BY218" s="150" t="n">
        <v>0</v>
      </c>
      <c r="BZ218" s="151" t="n">
        <v>0</v>
      </c>
      <c r="CA218" s="152"/>
      <c r="CB218" s="150" t="n">
        <v>0</v>
      </c>
      <c r="CC218" s="151" t="n">
        <v>0</v>
      </c>
      <c r="CD218" s="150" t="n">
        <v>0</v>
      </c>
      <c r="CE218" s="151" t="n">
        <v>0</v>
      </c>
      <c r="CF218" s="150" t="n">
        <v>0</v>
      </c>
      <c r="CG218" s="151" t="n">
        <v>0</v>
      </c>
      <c r="CH218" s="150" t="n">
        <v>0</v>
      </c>
      <c r="CI218" s="151" t="n">
        <v>0</v>
      </c>
      <c r="CJ218" s="1"/>
      <c r="CK218" s="149"/>
      <c r="CL218" s="137"/>
      <c r="CM218" s="154" t="str">
        <f aca="false">IFERROR(+$H218-($J218+$K218*$G218),"-")</f>
        <v>-</v>
      </c>
      <c r="CN218" s="137"/>
      <c r="CO218" s="154" t="str">
        <f aca="false">IFERROR(+$H218-($M218+$N218*$G218),"-")</f>
        <v>-</v>
      </c>
      <c r="CP218" s="154" t="str">
        <f aca="false">IFERROR(+$H218-($O218+$P218*$G218),"-")</f>
        <v>-</v>
      </c>
      <c r="CQ218" s="154" t="str">
        <f aca="false">IFERROR(+$H218-($Q218+$R218*$G218),"-")</f>
        <v>-</v>
      </c>
      <c r="CR218" s="154" t="str">
        <f aca="false">IFERROR(+$H218-($Q218+$R218*$G218),"-")</f>
        <v>-</v>
      </c>
      <c r="CS218" s="137"/>
      <c r="CT218" s="154" t="str">
        <f aca="false">IFERROR(+$H218-($V218+$W218*$G218),"-")</f>
        <v>-</v>
      </c>
      <c r="CU218" s="154" t="str">
        <f aca="false">IFERROR(+$H218-($X218+$Y218*$G218),"-")</f>
        <v>-</v>
      </c>
      <c r="CV218" s="154" t="str">
        <f aca="false">IFERROR(+$H218-($Z218+$AA218*$G218),"-")</f>
        <v>-</v>
      </c>
      <c r="CW218" s="154" t="str">
        <f aca="false">IFERROR(+$H218-($AB218+$AC218*$G218),"-")</f>
        <v>-</v>
      </c>
      <c r="CX218" s="1"/>
      <c r="CY218" s="1"/>
      <c r="CZ218" s="1"/>
      <c r="DA218" s="1"/>
      <c r="DB218" s="1"/>
      <c r="DC218" s="1"/>
      <c r="DD218" s="1"/>
      <c r="DE218" s="1"/>
      <c r="DF218" s="1"/>
      <c r="DG218" s="1"/>
      <c r="DH218" s="1"/>
      <c r="DI218" s="1"/>
      <c r="DJ218" s="1"/>
      <c r="DK218" s="1"/>
      <c r="DL218" s="1"/>
      <c r="DM218" s="1"/>
      <c r="DN218" s="1"/>
      <c r="DO218" s="1"/>
      <c r="DP218" s="1"/>
      <c r="DQ218" s="1"/>
      <c r="DR218" s="1"/>
      <c r="DS218" s="1"/>
      <c r="DT218" s="1"/>
      <c r="DU218" s="1"/>
      <c r="DV218" s="1"/>
      <c r="DW218" s="1"/>
      <c r="DX218" s="1"/>
      <c r="DY218" s="1"/>
      <c r="DZ218" s="1"/>
      <c r="EA218" s="1"/>
      <c r="EB218" s="1"/>
      <c r="EC218" s="1"/>
      <c r="ED218" s="1"/>
      <c r="EE218" s="1"/>
      <c r="EF218" s="1"/>
      <c r="EG218" s="1"/>
      <c r="EH218" s="1"/>
    </row>
    <row r="219" s="1" customFormat="true" ht="12.75" hidden="false" customHeight="true" outlineLevel="0" collapsed="false">
      <c r="B219" s="134" t="s">
        <v>315</v>
      </c>
      <c r="C219" s="135" t="s">
        <v>316</v>
      </c>
      <c r="D219" s="136" t="e">
        <f aca="false">VLOOKUP($C219,#REF!,5,0)</f>
        <v>#VALUE!</v>
      </c>
      <c r="E219" s="157" t="e">
        <f aca="false">VLOOKUP($C219,#REF!,6,0)</f>
        <v>#VALUE!</v>
      </c>
      <c r="F219" s="135" t="e">
        <f aca="false">VLOOKUP($C219,#REF!,7,0)</f>
        <v>#VALUE!</v>
      </c>
      <c r="G219" s="135" t="e">
        <f aca="false">VLOOKUP($C219,#REF!,8,0)</f>
        <v>#VALUE!</v>
      </c>
      <c r="H219" s="158" t="e">
        <f aca="false">VLOOKUP($C219,#REF!,9,0)</f>
        <v>#VALUE!</v>
      </c>
      <c r="I219" s="137"/>
      <c r="J219" s="138" t="e">
        <f aca="false">VLOOKUP($C219,#REF!,10,0)</f>
        <v>#VALUE!</v>
      </c>
      <c r="K219" s="139" t="e">
        <f aca="false">VLOOKUP($C219,#REF!,11,0)</f>
        <v>#VALUE!</v>
      </c>
      <c r="L219" s="140"/>
      <c r="M219" s="138" t="e">
        <f aca="false">VLOOKUP($C219,#REF!,12,0)</f>
        <v>#VALUE!</v>
      </c>
      <c r="N219" s="140" t="e">
        <f aca="false">VLOOKUP($C219,#REF!,13,0)</f>
        <v>#VALUE!</v>
      </c>
      <c r="O219" s="138" t="e">
        <f aca="false">VLOOKUP($C219,#REF!,14,0)</f>
        <v>#VALUE!</v>
      </c>
      <c r="P219" s="140" t="e">
        <f aca="false">VLOOKUP($C219,#REF!,15,0)</f>
        <v>#VALUE!</v>
      </c>
      <c r="Q219" s="138" t="e">
        <f aca="false">VLOOKUP($C219,#REF!,16,0)</f>
        <v>#VALUE!</v>
      </c>
      <c r="R219" s="139" t="e">
        <f aca="false">VLOOKUP($C219,#REF!,17,0)</f>
        <v>#VALUE!</v>
      </c>
      <c r="S219" s="140" t="e">
        <f aca="false">VLOOKUP($C219,#REF!,18,0)</f>
        <v>#VALUE!</v>
      </c>
      <c r="T219" s="139" t="e">
        <f aca="false">VLOOKUP($C219,#REF!,19,0)</f>
        <v>#VALUE!</v>
      </c>
      <c r="U219" s="140"/>
      <c r="V219" s="138" t="e">
        <f aca="false">VLOOKUP($C219,#REF!,20,0)</f>
        <v>#VALUE!</v>
      </c>
      <c r="W219" s="140" t="e">
        <f aca="false">VLOOKUP($C219,#REF!,21,0)</f>
        <v>#VALUE!</v>
      </c>
      <c r="X219" s="138" t="e">
        <f aca="false">VLOOKUP($C219,#REF!,22,0)</f>
        <v>#VALUE!</v>
      </c>
      <c r="Y219" s="140" t="e">
        <f aca="false">VLOOKUP($C219,#REF!,23,0)</f>
        <v>#VALUE!</v>
      </c>
      <c r="Z219" s="138" t="e">
        <f aca="false">VLOOKUP($C219,#REF!,24,0)</f>
        <v>#VALUE!</v>
      </c>
      <c r="AA219" s="139" t="e">
        <f aca="false">VLOOKUP($C219,#REF!,25,0)</f>
        <v>#VALUE!</v>
      </c>
      <c r="AB219" s="140" t="e">
        <f aca="false">VLOOKUP($C219,#REF!,26,0)</f>
        <v>#VALUE!</v>
      </c>
      <c r="AC219" s="139" t="e">
        <f aca="false">VLOOKUP($C219,#REF!,27,0)</f>
        <v>#VALUE!</v>
      </c>
      <c r="AE219" s="138" t="e">
        <f aca="false">IF(M219="-","-","0,5 GB")</f>
        <v>#VALUE!</v>
      </c>
      <c r="AF219" s="141" t="s">
        <v>92</v>
      </c>
      <c r="AG219" s="141" t="s">
        <v>93</v>
      </c>
      <c r="AH219" s="139" t="s">
        <v>94</v>
      </c>
      <c r="AJ219" s="138" t="s">
        <v>95</v>
      </c>
      <c r="AK219" s="141" t="s">
        <v>96</v>
      </c>
      <c r="AL219" s="141" t="s">
        <v>97</v>
      </c>
      <c r="AM219" s="141" t="s">
        <v>98</v>
      </c>
      <c r="AN219" s="141" t="s">
        <v>98</v>
      </c>
      <c r="AO219" s="139" t="s">
        <v>92</v>
      </c>
      <c r="AQ219" s="142" t="n">
        <v>0</v>
      </c>
      <c r="AR219" s="137"/>
      <c r="AS219" s="138" t="n">
        <v>0</v>
      </c>
      <c r="AT219" s="139" t="n">
        <v>0</v>
      </c>
      <c r="AU219" s="140"/>
      <c r="AV219" s="138" t="n">
        <f aca="false">IFERROR(ROUND($D219-M219-AW219,0),0)</f>
        <v>0</v>
      </c>
      <c r="AW219" s="139" t="n">
        <f aca="false">IFERROR(N219*$G219,0)</f>
        <v>0</v>
      </c>
      <c r="AX219" s="138" t="n">
        <f aca="false">IFERROR(ROUND($D219-O219-AY219,0),0)</f>
        <v>0</v>
      </c>
      <c r="AY219" s="139" t="n">
        <f aca="false">IFERROR(P219*$G219,0)</f>
        <v>0</v>
      </c>
      <c r="AZ219" s="138" t="n">
        <f aca="false">IFERROR(ROUND($D219-Q219-BA219,0),0)</f>
        <v>0</v>
      </c>
      <c r="BA219" s="139" t="n">
        <f aca="false">IFERROR(R219*$G219,0)</f>
        <v>0</v>
      </c>
      <c r="BB219" s="140" t="n">
        <f aca="false">IFERROR(ROUND($D219-S219-BC219,0),0)</f>
        <v>0</v>
      </c>
      <c r="BC219" s="139" t="n">
        <f aca="false">IFERROR(T219*$G219,0)</f>
        <v>0</v>
      </c>
      <c r="BD219" s="140"/>
      <c r="BE219" s="138" t="n">
        <f aca="false">IFERROR(ROUND($D219-V219-BF219,0),0)</f>
        <v>0</v>
      </c>
      <c r="BF219" s="139" t="n">
        <f aca="false">IFERROR(W219*$G219,0)</f>
        <v>0</v>
      </c>
      <c r="BG219" s="138" t="n">
        <f aca="false">IFERROR(ROUND($D219-X219-BH219,0),0)</f>
        <v>0</v>
      </c>
      <c r="BH219" s="139" t="n">
        <f aca="false">IFERROR(Y219*$G219,0)</f>
        <v>0</v>
      </c>
      <c r="BI219" s="140" t="n">
        <f aca="false">IFERROR(ROUND($D219-Z219-BJ219,0),0)</f>
        <v>0</v>
      </c>
      <c r="BJ219" s="139" t="n">
        <f aca="false">IFERROR(AA219*$G219,0)</f>
        <v>0</v>
      </c>
      <c r="BK219" s="140" t="n">
        <f aca="false">IFERROR(ROUND($D219-AB219-BL219,0),0)</f>
        <v>0</v>
      </c>
      <c r="BL219" s="139" t="n">
        <f aca="false">IFERROR(AC219*$G219,0)</f>
        <v>0</v>
      </c>
      <c r="BN219" s="142" t="n">
        <v>0</v>
      </c>
      <c r="BO219" s="137"/>
      <c r="BP219" s="138" t="n">
        <v>0</v>
      </c>
      <c r="BQ219" s="139" t="n">
        <v>0</v>
      </c>
      <c r="BR219" s="140"/>
      <c r="BS219" s="138" t="n">
        <v>0</v>
      </c>
      <c r="BT219" s="139" t="n">
        <v>0</v>
      </c>
      <c r="BU219" s="138" t="n">
        <v>0</v>
      </c>
      <c r="BV219" s="139" t="n">
        <v>0</v>
      </c>
      <c r="BW219" s="138" t="n">
        <v>0</v>
      </c>
      <c r="BX219" s="139" t="n">
        <v>0</v>
      </c>
      <c r="BY219" s="138" t="n">
        <v>0</v>
      </c>
      <c r="BZ219" s="139" t="n">
        <v>0</v>
      </c>
      <c r="CA219" s="140"/>
      <c r="CB219" s="138" t="n">
        <v>0</v>
      </c>
      <c r="CC219" s="139" t="n">
        <v>0</v>
      </c>
      <c r="CD219" s="138" t="n">
        <v>0</v>
      </c>
      <c r="CE219" s="139" t="n">
        <v>0</v>
      </c>
      <c r="CF219" s="138" t="n">
        <v>0</v>
      </c>
      <c r="CG219" s="139" t="n">
        <v>0</v>
      </c>
      <c r="CH219" s="138" t="n">
        <v>0</v>
      </c>
      <c r="CI219" s="139" t="n">
        <v>0</v>
      </c>
      <c r="CK219" s="143"/>
      <c r="CL219" s="137"/>
      <c r="CM219" s="144" t="str">
        <f aca="false">IFERROR(+$H219-($J219+$K219*$G219),"-")</f>
        <v>-</v>
      </c>
      <c r="CN219" s="137"/>
      <c r="CO219" s="144" t="str">
        <f aca="false">IFERROR(+$H219-($M219+$N219*$G219),"-")</f>
        <v>-</v>
      </c>
      <c r="CP219" s="144" t="str">
        <f aca="false">IFERROR(+$H219-($O219+$P219*$G219),"-")</f>
        <v>-</v>
      </c>
      <c r="CQ219" s="144" t="str">
        <f aca="false">IFERROR(+$H219-($Q219+$R219*$G219),"-")</f>
        <v>-</v>
      </c>
      <c r="CR219" s="144" t="str">
        <f aca="false">IFERROR(+$H219-($Q219+$R219*$G219),"-")</f>
        <v>-</v>
      </c>
      <c r="CS219" s="137"/>
      <c r="CT219" s="144" t="str">
        <f aca="false">IFERROR(+$H219-($V219+$W219*$G219),"-")</f>
        <v>-</v>
      </c>
      <c r="CU219" s="144" t="str">
        <f aca="false">IFERROR(+$H219-($X219+$Y219*$G219),"-")</f>
        <v>-</v>
      </c>
      <c r="CV219" s="144" t="str">
        <f aca="false">IFERROR(+$H219-($Z219+$AA219*$G219),"-")</f>
        <v>-</v>
      </c>
      <c r="CW219" s="144" t="str">
        <f aca="false">IFERROR(+$H219-($AB219+$AC219*$G219),"-")</f>
        <v>-</v>
      </c>
    </row>
    <row r="220" s="156" customFormat="true" ht="12.75" hidden="false" customHeight="true" outlineLevel="0" collapsed="false">
      <c r="A220" s="1"/>
      <c r="B220" s="145" t="s">
        <v>317</v>
      </c>
      <c r="C220" s="146" t="s">
        <v>318</v>
      </c>
      <c r="D220" s="147" t="e">
        <f aca="false">VLOOKUP($C220,#REF!,5,0)</f>
        <v>#VALUE!</v>
      </c>
      <c r="E220" s="148" t="e">
        <f aca="false">VLOOKUP($C220,#REF!,6,0)</f>
        <v>#VALUE!</v>
      </c>
      <c r="F220" s="146" t="e">
        <f aca="false">VLOOKUP($C220,#REF!,7,0)</f>
        <v>#VALUE!</v>
      </c>
      <c r="G220" s="146" t="e">
        <f aca="false">VLOOKUP($C220,#REF!,8,0)</f>
        <v>#VALUE!</v>
      </c>
      <c r="H220" s="149" t="e">
        <f aca="false">VLOOKUP($C220,#REF!,9,0)</f>
        <v>#VALUE!</v>
      </c>
      <c r="I220" s="137"/>
      <c r="J220" s="150" t="e">
        <f aca="false">VLOOKUP($C220,#REF!,10,0)</f>
        <v>#VALUE!</v>
      </c>
      <c r="K220" s="151" t="e">
        <f aca="false">VLOOKUP($C220,#REF!,11,0)</f>
        <v>#VALUE!</v>
      </c>
      <c r="L220" s="140"/>
      <c r="M220" s="150" t="e">
        <f aca="false">VLOOKUP($C220,#REF!,12,0)</f>
        <v>#VALUE!</v>
      </c>
      <c r="N220" s="152" t="e">
        <f aca="false">VLOOKUP($C220,#REF!,13,0)</f>
        <v>#VALUE!</v>
      </c>
      <c r="O220" s="150" t="e">
        <f aca="false">VLOOKUP($C220,#REF!,14,0)</f>
        <v>#VALUE!</v>
      </c>
      <c r="P220" s="152" t="e">
        <f aca="false">VLOOKUP($C220,#REF!,15,0)</f>
        <v>#VALUE!</v>
      </c>
      <c r="Q220" s="150" t="e">
        <f aca="false">VLOOKUP($C220,#REF!,16,0)</f>
        <v>#VALUE!</v>
      </c>
      <c r="R220" s="151" t="e">
        <f aca="false">VLOOKUP($C220,#REF!,17,0)</f>
        <v>#VALUE!</v>
      </c>
      <c r="S220" s="152" t="e">
        <f aca="false">VLOOKUP($C220,#REF!,18,0)</f>
        <v>#VALUE!</v>
      </c>
      <c r="T220" s="151" t="e">
        <f aca="false">VLOOKUP($C220,#REF!,19,0)</f>
        <v>#VALUE!</v>
      </c>
      <c r="U220" s="140"/>
      <c r="V220" s="150" t="e">
        <f aca="false">VLOOKUP($C220,#REF!,20,0)</f>
        <v>#VALUE!</v>
      </c>
      <c r="W220" s="152" t="e">
        <f aca="false">VLOOKUP($C220,#REF!,21,0)</f>
        <v>#VALUE!</v>
      </c>
      <c r="X220" s="150" t="e">
        <f aca="false">VLOOKUP($C220,#REF!,22,0)</f>
        <v>#VALUE!</v>
      </c>
      <c r="Y220" s="152" t="e">
        <f aca="false">VLOOKUP($C220,#REF!,23,0)</f>
        <v>#VALUE!</v>
      </c>
      <c r="Z220" s="150" t="e">
        <f aca="false">VLOOKUP($C220,#REF!,24,0)</f>
        <v>#VALUE!</v>
      </c>
      <c r="AA220" s="151" t="e">
        <f aca="false">VLOOKUP($C220,#REF!,25,0)</f>
        <v>#VALUE!</v>
      </c>
      <c r="AB220" s="152" t="e">
        <f aca="false">VLOOKUP($C220,#REF!,26,0)</f>
        <v>#VALUE!</v>
      </c>
      <c r="AC220" s="151" t="e">
        <f aca="false">VLOOKUP($C220,#REF!,27,0)</f>
        <v>#VALUE!</v>
      </c>
      <c r="AD220" s="1"/>
      <c r="AE220" s="150" t="e">
        <f aca="false">IF(M220="-","-","0,5 GB")</f>
        <v>#VALUE!</v>
      </c>
      <c r="AF220" s="153" t="s">
        <v>92</v>
      </c>
      <c r="AG220" s="153" t="s">
        <v>93</v>
      </c>
      <c r="AH220" s="151" t="s">
        <v>94</v>
      </c>
      <c r="AI220" s="1"/>
      <c r="AJ220" s="150" t="s">
        <v>95</v>
      </c>
      <c r="AK220" s="153" t="s">
        <v>96</v>
      </c>
      <c r="AL220" s="153" t="s">
        <v>97</v>
      </c>
      <c r="AM220" s="153" t="s">
        <v>98</v>
      </c>
      <c r="AN220" s="153" t="s">
        <v>98</v>
      </c>
      <c r="AO220" s="151" t="s">
        <v>92</v>
      </c>
      <c r="AP220" s="1"/>
      <c r="AQ220" s="154" t="n">
        <v>34</v>
      </c>
      <c r="AR220" s="137"/>
      <c r="AS220" s="150" t="n">
        <v>0</v>
      </c>
      <c r="AT220" s="151" t="n">
        <v>0</v>
      </c>
      <c r="AU220" s="140"/>
      <c r="AV220" s="150" t="n">
        <f aca="false">IFERROR(ROUND($D220-M220-AW220,0),0)</f>
        <v>0</v>
      </c>
      <c r="AW220" s="151" t="n">
        <f aca="false">IFERROR(N220*$G220,0)</f>
        <v>0</v>
      </c>
      <c r="AX220" s="150" t="n">
        <f aca="false">IFERROR(ROUND($D220-O220-AY220,0),0)</f>
        <v>0</v>
      </c>
      <c r="AY220" s="151" t="n">
        <f aca="false">IFERROR(P220*$G220,0)</f>
        <v>0</v>
      </c>
      <c r="AZ220" s="150" t="n">
        <f aca="false">IFERROR(ROUND($D220-Q220-BA220,0),0)</f>
        <v>0</v>
      </c>
      <c r="BA220" s="151" t="n">
        <f aca="false">IFERROR(R220*$G220,0)</f>
        <v>0</v>
      </c>
      <c r="BB220" s="152" t="n">
        <f aca="false">IFERROR(ROUND($D220-S220-BC220,0),0)</f>
        <v>0</v>
      </c>
      <c r="BC220" s="151" t="n">
        <f aca="false">IFERROR(T220*$G220,0)</f>
        <v>0</v>
      </c>
      <c r="BD220" s="140"/>
      <c r="BE220" s="150" t="n">
        <f aca="false">IFERROR(ROUND($D220-V220-BF220,0),0)</f>
        <v>0</v>
      </c>
      <c r="BF220" s="151" t="n">
        <f aca="false">IFERROR(W220*$G220,0)</f>
        <v>0</v>
      </c>
      <c r="BG220" s="150" t="n">
        <f aca="false">IFERROR(ROUND($D220-X220-BH220,0),0)</f>
        <v>0</v>
      </c>
      <c r="BH220" s="151" t="n">
        <f aca="false">IFERROR(Y220*$G220,0)</f>
        <v>0</v>
      </c>
      <c r="BI220" s="152" t="n">
        <f aca="false">IFERROR(ROUND($D220-Z220-BJ220,0),0)</f>
        <v>0</v>
      </c>
      <c r="BJ220" s="151" t="n">
        <f aca="false">IFERROR(AA220*$G220,0)</f>
        <v>0</v>
      </c>
      <c r="BK220" s="152" t="n">
        <f aca="false">IFERROR(ROUND($D220-AB220-BL220,0),0)</f>
        <v>0</v>
      </c>
      <c r="BL220" s="151" t="n">
        <f aca="false">IFERROR(AC220*$G220,0)</f>
        <v>0</v>
      </c>
      <c r="BM220" s="1"/>
      <c r="BN220" s="154" t="n">
        <v>0</v>
      </c>
      <c r="BO220" s="155"/>
      <c r="BP220" s="150" t="n">
        <v>0</v>
      </c>
      <c r="BQ220" s="151" t="n">
        <v>0</v>
      </c>
      <c r="BR220" s="152"/>
      <c r="BS220" s="150" t="n">
        <v>0</v>
      </c>
      <c r="BT220" s="151" t="n">
        <v>0</v>
      </c>
      <c r="BU220" s="150" t="n">
        <v>0</v>
      </c>
      <c r="BV220" s="151" t="n">
        <v>0</v>
      </c>
      <c r="BW220" s="150" t="n">
        <v>0</v>
      </c>
      <c r="BX220" s="151" t="n">
        <v>0</v>
      </c>
      <c r="BY220" s="150" t="n">
        <v>0</v>
      </c>
      <c r="BZ220" s="151" t="n">
        <v>0</v>
      </c>
      <c r="CA220" s="152"/>
      <c r="CB220" s="150" t="n">
        <v>0</v>
      </c>
      <c r="CC220" s="151" t="n">
        <v>0</v>
      </c>
      <c r="CD220" s="150" t="n">
        <v>0</v>
      </c>
      <c r="CE220" s="151" t="n">
        <v>0</v>
      </c>
      <c r="CF220" s="150" t="n">
        <v>0</v>
      </c>
      <c r="CG220" s="151" t="n">
        <v>0</v>
      </c>
      <c r="CH220" s="150" t="n">
        <v>0</v>
      </c>
      <c r="CI220" s="151" t="n">
        <v>0</v>
      </c>
      <c r="CJ220" s="1"/>
      <c r="CK220" s="149"/>
      <c r="CL220" s="137"/>
      <c r="CM220" s="154" t="str">
        <f aca="false">IFERROR(+$H220-($J220+$K220*$G220),"-")</f>
        <v>-</v>
      </c>
      <c r="CN220" s="137"/>
      <c r="CO220" s="154" t="str">
        <f aca="false">IFERROR(+$H220-($M220+$N220*$G220),"-")</f>
        <v>-</v>
      </c>
      <c r="CP220" s="154" t="str">
        <f aca="false">IFERROR(+$H220-($O220+$P220*$G220),"-")</f>
        <v>-</v>
      </c>
      <c r="CQ220" s="154" t="str">
        <f aca="false">IFERROR(+$H220-($Q220+$R220*$G220),"-")</f>
        <v>-</v>
      </c>
      <c r="CR220" s="154" t="str">
        <f aca="false">IFERROR(+$H220-($Q220+$R220*$G220),"-")</f>
        <v>-</v>
      </c>
      <c r="CS220" s="137"/>
      <c r="CT220" s="154" t="str">
        <f aca="false">IFERROR(+$H220-($V220+$W220*$G220),"-")</f>
        <v>-</v>
      </c>
      <c r="CU220" s="154" t="str">
        <f aca="false">IFERROR(+$H220-($X220+$Y220*$G220),"-")</f>
        <v>-</v>
      </c>
      <c r="CV220" s="154" t="str">
        <f aca="false">IFERROR(+$H220-($Z220+$AA220*$G220),"-")</f>
        <v>-</v>
      </c>
      <c r="CW220" s="154" t="str">
        <f aca="false">IFERROR(+$H220-($AB220+$AC220*$G220),"-")</f>
        <v>-</v>
      </c>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row>
    <row r="221" s="1" customFormat="true" ht="12.75" hidden="false" customHeight="true" outlineLevel="0" collapsed="false">
      <c r="B221" s="134" t="s">
        <v>110</v>
      </c>
      <c r="C221" s="135" t="s">
        <v>319</v>
      </c>
      <c r="D221" s="136" t="e">
        <f aca="false">VLOOKUP($C221,#REF!,5,0)</f>
        <v>#VALUE!</v>
      </c>
      <c r="E221" s="157" t="e">
        <f aca="false">VLOOKUP($C221,#REF!,6,0)</f>
        <v>#VALUE!</v>
      </c>
      <c r="F221" s="135" t="e">
        <f aca="false">VLOOKUP($C221,#REF!,7,0)</f>
        <v>#VALUE!</v>
      </c>
      <c r="G221" s="135" t="e">
        <f aca="false">VLOOKUP($C221,#REF!,8,0)</f>
        <v>#VALUE!</v>
      </c>
      <c r="H221" s="158" t="e">
        <f aca="false">VLOOKUP($C221,#REF!,9,0)</f>
        <v>#VALUE!</v>
      </c>
      <c r="I221" s="137"/>
      <c r="J221" s="138" t="e">
        <f aca="false">VLOOKUP($C221,#REF!,10,0)</f>
        <v>#VALUE!</v>
      </c>
      <c r="K221" s="139" t="e">
        <f aca="false">VLOOKUP($C221,#REF!,11,0)</f>
        <v>#VALUE!</v>
      </c>
      <c r="L221" s="140"/>
      <c r="M221" s="138" t="e">
        <f aca="false">VLOOKUP($C221,#REF!,12,0)</f>
        <v>#VALUE!</v>
      </c>
      <c r="N221" s="140" t="e">
        <f aca="false">VLOOKUP($C221,#REF!,13,0)</f>
        <v>#VALUE!</v>
      </c>
      <c r="O221" s="138" t="e">
        <f aca="false">VLOOKUP($C221,#REF!,14,0)</f>
        <v>#VALUE!</v>
      </c>
      <c r="P221" s="140" t="e">
        <f aca="false">VLOOKUP($C221,#REF!,15,0)</f>
        <v>#VALUE!</v>
      </c>
      <c r="Q221" s="138" t="e">
        <f aca="false">VLOOKUP($C221,#REF!,16,0)</f>
        <v>#VALUE!</v>
      </c>
      <c r="R221" s="139" t="e">
        <f aca="false">VLOOKUP($C221,#REF!,17,0)</f>
        <v>#VALUE!</v>
      </c>
      <c r="S221" s="140" t="e">
        <f aca="false">VLOOKUP($C221,#REF!,18,0)</f>
        <v>#VALUE!</v>
      </c>
      <c r="T221" s="139" t="e">
        <f aca="false">VLOOKUP($C221,#REF!,19,0)</f>
        <v>#VALUE!</v>
      </c>
      <c r="U221" s="140"/>
      <c r="V221" s="138" t="e">
        <f aca="false">VLOOKUP($C221,#REF!,20,0)</f>
        <v>#VALUE!</v>
      </c>
      <c r="W221" s="140" t="e">
        <f aca="false">VLOOKUP($C221,#REF!,21,0)</f>
        <v>#VALUE!</v>
      </c>
      <c r="X221" s="138" t="e">
        <f aca="false">VLOOKUP($C221,#REF!,22,0)</f>
        <v>#VALUE!</v>
      </c>
      <c r="Y221" s="140" t="e">
        <f aca="false">VLOOKUP($C221,#REF!,23,0)</f>
        <v>#VALUE!</v>
      </c>
      <c r="Z221" s="138" t="e">
        <f aca="false">VLOOKUP($C221,#REF!,24,0)</f>
        <v>#VALUE!</v>
      </c>
      <c r="AA221" s="139" t="e">
        <f aca="false">VLOOKUP($C221,#REF!,25,0)</f>
        <v>#VALUE!</v>
      </c>
      <c r="AB221" s="140" t="e">
        <f aca="false">VLOOKUP($C221,#REF!,26,0)</f>
        <v>#VALUE!</v>
      </c>
      <c r="AC221" s="139" t="e">
        <f aca="false">VLOOKUP($C221,#REF!,27,0)</f>
        <v>#VALUE!</v>
      </c>
      <c r="AE221" s="138" t="e">
        <f aca="false">IF(M221="-","-","0,5 GB")</f>
        <v>#VALUE!</v>
      </c>
      <c r="AF221" s="141" t="s">
        <v>92</v>
      </c>
      <c r="AG221" s="141" t="s">
        <v>93</v>
      </c>
      <c r="AH221" s="139" t="s">
        <v>94</v>
      </c>
      <c r="AJ221" s="138" t="s">
        <v>95</v>
      </c>
      <c r="AK221" s="141" t="s">
        <v>96</v>
      </c>
      <c r="AL221" s="141" t="s">
        <v>97</v>
      </c>
      <c r="AM221" s="141" t="s">
        <v>98</v>
      </c>
      <c r="AN221" s="141" t="s">
        <v>98</v>
      </c>
      <c r="AO221" s="139" t="s">
        <v>92</v>
      </c>
      <c r="AQ221" s="142" t="n">
        <v>2</v>
      </c>
      <c r="AR221" s="137"/>
      <c r="AS221" s="138" t="n">
        <v>0</v>
      </c>
      <c r="AT221" s="139" t="n">
        <v>0</v>
      </c>
      <c r="AU221" s="140"/>
      <c r="AV221" s="138" t="n">
        <f aca="false">IFERROR(ROUND($D221-M221-AW221,0),0)</f>
        <v>0</v>
      </c>
      <c r="AW221" s="139" t="n">
        <f aca="false">IFERROR(N221*$G221,0)</f>
        <v>0</v>
      </c>
      <c r="AX221" s="138" t="n">
        <f aca="false">IFERROR(ROUND($D221-O221-AY221,0),0)</f>
        <v>0</v>
      </c>
      <c r="AY221" s="139" t="n">
        <f aca="false">IFERROR(P221*$G221,0)</f>
        <v>0</v>
      </c>
      <c r="AZ221" s="138" t="n">
        <f aca="false">IFERROR(ROUND($D221-Q221-BA221,0),0)</f>
        <v>0</v>
      </c>
      <c r="BA221" s="139" t="n">
        <f aca="false">IFERROR(R221*$G221,0)</f>
        <v>0</v>
      </c>
      <c r="BB221" s="140" t="n">
        <f aca="false">IFERROR(ROUND($D221-S221-BC221,0),0)</f>
        <v>0</v>
      </c>
      <c r="BC221" s="139" t="n">
        <f aca="false">IFERROR(T221*$G221,0)</f>
        <v>0</v>
      </c>
      <c r="BD221" s="140"/>
      <c r="BE221" s="138" t="n">
        <f aca="false">IFERROR(ROUND($D221-V221-BF221,0),0)</f>
        <v>0</v>
      </c>
      <c r="BF221" s="139" t="n">
        <f aca="false">IFERROR(W221*$G221,0)</f>
        <v>0</v>
      </c>
      <c r="BG221" s="138" t="n">
        <f aca="false">IFERROR(ROUND($D221-X221-BH221,0),0)</f>
        <v>0</v>
      </c>
      <c r="BH221" s="139" t="n">
        <f aca="false">IFERROR(Y221*$G221,0)</f>
        <v>0</v>
      </c>
      <c r="BI221" s="140" t="n">
        <f aca="false">IFERROR(ROUND($D221-Z221-BJ221,0),0)</f>
        <v>0</v>
      </c>
      <c r="BJ221" s="139" t="n">
        <f aca="false">IFERROR(AA221*$G221,0)</f>
        <v>0</v>
      </c>
      <c r="BK221" s="140" t="n">
        <f aca="false">IFERROR(ROUND($D221-AB221-BL221,0),0)</f>
        <v>0</v>
      </c>
      <c r="BL221" s="139" t="n">
        <f aca="false">IFERROR(AC221*$G221,0)</f>
        <v>0</v>
      </c>
      <c r="BN221" s="142" t="e">
        <f aca="false">#N/A</f>
        <v>#N/A</v>
      </c>
      <c r="BO221" s="137"/>
      <c r="BP221" s="138" t="e">
        <f aca="false">#N/A</f>
        <v>#N/A</v>
      </c>
      <c r="BQ221" s="139" t="e">
        <f aca="false">#N/A</f>
        <v>#N/A</v>
      </c>
      <c r="BR221" s="140"/>
      <c r="BS221" s="138" t="e">
        <f aca="false">#N/A</f>
        <v>#N/A</v>
      </c>
      <c r="BT221" s="139" t="e">
        <f aca="false">#N/A</f>
        <v>#N/A</v>
      </c>
      <c r="BU221" s="138" t="e">
        <f aca="false">#N/A</f>
        <v>#N/A</v>
      </c>
      <c r="BV221" s="139" t="e">
        <f aca="false">#N/A</f>
        <v>#N/A</v>
      </c>
      <c r="BW221" s="138" t="e">
        <f aca="false">#N/A</f>
        <v>#N/A</v>
      </c>
      <c r="BX221" s="139" t="e">
        <f aca="false">#N/A</f>
        <v>#N/A</v>
      </c>
      <c r="BY221" s="138" t="e">
        <f aca="false">#N/A</f>
        <v>#N/A</v>
      </c>
      <c r="BZ221" s="139" t="e">
        <f aca="false">#N/A</f>
        <v>#N/A</v>
      </c>
      <c r="CA221" s="140"/>
      <c r="CB221" s="138" t="e">
        <f aca="false">#N/A</f>
        <v>#N/A</v>
      </c>
      <c r="CC221" s="139" t="e">
        <f aca="false">#N/A</f>
        <v>#N/A</v>
      </c>
      <c r="CD221" s="138" t="e">
        <f aca="false">#N/A</f>
        <v>#N/A</v>
      </c>
      <c r="CE221" s="139" t="e">
        <f aca="false">#N/A</f>
        <v>#N/A</v>
      </c>
      <c r="CF221" s="138" t="e">
        <f aca="false">#N/A</f>
        <v>#N/A</v>
      </c>
      <c r="CG221" s="139" t="e">
        <f aca="false">#N/A</f>
        <v>#N/A</v>
      </c>
      <c r="CH221" s="138" t="e">
        <f aca="false">#N/A</f>
        <v>#N/A</v>
      </c>
      <c r="CI221" s="139" t="e">
        <f aca="false">#N/A</f>
        <v>#N/A</v>
      </c>
      <c r="CK221" s="143"/>
      <c r="CL221" s="137"/>
      <c r="CM221" s="144" t="str">
        <f aca="false">IFERROR(+$H221-($J221+$K221*$G221),"-")</f>
        <v>-</v>
      </c>
      <c r="CN221" s="137"/>
      <c r="CO221" s="144" t="str">
        <f aca="false">IFERROR(+$H221-($M221+$N221*$G221),"-")</f>
        <v>-</v>
      </c>
      <c r="CP221" s="144" t="str">
        <f aca="false">IFERROR(+$H221-($O221+$P221*$G221),"-")</f>
        <v>-</v>
      </c>
      <c r="CQ221" s="144" t="str">
        <f aca="false">IFERROR(+$H221-($Q221+$R221*$G221),"-")</f>
        <v>-</v>
      </c>
      <c r="CR221" s="144" t="str">
        <f aca="false">IFERROR(+$H221-($Q221+$R221*$G221),"-")</f>
        <v>-</v>
      </c>
      <c r="CS221" s="137"/>
      <c r="CT221" s="144" t="str">
        <f aca="false">IFERROR(+$H221-($V221+$W221*$G221),"-")</f>
        <v>-</v>
      </c>
      <c r="CU221" s="144" t="str">
        <f aca="false">IFERROR(+$H221-($X221+$Y221*$G221),"-")</f>
        <v>-</v>
      </c>
      <c r="CV221" s="144" t="str">
        <f aca="false">IFERROR(+$H221-($Z221+$AA221*$G221),"-")</f>
        <v>-</v>
      </c>
      <c r="CW221" s="144" t="str">
        <f aca="false">IFERROR(+$H221-($AB221+$AC221*$G221),"-")</f>
        <v>-</v>
      </c>
    </row>
    <row r="222" s="156" customFormat="true" ht="12.75" hidden="false" customHeight="true" outlineLevel="0" collapsed="false">
      <c r="A222" s="1"/>
      <c r="B222" s="145" t="s">
        <v>320</v>
      </c>
      <c r="C222" s="146" t="s">
        <v>321</v>
      </c>
      <c r="D222" s="147" t="e">
        <f aca="false">VLOOKUP($C222,#REF!,5,0)</f>
        <v>#VALUE!</v>
      </c>
      <c r="E222" s="148" t="e">
        <f aca="false">VLOOKUP($C222,#REF!,6,0)</f>
        <v>#VALUE!</v>
      </c>
      <c r="F222" s="146" t="e">
        <f aca="false">VLOOKUP($C222,#REF!,7,0)</f>
        <v>#VALUE!</v>
      </c>
      <c r="G222" s="146" t="e">
        <f aca="false">VLOOKUP($C222,#REF!,8,0)</f>
        <v>#VALUE!</v>
      </c>
      <c r="H222" s="149" t="e">
        <f aca="false">VLOOKUP($C222,#REF!,9,0)</f>
        <v>#VALUE!</v>
      </c>
      <c r="I222" s="137"/>
      <c r="J222" s="150" t="e">
        <f aca="false">VLOOKUP($C222,#REF!,10,0)</f>
        <v>#VALUE!</v>
      </c>
      <c r="K222" s="151" t="e">
        <f aca="false">VLOOKUP($C222,#REF!,11,0)</f>
        <v>#VALUE!</v>
      </c>
      <c r="L222" s="140"/>
      <c r="M222" s="150" t="e">
        <f aca="false">VLOOKUP($C222,#REF!,12,0)</f>
        <v>#VALUE!</v>
      </c>
      <c r="N222" s="152" t="e">
        <f aca="false">VLOOKUP($C222,#REF!,13,0)</f>
        <v>#VALUE!</v>
      </c>
      <c r="O222" s="150" t="e">
        <f aca="false">VLOOKUP($C222,#REF!,14,0)</f>
        <v>#VALUE!</v>
      </c>
      <c r="P222" s="152" t="e">
        <f aca="false">VLOOKUP($C222,#REF!,15,0)</f>
        <v>#VALUE!</v>
      </c>
      <c r="Q222" s="150" t="e">
        <f aca="false">VLOOKUP($C222,#REF!,16,0)</f>
        <v>#VALUE!</v>
      </c>
      <c r="R222" s="151" t="e">
        <f aca="false">VLOOKUP($C222,#REF!,17,0)</f>
        <v>#VALUE!</v>
      </c>
      <c r="S222" s="152" t="e">
        <f aca="false">VLOOKUP($C222,#REF!,18,0)</f>
        <v>#VALUE!</v>
      </c>
      <c r="T222" s="151" t="e">
        <f aca="false">VLOOKUP($C222,#REF!,19,0)</f>
        <v>#VALUE!</v>
      </c>
      <c r="U222" s="140"/>
      <c r="V222" s="150" t="e">
        <f aca="false">VLOOKUP($C222,#REF!,20,0)</f>
        <v>#VALUE!</v>
      </c>
      <c r="W222" s="152" t="e">
        <f aca="false">VLOOKUP($C222,#REF!,21,0)</f>
        <v>#VALUE!</v>
      </c>
      <c r="X222" s="150" t="e">
        <f aca="false">VLOOKUP($C222,#REF!,22,0)</f>
        <v>#VALUE!</v>
      </c>
      <c r="Y222" s="152" t="e">
        <f aca="false">VLOOKUP($C222,#REF!,23,0)</f>
        <v>#VALUE!</v>
      </c>
      <c r="Z222" s="150" t="e">
        <f aca="false">VLOOKUP($C222,#REF!,24,0)</f>
        <v>#VALUE!</v>
      </c>
      <c r="AA222" s="151" t="e">
        <f aca="false">VLOOKUP($C222,#REF!,25,0)</f>
        <v>#VALUE!</v>
      </c>
      <c r="AB222" s="152" t="e">
        <f aca="false">VLOOKUP($C222,#REF!,26,0)</f>
        <v>#VALUE!</v>
      </c>
      <c r="AC222" s="151" t="e">
        <f aca="false">VLOOKUP($C222,#REF!,27,0)</f>
        <v>#VALUE!</v>
      </c>
      <c r="AD222" s="1"/>
      <c r="AE222" s="150" t="e">
        <f aca="false">IF(M222="-","-","0,5 GB")</f>
        <v>#VALUE!</v>
      </c>
      <c r="AF222" s="153" t="s">
        <v>92</v>
      </c>
      <c r="AG222" s="153" t="s">
        <v>93</v>
      </c>
      <c r="AH222" s="151" t="s">
        <v>94</v>
      </c>
      <c r="AI222" s="1"/>
      <c r="AJ222" s="150" t="s">
        <v>95</v>
      </c>
      <c r="AK222" s="153" t="s">
        <v>96</v>
      </c>
      <c r="AL222" s="153" t="s">
        <v>97</v>
      </c>
      <c r="AM222" s="153" t="s">
        <v>98</v>
      </c>
      <c r="AN222" s="153" t="s">
        <v>98</v>
      </c>
      <c r="AO222" s="151" t="s">
        <v>92</v>
      </c>
      <c r="AP222" s="1"/>
      <c r="AQ222" s="154" t="n">
        <v>238</v>
      </c>
      <c r="AR222" s="137"/>
      <c r="AS222" s="150" t="n">
        <v>0</v>
      </c>
      <c r="AT222" s="151" t="n">
        <v>0</v>
      </c>
      <c r="AU222" s="140"/>
      <c r="AV222" s="150" t="n">
        <f aca="false">IFERROR(ROUND($D222-M222-AW222,0),0)</f>
        <v>0</v>
      </c>
      <c r="AW222" s="151" t="n">
        <f aca="false">IFERROR(N222*$G222,0)</f>
        <v>0</v>
      </c>
      <c r="AX222" s="150" t="n">
        <f aca="false">IFERROR(ROUND($D222-O222-AY222,0),0)</f>
        <v>0</v>
      </c>
      <c r="AY222" s="151" t="n">
        <f aca="false">IFERROR(P222*$G222,0)</f>
        <v>0</v>
      </c>
      <c r="AZ222" s="150" t="n">
        <f aca="false">IFERROR(ROUND($D222-Q222-BA222,0),0)</f>
        <v>0</v>
      </c>
      <c r="BA222" s="151" t="n">
        <f aca="false">IFERROR(R222*$G222,0)</f>
        <v>0</v>
      </c>
      <c r="BB222" s="152" t="n">
        <f aca="false">IFERROR(ROUND($D222-S222-BC222,0),0)</f>
        <v>0</v>
      </c>
      <c r="BC222" s="151" t="n">
        <f aca="false">IFERROR(T222*$G222,0)</f>
        <v>0</v>
      </c>
      <c r="BD222" s="140"/>
      <c r="BE222" s="150" t="n">
        <f aca="false">IFERROR(ROUND($D222-V222-BF222,0),0)</f>
        <v>0</v>
      </c>
      <c r="BF222" s="151" t="n">
        <f aca="false">IFERROR(W222*$G222,0)</f>
        <v>0</v>
      </c>
      <c r="BG222" s="150" t="n">
        <f aca="false">IFERROR(ROUND($D222-X222-BH222,0),0)</f>
        <v>0</v>
      </c>
      <c r="BH222" s="151" t="n">
        <f aca="false">IFERROR(Y222*$G222,0)</f>
        <v>0</v>
      </c>
      <c r="BI222" s="152" t="n">
        <f aca="false">IFERROR(ROUND($D222-Z222-BJ222,0),0)</f>
        <v>0</v>
      </c>
      <c r="BJ222" s="151" t="n">
        <f aca="false">IFERROR(AA222*$G222,0)</f>
        <v>0</v>
      </c>
      <c r="BK222" s="152" t="n">
        <f aca="false">IFERROR(ROUND($D222-AB222-BL222,0),0)</f>
        <v>0</v>
      </c>
      <c r="BL222" s="151" t="n">
        <f aca="false">IFERROR(AC222*$G222,0)</f>
        <v>0</v>
      </c>
      <c r="BM222" s="1"/>
      <c r="BN222" s="154" t="n">
        <v>0</v>
      </c>
      <c r="BO222" s="155"/>
      <c r="BP222" s="150" t="n">
        <v>0</v>
      </c>
      <c r="BQ222" s="151" t="n">
        <v>0</v>
      </c>
      <c r="BR222" s="152"/>
      <c r="BS222" s="150" t="n">
        <v>0</v>
      </c>
      <c r="BT222" s="151" t="n">
        <v>0</v>
      </c>
      <c r="BU222" s="150" t="n">
        <v>0</v>
      </c>
      <c r="BV222" s="151" t="n">
        <v>0</v>
      </c>
      <c r="BW222" s="150" t="n">
        <v>0</v>
      </c>
      <c r="BX222" s="151" t="n">
        <v>0</v>
      </c>
      <c r="BY222" s="150" t="n">
        <v>0</v>
      </c>
      <c r="BZ222" s="151" t="n">
        <v>0</v>
      </c>
      <c r="CA222" s="152"/>
      <c r="CB222" s="150" t="n">
        <v>0</v>
      </c>
      <c r="CC222" s="151" t="n">
        <v>0</v>
      </c>
      <c r="CD222" s="150" t="n">
        <v>0</v>
      </c>
      <c r="CE222" s="151" t="n">
        <v>0</v>
      </c>
      <c r="CF222" s="150" t="n">
        <v>0</v>
      </c>
      <c r="CG222" s="151" t="n">
        <v>0</v>
      </c>
      <c r="CH222" s="150" t="n">
        <v>0</v>
      </c>
      <c r="CI222" s="151" t="n">
        <v>0</v>
      </c>
      <c r="CJ222" s="1"/>
      <c r="CK222" s="149"/>
      <c r="CL222" s="137"/>
      <c r="CM222" s="154" t="str">
        <f aca="false">IFERROR(+$H222-($J222+$K222*$G222),"-")</f>
        <v>-</v>
      </c>
      <c r="CN222" s="137"/>
      <c r="CO222" s="154" t="str">
        <f aca="false">IFERROR(+$H222-($M222+$N222*$G222),"-")</f>
        <v>-</v>
      </c>
      <c r="CP222" s="154" t="str">
        <f aca="false">IFERROR(+$H222-($O222+$P222*$G222),"-")</f>
        <v>-</v>
      </c>
      <c r="CQ222" s="154" t="str">
        <f aca="false">IFERROR(+$H222-($Q222+$R222*$G222),"-")</f>
        <v>-</v>
      </c>
      <c r="CR222" s="154" t="str">
        <f aca="false">IFERROR(+$H222-($Q222+$R222*$G222),"-")</f>
        <v>-</v>
      </c>
      <c r="CS222" s="137"/>
      <c r="CT222" s="154" t="str">
        <f aca="false">IFERROR(+$H222-($V222+$W222*$G222),"-")</f>
        <v>-</v>
      </c>
      <c r="CU222" s="154" t="str">
        <f aca="false">IFERROR(+$H222-($X222+$Y222*$G222),"-")</f>
        <v>-</v>
      </c>
      <c r="CV222" s="154" t="str">
        <f aca="false">IFERROR(+$H222-($Z222+$AA222*$G222),"-")</f>
        <v>-</v>
      </c>
      <c r="CW222" s="154" t="str">
        <f aca="false">IFERROR(+$H222-($AB222+$AC222*$G222),"-")</f>
        <v>-</v>
      </c>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c r="EG222" s="1"/>
      <c r="EH222" s="1"/>
    </row>
    <row r="223" s="1" customFormat="true" ht="12.75" hidden="false" customHeight="true" outlineLevel="0" collapsed="false">
      <c r="B223" s="134" t="s">
        <v>305</v>
      </c>
      <c r="C223" s="135" t="s">
        <v>322</v>
      </c>
      <c r="D223" s="136" t="e">
        <f aca="false">VLOOKUP($C223,#REF!,5,0)</f>
        <v>#VALUE!</v>
      </c>
      <c r="E223" s="157" t="e">
        <f aca="false">VLOOKUP($C223,#REF!,6,0)</f>
        <v>#VALUE!</v>
      </c>
      <c r="F223" s="135" t="e">
        <f aca="false">VLOOKUP($C223,#REF!,7,0)</f>
        <v>#VALUE!</v>
      </c>
      <c r="G223" s="135" t="e">
        <f aca="false">VLOOKUP($C223,#REF!,8,0)</f>
        <v>#VALUE!</v>
      </c>
      <c r="H223" s="158" t="e">
        <f aca="false">VLOOKUP($C223,#REF!,9,0)</f>
        <v>#VALUE!</v>
      </c>
      <c r="I223" s="137"/>
      <c r="J223" s="138" t="e">
        <f aca="false">VLOOKUP($C223,#REF!,10,0)</f>
        <v>#VALUE!</v>
      </c>
      <c r="K223" s="139" t="e">
        <f aca="false">VLOOKUP($C223,#REF!,11,0)</f>
        <v>#VALUE!</v>
      </c>
      <c r="L223" s="140"/>
      <c r="M223" s="138" t="e">
        <f aca="false">VLOOKUP($C223,#REF!,12,0)</f>
        <v>#VALUE!</v>
      </c>
      <c r="N223" s="140" t="e">
        <f aca="false">VLOOKUP($C223,#REF!,13,0)</f>
        <v>#VALUE!</v>
      </c>
      <c r="O223" s="138" t="e">
        <f aca="false">VLOOKUP($C223,#REF!,14,0)</f>
        <v>#VALUE!</v>
      </c>
      <c r="P223" s="140" t="e">
        <f aca="false">VLOOKUP($C223,#REF!,15,0)</f>
        <v>#VALUE!</v>
      </c>
      <c r="Q223" s="138" t="e">
        <f aca="false">VLOOKUP($C223,#REF!,16,0)</f>
        <v>#VALUE!</v>
      </c>
      <c r="R223" s="139" t="e">
        <f aca="false">VLOOKUP($C223,#REF!,17,0)</f>
        <v>#VALUE!</v>
      </c>
      <c r="S223" s="140" t="e">
        <f aca="false">VLOOKUP($C223,#REF!,18,0)</f>
        <v>#VALUE!</v>
      </c>
      <c r="T223" s="139" t="e">
        <f aca="false">VLOOKUP($C223,#REF!,19,0)</f>
        <v>#VALUE!</v>
      </c>
      <c r="U223" s="140"/>
      <c r="V223" s="138" t="e">
        <f aca="false">VLOOKUP($C223,#REF!,20,0)</f>
        <v>#VALUE!</v>
      </c>
      <c r="W223" s="140" t="e">
        <f aca="false">VLOOKUP($C223,#REF!,21,0)</f>
        <v>#VALUE!</v>
      </c>
      <c r="X223" s="138" t="e">
        <f aca="false">VLOOKUP($C223,#REF!,22,0)</f>
        <v>#VALUE!</v>
      </c>
      <c r="Y223" s="140" t="e">
        <f aca="false">VLOOKUP($C223,#REF!,23,0)</f>
        <v>#VALUE!</v>
      </c>
      <c r="Z223" s="138" t="e">
        <f aca="false">VLOOKUP($C223,#REF!,24,0)</f>
        <v>#VALUE!</v>
      </c>
      <c r="AA223" s="139" t="e">
        <f aca="false">VLOOKUP($C223,#REF!,25,0)</f>
        <v>#VALUE!</v>
      </c>
      <c r="AB223" s="140" t="e">
        <f aca="false">VLOOKUP($C223,#REF!,26,0)</f>
        <v>#VALUE!</v>
      </c>
      <c r="AC223" s="139" t="e">
        <f aca="false">VLOOKUP($C223,#REF!,27,0)</f>
        <v>#VALUE!</v>
      </c>
      <c r="AE223" s="138" t="e">
        <f aca="false">IF(M223="-","-","0,5 GB")</f>
        <v>#VALUE!</v>
      </c>
      <c r="AF223" s="141" t="s">
        <v>92</v>
      </c>
      <c r="AG223" s="141" t="s">
        <v>93</v>
      </c>
      <c r="AH223" s="139" t="s">
        <v>94</v>
      </c>
      <c r="AJ223" s="138" t="s">
        <v>95</v>
      </c>
      <c r="AK223" s="141" t="s">
        <v>96</v>
      </c>
      <c r="AL223" s="141" t="s">
        <v>97</v>
      </c>
      <c r="AM223" s="141" t="s">
        <v>98</v>
      </c>
      <c r="AN223" s="141" t="s">
        <v>98</v>
      </c>
      <c r="AO223" s="139" t="s">
        <v>92</v>
      </c>
      <c r="AQ223" s="142" t="n">
        <v>50</v>
      </c>
      <c r="AR223" s="137"/>
      <c r="AS223" s="138" t="n">
        <v>0</v>
      </c>
      <c r="AT223" s="139" t="n">
        <v>0</v>
      </c>
      <c r="AU223" s="140"/>
      <c r="AV223" s="138" t="n">
        <f aca="false">IFERROR(ROUND($D223-M223-AW223,0),0)</f>
        <v>0</v>
      </c>
      <c r="AW223" s="139" t="n">
        <f aca="false">IFERROR(N223*$G223,0)</f>
        <v>0</v>
      </c>
      <c r="AX223" s="138" t="n">
        <f aca="false">IFERROR(ROUND($D223-O223-AY223,0),0)</f>
        <v>0</v>
      </c>
      <c r="AY223" s="139" t="n">
        <f aca="false">IFERROR(P223*$G223,0)</f>
        <v>0</v>
      </c>
      <c r="AZ223" s="138" t="n">
        <f aca="false">IFERROR(ROUND($D223-Q223-BA223,0),0)</f>
        <v>0</v>
      </c>
      <c r="BA223" s="139" t="n">
        <f aca="false">IFERROR(R223*$G223,0)</f>
        <v>0</v>
      </c>
      <c r="BB223" s="140" t="n">
        <f aca="false">IFERROR(ROUND($D223-S223-BC223,0),0)</f>
        <v>0</v>
      </c>
      <c r="BC223" s="139" t="n">
        <f aca="false">IFERROR(T223*$G223,0)</f>
        <v>0</v>
      </c>
      <c r="BD223" s="140"/>
      <c r="BE223" s="138" t="n">
        <f aca="false">IFERROR(ROUND($D223-V223-BF223,0),0)</f>
        <v>0</v>
      </c>
      <c r="BF223" s="139" t="n">
        <f aca="false">IFERROR(W223*$G223,0)</f>
        <v>0</v>
      </c>
      <c r="BG223" s="138" t="n">
        <f aca="false">IFERROR(ROUND($D223-X223-BH223,0),0)</f>
        <v>0</v>
      </c>
      <c r="BH223" s="139" t="n">
        <f aca="false">IFERROR(Y223*$G223,0)</f>
        <v>0</v>
      </c>
      <c r="BI223" s="140" t="n">
        <f aca="false">IFERROR(ROUND($D223-Z223-BJ223,0),0)</f>
        <v>0</v>
      </c>
      <c r="BJ223" s="139" t="n">
        <f aca="false">IFERROR(AA223*$G223,0)</f>
        <v>0</v>
      </c>
      <c r="BK223" s="140" t="n">
        <f aca="false">IFERROR(ROUND($D223-AB223-BL223,0),0)</f>
        <v>0</v>
      </c>
      <c r="BL223" s="139" t="n">
        <f aca="false">IFERROR(AC223*$G223,0)</f>
        <v>0</v>
      </c>
      <c r="BN223" s="142" t="n">
        <v>0</v>
      </c>
      <c r="BO223" s="137"/>
      <c r="BP223" s="138" t="n">
        <v>0</v>
      </c>
      <c r="BQ223" s="139" t="n">
        <v>0</v>
      </c>
      <c r="BR223" s="140"/>
      <c r="BS223" s="138" t="n">
        <v>0</v>
      </c>
      <c r="BT223" s="139" t="n">
        <v>0</v>
      </c>
      <c r="BU223" s="138" t="n">
        <v>0</v>
      </c>
      <c r="BV223" s="139" t="n">
        <v>0</v>
      </c>
      <c r="BW223" s="138" t="n">
        <v>0</v>
      </c>
      <c r="BX223" s="139" t="n">
        <v>0</v>
      </c>
      <c r="BY223" s="138" t="n">
        <v>0</v>
      </c>
      <c r="BZ223" s="139" t="n">
        <v>0</v>
      </c>
      <c r="CA223" s="140"/>
      <c r="CB223" s="138" t="n">
        <v>0</v>
      </c>
      <c r="CC223" s="139" t="n">
        <v>0</v>
      </c>
      <c r="CD223" s="138" t="n">
        <v>0</v>
      </c>
      <c r="CE223" s="139" t="n">
        <v>0</v>
      </c>
      <c r="CF223" s="138" t="n">
        <v>0</v>
      </c>
      <c r="CG223" s="139" t="n">
        <v>0</v>
      </c>
      <c r="CH223" s="138" t="n">
        <v>0</v>
      </c>
      <c r="CI223" s="139" t="n">
        <v>0</v>
      </c>
      <c r="CK223" s="143"/>
      <c r="CL223" s="137"/>
      <c r="CM223" s="144" t="str">
        <f aca="false">IFERROR(+$H223-($J223+$K223*$G223),"-")</f>
        <v>-</v>
      </c>
      <c r="CN223" s="137"/>
      <c r="CO223" s="144" t="str">
        <f aca="false">IFERROR(+$H223-($M223+$N223*$G223),"-")</f>
        <v>-</v>
      </c>
      <c r="CP223" s="144" t="str">
        <f aca="false">IFERROR(+$H223-($O223+$P223*$G223),"-")</f>
        <v>-</v>
      </c>
      <c r="CQ223" s="144" t="str">
        <f aca="false">IFERROR(+$H223-($Q223+$R223*$G223),"-")</f>
        <v>-</v>
      </c>
      <c r="CR223" s="144" t="str">
        <f aca="false">IFERROR(+$H223-($Q223+$R223*$G223),"-")</f>
        <v>-</v>
      </c>
      <c r="CS223" s="137"/>
      <c r="CT223" s="144" t="str">
        <f aca="false">IFERROR(+$H223-($V223+$W223*$G223),"-")</f>
        <v>-</v>
      </c>
      <c r="CU223" s="144" t="str">
        <f aca="false">IFERROR(+$H223-($X223+$Y223*$G223),"-")</f>
        <v>-</v>
      </c>
      <c r="CV223" s="144" t="str">
        <f aca="false">IFERROR(+$H223-($Z223+$AA223*$G223),"-")</f>
        <v>-</v>
      </c>
      <c r="CW223" s="144" t="str">
        <f aca="false">IFERROR(+$H223-($AB223+$AC223*$G223),"-")</f>
        <v>-</v>
      </c>
    </row>
    <row r="224" s="156" customFormat="true" ht="12.75" hidden="false" customHeight="true" outlineLevel="0" collapsed="false">
      <c r="A224" s="1"/>
      <c r="B224" s="145" t="s">
        <v>310</v>
      </c>
      <c r="C224" s="146" t="s">
        <v>323</v>
      </c>
      <c r="D224" s="147" t="e">
        <f aca="false">VLOOKUP($C224,#REF!,5,0)</f>
        <v>#VALUE!</v>
      </c>
      <c r="E224" s="148" t="e">
        <f aca="false">VLOOKUP($C224,#REF!,6,0)</f>
        <v>#VALUE!</v>
      </c>
      <c r="F224" s="146" t="e">
        <f aca="false">VLOOKUP($C224,#REF!,7,0)</f>
        <v>#VALUE!</v>
      </c>
      <c r="G224" s="146" t="e">
        <f aca="false">VLOOKUP($C224,#REF!,8,0)</f>
        <v>#VALUE!</v>
      </c>
      <c r="H224" s="149" t="e">
        <f aca="false">VLOOKUP($C224,#REF!,9,0)</f>
        <v>#VALUE!</v>
      </c>
      <c r="I224" s="137"/>
      <c r="J224" s="150" t="e">
        <f aca="false">VLOOKUP($C224,#REF!,10,0)</f>
        <v>#VALUE!</v>
      </c>
      <c r="K224" s="151" t="e">
        <f aca="false">VLOOKUP($C224,#REF!,11,0)</f>
        <v>#VALUE!</v>
      </c>
      <c r="L224" s="140"/>
      <c r="M224" s="150" t="e">
        <f aca="false">VLOOKUP($C224,#REF!,12,0)</f>
        <v>#VALUE!</v>
      </c>
      <c r="N224" s="152" t="e">
        <f aca="false">VLOOKUP($C224,#REF!,13,0)</f>
        <v>#VALUE!</v>
      </c>
      <c r="O224" s="150" t="e">
        <f aca="false">VLOOKUP($C224,#REF!,14,0)</f>
        <v>#VALUE!</v>
      </c>
      <c r="P224" s="152" t="e">
        <f aca="false">VLOOKUP($C224,#REF!,15,0)</f>
        <v>#VALUE!</v>
      </c>
      <c r="Q224" s="150" t="e">
        <f aca="false">VLOOKUP($C224,#REF!,16,0)</f>
        <v>#VALUE!</v>
      </c>
      <c r="R224" s="151" t="e">
        <f aca="false">VLOOKUP($C224,#REF!,17,0)</f>
        <v>#VALUE!</v>
      </c>
      <c r="S224" s="152" t="e">
        <f aca="false">VLOOKUP($C224,#REF!,18,0)</f>
        <v>#VALUE!</v>
      </c>
      <c r="T224" s="151" t="e">
        <f aca="false">VLOOKUP($C224,#REF!,19,0)</f>
        <v>#VALUE!</v>
      </c>
      <c r="U224" s="140"/>
      <c r="V224" s="150" t="e">
        <f aca="false">VLOOKUP($C224,#REF!,20,0)</f>
        <v>#VALUE!</v>
      </c>
      <c r="W224" s="152" t="e">
        <f aca="false">VLOOKUP($C224,#REF!,21,0)</f>
        <v>#VALUE!</v>
      </c>
      <c r="X224" s="150" t="e">
        <f aca="false">VLOOKUP($C224,#REF!,22,0)</f>
        <v>#VALUE!</v>
      </c>
      <c r="Y224" s="152" t="e">
        <f aca="false">VLOOKUP($C224,#REF!,23,0)</f>
        <v>#VALUE!</v>
      </c>
      <c r="Z224" s="150" t="e">
        <f aca="false">VLOOKUP($C224,#REF!,24,0)</f>
        <v>#VALUE!</v>
      </c>
      <c r="AA224" s="151" t="e">
        <f aca="false">VLOOKUP($C224,#REF!,25,0)</f>
        <v>#VALUE!</v>
      </c>
      <c r="AB224" s="152" t="e">
        <f aca="false">VLOOKUP($C224,#REF!,26,0)</f>
        <v>#VALUE!</v>
      </c>
      <c r="AC224" s="151" t="e">
        <f aca="false">VLOOKUP($C224,#REF!,27,0)</f>
        <v>#VALUE!</v>
      </c>
      <c r="AD224" s="1"/>
      <c r="AE224" s="150" t="e">
        <f aca="false">IF(M224="-","-","0,5 GB")</f>
        <v>#VALUE!</v>
      </c>
      <c r="AF224" s="153" t="s">
        <v>92</v>
      </c>
      <c r="AG224" s="153" t="s">
        <v>93</v>
      </c>
      <c r="AH224" s="151" t="s">
        <v>94</v>
      </c>
      <c r="AI224" s="1"/>
      <c r="AJ224" s="150" t="s">
        <v>95</v>
      </c>
      <c r="AK224" s="153" t="s">
        <v>96</v>
      </c>
      <c r="AL224" s="153" t="s">
        <v>97</v>
      </c>
      <c r="AM224" s="153" t="s">
        <v>98</v>
      </c>
      <c r="AN224" s="153" t="s">
        <v>98</v>
      </c>
      <c r="AO224" s="151" t="s">
        <v>92</v>
      </c>
      <c r="AP224" s="1"/>
      <c r="AQ224" s="154" t="n">
        <v>0</v>
      </c>
      <c r="AR224" s="137"/>
      <c r="AS224" s="150" t="n">
        <v>0</v>
      </c>
      <c r="AT224" s="151" t="n">
        <v>0</v>
      </c>
      <c r="AU224" s="140"/>
      <c r="AV224" s="150" t="n">
        <f aca="false">IFERROR(ROUND($D224-M224-AW224,0),0)</f>
        <v>0</v>
      </c>
      <c r="AW224" s="151" t="n">
        <f aca="false">IFERROR(N224*$G224,0)</f>
        <v>0</v>
      </c>
      <c r="AX224" s="150" t="n">
        <f aca="false">IFERROR(ROUND($D224-O224-AY224,0),0)</f>
        <v>0</v>
      </c>
      <c r="AY224" s="151" t="n">
        <f aca="false">IFERROR(P224*$G224,0)</f>
        <v>0</v>
      </c>
      <c r="AZ224" s="150" t="n">
        <f aca="false">IFERROR(ROUND($D224-Q224-BA224,0),0)</f>
        <v>0</v>
      </c>
      <c r="BA224" s="151" t="n">
        <f aca="false">IFERROR(R224*$G224,0)</f>
        <v>0</v>
      </c>
      <c r="BB224" s="152" t="n">
        <f aca="false">IFERROR(ROUND($D224-S224-BC224,0),0)</f>
        <v>0</v>
      </c>
      <c r="BC224" s="151" t="n">
        <f aca="false">IFERROR(T224*$G224,0)</f>
        <v>0</v>
      </c>
      <c r="BD224" s="140"/>
      <c r="BE224" s="150" t="n">
        <f aca="false">IFERROR(ROUND($D224-V224-BF224,0),0)</f>
        <v>0</v>
      </c>
      <c r="BF224" s="151" t="n">
        <f aca="false">IFERROR(W224*$G224,0)</f>
        <v>0</v>
      </c>
      <c r="BG224" s="150" t="n">
        <f aca="false">IFERROR(ROUND($D224-X224-BH224,0),0)</f>
        <v>0</v>
      </c>
      <c r="BH224" s="151" t="n">
        <f aca="false">IFERROR(Y224*$G224,0)</f>
        <v>0</v>
      </c>
      <c r="BI224" s="152" t="n">
        <f aca="false">IFERROR(ROUND($D224-Z224-BJ224,0),0)</f>
        <v>0</v>
      </c>
      <c r="BJ224" s="151" t="n">
        <f aca="false">IFERROR(AA224*$G224,0)</f>
        <v>0</v>
      </c>
      <c r="BK224" s="152" t="n">
        <f aca="false">IFERROR(ROUND($D224-AB224-BL224,0),0)</f>
        <v>0</v>
      </c>
      <c r="BL224" s="151" t="n">
        <f aca="false">IFERROR(AC224*$G224,0)</f>
        <v>0</v>
      </c>
      <c r="BM224" s="1"/>
      <c r="BN224" s="154" t="n">
        <v>0</v>
      </c>
      <c r="BO224" s="155"/>
      <c r="BP224" s="150" t="n">
        <v>0</v>
      </c>
      <c r="BQ224" s="151" t="n">
        <v>0</v>
      </c>
      <c r="BR224" s="152"/>
      <c r="BS224" s="150" t="n">
        <v>0</v>
      </c>
      <c r="BT224" s="151" t="n">
        <v>0</v>
      </c>
      <c r="BU224" s="150" t="n">
        <v>0</v>
      </c>
      <c r="BV224" s="151" t="n">
        <v>0</v>
      </c>
      <c r="BW224" s="150" t="n">
        <v>0</v>
      </c>
      <c r="BX224" s="151" t="n">
        <v>0</v>
      </c>
      <c r="BY224" s="150" t="n">
        <v>0</v>
      </c>
      <c r="BZ224" s="151" t="n">
        <v>0</v>
      </c>
      <c r="CA224" s="152"/>
      <c r="CB224" s="150" t="n">
        <v>0</v>
      </c>
      <c r="CC224" s="151" t="n">
        <v>0</v>
      </c>
      <c r="CD224" s="150" t="n">
        <v>0</v>
      </c>
      <c r="CE224" s="151" t="n">
        <v>0</v>
      </c>
      <c r="CF224" s="150" t="n">
        <v>0</v>
      </c>
      <c r="CG224" s="151" t="n">
        <v>0</v>
      </c>
      <c r="CH224" s="150" t="n">
        <v>0</v>
      </c>
      <c r="CI224" s="151" t="n">
        <v>0</v>
      </c>
      <c r="CJ224" s="1"/>
      <c r="CK224" s="149"/>
      <c r="CL224" s="137"/>
      <c r="CM224" s="154" t="str">
        <f aca="false">IFERROR(+$H224-($J224+$K224*$G224),"-")</f>
        <v>-</v>
      </c>
      <c r="CN224" s="137"/>
      <c r="CO224" s="154" t="str">
        <f aca="false">IFERROR(+$H224-($M224+$N224*$G224),"-")</f>
        <v>-</v>
      </c>
      <c r="CP224" s="154" t="str">
        <f aca="false">IFERROR(+$H224-($O224+$P224*$G224),"-")</f>
        <v>-</v>
      </c>
      <c r="CQ224" s="154" t="str">
        <f aca="false">IFERROR(+$H224-($Q224+$R224*$G224),"-")</f>
        <v>-</v>
      </c>
      <c r="CR224" s="154" t="str">
        <f aca="false">IFERROR(+$H224-($Q224+$R224*$G224),"-")</f>
        <v>-</v>
      </c>
      <c r="CS224" s="137"/>
      <c r="CT224" s="154" t="str">
        <f aca="false">IFERROR(+$H224-($V224+$W224*$G224),"-")</f>
        <v>-</v>
      </c>
      <c r="CU224" s="154" t="str">
        <f aca="false">IFERROR(+$H224-($X224+$Y224*$G224),"-")</f>
        <v>-</v>
      </c>
      <c r="CV224" s="154" t="str">
        <f aca="false">IFERROR(+$H224-($Z224+$AA224*$G224),"-")</f>
        <v>-</v>
      </c>
      <c r="CW224" s="154" t="str">
        <f aca="false">IFERROR(+$H224-($AB224+$AC224*$G224),"-")</f>
        <v>-</v>
      </c>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row>
    <row r="225" s="1" customFormat="true" ht="12.75" hidden="false" customHeight="true" outlineLevel="0" collapsed="false">
      <c r="B225" s="134" t="s">
        <v>324</v>
      </c>
      <c r="C225" s="135" t="s">
        <v>325</v>
      </c>
      <c r="D225" s="136" t="e">
        <f aca="false">VLOOKUP($C225,#REF!,5,0)</f>
        <v>#VALUE!</v>
      </c>
      <c r="E225" s="157" t="e">
        <f aca="false">VLOOKUP($C225,#REF!,6,0)</f>
        <v>#VALUE!</v>
      </c>
      <c r="F225" s="135" t="e">
        <f aca="false">VLOOKUP($C225,#REF!,7,0)</f>
        <v>#VALUE!</v>
      </c>
      <c r="G225" s="135" t="e">
        <f aca="false">VLOOKUP($C225,#REF!,8,0)</f>
        <v>#VALUE!</v>
      </c>
      <c r="H225" s="158" t="e">
        <f aca="false">VLOOKUP($C225,#REF!,9,0)</f>
        <v>#VALUE!</v>
      </c>
      <c r="I225" s="137"/>
      <c r="J225" s="138" t="e">
        <f aca="false">VLOOKUP($C225,#REF!,10,0)</f>
        <v>#VALUE!</v>
      </c>
      <c r="K225" s="139" t="e">
        <f aca="false">VLOOKUP($C225,#REF!,11,0)</f>
        <v>#VALUE!</v>
      </c>
      <c r="L225" s="140"/>
      <c r="M225" s="138" t="e">
        <f aca="false">VLOOKUP($C225,#REF!,12,0)</f>
        <v>#VALUE!</v>
      </c>
      <c r="N225" s="140" t="e">
        <f aca="false">VLOOKUP($C225,#REF!,13,0)</f>
        <v>#VALUE!</v>
      </c>
      <c r="O225" s="138" t="e">
        <f aca="false">VLOOKUP($C225,#REF!,14,0)</f>
        <v>#VALUE!</v>
      </c>
      <c r="P225" s="140" t="e">
        <f aca="false">VLOOKUP($C225,#REF!,15,0)</f>
        <v>#VALUE!</v>
      </c>
      <c r="Q225" s="138" t="e">
        <f aca="false">VLOOKUP($C225,#REF!,16,0)</f>
        <v>#VALUE!</v>
      </c>
      <c r="R225" s="139" t="e">
        <f aca="false">VLOOKUP($C225,#REF!,17,0)</f>
        <v>#VALUE!</v>
      </c>
      <c r="S225" s="140" t="e">
        <f aca="false">VLOOKUP($C225,#REF!,18,0)</f>
        <v>#VALUE!</v>
      </c>
      <c r="T225" s="139" t="e">
        <f aca="false">VLOOKUP($C225,#REF!,19,0)</f>
        <v>#VALUE!</v>
      </c>
      <c r="U225" s="140"/>
      <c r="V225" s="138" t="e">
        <f aca="false">VLOOKUP($C225,#REF!,20,0)</f>
        <v>#VALUE!</v>
      </c>
      <c r="W225" s="140" t="e">
        <f aca="false">VLOOKUP($C225,#REF!,21,0)</f>
        <v>#VALUE!</v>
      </c>
      <c r="X225" s="138" t="e">
        <f aca="false">VLOOKUP($C225,#REF!,22,0)</f>
        <v>#VALUE!</v>
      </c>
      <c r="Y225" s="140" t="e">
        <f aca="false">VLOOKUP($C225,#REF!,23,0)</f>
        <v>#VALUE!</v>
      </c>
      <c r="Z225" s="138" t="e">
        <f aca="false">VLOOKUP($C225,#REF!,24,0)</f>
        <v>#VALUE!</v>
      </c>
      <c r="AA225" s="139" t="e">
        <f aca="false">VLOOKUP($C225,#REF!,25,0)</f>
        <v>#VALUE!</v>
      </c>
      <c r="AB225" s="140" t="e">
        <f aca="false">VLOOKUP($C225,#REF!,26,0)</f>
        <v>#VALUE!</v>
      </c>
      <c r="AC225" s="139" t="e">
        <f aca="false">VLOOKUP($C225,#REF!,27,0)</f>
        <v>#VALUE!</v>
      </c>
      <c r="AE225" s="138" t="e">
        <f aca="false">IF(M225="-","-","0,5 GB")</f>
        <v>#VALUE!</v>
      </c>
      <c r="AF225" s="141" t="s">
        <v>92</v>
      </c>
      <c r="AG225" s="141" t="s">
        <v>93</v>
      </c>
      <c r="AH225" s="139" t="s">
        <v>94</v>
      </c>
      <c r="AJ225" s="138" t="s">
        <v>95</v>
      </c>
      <c r="AK225" s="141" t="s">
        <v>96</v>
      </c>
      <c r="AL225" s="141" t="s">
        <v>97</v>
      </c>
      <c r="AM225" s="141" t="s">
        <v>98</v>
      </c>
      <c r="AN225" s="141" t="s">
        <v>98</v>
      </c>
      <c r="AO225" s="139" t="s">
        <v>92</v>
      </c>
      <c r="AQ225" s="142" t="n">
        <v>215</v>
      </c>
      <c r="AR225" s="137"/>
      <c r="AS225" s="138" t="n">
        <v>0</v>
      </c>
      <c r="AT225" s="139" t="n">
        <v>0</v>
      </c>
      <c r="AU225" s="140"/>
      <c r="AV225" s="138" t="n">
        <f aca="false">IFERROR(ROUND($D225-M225-AW225,0),0)</f>
        <v>0</v>
      </c>
      <c r="AW225" s="139" t="n">
        <f aca="false">IFERROR(N225*$G225,0)</f>
        <v>0</v>
      </c>
      <c r="AX225" s="138" t="n">
        <f aca="false">IFERROR(ROUND($D225-O225-AY225,0),0)</f>
        <v>0</v>
      </c>
      <c r="AY225" s="139" t="n">
        <f aca="false">IFERROR(P225*$G225,0)</f>
        <v>0</v>
      </c>
      <c r="AZ225" s="138" t="n">
        <f aca="false">IFERROR(ROUND($D225-Q225-BA225,0),0)</f>
        <v>0</v>
      </c>
      <c r="BA225" s="139" t="n">
        <f aca="false">IFERROR(R225*$G225,0)</f>
        <v>0</v>
      </c>
      <c r="BB225" s="140" t="n">
        <f aca="false">IFERROR(ROUND($D225-S225-BC225,0),0)</f>
        <v>0</v>
      </c>
      <c r="BC225" s="139" t="n">
        <f aca="false">IFERROR(T225*$G225,0)</f>
        <v>0</v>
      </c>
      <c r="BD225" s="140"/>
      <c r="BE225" s="138" t="n">
        <f aca="false">IFERROR(ROUND($D225-V225-BF225,0),0)</f>
        <v>0</v>
      </c>
      <c r="BF225" s="139" t="n">
        <f aca="false">IFERROR(W225*$G225,0)</f>
        <v>0</v>
      </c>
      <c r="BG225" s="138" t="n">
        <f aca="false">IFERROR(ROUND($D225-X225-BH225,0),0)</f>
        <v>0</v>
      </c>
      <c r="BH225" s="139" t="n">
        <f aca="false">IFERROR(Y225*$G225,0)</f>
        <v>0</v>
      </c>
      <c r="BI225" s="140" t="n">
        <f aca="false">IFERROR(ROUND($D225-Z225-BJ225,0),0)</f>
        <v>0</v>
      </c>
      <c r="BJ225" s="139" t="n">
        <f aca="false">IFERROR(AA225*$G225,0)</f>
        <v>0</v>
      </c>
      <c r="BK225" s="140" t="n">
        <f aca="false">IFERROR(ROUND($D225-AB225-BL225,0),0)</f>
        <v>0</v>
      </c>
      <c r="BL225" s="139" t="n">
        <f aca="false">IFERROR(AC225*$G225,0)</f>
        <v>0</v>
      </c>
      <c r="BN225" s="142" t="n">
        <v>0</v>
      </c>
      <c r="BO225" s="137"/>
      <c r="BP225" s="138" t="n">
        <v>0</v>
      </c>
      <c r="BQ225" s="139" t="n">
        <v>0</v>
      </c>
      <c r="BR225" s="140"/>
      <c r="BS225" s="138" t="n">
        <v>0</v>
      </c>
      <c r="BT225" s="139" t="n">
        <v>0</v>
      </c>
      <c r="BU225" s="138" t="n">
        <v>0</v>
      </c>
      <c r="BV225" s="139" t="n">
        <v>0</v>
      </c>
      <c r="BW225" s="138" t="n">
        <v>0</v>
      </c>
      <c r="BX225" s="139" t="n">
        <v>0</v>
      </c>
      <c r="BY225" s="138" t="n">
        <v>0</v>
      </c>
      <c r="BZ225" s="139" t="n">
        <v>0</v>
      </c>
      <c r="CA225" s="140"/>
      <c r="CB225" s="138" t="n">
        <v>0</v>
      </c>
      <c r="CC225" s="139" t="n">
        <v>0</v>
      </c>
      <c r="CD225" s="138" t="n">
        <v>0</v>
      </c>
      <c r="CE225" s="139" t="n">
        <v>0</v>
      </c>
      <c r="CF225" s="138" t="n">
        <v>0</v>
      </c>
      <c r="CG225" s="139" t="n">
        <v>0</v>
      </c>
      <c r="CH225" s="138" t="n">
        <v>0</v>
      </c>
      <c r="CI225" s="139" t="n">
        <v>0</v>
      </c>
      <c r="CK225" s="143"/>
      <c r="CL225" s="137"/>
      <c r="CM225" s="144" t="str">
        <f aca="false">IFERROR(+$H225-($J225+$K225*$G225),"-")</f>
        <v>-</v>
      </c>
      <c r="CN225" s="137"/>
      <c r="CO225" s="144" t="str">
        <f aca="false">IFERROR(+$H225-($M225+$N225*$G225),"-")</f>
        <v>-</v>
      </c>
      <c r="CP225" s="144" t="str">
        <f aca="false">IFERROR(+$H225-($O225+$P225*$G225),"-")</f>
        <v>-</v>
      </c>
      <c r="CQ225" s="144" t="str">
        <f aca="false">IFERROR(+$H225-($Q225+$R225*$G225),"-")</f>
        <v>-</v>
      </c>
      <c r="CR225" s="144" t="str">
        <f aca="false">IFERROR(+$H225-($Q225+$R225*$G225),"-")</f>
        <v>-</v>
      </c>
      <c r="CS225" s="137"/>
      <c r="CT225" s="144" t="str">
        <f aca="false">IFERROR(+$H225-($V225+$W225*$G225),"-")</f>
        <v>-</v>
      </c>
      <c r="CU225" s="144" t="str">
        <f aca="false">IFERROR(+$H225-($X225+$Y225*$G225),"-")</f>
        <v>-</v>
      </c>
      <c r="CV225" s="144" t="str">
        <f aca="false">IFERROR(+$H225-($Z225+$AA225*$G225),"-")</f>
        <v>-</v>
      </c>
      <c r="CW225" s="144" t="str">
        <f aca="false">IFERROR(+$H225-($AB225+$AC225*$G225),"-")</f>
        <v>-</v>
      </c>
    </row>
    <row r="226" s="156" customFormat="true" ht="12.75" hidden="false" customHeight="true" outlineLevel="0" collapsed="false">
      <c r="A226" s="1"/>
      <c r="B226" s="145" t="s">
        <v>326</v>
      </c>
      <c r="C226" s="146" t="s">
        <v>327</v>
      </c>
      <c r="D226" s="147" t="e">
        <f aca="false">VLOOKUP($C226,#REF!,5,0)</f>
        <v>#VALUE!</v>
      </c>
      <c r="E226" s="148" t="e">
        <f aca="false">VLOOKUP($C226,#REF!,6,0)</f>
        <v>#VALUE!</v>
      </c>
      <c r="F226" s="146" t="e">
        <f aca="false">VLOOKUP($C226,#REF!,7,0)</f>
        <v>#VALUE!</v>
      </c>
      <c r="G226" s="146" t="e">
        <f aca="false">VLOOKUP($C226,#REF!,8,0)</f>
        <v>#VALUE!</v>
      </c>
      <c r="H226" s="149" t="e">
        <f aca="false">VLOOKUP($C226,#REF!,9,0)</f>
        <v>#VALUE!</v>
      </c>
      <c r="I226" s="137"/>
      <c r="J226" s="150" t="e">
        <f aca="false">VLOOKUP($C226,#REF!,10,0)</f>
        <v>#VALUE!</v>
      </c>
      <c r="K226" s="151" t="e">
        <f aca="false">VLOOKUP($C226,#REF!,11,0)</f>
        <v>#VALUE!</v>
      </c>
      <c r="L226" s="140"/>
      <c r="M226" s="150" t="e">
        <f aca="false">VLOOKUP($C226,#REF!,12,0)</f>
        <v>#VALUE!</v>
      </c>
      <c r="N226" s="152" t="e">
        <f aca="false">VLOOKUP($C226,#REF!,13,0)</f>
        <v>#VALUE!</v>
      </c>
      <c r="O226" s="150" t="e">
        <f aca="false">VLOOKUP($C226,#REF!,14,0)</f>
        <v>#VALUE!</v>
      </c>
      <c r="P226" s="152" t="e">
        <f aca="false">VLOOKUP($C226,#REF!,15,0)</f>
        <v>#VALUE!</v>
      </c>
      <c r="Q226" s="150" t="e">
        <f aca="false">VLOOKUP($C226,#REF!,16,0)</f>
        <v>#VALUE!</v>
      </c>
      <c r="R226" s="151" t="e">
        <f aca="false">VLOOKUP($C226,#REF!,17,0)</f>
        <v>#VALUE!</v>
      </c>
      <c r="S226" s="152" t="e">
        <f aca="false">VLOOKUP($C226,#REF!,18,0)</f>
        <v>#VALUE!</v>
      </c>
      <c r="T226" s="151" t="e">
        <f aca="false">VLOOKUP($C226,#REF!,19,0)</f>
        <v>#VALUE!</v>
      </c>
      <c r="U226" s="140"/>
      <c r="V226" s="150" t="e">
        <f aca="false">VLOOKUP($C226,#REF!,20,0)</f>
        <v>#VALUE!</v>
      </c>
      <c r="W226" s="152" t="e">
        <f aca="false">VLOOKUP($C226,#REF!,21,0)</f>
        <v>#VALUE!</v>
      </c>
      <c r="X226" s="150" t="e">
        <f aca="false">VLOOKUP($C226,#REF!,22,0)</f>
        <v>#VALUE!</v>
      </c>
      <c r="Y226" s="152" t="e">
        <f aca="false">VLOOKUP($C226,#REF!,23,0)</f>
        <v>#VALUE!</v>
      </c>
      <c r="Z226" s="150" t="e">
        <f aca="false">VLOOKUP($C226,#REF!,24,0)</f>
        <v>#VALUE!</v>
      </c>
      <c r="AA226" s="151" t="e">
        <f aca="false">VLOOKUP($C226,#REF!,25,0)</f>
        <v>#VALUE!</v>
      </c>
      <c r="AB226" s="152" t="e">
        <f aca="false">VLOOKUP($C226,#REF!,26,0)</f>
        <v>#VALUE!</v>
      </c>
      <c r="AC226" s="151" t="e">
        <f aca="false">VLOOKUP($C226,#REF!,27,0)</f>
        <v>#VALUE!</v>
      </c>
      <c r="AD226" s="1"/>
      <c r="AE226" s="150" t="e">
        <f aca="false">IF(M226="-","-","0,5 GB")</f>
        <v>#VALUE!</v>
      </c>
      <c r="AF226" s="153" t="s">
        <v>92</v>
      </c>
      <c r="AG226" s="153" t="s">
        <v>93</v>
      </c>
      <c r="AH226" s="151" t="s">
        <v>94</v>
      </c>
      <c r="AI226" s="1"/>
      <c r="AJ226" s="150" t="s">
        <v>95</v>
      </c>
      <c r="AK226" s="153" t="s">
        <v>96</v>
      </c>
      <c r="AL226" s="153" t="s">
        <v>97</v>
      </c>
      <c r="AM226" s="153" t="s">
        <v>98</v>
      </c>
      <c r="AN226" s="153" t="s">
        <v>98</v>
      </c>
      <c r="AO226" s="151" t="s">
        <v>92</v>
      </c>
      <c r="AP226" s="1"/>
      <c r="AQ226" s="154" t="n">
        <v>372</v>
      </c>
      <c r="AR226" s="137"/>
      <c r="AS226" s="150" t="n">
        <v>0</v>
      </c>
      <c r="AT226" s="151" t="n">
        <v>0</v>
      </c>
      <c r="AU226" s="140"/>
      <c r="AV226" s="150" t="n">
        <f aca="false">IFERROR(ROUND($D226-M226-AW226,0),0)</f>
        <v>0</v>
      </c>
      <c r="AW226" s="151" t="n">
        <f aca="false">IFERROR(N226*$G226,0)</f>
        <v>0</v>
      </c>
      <c r="AX226" s="150" t="n">
        <f aca="false">IFERROR(ROUND($D226-O226-AY226,0),0)</f>
        <v>0</v>
      </c>
      <c r="AY226" s="151" t="n">
        <f aca="false">IFERROR(P226*$G226,0)</f>
        <v>0</v>
      </c>
      <c r="AZ226" s="150" t="n">
        <f aca="false">IFERROR(ROUND($D226-Q226-BA226,0),0)</f>
        <v>0</v>
      </c>
      <c r="BA226" s="151" t="n">
        <f aca="false">IFERROR(R226*$G226,0)</f>
        <v>0</v>
      </c>
      <c r="BB226" s="152" t="n">
        <f aca="false">IFERROR(ROUND($D226-S226-BC226,0),0)</f>
        <v>0</v>
      </c>
      <c r="BC226" s="151" t="n">
        <f aca="false">IFERROR(T226*$G226,0)</f>
        <v>0</v>
      </c>
      <c r="BD226" s="140"/>
      <c r="BE226" s="150" t="n">
        <f aca="false">IFERROR(ROUND($D226-V226-BF226,0),0)</f>
        <v>0</v>
      </c>
      <c r="BF226" s="151" t="n">
        <f aca="false">IFERROR(W226*$G226,0)</f>
        <v>0</v>
      </c>
      <c r="BG226" s="150" t="n">
        <f aca="false">IFERROR(ROUND($D226-X226-BH226,0),0)</f>
        <v>0</v>
      </c>
      <c r="BH226" s="151" t="n">
        <f aca="false">IFERROR(Y226*$G226,0)</f>
        <v>0</v>
      </c>
      <c r="BI226" s="152" t="n">
        <f aca="false">IFERROR(ROUND($D226-Z226-BJ226,0),0)</f>
        <v>0</v>
      </c>
      <c r="BJ226" s="151" t="n">
        <f aca="false">IFERROR(AA226*$G226,0)</f>
        <v>0</v>
      </c>
      <c r="BK226" s="152" t="n">
        <f aca="false">IFERROR(ROUND($D226-AB226-BL226,0),0)</f>
        <v>0</v>
      </c>
      <c r="BL226" s="151" t="n">
        <f aca="false">IFERROR(AC226*$G226,0)</f>
        <v>0</v>
      </c>
      <c r="BM226" s="1"/>
      <c r="BN226" s="154" t="n">
        <v>0</v>
      </c>
      <c r="BO226" s="155"/>
      <c r="BP226" s="150" t="n">
        <v>0</v>
      </c>
      <c r="BQ226" s="151" t="n">
        <v>0</v>
      </c>
      <c r="BR226" s="152"/>
      <c r="BS226" s="150" t="n">
        <v>0</v>
      </c>
      <c r="BT226" s="151" t="n">
        <v>0</v>
      </c>
      <c r="BU226" s="150" t="n">
        <v>0</v>
      </c>
      <c r="BV226" s="151" t="n">
        <v>0</v>
      </c>
      <c r="BW226" s="150" t="n">
        <v>0</v>
      </c>
      <c r="BX226" s="151" t="n">
        <v>-2</v>
      </c>
      <c r="BY226" s="150" t="n">
        <v>0</v>
      </c>
      <c r="BZ226" s="151" t="n">
        <v>-2</v>
      </c>
      <c r="CA226" s="152"/>
      <c r="CB226" s="150" t="n">
        <v>0</v>
      </c>
      <c r="CC226" s="151" t="n">
        <v>0</v>
      </c>
      <c r="CD226" s="150" t="n">
        <v>0</v>
      </c>
      <c r="CE226" s="151" t="n">
        <v>0</v>
      </c>
      <c r="CF226" s="150" t="n">
        <v>0</v>
      </c>
      <c r="CG226" s="151" t="n">
        <v>-3</v>
      </c>
      <c r="CH226" s="150" t="n">
        <v>0</v>
      </c>
      <c r="CI226" s="151" t="n">
        <v>-3</v>
      </c>
      <c r="CJ226" s="1"/>
      <c r="CK226" s="149"/>
      <c r="CL226" s="137"/>
      <c r="CM226" s="154" t="str">
        <f aca="false">IFERROR(+$H226-($J226+$K226*$G226),"-")</f>
        <v>-</v>
      </c>
      <c r="CN226" s="137"/>
      <c r="CO226" s="154" t="str">
        <f aca="false">IFERROR(+$H226-($M226+$N226*$G226),"-")</f>
        <v>-</v>
      </c>
      <c r="CP226" s="154" t="str">
        <f aca="false">IFERROR(+$H226-($O226+$P226*$G226),"-")</f>
        <v>-</v>
      </c>
      <c r="CQ226" s="154" t="str">
        <f aca="false">IFERROR(+$H226-($Q226+$R226*$G226),"-")</f>
        <v>-</v>
      </c>
      <c r="CR226" s="154" t="str">
        <f aca="false">IFERROR(+$H226-($Q226+$R226*$G226),"-")</f>
        <v>-</v>
      </c>
      <c r="CS226" s="137"/>
      <c r="CT226" s="154" t="str">
        <f aca="false">IFERROR(+$H226-($V226+$W226*$G226),"-")</f>
        <v>-</v>
      </c>
      <c r="CU226" s="154" t="str">
        <f aca="false">IFERROR(+$H226-($X226+$Y226*$G226),"-")</f>
        <v>-</v>
      </c>
      <c r="CV226" s="154" t="str">
        <f aca="false">IFERROR(+$H226-($Z226+$AA226*$G226),"-")</f>
        <v>-</v>
      </c>
      <c r="CW226" s="154" t="str">
        <f aca="false">IFERROR(+$H226-($AB226+$AC226*$G226),"-")</f>
        <v>-</v>
      </c>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row>
    <row r="227" s="1" customFormat="true" ht="12.75" hidden="false" customHeight="true" outlineLevel="0" collapsed="false">
      <c r="B227" s="134" t="s">
        <v>112</v>
      </c>
      <c r="C227" s="135" t="s">
        <v>328</v>
      </c>
      <c r="D227" s="136" t="e">
        <f aca="false">VLOOKUP($C227,#REF!,5,0)</f>
        <v>#VALUE!</v>
      </c>
      <c r="E227" s="157" t="e">
        <f aca="false">VLOOKUP($C227,#REF!,6,0)</f>
        <v>#VALUE!</v>
      </c>
      <c r="F227" s="135" t="e">
        <f aca="false">VLOOKUP($C227,#REF!,7,0)</f>
        <v>#VALUE!</v>
      </c>
      <c r="G227" s="135" t="e">
        <f aca="false">VLOOKUP($C227,#REF!,8,0)</f>
        <v>#VALUE!</v>
      </c>
      <c r="H227" s="158" t="e">
        <f aca="false">VLOOKUP($C227,#REF!,9,0)</f>
        <v>#VALUE!</v>
      </c>
      <c r="I227" s="137"/>
      <c r="J227" s="138" t="e">
        <f aca="false">VLOOKUP($C227,#REF!,10,0)</f>
        <v>#VALUE!</v>
      </c>
      <c r="K227" s="139" t="e">
        <f aca="false">VLOOKUP($C227,#REF!,11,0)</f>
        <v>#VALUE!</v>
      </c>
      <c r="L227" s="140"/>
      <c r="M227" s="138" t="e">
        <f aca="false">VLOOKUP($C227,#REF!,12,0)</f>
        <v>#VALUE!</v>
      </c>
      <c r="N227" s="140" t="e">
        <f aca="false">VLOOKUP($C227,#REF!,13,0)</f>
        <v>#VALUE!</v>
      </c>
      <c r="O227" s="138" t="e">
        <f aca="false">VLOOKUP($C227,#REF!,14,0)</f>
        <v>#VALUE!</v>
      </c>
      <c r="P227" s="140" t="e">
        <f aca="false">VLOOKUP($C227,#REF!,15,0)</f>
        <v>#VALUE!</v>
      </c>
      <c r="Q227" s="138" t="e">
        <f aca="false">VLOOKUP($C227,#REF!,16,0)</f>
        <v>#VALUE!</v>
      </c>
      <c r="R227" s="139" t="e">
        <f aca="false">VLOOKUP($C227,#REF!,17,0)</f>
        <v>#VALUE!</v>
      </c>
      <c r="S227" s="140" t="e">
        <f aca="false">VLOOKUP($C227,#REF!,18,0)</f>
        <v>#VALUE!</v>
      </c>
      <c r="T227" s="139" t="e">
        <f aca="false">VLOOKUP($C227,#REF!,19,0)</f>
        <v>#VALUE!</v>
      </c>
      <c r="U227" s="140"/>
      <c r="V227" s="138" t="e">
        <f aca="false">VLOOKUP($C227,#REF!,20,0)</f>
        <v>#VALUE!</v>
      </c>
      <c r="W227" s="140" t="e">
        <f aca="false">VLOOKUP($C227,#REF!,21,0)</f>
        <v>#VALUE!</v>
      </c>
      <c r="X227" s="138" t="e">
        <f aca="false">VLOOKUP($C227,#REF!,22,0)</f>
        <v>#VALUE!</v>
      </c>
      <c r="Y227" s="140" t="e">
        <f aca="false">VLOOKUP($C227,#REF!,23,0)</f>
        <v>#VALUE!</v>
      </c>
      <c r="Z227" s="138" t="e">
        <f aca="false">VLOOKUP($C227,#REF!,24,0)</f>
        <v>#VALUE!</v>
      </c>
      <c r="AA227" s="139" t="e">
        <f aca="false">VLOOKUP($C227,#REF!,25,0)</f>
        <v>#VALUE!</v>
      </c>
      <c r="AB227" s="140" t="e">
        <f aca="false">VLOOKUP($C227,#REF!,26,0)</f>
        <v>#VALUE!</v>
      </c>
      <c r="AC227" s="139" t="e">
        <f aca="false">VLOOKUP($C227,#REF!,27,0)</f>
        <v>#VALUE!</v>
      </c>
      <c r="AE227" s="138" t="e">
        <f aca="false">IF(M227="-","-","0,5 GB")</f>
        <v>#VALUE!</v>
      </c>
      <c r="AF227" s="141" t="s">
        <v>92</v>
      </c>
      <c r="AG227" s="141" t="s">
        <v>93</v>
      </c>
      <c r="AH227" s="139" t="s">
        <v>94</v>
      </c>
      <c r="AJ227" s="138" t="s">
        <v>95</v>
      </c>
      <c r="AK227" s="141" t="s">
        <v>96</v>
      </c>
      <c r="AL227" s="141" t="s">
        <v>97</v>
      </c>
      <c r="AM227" s="141" t="s">
        <v>98</v>
      </c>
      <c r="AN227" s="141" t="s">
        <v>98</v>
      </c>
      <c r="AO227" s="139" t="s">
        <v>92</v>
      </c>
      <c r="AQ227" s="142" t="n">
        <v>16</v>
      </c>
      <c r="AR227" s="137"/>
      <c r="AS227" s="138" t="n">
        <v>0</v>
      </c>
      <c r="AT227" s="139" t="n">
        <v>0</v>
      </c>
      <c r="AU227" s="140"/>
      <c r="AV227" s="138" t="n">
        <f aca="false">IFERROR(ROUND($D227-M227-AW227,0),0)</f>
        <v>0</v>
      </c>
      <c r="AW227" s="139" t="n">
        <f aca="false">IFERROR(N227*$G227,0)</f>
        <v>0</v>
      </c>
      <c r="AX227" s="138" t="n">
        <f aca="false">IFERROR(ROUND($D227-O227-AY227,0),0)</f>
        <v>0</v>
      </c>
      <c r="AY227" s="139" t="n">
        <f aca="false">IFERROR(P227*$G227,0)</f>
        <v>0</v>
      </c>
      <c r="AZ227" s="138" t="n">
        <f aca="false">IFERROR(ROUND($D227-Q227-BA227,0),0)</f>
        <v>0</v>
      </c>
      <c r="BA227" s="139" t="n">
        <f aca="false">IFERROR(R227*$G227,0)</f>
        <v>0</v>
      </c>
      <c r="BB227" s="140" t="n">
        <f aca="false">IFERROR(ROUND($D227-S227-BC227,0),0)</f>
        <v>0</v>
      </c>
      <c r="BC227" s="139" t="n">
        <f aca="false">IFERROR(T227*$G227,0)</f>
        <v>0</v>
      </c>
      <c r="BD227" s="140"/>
      <c r="BE227" s="138" t="n">
        <f aca="false">IFERROR(ROUND($D227-V227-BF227,0),0)</f>
        <v>0</v>
      </c>
      <c r="BF227" s="139" t="n">
        <f aca="false">IFERROR(W227*$G227,0)</f>
        <v>0</v>
      </c>
      <c r="BG227" s="138" t="n">
        <f aca="false">IFERROR(ROUND($D227-X227-BH227,0),0)</f>
        <v>0</v>
      </c>
      <c r="BH227" s="139" t="n">
        <f aca="false">IFERROR(Y227*$G227,0)</f>
        <v>0</v>
      </c>
      <c r="BI227" s="140" t="n">
        <f aca="false">IFERROR(ROUND($D227-Z227-BJ227,0),0)</f>
        <v>0</v>
      </c>
      <c r="BJ227" s="139" t="n">
        <f aca="false">IFERROR(AA227*$G227,0)</f>
        <v>0</v>
      </c>
      <c r="BK227" s="140" t="n">
        <f aca="false">IFERROR(ROUND($D227-AB227-BL227,0),0)</f>
        <v>0</v>
      </c>
      <c r="BL227" s="139" t="n">
        <f aca="false">IFERROR(AC227*$G227,0)</f>
        <v>0</v>
      </c>
      <c r="BN227" s="142" t="n">
        <v>-16.53</v>
      </c>
      <c r="BO227" s="137"/>
      <c r="BP227" s="138" t="n">
        <v>-16.53</v>
      </c>
      <c r="BQ227" s="139" t="n">
        <v>0</v>
      </c>
      <c r="BR227" s="140"/>
      <c r="BS227" s="138" t="n">
        <v>0</v>
      </c>
      <c r="BT227" s="139" t="n">
        <v>0</v>
      </c>
      <c r="BU227" s="138" t="n">
        <v>0</v>
      </c>
      <c r="BV227" s="139" t="n">
        <v>0</v>
      </c>
      <c r="BW227" s="138" t="n">
        <v>0</v>
      </c>
      <c r="BX227" s="139" t="n">
        <v>-2</v>
      </c>
      <c r="BY227" s="138" t="n">
        <v>0</v>
      </c>
      <c r="BZ227" s="139" t="n">
        <v>-2</v>
      </c>
      <c r="CA227" s="140"/>
      <c r="CB227" s="138" t="n">
        <v>0</v>
      </c>
      <c r="CC227" s="139" t="n">
        <v>0</v>
      </c>
      <c r="CD227" s="138" t="n">
        <v>0</v>
      </c>
      <c r="CE227" s="139" t="n">
        <v>0</v>
      </c>
      <c r="CF227" s="138" t="n">
        <v>0</v>
      </c>
      <c r="CG227" s="139" t="n">
        <v>-2</v>
      </c>
      <c r="CH227" s="138" t="n">
        <v>0</v>
      </c>
      <c r="CI227" s="139" t="n">
        <v>-2</v>
      </c>
      <c r="CK227" s="143"/>
      <c r="CL227" s="137"/>
      <c r="CM227" s="144" t="str">
        <f aca="false">IFERROR(+$H227-($J227+$K227*$G227),"-")</f>
        <v>-</v>
      </c>
      <c r="CN227" s="137"/>
      <c r="CO227" s="144" t="str">
        <f aca="false">IFERROR(+$H227-($M227+$N227*$G227),"-")</f>
        <v>-</v>
      </c>
      <c r="CP227" s="144" t="str">
        <f aca="false">IFERROR(+$H227-($O227+$P227*$G227),"-")</f>
        <v>-</v>
      </c>
      <c r="CQ227" s="144" t="str">
        <f aca="false">IFERROR(+$H227-($Q227+$R227*$G227),"-")</f>
        <v>-</v>
      </c>
      <c r="CR227" s="144" t="str">
        <f aca="false">IFERROR(+$H227-($Q227+$R227*$G227),"-")</f>
        <v>-</v>
      </c>
      <c r="CS227" s="137"/>
      <c r="CT227" s="144" t="str">
        <f aca="false">IFERROR(+$H227-($V227+$W227*$G227),"-")</f>
        <v>-</v>
      </c>
      <c r="CU227" s="144" t="str">
        <f aca="false">IFERROR(+$H227-($X227+$Y227*$G227),"-")</f>
        <v>-</v>
      </c>
      <c r="CV227" s="144" t="str">
        <f aca="false">IFERROR(+$H227-($Z227+$AA227*$G227),"-")</f>
        <v>-</v>
      </c>
      <c r="CW227" s="144" t="str">
        <f aca="false">IFERROR(+$H227-($AB227+$AC227*$G227),"-")</f>
        <v>-</v>
      </c>
    </row>
    <row r="228" s="156" customFormat="true" ht="12.75" hidden="false" customHeight="true" outlineLevel="0" collapsed="false">
      <c r="A228" s="1"/>
      <c r="B228" s="145" t="s">
        <v>190</v>
      </c>
      <c r="C228" s="146" t="s">
        <v>329</v>
      </c>
      <c r="D228" s="147" t="e">
        <f aca="false">VLOOKUP($C228,#REF!,5,0)</f>
        <v>#VALUE!</v>
      </c>
      <c r="E228" s="148" t="e">
        <f aca="false">VLOOKUP($C228,#REF!,6,0)</f>
        <v>#VALUE!</v>
      </c>
      <c r="F228" s="146" t="e">
        <f aca="false">VLOOKUP($C228,#REF!,7,0)</f>
        <v>#VALUE!</v>
      </c>
      <c r="G228" s="146" t="e">
        <f aca="false">VLOOKUP($C228,#REF!,8,0)</f>
        <v>#VALUE!</v>
      </c>
      <c r="H228" s="149" t="e">
        <f aca="false">VLOOKUP($C228,#REF!,9,0)</f>
        <v>#VALUE!</v>
      </c>
      <c r="I228" s="137"/>
      <c r="J228" s="150" t="e">
        <f aca="false">VLOOKUP($C228,#REF!,10,0)</f>
        <v>#VALUE!</v>
      </c>
      <c r="K228" s="151" t="e">
        <f aca="false">VLOOKUP($C228,#REF!,11,0)</f>
        <v>#VALUE!</v>
      </c>
      <c r="L228" s="140"/>
      <c r="M228" s="150" t="e">
        <f aca="false">VLOOKUP($C228,#REF!,12,0)</f>
        <v>#VALUE!</v>
      </c>
      <c r="N228" s="152" t="e">
        <f aca="false">VLOOKUP($C228,#REF!,13,0)</f>
        <v>#VALUE!</v>
      </c>
      <c r="O228" s="150" t="e">
        <f aca="false">VLOOKUP($C228,#REF!,14,0)</f>
        <v>#VALUE!</v>
      </c>
      <c r="P228" s="152" t="e">
        <f aca="false">VLOOKUP($C228,#REF!,15,0)</f>
        <v>#VALUE!</v>
      </c>
      <c r="Q228" s="150" t="e">
        <f aca="false">VLOOKUP($C228,#REF!,16,0)</f>
        <v>#VALUE!</v>
      </c>
      <c r="R228" s="151" t="e">
        <f aca="false">VLOOKUP($C228,#REF!,17,0)</f>
        <v>#VALUE!</v>
      </c>
      <c r="S228" s="152" t="e">
        <f aca="false">VLOOKUP($C228,#REF!,18,0)</f>
        <v>#VALUE!</v>
      </c>
      <c r="T228" s="151" t="e">
        <f aca="false">VLOOKUP($C228,#REF!,19,0)</f>
        <v>#VALUE!</v>
      </c>
      <c r="U228" s="140"/>
      <c r="V228" s="150" t="e">
        <f aca="false">VLOOKUP($C228,#REF!,20,0)</f>
        <v>#VALUE!</v>
      </c>
      <c r="W228" s="152" t="e">
        <f aca="false">VLOOKUP($C228,#REF!,21,0)</f>
        <v>#VALUE!</v>
      </c>
      <c r="X228" s="150" t="e">
        <f aca="false">VLOOKUP($C228,#REF!,22,0)</f>
        <v>#VALUE!</v>
      </c>
      <c r="Y228" s="152" t="e">
        <f aca="false">VLOOKUP($C228,#REF!,23,0)</f>
        <v>#VALUE!</v>
      </c>
      <c r="Z228" s="150" t="e">
        <f aca="false">VLOOKUP($C228,#REF!,24,0)</f>
        <v>#VALUE!</v>
      </c>
      <c r="AA228" s="151" t="e">
        <f aca="false">VLOOKUP($C228,#REF!,25,0)</f>
        <v>#VALUE!</v>
      </c>
      <c r="AB228" s="152" t="e">
        <f aca="false">VLOOKUP($C228,#REF!,26,0)</f>
        <v>#VALUE!</v>
      </c>
      <c r="AC228" s="151" t="e">
        <f aca="false">VLOOKUP($C228,#REF!,27,0)</f>
        <v>#VALUE!</v>
      </c>
      <c r="AD228" s="1"/>
      <c r="AE228" s="150" t="e">
        <f aca="false">IF(M228="-","-","0,5 GB")</f>
        <v>#VALUE!</v>
      </c>
      <c r="AF228" s="153" t="s">
        <v>92</v>
      </c>
      <c r="AG228" s="153" t="s">
        <v>93</v>
      </c>
      <c r="AH228" s="151" t="s">
        <v>94</v>
      </c>
      <c r="AI228" s="1"/>
      <c r="AJ228" s="150" t="s">
        <v>95</v>
      </c>
      <c r="AK228" s="153" t="s">
        <v>96</v>
      </c>
      <c r="AL228" s="153" t="s">
        <v>97</v>
      </c>
      <c r="AM228" s="153" t="s">
        <v>98</v>
      </c>
      <c r="AN228" s="153" t="s">
        <v>98</v>
      </c>
      <c r="AO228" s="151" t="s">
        <v>92</v>
      </c>
      <c r="AP228" s="1"/>
      <c r="AQ228" s="154"/>
      <c r="AR228" s="137"/>
      <c r="AS228" s="150" t="n">
        <v>0</v>
      </c>
      <c r="AT228" s="151" t="n">
        <v>0</v>
      </c>
      <c r="AU228" s="140"/>
      <c r="AV228" s="150" t="n">
        <f aca="false">IFERROR(ROUND($D228-M228-AW228,0),0)</f>
        <v>0</v>
      </c>
      <c r="AW228" s="151" t="n">
        <f aca="false">IFERROR(N228*$G228,0)</f>
        <v>0</v>
      </c>
      <c r="AX228" s="150" t="n">
        <f aca="false">IFERROR(ROUND($D228-O228-AY228,0),0)</f>
        <v>0</v>
      </c>
      <c r="AY228" s="151" t="n">
        <f aca="false">IFERROR(P228*$G228,0)</f>
        <v>0</v>
      </c>
      <c r="AZ228" s="150" t="n">
        <f aca="false">IFERROR(ROUND($D228-Q228-BA228,0),0)</f>
        <v>0</v>
      </c>
      <c r="BA228" s="151" t="n">
        <f aca="false">IFERROR(R228*$G228,0)</f>
        <v>0</v>
      </c>
      <c r="BB228" s="152" t="n">
        <f aca="false">IFERROR(ROUND($D228-S228-BC228,0),0)</f>
        <v>0</v>
      </c>
      <c r="BC228" s="151" t="n">
        <f aca="false">IFERROR(T228*$G228,0)</f>
        <v>0</v>
      </c>
      <c r="BD228" s="140"/>
      <c r="BE228" s="150" t="n">
        <f aca="false">IFERROR(ROUND($D228-V228-BF228,0),0)</f>
        <v>0</v>
      </c>
      <c r="BF228" s="151" t="n">
        <f aca="false">IFERROR(W228*$G228,0)</f>
        <v>0</v>
      </c>
      <c r="BG228" s="150" t="n">
        <f aca="false">IFERROR(ROUND($D228-X228-BH228,0),0)</f>
        <v>0</v>
      </c>
      <c r="BH228" s="151" t="n">
        <f aca="false">IFERROR(Y228*$G228,0)</f>
        <v>0</v>
      </c>
      <c r="BI228" s="152" t="n">
        <f aca="false">IFERROR(ROUND($D228-Z228-BJ228,0),0)</f>
        <v>0</v>
      </c>
      <c r="BJ228" s="151" t="n">
        <f aca="false">IFERROR(AA228*$G228,0)</f>
        <v>0</v>
      </c>
      <c r="BK228" s="152" t="n">
        <f aca="false">IFERROR(ROUND($D228-AB228-BL228,0),0)</f>
        <v>0</v>
      </c>
      <c r="BL228" s="151" t="n">
        <f aca="false">IFERROR(AC228*$G228,0)</f>
        <v>0</v>
      </c>
      <c r="BM228" s="1"/>
      <c r="BN228" s="154"/>
      <c r="BO228" s="155"/>
      <c r="BP228" s="150"/>
      <c r="BQ228" s="151"/>
      <c r="BR228" s="152"/>
      <c r="BS228" s="150"/>
      <c r="BT228" s="151"/>
      <c r="BU228" s="150"/>
      <c r="BV228" s="151"/>
      <c r="BW228" s="150"/>
      <c r="BX228" s="151"/>
      <c r="BY228" s="150"/>
      <c r="BZ228" s="151"/>
      <c r="CA228" s="152"/>
      <c r="CB228" s="150"/>
      <c r="CC228" s="151"/>
      <c r="CD228" s="150"/>
      <c r="CE228" s="151"/>
      <c r="CF228" s="150"/>
      <c r="CG228" s="151"/>
      <c r="CH228" s="150"/>
      <c r="CI228" s="151"/>
      <c r="CJ228" s="1"/>
      <c r="CK228" s="149"/>
      <c r="CL228" s="137"/>
      <c r="CM228" s="154" t="str">
        <f aca="false">IFERROR(+$H228-($J228+$K228*$G228),"-")</f>
        <v>-</v>
      </c>
      <c r="CN228" s="137"/>
      <c r="CO228" s="154" t="str">
        <f aca="false">IFERROR(+$H228-($M228+$N228*$G228),"-")</f>
        <v>-</v>
      </c>
      <c r="CP228" s="154" t="str">
        <f aca="false">IFERROR(+$H228-($O228+$P228*$G228),"-")</f>
        <v>-</v>
      </c>
      <c r="CQ228" s="154" t="str">
        <f aca="false">IFERROR(+$H228-($Q228+$R228*$G228),"-")</f>
        <v>-</v>
      </c>
      <c r="CR228" s="154" t="str">
        <f aca="false">IFERROR(+$H228-($Q228+$R228*$G228),"-")</f>
        <v>-</v>
      </c>
      <c r="CS228" s="137"/>
      <c r="CT228" s="154" t="str">
        <f aca="false">IFERROR(+$H228-($V228+$W228*$G228),"-")</f>
        <v>-</v>
      </c>
      <c r="CU228" s="154" t="str">
        <f aca="false">IFERROR(+$H228-($X228+$Y228*$G228),"-")</f>
        <v>-</v>
      </c>
      <c r="CV228" s="154" t="str">
        <f aca="false">IFERROR(+$H228-($Z228+$AA228*$G228),"-")</f>
        <v>-</v>
      </c>
      <c r="CW228" s="154" t="str">
        <f aca="false">IFERROR(+$H228-($AB228+$AC228*$G228),"-")</f>
        <v>-</v>
      </c>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row>
    <row r="229" s="1" customFormat="true" ht="12.75" hidden="false" customHeight="true" outlineLevel="0" collapsed="false">
      <c r="B229" s="134" t="s">
        <v>330</v>
      </c>
      <c r="C229" s="135" t="s">
        <v>331</v>
      </c>
      <c r="D229" s="136" t="e">
        <f aca="false">VLOOKUP($C229,#REF!,5,0)</f>
        <v>#VALUE!</v>
      </c>
      <c r="E229" s="157" t="e">
        <f aca="false">VLOOKUP($C229,#REF!,6,0)</f>
        <v>#VALUE!</v>
      </c>
      <c r="F229" s="135" t="e">
        <f aca="false">VLOOKUP($C229,#REF!,7,0)</f>
        <v>#VALUE!</v>
      </c>
      <c r="G229" s="135" t="e">
        <f aca="false">VLOOKUP($C229,#REF!,8,0)</f>
        <v>#VALUE!</v>
      </c>
      <c r="H229" s="158" t="e">
        <f aca="false">VLOOKUP($C229,#REF!,9,0)</f>
        <v>#VALUE!</v>
      </c>
      <c r="I229" s="137"/>
      <c r="J229" s="138" t="e">
        <f aca="false">VLOOKUP($C229,#REF!,10,0)</f>
        <v>#VALUE!</v>
      </c>
      <c r="K229" s="139" t="e">
        <f aca="false">VLOOKUP($C229,#REF!,11,0)</f>
        <v>#VALUE!</v>
      </c>
      <c r="L229" s="140"/>
      <c r="M229" s="138" t="e">
        <f aca="false">VLOOKUP($C229,#REF!,12,0)</f>
        <v>#VALUE!</v>
      </c>
      <c r="N229" s="140" t="e">
        <f aca="false">VLOOKUP($C229,#REF!,13,0)</f>
        <v>#VALUE!</v>
      </c>
      <c r="O229" s="138" t="e">
        <f aca="false">VLOOKUP($C229,#REF!,14,0)</f>
        <v>#VALUE!</v>
      </c>
      <c r="P229" s="140" t="e">
        <f aca="false">VLOOKUP($C229,#REF!,15,0)</f>
        <v>#VALUE!</v>
      </c>
      <c r="Q229" s="138" t="e">
        <f aca="false">VLOOKUP($C229,#REF!,16,0)</f>
        <v>#VALUE!</v>
      </c>
      <c r="R229" s="139" t="e">
        <f aca="false">VLOOKUP($C229,#REF!,17,0)</f>
        <v>#VALUE!</v>
      </c>
      <c r="S229" s="140" t="e">
        <f aca="false">VLOOKUP($C229,#REF!,18,0)</f>
        <v>#VALUE!</v>
      </c>
      <c r="T229" s="139" t="e">
        <f aca="false">VLOOKUP($C229,#REF!,19,0)</f>
        <v>#VALUE!</v>
      </c>
      <c r="U229" s="140"/>
      <c r="V229" s="138" t="e">
        <f aca="false">VLOOKUP($C229,#REF!,20,0)</f>
        <v>#VALUE!</v>
      </c>
      <c r="W229" s="140" t="e">
        <f aca="false">VLOOKUP($C229,#REF!,21,0)</f>
        <v>#VALUE!</v>
      </c>
      <c r="X229" s="138" t="e">
        <f aca="false">VLOOKUP($C229,#REF!,22,0)</f>
        <v>#VALUE!</v>
      </c>
      <c r="Y229" s="140" t="e">
        <f aca="false">VLOOKUP($C229,#REF!,23,0)</f>
        <v>#VALUE!</v>
      </c>
      <c r="Z229" s="138" t="e">
        <f aca="false">VLOOKUP($C229,#REF!,24,0)</f>
        <v>#VALUE!</v>
      </c>
      <c r="AA229" s="139" t="e">
        <f aca="false">VLOOKUP($C229,#REF!,25,0)</f>
        <v>#VALUE!</v>
      </c>
      <c r="AB229" s="140" t="e">
        <f aca="false">VLOOKUP($C229,#REF!,26,0)</f>
        <v>#VALUE!</v>
      </c>
      <c r="AC229" s="139" t="e">
        <f aca="false">VLOOKUP($C229,#REF!,27,0)</f>
        <v>#VALUE!</v>
      </c>
      <c r="AE229" s="138" t="e">
        <f aca="false">IF(M229="-","-","0,5 GB")</f>
        <v>#VALUE!</v>
      </c>
      <c r="AF229" s="141" t="s">
        <v>92</v>
      </c>
      <c r="AG229" s="141" t="s">
        <v>93</v>
      </c>
      <c r="AH229" s="139" t="s">
        <v>94</v>
      </c>
      <c r="AJ229" s="138" t="s">
        <v>95</v>
      </c>
      <c r="AK229" s="141" t="s">
        <v>96</v>
      </c>
      <c r="AL229" s="141" t="s">
        <v>97</v>
      </c>
      <c r="AM229" s="141" t="s">
        <v>98</v>
      </c>
      <c r="AN229" s="141" t="s">
        <v>98</v>
      </c>
      <c r="AO229" s="139" t="s">
        <v>92</v>
      </c>
      <c r="AQ229" s="142"/>
      <c r="AR229" s="137"/>
      <c r="AS229" s="138" t="n">
        <v>0</v>
      </c>
      <c r="AT229" s="139" t="n">
        <v>0</v>
      </c>
      <c r="AU229" s="140"/>
      <c r="AV229" s="138" t="n">
        <f aca="false">IFERROR(ROUND($D229-M229-AW229,0),0)</f>
        <v>0</v>
      </c>
      <c r="AW229" s="139" t="n">
        <f aca="false">IFERROR(N229*$G229,0)</f>
        <v>0</v>
      </c>
      <c r="AX229" s="138" t="n">
        <f aca="false">IFERROR(ROUND($D229-O229-AY229,0),0)</f>
        <v>0</v>
      </c>
      <c r="AY229" s="139" t="n">
        <f aca="false">IFERROR(P229*$G229,0)</f>
        <v>0</v>
      </c>
      <c r="AZ229" s="138" t="n">
        <f aca="false">IFERROR(ROUND($D229-Q229-BA229,0),0)</f>
        <v>0</v>
      </c>
      <c r="BA229" s="139" t="n">
        <f aca="false">IFERROR(R229*$G229,0)</f>
        <v>0</v>
      </c>
      <c r="BB229" s="140" t="n">
        <f aca="false">IFERROR(ROUND($D229-S229-BC229,0),0)</f>
        <v>0</v>
      </c>
      <c r="BC229" s="139" t="n">
        <f aca="false">IFERROR(T229*$G229,0)</f>
        <v>0</v>
      </c>
      <c r="BD229" s="140"/>
      <c r="BE229" s="138" t="n">
        <f aca="false">IFERROR(ROUND($D229-V229-BF229,0),0)</f>
        <v>0</v>
      </c>
      <c r="BF229" s="139" t="n">
        <f aca="false">IFERROR(W229*$G229,0)</f>
        <v>0</v>
      </c>
      <c r="BG229" s="138" t="n">
        <f aca="false">IFERROR(ROUND($D229-X229-BH229,0),0)</f>
        <v>0</v>
      </c>
      <c r="BH229" s="139" t="n">
        <f aca="false">IFERROR(Y229*$G229,0)</f>
        <v>0</v>
      </c>
      <c r="BI229" s="140" t="n">
        <f aca="false">IFERROR(ROUND($D229-Z229-BJ229,0),0)</f>
        <v>0</v>
      </c>
      <c r="BJ229" s="139" t="n">
        <f aca="false">IFERROR(AA229*$G229,0)</f>
        <v>0</v>
      </c>
      <c r="BK229" s="140" t="n">
        <f aca="false">IFERROR(ROUND($D229-AB229-BL229,0),0)</f>
        <v>0</v>
      </c>
      <c r="BL229" s="139" t="n">
        <f aca="false">IFERROR(AC229*$G229,0)</f>
        <v>0</v>
      </c>
      <c r="BN229" s="142"/>
      <c r="BO229" s="137"/>
      <c r="BP229" s="138"/>
      <c r="BQ229" s="139"/>
      <c r="BR229" s="140"/>
      <c r="BS229" s="138"/>
      <c r="BT229" s="139"/>
      <c r="BU229" s="138"/>
      <c r="BV229" s="139"/>
      <c r="BW229" s="138"/>
      <c r="BX229" s="139"/>
      <c r="BY229" s="138"/>
      <c r="BZ229" s="139"/>
      <c r="CA229" s="140"/>
      <c r="CB229" s="138"/>
      <c r="CC229" s="139"/>
      <c r="CD229" s="138"/>
      <c r="CE229" s="139"/>
      <c r="CF229" s="138"/>
      <c r="CG229" s="139"/>
      <c r="CH229" s="138"/>
      <c r="CI229" s="139"/>
      <c r="CK229" s="143"/>
      <c r="CL229" s="137"/>
      <c r="CM229" s="144" t="str">
        <f aca="false">IFERROR(+$H229-($J229+$K229*$G229),"-")</f>
        <v>-</v>
      </c>
      <c r="CN229" s="137"/>
      <c r="CO229" s="144" t="str">
        <f aca="false">IFERROR(+$H229-($M229+$N229*$G229),"-")</f>
        <v>-</v>
      </c>
      <c r="CP229" s="144" t="str">
        <f aca="false">IFERROR(+$H229-($O229+$P229*$G229),"-")</f>
        <v>-</v>
      </c>
      <c r="CQ229" s="144" t="str">
        <f aca="false">IFERROR(+$H229-($Q229+$R229*$G229),"-")</f>
        <v>-</v>
      </c>
      <c r="CR229" s="144" t="str">
        <f aca="false">IFERROR(+$H229-($Q229+$R229*$G229),"-")</f>
        <v>-</v>
      </c>
      <c r="CS229" s="137"/>
      <c r="CT229" s="144" t="str">
        <f aca="false">IFERROR(+$H229-($V229+$W229*$G229),"-")</f>
        <v>-</v>
      </c>
      <c r="CU229" s="144" t="str">
        <f aca="false">IFERROR(+$H229-($X229+$Y229*$G229),"-")</f>
        <v>-</v>
      </c>
      <c r="CV229" s="144" t="str">
        <f aca="false">IFERROR(+$H229-($Z229+$AA229*$G229),"-")</f>
        <v>-</v>
      </c>
      <c r="CW229" s="144" t="str">
        <f aca="false">IFERROR(+$H229-($AB229+$AC229*$G229),"-")</f>
        <v>-</v>
      </c>
    </row>
    <row r="230" s="156" customFormat="true" ht="12.75" hidden="false" customHeight="true" outlineLevel="0" collapsed="false">
      <c r="A230" s="1"/>
      <c r="B230" s="145" t="s">
        <v>330</v>
      </c>
      <c r="C230" s="146" t="s">
        <v>332</v>
      </c>
      <c r="D230" s="147" t="e">
        <f aca="false">VLOOKUP($C230,#REF!,5,0)</f>
        <v>#VALUE!</v>
      </c>
      <c r="E230" s="148" t="e">
        <f aca="false">VLOOKUP($C230,#REF!,6,0)</f>
        <v>#VALUE!</v>
      </c>
      <c r="F230" s="146" t="e">
        <f aca="false">VLOOKUP($C230,#REF!,7,0)</f>
        <v>#VALUE!</v>
      </c>
      <c r="G230" s="146" t="e">
        <f aca="false">VLOOKUP($C230,#REF!,8,0)</f>
        <v>#VALUE!</v>
      </c>
      <c r="H230" s="149" t="e">
        <f aca="false">VLOOKUP($C230,#REF!,9,0)</f>
        <v>#VALUE!</v>
      </c>
      <c r="I230" s="137"/>
      <c r="J230" s="150" t="e">
        <f aca="false">VLOOKUP($C230,#REF!,10,0)</f>
        <v>#VALUE!</v>
      </c>
      <c r="K230" s="151" t="e">
        <f aca="false">VLOOKUP($C230,#REF!,11,0)</f>
        <v>#VALUE!</v>
      </c>
      <c r="L230" s="140"/>
      <c r="M230" s="150" t="e">
        <f aca="false">VLOOKUP($C230,#REF!,12,0)</f>
        <v>#VALUE!</v>
      </c>
      <c r="N230" s="152" t="e">
        <f aca="false">VLOOKUP($C230,#REF!,13,0)</f>
        <v>#VALUE!</v>
      </c>
      <c r="O230" s="150" t="e">
        <f aca="false">VLOOKUP($C230,#REF!,14,0)</f>
        <v>#VALUE!</v>
      </c>
      <c r="P230" s="152" t="e">
        <f aca="false">VLOOKUP($C230,#REF!,15,0)</f>
        <v>#VALUE!</v>
      </c>
      <c r="Q230" s="150" t="e">
        <f aca="false">VLOOKUP($C230,#REF!,16,0)</f>
        <v>#VALUE!</v>
      </c>
      <c r="R230" s="151" t="e">
        <f aca="false">VLOOKUP($C230,#REF!,17,0)</f>
        <v>#VALUE!</v>
      </c>
      <c r="S230" s="152" t="e">
        <f aca="false">VLOOKUP($C230,#REF!,18,0)</f>
        <v>#VALUE!</v>
      </c>
      <c r="T230" s="151" t="e">
        <f aca="false">VLOOKUP($C230,#REF!,19,0)</f>
        <v>#VALUE!</v>
      </c>
      <c r="U230" s="140"/>
      <c r="V230" s="150" t="e">
        <f aca="false">VLOOKUP($C230,#REF!,20,0)</f>
        <v>#VALUE!</v>
      </c>
      <c r="W230" s="152" t="e">
        <f aca="false">VLOOKUP($C230,#REF!,21,0)</f>
        <v>#VALUE!</v>
      </c>
      <c r="X230" s="150" t="e">
        <f aca="false">VLOOKUP($C230,#REF!,22,0)</f>
        <v>#VALUE!</v>
      </c>
      <c r="Y230" s="152" t="e">
        <f aca="false">VLOOKUP($C230,#REF!,23,0)</f>
        <v>#VALUE!</v>
      </c>
      <c r="Z230" s="150" t="e">
        <f aca="false">VLOOKUP($C230,#REF!,24,0)</f>
        <v>#VALUE!</v>
      </c>
      <c r="AA230" s="151" t="e">
        <f aca="false">VLOOKUP($C230,#REF!,25,0)</f>
        <v>#VALUE!</v>
      </c>
      <c r="AB230" s="152" t="e">
        <f aca="false">VLOOKUP($C230,#REF!,26,0)</f>
        <v>#VALUE!</v>
      </c>
      <c r="AC230" s="151" t="e">
        <f aca="false">VLOOKUP($C230,#REF!,27,0)</f>
        <v>#VALUE!</v>
      </c>
      <c r="AD230" s="1"/>
      <c r="AE230" s="150" t="e">
        <f aca="false">IF(M230="-","-","0,5 GB")</f>
        <v>#VALUE!</v>
      </c>
      <c r="AF230" s="153" t="s">
        <v>92</v>
      </c>
      <c r="AG230" s="153" t="s">
        <v>93</v>
      </c>
      <c r="AH230" s="151" t="s">
        <v>94</v>
      </c>
      <c r="AI230" s="1"/>
      <c r="AJ230" s="150" t="s">
        <v>95</v>
      </c>
      <c r="AK230" s="153" t="s">
        <v>96</v>
      </c>
      <c r="AL230" s="153" t="s">
        <v>97</v>
      </c>
      <c r="AM230" s="153" t="s">
        <v>98</v>
      </c>
      <c r="AN230" s="153" t="s">
        <v>98</v>
      </c>
      <c r="AO230" s="151" t="s">
        <v>92</v>
      </c>
      <c r="AP230" s="1"/>
      <c r="AQ230" s="154" t="n">
        <v>1</v>
      </c>
      <c r="AR230" s="137"/>
      <c r="AS230" s="150" t="n">
        <v>0</v>
      </c>
      <c r="AT230" s="151" t="n">
        <v>0</v>
      </c>
      <c r="AU230" s="140"/>
      <c r="AV230" s="150" t="n">
        <f aca="false">IFERROR(ROUND($D230-M230-AW230,0),0)</f>
        <v>0</v>
      </c>
      <c r="AW230" s="151" t="n">
        <f aca="false">IFERROR(N230*$G230,0)</f>
        <v>0</v>
      </c>
      <c r="AX230" s="150" t="n">
        <f aca="false">IFERROR(ROUND($D230-O230-AY230,0),0)</f>
        <v>0</v>
      </c>
      <c r="AY230" s="151" t="n">
        <f aca="false">IFERROR(P230*$G230,0)</f>
        <v>0</v>
      </c>
      <c r="AZ230" s="150" t="n">
        <f aca="false">IFERROR(ROUND($D230-Q230-BA230,0),0)</f>
        <v>0</v>
      </c>
      <c r="BA230" s="151" t="n">
        <f aca="false">IFERROR(R230*$G230,0)</f>
        <v>0</v>
      </c>
      <c r="BB230" s="152" t="n">
        <f aca="false">IFERROR(ROUND($D230-S230-BC230,0),0)</f>
        <v>0</v>
      </c>
      <c r="BC230" s="151" t="n">
        <f aca="false">IFERROR(T230*$G230,0)</f>
        <v>0</v>
      </c>
      <c r="BD230" s="140"/>
      <c r="BE230" s="150" t="n">
        <f aca="false">IFERROR(ROUND($D230-V230-BF230,0),0)</f>
        <v>0</v>
      </c>
      <c r="BF230" s="151" t="n">
        <f aca="false">IFERROR(W230*$G230,0)</f>
        <v>0</v>
      </c>
      <c r="BG230" s="150" t="n">
        <f aca="false">IFERROR(ROUND($D230-X230-BH230,0),0)</f>
        <v>0</v>
      </c>
      <c r="BH230" s="151" t="n">
        <f aca="false">IFERROR(Y230*$G230,0)</f>
        <v>0</v>
      </c>
      <c r="BI230" s="152" t="n">
        <f aca="false">IFERROR(ROUND($D230-Z230-BJ230,0),0)</f>
        <v>0</v>
      </c>
      <c r="BJ230" s="151" t="n">
        <f aca="false">IFERROR(AA230*$G230,0)</f>
        <v>0</v>
      </c>
      <c r="BK230" s="152" t="n">
        <f aca="false">IFERROR(ROUND($D230-AB230-BL230,0),0)</f>
        <v>0</v>
      </c>
      <c r="BL230" s="151" t="n">
        <f aca="false">IFERROR(AC230*$G230,0)</f>
        <v>0</v>
      </c>
      <c r="BM230" s="1"/>
      <c r="BN230" s="154" t="n">
        <v>0</v>
      </c>
      <c r="BO230" s="155"/>
      <c r="BP230" s="150" t="n">
        <v>0</v>
      </c>
      <c r="BQ230" s="151" t="n">
        <v>0</v>
      </c>
      <c r="BR230" s="152"/>
      <c r="BS230" s="150" t="n">
        <v>0</v>
      </c>
      <c r="BT230" s="151" t="n">
        <v>0</v>
      </c>
      <c r="BU230" s="150" t="n">
        <v>0</v>
      </c>
      <c r="BV230" s="151" t="n">
        <v>0</v>
      </c>
      <c r="BW230" s="150" t="n">
        <v>0</v>
      </c>
      <c r="BX230" s="151" t="n">
        <v>-3</v>
      </c>
      <c r="BY230" s="150" t="n">
        <v>0</v>
      </c>
      <c r="BZ230" s="151" t="n">
        <v>-3</v>
      </c>
      <c r="CA230" s="152"/>
      <c r="CB230" s="150" t="n">
        <v>0</v>
      </c>
      <c r="CC230" s="151" t="n">
        <v>0</v>
      </c>
      <c r="CD230" s="150" t="n">
        <v>0</v>
      </c>
      <c r="CE230" s="151" t="n">
        <v>0</v>
      </c>
      <c r="CF230" s="150" t="n">
        <v>0</v>
      </c>
      <c r="CG230" s="151" t="n">
        <v>-3</v>
      </c>
      <c r="CH230" s="150" t="n">
        <v>0</v>
      </c>
      <c r="CI230" s="151" t="n">
        <v>-3</v>
      </c>
      <c r="CJ230" s="1"/>
      <c r="CK230" s="149"/>
      <c r="CL230" s="137"/>
      <c r="CM230" s="154" t="str">
        <f aca="false">IFERROR(+$H230-($J230+$K230*$G230),"-")</f>
        <v>-</v>
      </c>
      <c r="CN230" s="137"/>
      <c r="CO230" s="154" t="str">
        <f aca="false">IFERROR(+$H230-($M230+$N230*$G230),"-")</f>
        <v>-</v>
      </c>
      <c r="CP230" s="154" t="str">
        <f aca="false">IFERROR(+$H230-($O230+$P230*$G230),"-")</f>
        <v>-</v>
      </c>
      <c r="CQ230" s="154" t="str">
        <f aca="false">IFERROR(+$H230-($Q230+$R230*$G230),"-")</f>
        <v>-</v>
      </c>
      <c r="CR230" s="154" t="str">
        <f aca="false">IFERROR(+$H230-($Q230+$R230*$G230),"-")</f>
        <v>-</v>
      </c>
      <c r="CS230" s="137"/>
      <c r="CT230" s="154" t="str">
        <f aca="false">IFERROR(+$H230-($V230+$W230*$G230),"-")</f>
        <v>-</v>
      </c>
      <c r="CU230" s="154" t="str">
        <f aca="false">IFERROR(+$H230-($X230+$Y230*$G230),"-")</f>
        <v>-</v>
      </c>
      <c r="CV230" s="154" t="str">
        <f aca="false">IFERROR(+$H230-($Z230+$AA230*$G230),"-")</f>
        <v>-</v>
      </c>
      <c r="CW230" s="154" t="str">
        <f aca="false">IFERROR(+$H230-($AB230+$AC230*$G230),"-")</f>
        <v>-</v>
      </c>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row>
    <row r="231" s="1" customFormat="true" ht="12.75" hidden="false" customHeight="true" outlineLevel="0" collapsed="false">
      <c r="B231" s="134" t="s">
        <v>330</v>
      </c>
      <c r="C231" s="135" t="s">
        <v>333</v>
      </c>
      <c r="D231" s="136" t="e">
        <f aca="false">VLOOKUP($C231,#REF!,5,0)</f>
        <v>#VALUE!</v>
      </c>
      <c r="E231" s="157" t="e">
        <f aca="false">VLOOKUP($C231,#REF!,6,0)</f>
        <v>#VALUE!</v>
      </c>
      <c r="F231" s="135" t="e">
        <f aca="false">VLOOKUP($C231,#REF!,7,0)</f>
        <v>#VALUE!</v>
      </c>
      <c r="G231" s="135" t="e">
        <f aca="false">VLOOKUP($C231,#REF!,8,0)</f>
        <v>#VALUE!</v>
      </c>
      <c r="H231" s="158" t="e">
        <f aca="false">VLOOKUP($C231,#REF!,9,0)</f>
        <v>#VALUE!</v>
      </c>
      <c r="I231" s="137"/>
      <c r="J231" s="138" t="e">
        <f aca="false">VLOOKUP($C231,#REF!,10,0)</f>
        <v>#VALUE!</v>
      </c>
      <c r="K231" s="139" t="e">
        <f aca="false">VLOOKUP($C231,#REF!,11,0)</f>
        <v>#VALUE!</v>
      </c>
      <c r="L231" s="140"/>
      <c r="M231" s="138" t="e">
        <f aca="false">VLOOKUP($C231,#REF!,12,0)</f>
        <v>#VALUE!</v>
      </c>
      <c r="N231" s="140" t="e">
        <f aca="false">VLOOKUP($C231,#REF!,13,0)</f>
        <v>#VALUE!</v>
      </c>
      <c r="O231" s="138" t="e">
        <f aca="false">VLOOKUP($C231,#REF!,14,0)</f>
        <v>#VALUE!</v>
      </c>
      <c r="P231" s="140" t="e">
        <f aca="false">VLOOKUP($C231,#REF!,15,0)</f>
        <v>#VALUE!</v>
      </c>
      <c r="Q231" s="138" t="e">
        <f aca="false">VLOOKUP($C231,#REF!,16,0)</f>
        <v>#VALUE!</v>
      </c>
      <c r="R231" s="139" t="e">
        <f aca="false">VLOOKUP($C231,#REF!,17,0)</f>
        <v>#VALUE!</v>
      </c>
      <c r="S231" s="140" t="e">
        <f aca="false">VLOOKUP($C231,#REF!,18,0)</f>
        <v>#VALUE!</v>
      </c>
      <c r="T231" s="139" t="e">
        <f aca="false">VLOOKUP($C231,#REF!,19,0)</f>
        <v>#VALUE!</v>
      </c>
      <c r="U231" s="140"/>
      <c r="V231" s="138" t="e">
        <f aca="false">VLOOKUP($C231,#REF!,20,0)</f>
        <v>#VALUE!</v>
      </c>
      <c r="W231" s="140" t="e">
        <f aca="false">VLOOKUP($C231,#REF!,21,0)</f>
        <v>#VALUE!</v>
      </c>
      <c r="X231" s="138" t="e">
        <f aca="false">VLOOKUP($C231,#REF!,22,0)</f>
        <v>#VALUE!</v>
      </c>
      <c r="Y231" s="140" t="e">
        <f aca="false">VLOOKUP($C231,#REF!,23,0)</f>
        <v>#VALUE!</v>
      </c>
      <c r="Z231" s="138" t="e">
        <f aca="false">VLOOKUP($C231,#REF!,24,0)</f>
        <v>#VALUE!</v>
      </c>
      <c r="AA231" s="139" t="e">
        <f aca="false">VLOOKUP($C231,#REF!,25,0)</f>
        <v>#VALUE!</v>
      </c>
      <c r="AB231" s="140" t="e">
        <f aca="false">VLOOKUP($C231,#REF!,26,0)</f>
        <v>#VALUE!</v>
      </c>
      <c r="AC231" s="139" t="e">
        <f aca="false">VLOOKUP($C231,#REF!,27,0)</f>
        <v>#VALUE!</v>
      </c>
      <c r="AE231" s="138" t="e">
        <f aca="false">IF(M231="-","-","0,5 GB")</f>
        <v>#VALUE!</v>
      </c>
      <c r="AF231" s="141" t="s">
        <v>92</v>
      </c>
      <c r="AG231" s="141" t="s">
        <v>93</v>
      </c>
      <c r="AH231" s="139" t="s">
        <v>94</v>
      </c>
      <c r="AJ231" s="138" t="s">
        <v>95</v>
      </c>
      <c r="AK231" s="141" t="s">
        <v>96</v>
      </c>
      <c r="AL231" s="141" t="s">
        <v>97</v>
      </c>
      <c r="AM231" s="141" t="s">
        <v>98</v>
      </c>
      <c r="AN231" s="141" t="s">
        <v>98</v>
      </c>
      <c r="AO231" s="139" t="s">
        <v>92</v>
      </c>
      <c r="AQ231" s="142" t="n">
        <v>1</v>
      </c>
      <c r="AR231" s="137"/>
      <c r="AS231" s="138" t="n">
        <v>0</v>
      </c>
      <c r="AT231" s="139" t="n">
        <v>0</v>
      </c>
      <c r="AU231" s="140"/>
      <c r="AV231" s="138" t="n">
        <f aca="false">IFERROR(ROUND($D231-M231-AW231,0),0)</f>
        <v>0</v>
      </c>
      <c r="AW231" s="139" t="n">
        <f aca="false">IFERROR(N231*$G231,0)</f>
        <v>0</v>
      </c>
      <c r="AX231" s="138" t="n">
        <f aca="false">IFERROR(ROUND($D231-O231-AY231,0),0)</f>
        <v>0</v>
      </c>
      <c r="AY231" s="139" t="n">
        <f aca="false">IFERROR(P231*$G231,0)</f>
        <v>0</v>
      </c>
      <c r="AZ231" s="138" t="n">
        <f aca="false">IFERROR(ROUND($D231-Q231-BA231,0),0)</f>
        <v>0</v>
      </c>
      <c r="BA231" s="139" t="n">
        <f aca="false">IFERROR(R231*$G231,0)</f>
        <v>0</v>
      </c>
      <c r="BB231" s="140" t="n">
        <f aca="false">IFERROR(ROUND($D231-S231-BC231,0),0)</f>
        <v>0</v>
      </c>
      <c r="BC231" s="139" t="n">
        <f aca="false">IFERROR(T231*$G231,0)</f>
        <v>0</v>
      </c>
      <c r="BD231" s="140"/>
      <c r="BE231" s="138" t="n">
        <f aca="false">IFERROR(ROUND($D231-V231-BF231,0),0)</f>
        <v>0</v>
      </c>
      <c r="BF231" s="139" t="n">
        <f aca="false">IFERROR(W231*$G231,0)</f>
        <v>0</v>
      </c>
      <c r="BG231" s="138" t="n">
        <f aca="false">IFERROR(ROUND($D231-X231-BH231,0),0)</f>
        <v>0</v>
      </c>
      <c r="BH231" s="139" t="n">
        <f aca="false">IFERROR(Y231*$G231,0)</f>
        <v>0</v>
      </c>
      <c r="BI231" s="140" t="n">
        <f aca="false">IFERROR(ROUND($D231-Z231-BJ231,0),0)</f>
        <v>0</v>
      </c>
      <c r="BJ231" s="139" t="n">
        <f aca="false">IFERROR(AA231*$G231,0)</f>
        <v>0</v>
      </c>
      <c r="BK231" s="140" t="n">
        <f aca="false">IFERROR(ROUND($D231-AB231-BL231,0),0)</f>
        <v>0</v>
      </c>
      <c r="BL231" s="139" t="n">
        <f aca="false">IFERROR(AC231*$G231,0)</f>
        <v>0</v>
      </c>
      <c r="BN231" s="142" t="n">
        <v>0</v>
      </c>
      <c r="BO231" s="137"/>
      <c r="BP231" s="138" t="n">
        <v>0</v>
      </c>
      <c r="BQ231" s="139" t="n">
        <v>0</v>
      </c>
      <c r="BR231" s="140"/>
      <c r="BS231" s="138" t="n">
        <v>0</v>
      </c>
      <c r="BT231" s="139" t="n">
        <v>0</v>
      </c>
      <c r="BU231" s="138" t="n">
        <v>0</v>
      </c>
      <c r="BV231" s="139" t="n">
        <v>0</v>
      </c>
      <c r="BW231" s="138" t="n">
        <v>0</v>
      </c>
      <c r="BX231" s="139" t="n">
        <v>0</v>
      </c>
      <c r="BY231" s="138" t="n">
        <v>0</v>
      </c>
      <c r="BZ231" s="139" t="n">
        <v>0</v>
      </c>
      <c r="CA231" s="140"/>
      <c r="CB231" s="138" t="n">
        <v>0</v>
      </c>
      <c r="CC231" s="139" t="n">
        <v>0</v>
      </c>
      <c r="CD231" s="138" t="n">
        <v>0</v>
      </c>
      <c r="CE231" s="139" t="n">
        <v>0</v>
      </c>
      <c r="CF231" s="138" t="n">
        <v>0</v>
      </c>
      <c r="CG231" s="139" t="n">
        <v>0</v>
      </c>
      <c r="CH231" s="138" t="n">
        <v>0</v>
      </c>
      <c r="CI231" s="139" t="n">
        <v>0</v>
      </c>
      <c r="CK231" s="143"/>
      <c r="CL231" s="137"/>
      <c r="CM231" s="144" t="str">
        <f aca="false">IFERROR(+$H231-($J231+$K231*$G231),"-")</f>
        <v>-</v>
      </c>
      <c r="CN231" s="137"/>
      <c r="CO231" s="144" t="str">
        <f aca="false">IFERROR(+$H231-($M231+$N231*$G231),"-")</f>
        <v>-</v>
      </c>
      <c r="CP231" s="144" t="str">
        <f aca="false">IFERROR(+$H231-($O231+$P231*$G231),"-")</f>
        <v>-</v>
      </c>
      <c r="CQ231" s="144" t="str">
        <f aca="false">IFERROR(+$H231-($Q231+$R231*$G231),"-")</f>
        <v>-</v>
      </c>
      <c r="CR231" s="144" t="str">
        <f aca="false">IFERROR(+$H231-($Q231+$R231*$G231),"-")</f>
        <v>-</v>
      </c>
      <c r="CS231" s="137"/>
      <c r="CT231" s="144" t="str">
        <f aca="false">IFERROR(+$H231-($V231+$W231*$G231),"-")</f>
        <v>-</v>
      </c>
      <c r="CU231" s="144" t="str">
        <f aca="false">IFERROR(+$H231-($X231+$Y231*$G231),"-")</f>
        <v>-</v>
      </c>
      <c r="CV231" s="144" t="str">
        <f aca="false">IFERROR(+$H231-($Z231+$AA231*$G231),"-")</f>
        <v>-</v>
      </c>
      <c r="CW231" s="144" t="str">
        <f aca="false">IFERROR(+$H231-($AB231+$AC231*$G231),"-")</f>
        <v>-</v>
      </c>
    </row>
    <row r="232" s="156" customFormat="true" ht="12.75" hidden="false" customHeight="true" outlineLevel="0" collapsed="false">
      <c r="A232" s="1"/>
      <c r="B232" s="145" t="s">
        <v>330</v>
      </c>
      <c r="C232" s="146" t="s">
        <v>334</v>
      </c>
      <c r="D232" s="147" t="e">
        <f aca="false">VLOOKUP($C232,#REF!,5,0)</f>
        <v>#VALUE!</v>
      </c>
      <c r="E232" s="148" t="e">
        <f aca="false">VLOOKUP($C232,#REF!,6,0)</f>
        <v>#VALUE!</v>
      </c>
      <c r="F232" s="146" t="e">
        <f aca="false">VLOOKUP($C232,#REF!,7,0)</f>
        <v>#VALUE!</v>
      </c>
      <c r="G232" s="146" t="e">
        <f aca="false">VLOOKUP($C232,#REF!,8,0)</f>
        <v>#VALUE!</v>
      </c>
      <c r="H232" s="149" t="e">
        <f aca="false">VLOOKUP($C232,#REF!,9,0)</f>
        <v>#VALUE!</v>
      </c>
      <c r="I232" s="137"/>
      <c r="J232" s="150" t="e">
        <f aca="false">VLOOKUP($C232,#REF!,10,0)</f>
        <v>#VALUE!</v>
      </c>
      <c r="K232" s="151" t="e">
        <f aca="false">VLOOKUP($C232,#REF!,11,0)</f>
        <v>#VALUE!</v>
      </c>
      <c r="L232" s="140"/>
      <c r="M232" s="150" t="e">
        <f aca="false">VLOOKUP($C232,#REF!,12,0)</f>
        <v>#VALUE!</v>
      </c>
      <c r="N232" s="152" t="e">
        <f aca="false">VLOOKUP($C232,#REF!,13,0)</f>
        <v>#VALUE!</v>
      </c>
      <c r="O232" s="150" t="e">
        <f aca="false">VLOOKUP($C232,#REF!,14,0)</f>
        <v>#VALUE!</v>
      </c>
      <c r="P232" s="152" t="e">
        <f aca="false">VLOOKUP($C232,#REF!,15,0)</f>
        <v>#VALUE!</v>
      </c>
      <c r="Q232" s="150" t="e">
        <f aca="false">VLOOKUP($C232,#REF!,16,0)</f>
        <v>#VALUE!</v>
      </c>
      <c r="R232" s="151" t="e">
        <f aca="false">VLOOKUP($C232,#REF!,17,0)</f>
        <v>#VALUE!</v>
      </c>
      <c r="S232" s="152" t="e">
        <f aca="false">VLOOKUP($C232,#REF!,18,0)</f>
        <v>#VALUE!</v>
      </c>
      <c r="T232" s="151" t="e">
        <f aca="false">VLOOKUP($C232,#REF!,19,0)</f>
        <v>#VALUE!</v>
      </c>
      <c r="U232" s="140"/>
      <c r="V232" s="150" t="e">
        <f aca="false">VLOOKUP($C232,#REF!,20,0)</f>
        <v>#VALUE!</v>
      </c>
      <c r="W232" s="152" t="e">
        <f aca="false">VLOOKUP($C232,#REF!,21,0)</f>
        <v>#VALUE!</v>
      </c>
      <c r="X232" s="150" t="e">
        <f aca="false">VLOOKUP($C232,#REF!,22,0)</f>
        <v>#VALUE!</v>
      </c>
      <c r="Y232" s="152" t="e">
        <f aca="false">VLOOKUP($C232,#REF!,23,0)</f>
        <v>#VALUE!</v>
      </c>
      <c r="Z232" s="150" t="e">
        <f aca="false">VLOOKUP($C232,#REF!,24,0)</f>
        <v>#VALUE!</v>
      </c>
      <c r="AA232" s="151" t="e">
        <f aca="false">VLOOKUP($C232,#REF!,25,0)</f>
        <v>#VALUE!</v>
      </c>
      <c r="AB232" s="152" t="e">
        <f aca="false">VLOOKUP($C232,#REF!,26,0)</f>
        <v>#VALUE!</v>
      </c>
      <c r="AC232" s="151" t="e">
        <f aca="false">VLOOKUP($C232,#REF!,27,0)</f>
        <v>#VALUE!</v>
      </c>
      <c r="AD232" s="1"/>
      <c r="AE232" s="150" t="e">
        <f aca="false">IF(M232="-","-","0,5 GB")</f>
        <v>#VALUE!</v>
      </c>
      <c r="AF232" s="153" t="s">
        <v>92</v>
      </c>
      <c r="AG232" s="153" t="s">
        <v>93</v>
      </c>
      <c r="AH232" s="151" t="s">
        <v>94</v>
      </c>
      <c r="AI232" s="1"/>
      <c r="AJ232" s="150" t="s">
        <v>95</v>
      </c>
      <c r="AK232" s="153" t="s">
        <v>96</v>
      </c>
      <c r="AL232" s="153" t="s">
        <v>97</v>
      </c>
      <c r="AM232" s="153" t="s">
        <v>98</v>
      </c>
      <c r="AN232" s="153" t="s">
        <v>98</v>
      </c>
      <c r="AO232" s="151" t="s">
        <v>92</v>
      </c>
      <c r="AP232" s="1"/>
      <c r="AQ232" s="154"/>
      <c r="AR232" s="137"/>
      <c r="AS232" s="150" t="n">
        <v>0</v>
      </c>
      <c r="AT232" s="151" t="n">
        <v>0</v>
      </c>
      <c r="AU232" s="140"/>
      <c r="AV232" s="150" t="n">
        <f aca="false">IFERROR(ROUND($D232-M232-AW232,0),0)</f>
        <v>0</v>
      </c>
      <c r="AW232" s="151" t="n">
        <f aca="false">IFERROR(N232*$G232,0)</f>
        <v>0</v>
      </c>
      <c r="AX232" s="150" t="n">
        <f aca="false">IFERROR(ROUND($D232-O232-AY232,0),0)</f>
        <v>0</v>
      </c>
      <c r="AY232" s="151" t="n">
        <f aca="false">IFERROR(P232*$G232,0)</f>
        <v>0</v>
      </c>
      <c r="AZ232" s="150" t="n">
        <f aca="false">IFERROR(ROUND($D232-Q232-BA232,0),0)</f>
        <v>0</v>
      </c>
      <c r="BA232" s="151" t="n">
        <f aca="false">IFERROR(R232*$G232,0)</f>
        <v>0</v>
      </c>
      <c r="BB232" s="152" t="n">
        <f aca="false">IFERROR(ROUND($D232-S232-BC232,0),0)</f>
        <v>0</v>
      </c>
      <c r="BC232" s="151" t="n">
        <f aca="false">IFERROR(T232*$G232,0)</f>
        <v>0</v>
      </c>
      <c r="BD232" s="140"/>
      <c r="BE232" s="150" t="n">
        <f aca="false">IFERROR(ROUND($D232-V232-BF232,0),0)</f>
        <v>0</v>
      </c>
      <c r="BF232" s="151" t="n">
        <f aca="false">IFERROR(W232*$G232,0)</f>
        <v>0</v>
      </c>
      <c r="BG232" s="150" t="n">
        <f aca="false">IFERROR(ROUND($D232-X232-BH232,0),0)</f>
        <v>0</v>
      </c>
      <c r="BH232" s="151" t="n">
        <f aca="false">IFERROR(Y232*$G232,0)</f>
        <v>0</v>
      </c>
      <c r="BI232" s="152" t="n">
        <f aca="false">IFERROR(ROUND($D232-Z232-BJ232,0),0)</f>
        <v>0</v>
      </c>
      <c r="BJ232" s="151" t="n">
        <f aca="false">IFERROR(AA232*$G232,0)</f>
        <v>0</v>
      </c>
      <c r="BK232" s="152" t="n">
        <f aca="false">IFERROR(ROUND($D232-AB232-BL232,0),0)</f>
        <v>0</v>
      </c>
      <c r="BL232" s="151" t="n">
        <f aca="false">IFERROR(AC232*$G232,0)</f>
        <v>0</v>
      </c>
      <c r="BM232" s="1"/>
      <c r="BN232" s="154"/>
      <c r="BO232" s="155"/>
      <c r="BP232" s="150"/>
      <c r="BQ232" s="151"/>
      <c r="BR232" s="152"/>
      <c r="BS232" s="150"/>
      <c r="BT232" s="151"/>
      <c r="BU232" s="150"/>
      <c r="BV232" s="151"/>
      <c r="BW232" s="150"/>
      <c r="BX232" s="151"/>
      <c r="BY232" s="150"/>
      <c r="BZ232" s="151"/>
      <c r="CA232" s="152"/>
      <c r="CB232" s="150"/>
      <c r="CC232" s="151"/>
      <c r="CD232" s="150"/>
      <c r="CE232" s="151"/>
      <c r="CF232" s="150"/>
      <c r="CG232" s="151"/>
      <c r="CH232" s="150"/>
      <c r="CI232" s="151"/>
      <c r="CJ232" s="1"/>
      <c r="CK232" s="149"/>
      <c r="CL232" s="137"/>
      <c r="CM232" s="154" t="str">
        <f aca="false">IFERROR(+$H232-($J232+$K232*$G232),"-")</f>
        <v>-</v>
      </c>
      <c r="CN232" s="137"/>
      <c r="CO232" s="154" t="str">
        <f aca="false">IFERROR(+$H232-($M232+$N232*$G232),"-")</f>
        <v>-</v>
      </c>
      <c r="CP232" s="154" t="str">
        <f aca="false">IFERROR(+$H232-($O232+$P232*$G232),"-")</f>
        <v>-</v>
      </c>
      <c r="CQ232" s="154" t="str">
        <f aca="false">IFERROR(+$H232-($Q232+$R232*$G232),"-")</f>
        <v>-</v>
      </c>
      <c r="CR232" s="154" t="str">
        <f aca="false">IFERROR(+$H232-($Q232+$R232*$G232),"-")</f>
        <v>-</v>
      </c>
      <c r="CS232" s="137"/>
      <c r="CT232" s="154" t="str">
        <f aca="false">IFERROR(+$H232-($V232+$W232*$G232),"-")</f>
        <v>-</v>
      </c>
      <c r="CU232" s="154" t="str">
        <f aca="false">IFERROR(+$H232-($X232+$Y232*$G232),"-")</f>
        <v>-</v>
      </c>
      <c r="CV232" s="154" t="str">
        <f aca="false">IFERROR(+$H232-($Z232+$AA232*$G232),"-")</f>
        <v>-</v>
      </c>
      <c r="CW232" s="154" t="str">
        <f aca="false">IFERROR(+$H232-($AB232+$AC232*$G232),"-")</f>
        <v>-</v>
      </c>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row>
    <row r="233" s="1" customFormat="true" ht="12.75" hidden="false" customHeight="true" outlineLevel="0" collapsed="false">
      <c r="B233" s="134" t="s">
        <v>330</v>
      </c>
      <c r="C233" s="135" t="s">
        <v>335</v>
      </c>
      <c r="D233" s="136" t="e">
        <f aca="false">VLOOKUP($C233,#REF!,5,0)</f>
        <v>#VALUE!</v>
      </c>
      <c r="E233" s="157" t="e">
        <f aca="false">VLOOKUP($C233,#REF!,6,0)</f>
        <v>#VALUE!</v>
      </c>
      <c r="F233" s="135" t="e">
        <f aca="false">VLOOKUP($C233,#REF!,7,0)</f>
        <v>#VALUE!</v>
      </c>
      <c r="G233" s="135" t="e">
        <f aca="false">VLOOKUP($C233,#REF!,8,0)</f>
        <v>#VALUE!</v>
      </c>
      <c r="H233" s="158" t="e">
        <f aca="false">VLOOKUP($C233,#REF!,9,0)</f>
        <v>#VALUE!</v>
      </c>
      <c r="I233" s="137"/>
      <c r="J233" s="138" t="e">
        <f aca="false">VLOOKUP($C233,#REF!,10,0)</f>
        <v>#VALUE!</v>
      </c>
      <c r="K233" s="139" t="e">
        <f aca="false">VLOOKUP($C233,#REF!,11,0)</f>
        <v>#VALUE!</v>
      </c>
      <c r="L233" s="140"/>
      <c r="M233" s="138" t="e">
        <f aca="false">VLOOKUP($C233,#REF!,12,0)</f>
        <v>#VALUE!</v>
      </c>
      <c r="N233" s="140" t="e">
        <f aca="false">VLOOKUP($C233,#REF!,13,0)</f>
        <v>#VALUE!</v>
      </c>
      <c r="O233" s="138" t="e">
        <f aca="false">VLOOKUP($C233,#REF!,14,0)</f>
        <v>#VALUE!</v>
      </c>
      <c r="P233" s="140" t="e">
        <f aca="false">VLOOKUP($C233,#REF!,15,0)</f>
        <v>#VALUE!</v>
      </c>
      <c r="Q233" s="138" t="e">
        <f aca="false">VLOOKUP($C233,#REF!,16,0)</f>
        <v>#VALUE!</v>
      </c>
      <c r="R233" s="139" t="e">
        <f aca="false">VLOOKUP($C233,#REF!,17,0)</f>
        <v>#VALUE!</v>
      </c>
      <c r="S233" s="140" t="e">
        <f aca="false">VLOOKUP($C233,#REF!,18,0)</f>
        <v>#VALUE!</v>
      </c>
      <c r="T233" s="139" t="e">
        <f aca="false">VLOOKUP($C233,#REF!,19,0)</f>
        <v>#VALUE!</v>
      </c>
      <c r="U233" s="140"/>
      <c r="V233" s="138" t="e">
        <f aca="false">VLOOKUP($C233,#REF!,20,0)</f>
        <v>#VALUE!</v>
      </c>
      <c r="W233" s="140" t="e">
        <f aca="false">VLOOKUP($C233,#REF!,21,0)</f>
        <v>#VALUE!</v>
      </c>
      <c r="X233" s="138" t="e">
        <f aca="false">VLOOKUP($C233,#REF!,22,0)</f>
        <v>#VALUE!</v>
      </c>
      <c r="Y233" s="140" t="e">
        <f aca="false">VLOOKUP($C233,#REF!,23,0)</f>
        <v>#VALUE!</v>
      </c>
      <c r="Z233" s="138" t="e">
        <f aca="false">VLOOKUP($C233,#REF!,24,0)</f>
        <v>#VALUE!</v>
      </c>
      <c r="AA233" s="139" t="e">
        <f aca="false">VLOOKUP($C233,#REF!,25,0)</f>
        <v>#VALUE!</v>
      </c>
      <c r="AB233" s="140" t="e">
        <f aca="false">VLOOKUP($C233,#REF!,26,0)</f>
        <v>#VALUE!</v>
      </c>
      <c r="AC233" s="139" t="e">
        <f aca="false">VLOOKUP($C233,#REF!,27,0)</f>
        <v>#VALUE!</v>
      </c>
      <c r="AE233" s="138" t="e">
        <f aca="false">IF(M233="-","-","0,5 GB")</f>
        <v>#VALUE!</v>
      </c>
      <c r="AF233" s="141" t="s">
        <v>92</v>
      </c>
      <c r="AG233" s="141" t="s">
        <v>93</v>
      </c>
      <c r="AH233" s="139" t="s">
        <v>94</v>
      </c>
      <c r="AJ233" s="138" t="s">
        <v>95</v>
      </c>
      <c r="AK233" s="141" t="s">
        <v>96</v>
      </c>
      <c r="AL233" s="141" t="s">
        <v>97</v>
      </c>
      <c r="AM233" s="141" t="s">
        <v>98</v>
      </c>
      <c r="AN233" s="141" t="s">
        <v>98</v>
      </c>
      <c r="AO233" s="139" t="s">
        <v>92</v>
      </c>
      <c r="AQ233" s="142" t="n">
        <v>9</v>
      </c>
      <c r="AR233" s="137"/>
      <c r="AS233" s="138" t="n">
        <v>0</v>
      </c>
      <c r="AT233" s="139" t="n">
        <v>0</v>
      </c>
      <c r="AU233" s="140"/>
      <c r="AV233" s="138" t="n">
        <f aca="false">IFERROR(ROUND($D233-M233-AW233,0),0)</f>
        <v>0</v>
      </c>
      <c r="AW233" s="139" t="n">
        <f aca="false">IFERROR(N233*$G233,0)</f>
        <v>0</v>
      </c>
      <c r="AX233" s="138" t="n">
        <f aca="false">IFERROR(ROUND($D233-O233-AY233,0),0)</f>
        <v>0</v>
      </c>
      <c r="AY233" s="139" t="n">
        <f aca="false">IFERROR(P233*$G233,0)</f>
        <v>0</v>
      </c>
      <c r="AZ233" s="138" t="n">
        <f aca="false">IFERROR(ROUND($D233-Q233-BA233,0),0)</f>
        <v>0</v>
      </c>
      <c r="BA233" s="139" t="n">
        <f aca="false">IFERROR(R233*$G233,0)</f>
        <v>0</v>
      </c>
      <c r="BB233" s="140" t="n">
        <f aca="false">IFERROR(ROUND($D233-S233-BC233,0),0)</f>
        <v>0</v>
      </c>
      <c r="BC233" s="139" t="n">
        <f aca="false">IFERROR(T233*$G233,0)</f>
        <v>0</v>
      </c>
      <c r="BD233" s="140"/>
      <c r="BE233" s="138" t="n">
        <f aca="false">IFERROR(ROUND($D233-V233-BF233,0),0)</f>
        <v>0</v>
      </c>
      <c r="BF233" s="139" t="n">
        <f aca="false">IFERROR(W233*$G233,0)</f>
        <v>0</v>
      </c>
      <c r="BG233" s="138" t="n">
        <f aca="false">IFERROR(ROUND($D233-X233-BH233,0),0)</f>
        <v>0</v>
      </c>
      <c r="BH233" s="139" t="n">
        <f aca="false">IFERROR(Y233*$G233,0)</f>
        <v>0</v>
      </c>
      <c r="BI233" s="140" t="n">
        <f aca="false">IFERROR(ROUND($D233-Z233-BJ233,0),0)</f>
        <v>0</v>
      </c>
      <c r="BJ233" s="139" t="n">
        <f aca="false">IFERROR(AA233*$G233,0)</f>
        <v>0</v>
      </c>
      <c r="BK233" s="140" t="n">
        <f aca="false">IFERROR(ROUND($D233-AB233-BL233,0),0)</f>
        <v>0</v>
      </c>
      <c r="BL233" s="139" t="n">
        <f aca="false">IFERROR(AC233*$G233,0)</f>
        <v>0</v>
      </c>
      <c r="BN233" s="142" t="n">
        <v>0</v>
      </c>
      <c r="BO233" s="137"/>
      <c r="BP233" s="138" t="n">
        <v>0</v>
      </c>
      <c r="BQ233" s="139" t="n">
        <v>0</v>
      </c>
      <c r="BR233" s="140"/>
      <c r="BS233" s="138" t="n">
        <v>0</v>
      </c>
      <c r="BT233" s="139" t="n">
        <v>0</v>
      </c>
      <c r="BU233" s="138" t="n">
        <v>0</v>
      </c>
      <c r="BV233" s="139" t="n">
        <v>0</v>
      </c>
      <c r="BW233" s="138" t="n">
        <v>0</v>
      </c>
      <c r="BX233" s="139" t="n">
        <v>-2</v>
      </c>
      <c r="BY233" s="138" t="n">
        <v>0</v>
      </c>
      <c r="BZ233" s="139" t="n">
        <v>-2</v>
      </c>
      <c r="CA233" s="140"/>
      <c r="CB233" s="138" t="n">
        <v>0</v>
      </c>
      <c r="CC233" s="139" t="n">
        <v>0</v>
      </c>
      <c r="CD233" s="138" t="n">
        <v>0</v>
      </c>
      <c r="CE233" s="139" t="n">
        <v>0</v>
      </c>
      <c r="CF233" s="138" t="n">
        <v>0</v>
      </c>
      <c r="CG233" s="139" t="n">
        <v>-2</v>
      </c>
      <c r="CH233" s="138" t="n">
        <v>0</v>
      </c>
      <c r="CI233" s="139" t="n">
        <v>-2</v>
      </c>
      <c r="CK233" s="143"/>
      <c r="CL233" s="137"/>
      <c r="CM233" s="144" t="str">
        <f aca="false">IFERROR(+$H233-($J233+$K233*$G233),"-")</f>
        <v>-</v>
      </c>
      <c r="CN233" s="137"/>
      <c r="CO233" s="144" t="str">
        <f aca="false">IFERROR(+$H233-($M233+$N233*$G233),"-")</f>
        <v>-</v>
      </c>
      <c r="CP233" s="144" t="str">
        <f aca="false">IFERROR(+$H233-($O233+$P233*$G233),"-")</f>
        <v>-</v>
      </c>
      <c r="CQ233" s="144" t="str">
        <f aca="false">IFERROR(+$H233-($Q233+$R233*$G233),"-")</f>
        <v>-</v>
      </c>
      <c r="CR233" s="144" t="str">
        <f aca="false">IFERROR(+$H233-($Q233+$R233*$G233),"-")</f>
        <v>-</v>
      </c>
      <c r="CS233" s="137"/>
      <c r="CT233" s="144" t="str">
        <f aca="false">IFERROR(+$H233-($V233+$W233*$G233),"-")</f>
        <v>-</v>
      </c>
      <c r="CU233" s="144" t="str">
        <f aca="false">IFERROR(+$H233-($X233+$Y233*$G233),"-")</f>
        <v>-</v>
      </c>
      <c r="CV233" s="144" t="str">
        <f aca="false">IFERROR(+$H233-($Z233+$AA233*$G233),"-")</f>
        <v>-</v>
      </c>
      <c r="CW233" s="144" t="str">
        <f aca="false">IFERROR(+$H233-($AB233+$AC233*$G233),"-")</f>
        <v>-</v>
      </c>
    </row>
    <row r="234" s="156" customFormat="true" ht="12.75" hidden="false" customHeight="true" outlineLevel="0" collapsed="false">
      <c r="A234" s="1"/>
      <c r="B234" s="145" t="s">
        <v>305</v>
      </c>
      <c r="C234" s="146" t="s">
        <v>336</v>
      </c>
      <c r="D234" s="147" t="e">
        <f aca="false">VLOOKUP($C234,#REF!,5,0)</f>
        <v>#VALUE!</v>
      </c>
      <c r="E234" s="148" t="e">
        <f aca="false">VLOOKUP($C234,#REF!,6,0)</f>
        <v>#VALUE!</v>
      </c>
      <c r="F234" s="146" t="e">
        <f aca="false">VLOOKUP($C234,#REF!,7,0)</f>
        <v>#VALUE!</v>
      </c>
      <c r="G234" s="146" t="e">
        <f aca="false">VLOOKUP($C234,#REF!,8,0)</f>
        <v>#VALUE!</v>
      </c>
      <c r="H234" s="149" t="e">
        <f aca="false">VLOOKUP($C234,#REF!,9,0)</f>
        <v>#VALUE!</v>
      </c>
      <c r="I234" s="137"/>
      <c r="J234" s="150" t="e">
        <f aca="false">VLOOKUP($C234,#REF!,10,0)</f>
        <v>#VALUE!</v>
      </c>
      <c r="K234" s="151" t="e">
        <f aca="false">VLOOKUP($C234,#REF!,11,0)</f>
        <v>#VALUE!</v>
      </c>
      <c r="L234" s="140"/>
      <c r="M234" s="150" t="e">
        <f aca="false">VLOOKUP($C234,#REF!,12,0)</f>
        <v>#VALUE!</v>
      </c>
      <c r="N234" s="152" t="e">
        <f aca="false">VLOOKUP($C234,#REF!,13,0)</f>
        <v>#VALUE!</v>
      </c>
      <c r="O234" s="150" t="e">
        <f aca="false">VLOOKUP($C234,#REF!,14,0)</f>
        <v>#VALUE!</v>
      </c>
      <c r="P234" s="152" t="e">
        <f aca="false">VLOOKUP($C234,#REF!,15,0)</f>
        <v>#VALUE!</v>
      </c>
      <c r="Q234" s="150" t="e">
        <f aca="false">VLOOKUP($C234,#REF!,16,0)</f>
        <v>#VALUE!</v>
      </c>
      <c r="R234" s="151" t="e">
        <f aca="false">VLOOKUP($C234,#REF!,17,0)</f>
        <v>#VALUE!</v>
      </c>
      <c r="S234" s="152" t="e">
        <f aca="false">VLOOKUP($C234,#REF!,18,0)</f>
        <v>#VALUE!</v>
      </c>
      <c r="T234" s="151" t="e">
        <f aca="false">VLOOKUP($C234,#REF!,19,0)</f>
        <v>#VALUE!</v>
      </c>
      <c r="U234" s="140"/>
      <c r="V234" s="150" t="e">
        <f aca="false">VLOOKUP($C234,#REF!,20,0)</f>
        <v>#VALUE!</v>
      </c>
      <c r="W234" s="152" t="e">
        <f aca="false">VLOOKUP($C234,#REF!,21,0)</f>
        <v>#VALUE!</v>
      </c>
      <c r="X234" s="150" t="e">
        <f aca="false">VLOOKUP($C234,#REF!,22,0)</f>
        <v>#VALUE!</v>
      </c>
      <c r="Y234" s="152" t="e">
        <f aca="false">VLOOKUP($C234,#REF!,23,0)</f>
        <v>#VALUE!</v>
      </c>
      <c r="Z234" s="150" t="e">
        <f aca="false">VLOOKUP($C234,#REF!,24,0)</f>
        <v>#VALUE!</v>
      </c>
      <c r="AA234" s="151" t="e">
        <f aca="false">VLOOKUP($C234,#REF!,25,0)</f>
        <v>#VALUE!</v>
      </c>
      <c r="AB234" s="152" t="e">
        <f aca="false">VLOOKUP($C234,#REF!,26,0)</f>
        <v>#VALUE!</v>
      </c>
      <c r="AC234" s="151" t="e">
        <f aca="false">VLOOKUP($C234,#REF!,27,0)</f>
        <v>#VALUE!</v>
      </c>
      <c r="AD234" s="1"/>
      <c r="AE234" s="150" t="e">
        <f aca="false">IF(M234="-","-","0,5 GB")</f>
        <v>#VALUE!</v>
      </c>
      <c r="AF234" s="153" t="s">
        <v>92</v>
      </c>
      <c r="AG234" s="153" t="s">
        <v>93</v>
      </c>
      <c r="AH234" s="151" t="s">
        <v>94</v>
      </c>
      <c r="AI234" s="1"/>
      <c r="AJ234" s="150" t="s">
        <v>95</v>
      </c>
      <c r="AK234" s="153" t="s">
        <v>96</v>
      </c>
      <c r="AL234" s="153" t="s">
        <v>97</v>
      </c>
      <c r="AM234" s="153" t="s">
        <v>98</v>
      </c>
      <c r="AN234" s="153" t="s">
        <v>98</v>
      </c>
      <c r="AO234" s="151" t="s">
        <v>92</v>
      </c>
      <c r="AP234" s="1"/>
      <c r="AQ234" s="154" t="n">
        <v>33</v>
      </c>
      <c r="AR234" s="137"/>
      <c r="AS234" s="150" t="n">
        <v>0</v>
      </c>
      <c r="AT234" s="151" t="n">
        <v>0</v>
      </c>
      <c r="AU234" s="140"/>
      <c r="AV234" s="150" t="n">
        <f aca="false">IFERROR(ROUND($D234-M234-AW234,0),0)</f>
        <v>0</v>
      </c>
      <c r="AW234" s="151" t="n">
        <f aca="false">IFERROR(N234*$G234,0)</f>
        <v>0</v>
      </c>
      <c r="AX234" s="150" t="n">
        <f aca="false">IFERROR(ROUND($D234-O234-AY234,0),0)</f>
        <v>0</v>
      </c>
      <c r="AY234" s="151" t="n">
        <f aca="false">IFERROR(P234*$G234,0)</f>
        <v>0</v>
      </c>
      <c r="AZ234" s="150" t="n">
        <f aca="false">IFERROR(ROUND($D234-Q234-BA234,0),0)</f>
        <v>0</v>
      </c>
      <c r="BA234" s="151" t="n">
        <f aca="false">IFERROR(R234*$G234,0)</f>
        <v>0</v>
      </c>
      <c r="BB234" s="152" t="n">
        <f aca="false">IFERROR(ROUND($D234-S234-BC234,0),0)</f>
        <v>0</v>
      </c>
      <c r="BC234" s="151" t="n">
        <f aca="false">IFERROR(T234*$G234,0)</f>
        <v>0</v>
      </c>
      <c r="BD234" s="140"/>
      <c r="BE234" s="150" t="n">
        <f aca="false">IFERROR(ROUND($D234-V234-BF234,0),0)</f>
        <v>0</v>
      </c>
      <c r="BF234" s="151" t="n">
        <f aca="false">IFERROR(W234*$G234,0)</f>
        <v>0</v>
      </c>
      <c r="BG234" s="150" t="n">
        <f aca="false">IFERROR(ROUND($D234-X234-BH234,0),0)</f>
        <v>0</v>
      </c>
      <c r="BH234" s="151" t="n">
        <f aca="false">IFERROR(Y234*$G234,0)</f>
        <v>0</v>
      </c>
      <c r="BI234" s="152" t="n">
        <f aca="false">IFERROR(ROUND($D234-Z234-BJ234,0),0)</f>
        <v>0</v>
      </c>
      <c r="BJ234" s="151" t="n">
        <f aca="false">IFERROR(AA234*$G234,0)</f>
        <v>0</v>
      </c>
      <c r="BK234" s="152" t="n">
        <f aca="false">IFERROR(ROUND($D234-AB234-BL234,0),0)</f>
        <v>0</v>
      </c>
      <c r="BL234" s="151" t="n">
        <f aca="false">IFERROR(AC234*$G234,0)</f>
        <v>0</v>
      </c>
      <c r="BM234" s="1"/>
      <c r="BN234" s="154" t="n">
        <v>-32.23</v>
      </c>
      <c r="BO234" s="155"/>
      <c r="BP234" s="150" t="n">
        <v>-32.23</v>
      </c>
      <c r="BQ234" s="151" t="n">
        <v>0</v>
      </c>
      <c r="BR234" s="152"/>
      <c r="BS234" s="150" t="n">
        <v>0</v>
      </c>
      <c r="BT234" s="151" t="n">
        <v>0</v>
      </c>
      <c r="BU234" s="150" t="n">
        <v>0</v>
      </c>
      <c r="BV234" s="151" t="n">
        <v>0</v>
      </c>
      <c r="BW234" s="150" t="n">
        <v>0</v>
      </c>
      <c r="BX234" s="151" t="n">
        <v>-3</v>
      </c>
      <c r="BY234" s="150" t="n">
        <v>0</v>
      </c>
      <c r="BZ234" s="151" t="n">
        <v>-3</v>
      </c>
      <c r="CA234" s="152"/>
      <c r="CB234" s="150" t="n">
        <v>0</v>
      </c>
      <c r="CC234" s="151" t="n">
        <v>0</v>
      </c>
      <c r="CD234" s="150" t="n">
        <v>0</v>
      </c>
      <c r="CE234" s="151" t="n">
        <v>0</v>
      </c>
      <c r="CF234" s="150" t="n">
        <v>0</v>
      </c>
      <c r="CG234" s="151" t="n">
        <v>-3</v>
      </c>
      <c r="CH234" s="150" t="n">
        <v>0</v>
      </c>
      <c r="CI234" s="151" t="n">
        <v>-3</v>
      </c>
      <c r="CJ234" s="1"/>
      <c r="CK234" s="149"/>
      <c r="CL234" s="137"/>
      <c r="CM234" s="154" t="str">
        <f aca="false">IFERROR(+$H234-($J234+$K234*$G234),"-")</f>
        <v>-</v>
      </c>
      <c r="CN234" s="137"/>
      <c r="CO234" s="154" t="str">
        <f aca="false">IFERROR(+$H234-($M234+$N234*$G234),"-")</f>
        <v>-</v>
      </c>
      <c r="CP234" s="154" t="str">
        <f aca="false">IFERROR(+$H234-($O234+$P234*$G234),"-")</f>
        <v>-</v>
      </c>
      <c r="CQ234" s="154" t="str">
        <f aca="false">IFERROR(+$H234-($Q234+$R234*$G234),"-")</f>
        <v>-</v>
      </c>
      <c r="CR234" s="154" t="str">
        <f aca="false">IFERROR(+$H234-($Q234+$R234*$G234),"-")</f>
        <v>-</v>
      </c>
      <c r="CS234" s="137"/>
      <c r="CT234" s="154" t="str">
        <f aca="false">IFERROR(+$H234-($V234+$W234*$G234),"-")</f>
        <v>-</v>
      </c>
      <c r="CU234" s="154" t="str">
        <f aca="false">IFERROR(+$H234-($X234+$Y234*$G234),"-")</f>
        <v>-</v>
      </c>
      <c r="CV234" s="154" t="str">
        <f aca="false">IFERROR(+$H234-($Z234+$AA234*$G234),"-")</f>
        <v>-</v>
      </c>
      <c r="CW234" s="154" t="str">
        <f aca="false">IFERROR(+$H234-($AB234+$AC234*$G234),"-")</f>
        <v>-</v>
      </c>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row>
    <row r="235" s="1" customFormat="true" ht="12.75" hidden="false" customHeight="true" outlineLevel="0" collapsed="false">
      <c r="B235" s="134" t="s">
        <v>305</v>
      </c>
      <c r="C235" s="135" t="s">
        <v>337</v>
      </c>
      <c r="D235" s="136" t="e">
        <f aca="false">VLOOKUP($C235,#REF!,5,0)</f>
        <v>#VALUE!</v>
      </c>
      <c r="E235" s="157" t="e">
        <f aca="false">VLOOKUP($C235,#REF!,6,0)</f>
        <v>#VALUE!</v>
      </c>
      <c r="F235" s="135" t="e">
        <f aca="false">VLOOKUP($C235,#REF!,7,0)</f>
        <v>#VALUE!</v>
      </c>
      <c r="G235" s="135" t="e">
        <f aca="false">VLOOKUP($C235,#REF!,8,0)</f>
        <v>#VALUE!</v>
      </c>
      <c r="H235" s="158" t="e">
        <f aca="false">VLOOKUP($C235,#REF!,9,0)</f>
        <v>#VALUE!</v>
      </c>
      <c r="I235" s="137"/>
      <c r="J235" s="138" t="e">
        <f aca="false">VLOOKUP($C235,#REF!,10,0)</f>
        <v>#VALUE!</v>
      </c>
      <c r="K235" s="139" t="e">
        <f aca="false">VLOOKUP($C235,#REF!,11,0)</f>
        <v>#VALUE!</v>
      </c>
      <c r="L235" s="140"/>
      <c r="M235" s="138" t="e">
        <f aca="false">VLOOKUP($C235,#REF!,12,0)</f>
        <v>#VALUE!</v>
      </c>
      <c r="N235" s="140" t="e">
        <f aca="false">VLOOKUP($C235,#REF!,13,0)</f>
        <v>#VALUE!</v>
      </c>
      <c r="O235" s="138" t="e">
        <f aca="false">VLOOKUP($C235,#REF!,14,0)</f>
        <v>#VALUE!</v>
      </c>
      <c r="P235" s="140" t="e">
        <f aca="false">VLOOKUP($C235,#REF!,15,0)</f>
        <v>#VALUE!</v>
      </c>
      <c r="Q235" s="138" t="e">
        <f aca="false">VLOOKUP($C235,#REF!,16,0)</f>
        <v>#VALUE!</v>
      </c>
      <c r="R235" s="139" t="e">
        <f aca="false">VLOOKUP($C235,#REF!,17,0)</f>
        <v>#VALUE!</v>
      </c>
      <c r="S235" s="140" t="e">
        <f aca="false">VLOOKUP($C235,#REF!,18,0)</f>
        <v>#VALUE!</v>
      </c>
      <c r="T235" s="139" t="e">
        <f aca="false">VLOOKUP($C235,#REF!,19,0)</f>
        <v>#VALUE!</v>
      </c>
      <c r="U235" s="140"/>
      <c r="V235" s="138" t="e">
        <f aca="false">VLOOKUP($C235,#REF!,20,0)</f>
        <v>#VALUE!</v>
      </c>
      <c r="W235" s="140" t="e">
        <f aca="false">VLOOKUP($C235,#REF!,21,0)</f>
        <v>#VALUE!</v>
      </c>
      <c r="X235" s="138" t="e">
        <f aca="false">VLOOKUP($C235,#REF!,22,0)</f>
        <v>#VALUE!</v>
      </c>
      <c r="Y235" s="140" t="e">
        <f aca="false">VLOOKUP($C235,#REF!,23,0)</f>
        <v>#VALUE!</v>
      </c>
      <c r="Z235" s="138" t="e">
        <f aca="false">VLOOKUP($C235,#REF!,24,0)</f>
        <v>#VALUE!</v>
      </c>
      <c r="AA235" s="139" t="e">
        <f aca="false">VLOOKUP($C235,#REF!,25,0)</f>
        <v>#VALUE!</v>
      </c>
      <c r="AB235" s="140" t="e">
        <f aca="false">VLOOKUP($C235,#REF!,26,0)</f>
        <v>#VALUE!</v>
      </c>
      <c r="AC235" s="139" t="e">
        <f aca="false">VLOOKUP($C235,#REF!,27,0)</f>
        <v>#VALUE!</v>
      </c>
      <c r="AE235" s="138" t="e">
        <f aca="false">IF(M235="-","-","0,5 GB")</f>
        <v>#VALUE!</v>
      </c>
      <c r="AF235" s="141" t="s">
        <v>92</v>
      </c>
      <c r="AG235" s="141" t="s">
        <v>93</v>
      </c>
      <c r="AH235" s="139" t="s">
        <v>94</v>
      </c>
      <c r="AJ235" s="138" t="s">
        <v>95</v>
      </c>
      <c r="AK235" s="141" t="s">
        <v>96</v>
      </c>
      <c r="AL235" s="141" t="s">
        <v>97</v>
      </c>
      <c r="AM235" s="141" t="s">
        <v>98</v>
      </c>
      <c r="AN235" s="141" t="s">
        <v>98</v>
      </c>
      <c r="AO235" s="139" t="s">
        <v>92</v>
      </c>
      <c r="AQ235" s="142" t="n">
        <v>388</v>
      </c>
      <c r="AR235" s="137"/>
      <c r="AS235" s="138" t="n">
        <v>0</v>
      </c>
      <c r="AT235" s="139" t="n">
        <v>0</v>
      </c>
      <c r="AU235" s="140"/>
      <c r="AV235" s="138" t="n">
        <f aca="false">IFERROR(ROUND($D235-M235-AW235,0),0)</f>
        <v>0</v>
      </c>
      <c r="AW235" s="139" t="n">
        <f aca="false">IFERROR(N235*$G235,0)</f>
        <v>0</v>
      </c>
      <c r="AX235" s="138" t="n">
        <f aca="false">IFERROR(ROUND($D235-O235-AY235,0),0)</f>
        <v>0</v>
      </c>
      <c r="AY235" s="139" t="n">
        <f aca="false">IFERROR(P235*$G235,0)</f>
        <v>0</v>
      </c>
      <c r="AZ235" s="138" t="n">
        <f aca="false">IFERROR(ROUND($D235-Q235-BA235,0),0)</f>
        <v>0</v>
      </c>
      <c r="BA235" s="139" t="n">
        <f aca="false">IFERROR(R235*$G235,0)</f>
        <v>0</v>
      </c>
      <c r="BB235" s="140" t="n">
        <f aca="false">IFERROR(ROUND($D235-S235-BC235,0),0)</f>
        <v>0</v>
      </c>
      <c r="BC235" s="139" t="n">
        <f aca="false">IFERROR(T235*$G235,0)</f>
        <v>0</v>
      </c>
      <c r="BD235" s="140"/>
      <c r="BE235" s="138" t="n">
        <f aca="false">IFERROR(ROUND($D235-V235-BF235,0),0)</f>
        <v>0</v>
      </c>
      <c r="BF235" s="139" t="n">
        <f aca="false">IFERROR(W235*$G235,0)</f>
        <v>0</v>
      </c>
      <c r="BG235" s="138" t="n">
        <f aca="false">IFERROR(ROUND($D235-X235-BH235,0),0)</f>
        <v>0</v>
      </c>
      <c r="BH235" s="139" t="n">
        <f aca="false">IFERROR(Y235*$G235,0)</f>
        <v>0</v>
      </c>
      <c r="BI235" s="140" t="n">
        <f aca="false">IFERROR(ROUND($D235-Z235-BJ235,0),0)</f>
        <v>0</v>
      </c>
      <c r="BJ235" s="139" t="n">
        <f aca="false">IFERROR(AA235*$G235,0)</f>
        <v>0</v>
      </c>
      <c r="BK235" s="140" t="n">
        <f aca="false">IFERROR(ROUND($D235-AB235-BL235,0),0)</f>
        <v>0</v>
      </c>
      <c r="BL235" s="139" t="n">
        <f aca="false">IFERROR(AC235*$G235,0)</f>
        <v>0</v>
      </c>
      <c r="BN235" s="142" t="n">
        <v>0</v>
      </c>
      <c r="BO235" s="137"/>
      <c r="BP235" s="138" t="n">
        <v>0</v>
      </c>
      <c r="BQ235" s="139" t="n">
        <v>0</v>
      </c>
      <c r="BR235" s="140"/>
      <c r="BS235" s="138" t="n">
        <v>0</v>
      </c>
      <c r="BT235" s="139" t="n">
        <v>0</v>
      </c>
      <c r="BU235" s="138" t="n">
        <v>0</v>
      </c>
      <c r="BV235" s="139" t="n">
        <v>0</v>
      </c>
      <c r="BW235" s="138" t="n">
        <v>0</v>
      </c>
      <c r="BX235" s="139" t="n">
        <v>0</v>
      </c>
      <c r="BY235" s="138" t="n">
        <v>0</v>
      </c>
      <c r="BZ235" s="139" t="n">
        <v>0</v>
      </c>
      <c r="CA235" s="140"/>
      <c r="CB235" s="138" t="n">
        <v>0</v>
      </c>
      <c r="CC235" s="139" t="n">
        <v>0</v>
      </c>
      <c r="CD235" s="138" t="n">
        <v>0</v>
      </c>
      <c r="CE235" s="139" t="n">
        <v>0</v>
      </c>
      <c r="CF235" s="138" t="n">
        <v>0</v>
      </c>
      <c r="CG235" s="139" t="n">
        <v>0</v>
      </c>
      <c r="CH235" s="138" t="n">
        <v>0</v>
      </c>
      <c r="CI235" s="139" t="n">
        <v>0</v>
      </c>
      <c r="CK235" s="143"/>
      <c r="CL235" s="137"/>
      <c r="CM235" s="144" t="str">
        <f aca="false">IFERROR(+$H235-($J235+$K235*$G235),"-")</f>
        <v>-</v>
      </c>
      <c r="CN235" s="137"/>
      <c r="CO235" s="144" t="str">
        <f aca="false">IFERROR(+$H235-($M235+$N235*$G235),"-")</f>
        <v>-</v>
      </c>
      <c r="CP235" s="144" t="str">
        <f aca="false">IFERROR(+$H235-($O235+$P235*$G235),"-")</f>
        <v>-</v>
      </c>
      <c r="CQ235" s="144" t="str">
        <f aca="false">IFERROR(+$H235-($Q235+$R235*$G235),"-")</f>
        <v>-</v>
      </c>
      <c r="CR235" s="144" t="str">
        <f aca="false">IFERROR(+$H235-($Q235+$R235*$G235),"-")</f>
        <v>-</v>
      </c>
      <c r="CS235" s="137"/>
      <c r="CT235" s="144" t="str">
        <f aca="false">IFERROR(+$H235-($V235+$W235*$G235),"-")</f>
        <v>-</v>
      </c>
      <c r="CU235" s="144" t="str">
        <f aca="false">IFERROR(+$H235-($X235+$Y235*$G235),"-")</f>
        <v>-</v>
      </c>
      <c r="CV235" s="144" t="str">
        <f aca="false">IFERROR(+$H235-($Z235+$AA235*$G235),"-")</f>
        <v>-</v>
      </c>
      <c r="CW235" s="144" t="str">
        <f aca="false">IFERROR(+$H235-($AB235+$AC235*$G235),"-")</f>
        <v>-</v>
      </c>
    </row>
    <row r="236" s="156" customFormat="true" ht="12.75" hidden="false" customHeight="true" outlineLevel="0" collapsed="false">
      <c r="A236" s="1"/>
      <c r="B236" s="145" t="s">
        <v>112</v>
      </c>
      <c r="C236" s="146" t="s">
        <v>338</v>
      </c>
      <c r="D236" s="147" t="e">
        <f aca="false">VLOOKUP($C236,#REF!,5,0)</f>
        <v>#VALUE!</v>
      </c>
      <c r="E236" s="148" t="e">
        <f aca="false">VLOOKUP($C236,#REF!,6,0)</f>
        <v>#VALUE!</v>
      </c>
      <c r="F236" s="146" t="e">
        <f aca="false">VLOOKUP($C236,#REF!,7,0)</f>
        <v>#VALUE!</v>
      </c>
      <c r="G236" s="146" t="e">
        <f aca="false">VLOOKUP($C236,#REF!,8,0)</f>
        <v>#VALUE!</v>
      </c>
      <c r="H236" s="149" t="e">
        <f aca="false">VLOOKUP($C236,#REF!,9,0)</f>
        <v>#VALUE!</v>
      </c>
      <c r="I236" s="137"/>
      <c r="J236" s="150" t="e">
        <f aca="false">VLOOKUP($C236,#REF!,10,0)</f>
        <v>#VALUE!</v>
      </c>
      <c r="K236" s="151" t="e">
        <f aca="false">VLOOKUP($C236,#REF!,11,0)</f>
        <v>#VALUE!</v>
      </c>
      <c r="L236" s="140"/>
      <c r="M236" s="150" t="e">
        <f aca="false">VLOOKUP($C236,#REF!,12,0)</f>
        <v>#VALUE!</v>
      </c>
      <c r="N236" s="152" t="e">
        <f aca="false">VLOOKUP($C236,#REF!,13,0)</f>
        <v>#VALUE!</v>
      </c>
      <c r="O236" s="150" t="e">
        <f aca="false">VLOOKUP($C236,#REF!,14,0)</f>
        <v>#VALUE!</v>
      </c>
      <c r="P236" s="152" t="e">
        <f aca="false">VLOOKUP($C236,#REF!,15,0)</f>
        <v>#VALUE!</v>
      </c>
      <c r="Q236" s="150" t="e">
        <f aca="false">VLOOKUP($C236,#REF!,16,0)</f>
        <v>#VALUE!</v>
      </c>
      <c r="R236" s="151" t="e">
        <f aca="false">VLOOKUP($C236,#REF!,17,0)</f>
        <v>#VALUE!</v>
      </c>
      <c r="S236" s="152" t="e">
        <f aca="false">VLOOKUP($C236,#REF!,18,0)</f>
        <v>#VALUE!</v>
      </c>
      <c r="T236" s="151" t="e">
        <f aca="false">VLOOKUP($C236,#REF!,19,0)</f>
        <v>#VALUE!</v>
      </c>
      <c r="U236" s="140"/>
      <c r="V236" s="150" t="e">
        <f aca="false">VLOOKUP($C236,#REF!,20,0)</f>
        <v>#VALUE!</v>
      </c>
      <c r="W236" s="152" t="e">
        <f aca="false">VLOOKUP($C236,#REF!,21,0)</f>
        <v>#VALUE!</v>
      </c>
      <c r="X236" s="150" t="e">
        <f aca="false">VLOOKUP($C236,#REF!,22,0)</f>
        <v>#VALUE!</v>
      </c>
      <c r="Y236" s="152" t="e">
        <f aca="false">VLOOKUP($C236,#REF!,23,0)</f>
        <v>#VALUE!</v>
      </c>
      <c r="Z236" s="150" t="e">
        <f aca="false">VLOOKUP($C236,#REF!,24,0)</f>
        <v>#VALUE!</v>
      </c>
      <c r="AA236" s="151" t="e">
        <f aca="false">VLOOKUP($C236,#REF!,25,0)</f>
        <v>#VALUE!</v>
      </c>
      <c r="AB236" s="152" t="e">
        <f aca="false">VLOOKUP($C236,#REF!,26,0)</f>
        <v>#VALUE!</v>
      </c>
      <c r="AC236" s="151" t="e">
        <f aca="false">VLOOKUP($C236,#REF!,27,0)</f>
        <v>#VALUE!</v>
      </c>
      <c r="AD236" s="1"/>
      <c r="AE236" s="150" t="e">
        <f aca="false">IF(M236="-","-","0,5 GB")</f>
        <v>#VALUE!</v>
      </c>
      <c r="AF236" s="153" t="s">
        <v>92</v>
      </c>
      <c r="AG236" s="153" t="s">
        <v>93</v>
      </c>
      <c r="AH236" s="151" t="s">
        <v>94</v>
      </c>
      <c r="AI236" s="1"/>
      <c r="AJ236" s="150" t="s">
        <v>95</v>
      </c>
      <c r="AK236" s="153" t="s">
        <v>96</v>
      </c>
      <c r="AL236" s="153" t="s">
        <v>97</v>
      </c>
      <c r="AM236" s="153" t="s">
        <v>98</v>
      </c>
      <c r="AN236" s="153" t="s">
        <v>98</v>
      </c>
      <c r="AO236" s="151" t="s">
        <v>92</v>
      </c>
      <c r="AP236" s="1"/>
      <c r="AQ236" s="154" t="n">
        <v>82</v>
      </c>
      <c r="AR236" s="137"/>
      <c r="AS236" s="150" t="n">
        <v>0</v>
      </c>
      <c r="AT236" s="151" t="n">
        <v>0</v>
      </c>
      <c r="AU236" s="140"/>
      <c r="AV236" s="150" t="n">
        <f aca="false">IFERROR(ROUND($D236-M236-AW236,0),0)</f>
        <v>0</v>
      </c>
      <c r="AW236" s="151" t="n">
        <f aca="false">IFERROR(N236*$G236,0)</f>
        <v>0</v>
      </c>
      <c r="AX236" s="150" t="n">
        <f aca="false">IFERROR(ROUND($D236-O236-AY236,0),0)</f>
        <v>0</v>
      </c>
      <c r="AY236" s="151" t="n">
        <f aca="false">IFERROR(P236*$G236,0)</f>
        <v>0</v>
      </c>
      <c r="AZ236" s="150" t="n">
        <f aca="false">IFERROR(ROUND($D236-Q236-BA236,0),0)</f>
        <v>0</v>
      </c>
      <c r="BA236" s="151" t="n">
        <f aca="false">IFERROR(R236*$G236,0)</f>
        <v>0</v>
      </c>
      <c r="BB236" s="152" t="n">
        <f aca="false">IFERROR(ROUND($D236-S236-BC236,0),0)</f>
        <v>0</v>
      </c>
      <c r="BC236" s="151" t="n">
        <f aca="false">IFERROR(T236*$G236,0)</f>
        <v>0</v>
      </c>
      <c r="BD236" s="140"/>
      <c r="BE236" s="150" t="n">
        <f aca="false">IFERROR(ROUND($D236-V236-BF236,0),0)</f>
        <v>0</v>
      </c>
      <c r="BF236" s="151" t="n">
        <f aca="false">IFERROR(W236*$G236,0)</f>
        <v>0</v>
      </c>
      <c r="BG236" s="150" t="n">
        <f aca="false">IFERROR(ROUND($D236-X236-BH236,0),0)</f>
        <v>0</v>
      </c>
      <c r="BH236" s="151" t="n">
        <f aca="false">IFERROR(Y236*$G236,0)</f>
        <v>0</v>
      </c>
      <c r="BI236" s="152" t="n">
        <f aca="false">IFERROR(ROUND($D236-Z236-BJ236,0),0)</f>
        <v>0</v>
      </c>
      <c r="BJ236" s="151" t="n">
        <f aca="false">IFERROR(AA236*$G236,0)</f>
        <v>0</v>
      </c>
      <c r="BK236" s="152" t="n">
        <f aca="false">IFERROR(ROUND($D236-AB236-BL236,0),0)</f>
        <v>0</v>
      </c>
      <c r="BL236" s="151" t="n">
        <f aca="false">IFERROR(AC236*$G236,0)</f>
        <v>0</v>
      </c>
      <c r="BM236" s="1"/>
      <c r="BN236" s="154" t="n">
        <v>-8.27</v>
      </c>
      <c r="BO236" s="155"/>
      <c r="BP236" s="150" t="n">
        <v>-8.27</v>
      </c>
      <c r="BQ236" s="151" t="n">
        <v>0</v>
      </c>
      <c r="BR236" s="152"/>
      <c r="BS236" s="150" t="n">
        <v>0</v>
      </c>
      <c r="BT236" s="151" t="n">
        <v>0</v>
      </c>
      <c r="BU236" s="150" t="n">
        <v>0</v>
      </c>
      <c r="BV236" s="151" t="n">
        <v>0</v>
      </c>
      <c r="BW236" s="150" t="n">
        <v>0</v>
      </c>
      <c r="BX236" s="151" t="n">
        <v>0</v>
      </c>
      <c r="BY236" s="150" t="n">
        <v>0</v>
      </c>
      <c r="BZ236" s="151" t="n">
        <v>0</v>
      </c>
      <c r="CA236" s="152"/>
      <c r="CB236" s="150" t="n">
        <v>0</v>
      </c>
      <c r="CC236" s="151" t="n">
        <v>0</v>
      </c>
      <c r="CD236" s="150" t="n">
        <v>0</v>
      </c>
      <c r="CE236" s="151" t="n">
        <v>0</v>
      </c>
      <c r="CF236" s="150" t="n">
        <v>0</v>
      </c>
      <c r="CG236" s="151" t="n">
        <v>0</v>
      </c>
      <c r="CH236" s="150" t="n">
        <v>0</v>
      </c>
      <c r="CI236" s="151" t="n">
        <v>0</v>
      </c>
      <c r="CJ236" s="1"/>
      <c r="CK236" s="149"/>
      <c r="CL236" s="137"/>
      <c r="CM236" s="154" t="str">
        <f aca="false">IFERROR(+$H236-($J236+$K236*$G236),"-")</f>
        <v>-</v>
      </c>
      <c r="CN236" s="137"/>
      <c r="CO236" s="154" t="str">
        <f aca="false">IFERROR(+$H236-($M236+$N236*$G236),"-")</f>
        <v>-</v>
      </c>
      <c r="CP236" s="154" t="str">
        <f aca="false">IFERROR(+$H236-($O236+$P236*$G236),"-")</f>
        <v>-</v>
      </c>
      <c r="CQ236" s="154" t="str">
        <f aca="false">IFERROR(+$H236-($Q236+$R236*$G236),"-")</f>
        <v>-</v>
      </c>
      <c r="CR236" s="154" t="str">
        <f aca="false">IFERROR(+$H236-($Q236+$R236*$G236),"-")</f>
        <v>-</v>
      </c>
      <c r="CS236" s="137"/>
      <c r="CT236" s="154" t="str">
        <f aca="false">IFERROR(+$H236-($V236+$W236*$G236),"-")</f>
        <v>-</v>
      </c>
      <c r="CU236" s="154" t="str">
        <f aca="false">IFERROR(+$H236-($X236+$Y236*$G236),"-")</f>
        <v>-</v>
      </c>
      <c r="CV236" s="154" t="str">
        <f aca="false">IFERROR(+$H236-($Z236+$AA236*$G236),"-")</f>
        <v>-</v>
      </c>
      <c r="CW236" s="154" t="str">
        <f aca="false">IFERROR(+$H236-($AB236+$AC236*$G236),"-")</f>
        <v>-</v>
      </c>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row>
    <row r="237" s="1" customFormat="true" ht="12.75" hidden="false" customHeight="true" outlineLevel="0" collapsed="false">
      <c r="B237" s="134" t="s">
        <v>339</v>
      </c>
      <c r="C237" s="135" t="s">
        <v>340</v>
      </c>
      <c r="D237" s="136" t="e">
        <f aca="false">VLOOKUP($C237,#REF!,5,0)</f>
        <v>#VALUE!</v>
      </c>
      <c r="E237" s="157" t="e">
        <f aca="false">VLOOKUP($C237,#REF!,6,0)</f>
        <v>#VALUE!</v>
      </c>
      <c r="F237" s="135" t="e">
        <f aca="false">VLOOKUP($C237,#REF!,7,0)</f>
        <v>#VALUE!</v>
      </c>
      <c r="G237" s="135" t="e">
        <f aca="false">VLOOKUP($C237,#REF!,8,0)</f>
        <v>#VALUE!</v>
      </c>
      <c r="H237" s="158" t="e">
        <f aca="false">VLOOKUP($C237,#REF!,9,0)</f>
        <v>#VALUE!</v>
      </c>
      <c r="I237" s="137"/>
      <c r="J237" s="138" t="e">
        <f aca="false">VLOOKUP($C237,#REF!,10,0)</f>
        <v>#VALUE!</v>
      </c>
      <c r="K237" s="139" t="e">
        <f aca="false">VLOOKUP($C237,#REF!,11,0)</f>
        <v>#VALUE!</v>
      </c>
      <c r="L237" s="140"/>
      <c r="M237" s="138" t="e">
        <f aca="false">VLOOKUP($C237,#REF!,12,0)</f>
        <v>#VALUE!</v>
      </c>
      <c r="N237" s="140" t="e">
        <f aca="false">VLOOKUP($C237,#REF!,13,0)</f>
        <v>#VALUE!</v>
      </c>
      <c r="O237" s="138" t="e">
        <f aca="false">VLOOKUP($C237,#REF!,14,0)</f>
        <v>#VALUE!</v>
      </c>
      <c r="P237" s="140" t="e">
        <f aca="false">VLOOKUP($C237,#REF!,15,0)</f>
        <v>#VALUE!</v>
      </c>
      <c r="Q237" s="138" t="e">
        <f aca="false">VLOOKUP($C237,#REF!,16,0)</f>
        <v>#VALUE!</v>
      </c>
      <c r="R237" s="139" t="e">
        <f aca="false">VLOOKUP($C237,#REF!,17,0)</f>
        <v>#VALUE!</v>
      </c>
      <c r="S237" s="140" t="e">
        <f aca="false">VLOOKUP($C237,#REF!,18,0)</f>
        <v>#VALUE!</v>
      </c>
      <c r="T237" s="139" t="e">
        <f aca="false">VLOOKUP($C237,#REF!,19,0)</f>
        <v>#VALUE!</v>
      </c>
      <c r="U237" s="140"/>
      <c r="V237" s="138" t="e">
        <f aca="false">VLOOKUP($C237,#REF!,20,0)</f>
        <v>#VALUE!</v>
      </c>
      <c r="W237" s="140" t="e">
        <f aca="false">VLOOKUP($C237,#REF!,21,0)</f>
        <v>#VALUE!</v>
      </c>
      <c r="X237" s="138" t="e">
        <f aca="false">VLOOKUP($C237,#REF!,22,0)</f>
        <v>#VALUE!</v>
      </c>
      <c r="Y237" s="140" t="e">
        <f aca="false">VLOOKUP($C237,#REF!,23,0)</f>
        <v>#VALUE!</v>
      </c>
      <c r="Z237" s="138" t="e">
        <f aca="false">VLOOKUP($C237,#REF!,24,0)</f>
        <v>#VALUE!</v>
      </c>
      <c r="AA237" s="139" t="e">
        <f aca="false">VLOOKUP($C237,#REF!,25,0)</f>
        <v>#VALUE!</v>
      </c>
      <c r="AB237" s="140" t="e">
        <f aca="false">VLOOKUP($C237,#REF!,26,0)</f>
        <v>#VALUE!</v>
      </c>
      <c r="AC237" s="139" t="e">
        <f aca="false">VLOOKUP($C237,#REF!,27,0)</f>
        <v>#VALUE!</v>
      </c>
      <c r="AE237" s="138" t="e">
        <f aca="false">IF(M237="-","-","0,5 GB")</f>
        <v>#VALUE!</v>
      </c>
      <c r="AF237" s="141" t="s">
        <v>92</v>
      </c>
      <c r="AG237" s="141" t="s">
        <v>93</v>
      </c>
      <c r="AH237" s="139" t="s">
        <v>94</v>
      </c>
      <c r="AJ237" s="138" t="s">
        <v>95</v>
      </c>
      <c r="AK237" s="141" t="s">
        <v>96</v>
      </c>
      <c r="AL237" s="141" t="s">
        <v>97</v>
      </c>
      <c r="AM237" s="141" t="s">
        <v>98</v>
      </c>
      <c r="AN237" s="141" t="s">
        <v>98</v>
      </c>
      <c r="AO237" s="139" t="s">
        <v>92</v>
      </c>
      <c r="AQ237" s="142" t="n">
        <v>74</v>
      </c>
      <c r="AR237" s="137"/>
      <c r="AS237" s="138" t="n">
        <v>0</v>
      </c>
      <c r="AT237" s="139" t="n">
        <v>0</v>
      </c>
      <c r="AU237" s="140"/>
      <c r="AV237" s="138" t="n">
        <f aca="false">IFERROR(ROUND($D237-M237-AW237,0),0)</f>
        <v>0</v>
      </c>
      <c r="AW237" s="139" t="n">
        <f aca="false">IFERROR(N237*$G237,0)</f>
        <v>0</v>
      </c>
      <c r="AX237" s="138" t="n">
        <f aca="false">IFERROR(ROUND($D237-O237-AY237,0),0)</f>
        <v>0</v>
      </c>
      <c r="AY237" s="139" t="n">
        <f aca="false">IFERROR(P237*$G237,0)</f>
        <v>0</v>
      </c>
      <c r="AZ237" s="138" t="n">
        <f aca="false">IFERROR(ROUND($D237-Q237-BA237,0),0)</f>
        <v>0</v>
      </c>
      <c r="BA237" s="139" t="n">
        <f aca="false">IFERROR(R237*$G237,0)</f>
        <v>0</v>
      </c>
      <c r="BB237" s="140" t="n">
        <f aca="false">IFERROR(ROUND($D237-S237-BC237,0),0)</f>
        <v>0</v>
      </c>
      <c r="BC237" s="139" t="n">
        <f aca="false">IFERROR(T237*$G237,0)</f>
        <v>0</v>
      </c>
      <c r="BD237" s="140"/>
      <c r="BE237" s="138" t="n">
        <f aca="false">IFERROR(ROUND($D237-V237-BF237,0),0)</f>
        <v>0</v>
      </c>
      <c r="BF237" s="139" t="n">
        <f aca="false">IFERROR(W237*$G237,0)</f>
        <v>0</v>
      </c>
      <c r="BG237" s="138" t="n">
        <f aca="false">IFERROR(ROUND($D237-X237-BH237,0),0)</f>
        <v>0</v>
      </c>
      <c r="BH237" s="139" t="n">
        <f aca="false">IFERROR(Y237*$G237,0)</f>
        <v>0</v>
      </c>
      <c r="BI237" s="140" t="n">
        <f aca="false">IFERROR(ROUND($D237-Z237-BJ237,0),0)</f>
        <v>0</v>
      </c>
      <c r="BJ237" s="139" t="n">
        <f aca="false">IFERROR(AA237*$G237,0)</f>
        <v>0</v>
      </c>
      <c r="BK237" s="140" t="n">
        <f aca="false">IFERROR(ROUND($D237-AB237-BL237,0),0)</f>
        <v>0</v>
      </c>
      <c r="BL237" s="139" t="n">
        <f aca="false">IFERROR(AC237*$G237,0)</f>
        <v>0</v>
      </c>
      <c r="BN237" s="142" t="n">
        <v>0</v>
      </c>
      <c r="BO237" s="137"/>
      <c r="BP237" s="138" t="n">
        <v>0</v>
      </c>
      <c r="BQ237" s="139" t="n">
        <v>0</v>
      </c>
      <c r="BR237" s="140"/>
      <c r="BS237" s="138" t="n">
        <v>0</v>
      </c>
      <c r="BT237" s="139" t="n">
        <v>0</v>
      </c>
      <c r="BU237" s="138" t="n">
        <v>0</v>
      </c>
      <c r="BV237" s="139" t="n">
        <v>0</v>
      </c>
      <c r="BW237" s="138" t="n">
        <v>0</v>
      </c>
      <c r="BX237" s="139" t="n">
        <v>0</v>
      </c>
      <c r="BY237" s="138" t="n">
        <v>0</v>
      </c>
      <c r="BZ237" s="139" t="n">
        <v>0</v>
      </c>
      <c r="CA237" s="140"/>
      <c r="CB237" s="138" t="n">
        <v>0</v>
      </c>
      <c r="CC237" s="139" t="n">
        <v>0</v>
      </c>
      <c r="CD237" s="138" t="n">
        <v>0</v>
      </c>
      <c r="CE237" s="139" t="n">
        <v>0</v>
      </c>
      <c r="CF237" s="138" t="n">
        <v>0</v>
      </c>
      <c r="CG237" s="139" t="n">
        <v>0</v>
      </c>
      <c r="CH237" s="138" t="n">
        <v>0</v>
      </c>
      <c r="CI237" s="139" t="n">
        <v>0</v>
      </c>
      <c r="CK237" s="143"/>
      <c r="CL237" s="137"/>
      <c r="CM237" s="144" t="str">
        <f aca="false">IFERROR(+$H237-($J237+$K237*$G237),"-")</f>
        <v>-</v>
      </c>
      <c r="CN237" s="137"/>
      <c r="CO237" s="144" t="str">
        <f aca="false">IFERROR(+$H237-($M237+$N237*$G237),"-")</f>
        <v>-</v>
      </c>
      <c r="CP237" s="144" t="str">
        <f aca="false">IFERROR(+$H237-($O237+$P237*$G237),"-")</f>
        <v>-</v>
      </c>
      <c r="CQ237" s="144" t="str">
        <f aca="false">IFERROR(+$H237-($Q237+$R237*$G237),"-")</f>
        <v>-</v>
      </c>
      <c r="CR237" s="144" t="str">
        <f aca="false">IFERROR(+$H237-($Q237+$R237*$G237),"-")</f>
        <v>-</v>
      </c>
      <c r="CS237" s="137"/>
      <c r="CT237" s="144" t="str">
        <f aca="false">IFERROR(+$H237-($V237+$W237*$G237),"-")</f>
        <v>-</v>
      </c>
      <c r="CU237" s="144" t="str">
        <f aca="false">IFERROR(+$H237-($X237+$Y237*$G237),"-")</f>
        <v>-</v>
      </c>
      <c r="CV237" s="144" t="str">
        <f aca="false">IFERROR(+$H237-($Z237+$AA237*$G237),"-")</f>
        <v>-</v>
      </c>
      <c r="CW237" s="144" t="str">
        <f aca="false">IFERROR(+$H237-($AB237+$AC237*$G237),"-")</f>
        <v>-</v>
      </c>
    </row>
    <row r="238" s="156" customFormat="true" ht="12.75" hidden="false" customHeight="true" outlineLevel="0" collapsed="false">
      <c r="A238" s="1"/>
      <c r="B238" s="145" t="s">
        <v>339</v>
      </c>
      <c r="C238" s="146" t="s">
        <v>341</v>
      </c>
      <c r="D238" s="147" t="e">
        <f aca="false">VLOOKUP($C238,#REF!,5,0)</f>
        <v>#VALUE!</v>
      </c>
      <c r="E238" s="148" t="e">
        <f aca="false">VLOOKUP($C238,#REF!,6,0)</f>
        <v>#VALUE!</v>
      </c>
      <c r="F238" s="146" t="e">
        <f aca="false">VLOOKUP($C238,#REF!,7,0)</f>
        <v>#VALUE!</v>
      </c>
      <c r="G238" s="146" t="e">
        <f aca="false">VLOOKUP($C238,#REF!,8,0)</f>
        <v>#VALUE!</v>
      </c>
      <c r="H238" s="149" t="e">
        <f aca="false">VLOOKUP($C238,#REF!,9,0)</f>
        <v>#VALUE!</v>
      </c>
      <c r="I238" s="137"/>
      <c r="J238" s="150" t="e">
        <f aca="false">VLOOKUP($C238,#REF!,10,0)</f>
        <v>#VALUE!</v>
      </c>
      <c r="K238" s="151" t="e">
        <f aca="false">VLOOKUP($C238,#REF!,11,0)</f>
        <v>#VALUE!</v>
      </c>
      <c r="L238" s="140"/>
      <c r="M238" s="150" t="e">
        <f aca="false">VLOOKUP($C238,#REF!,12,0)</f>
        <v>#VALUE!</v>
      </c>
      <c r="N238" s="152" t="e">
        <f aca="false">VLOOKUP($C238,#REF!,13,0)</f>
        <v>#VALUE!</v>
      </c>
      <c r="O238" s="150" t="e">
        <f aca="false">VLOOKUP($C238,#REF!,14,0)</f>
        <v>#VALUE!</v>
      </c>
      <c r="P238" s="152" t="e">
        <f aca="false">VLOOKUP($C238,#REF!,15,0)</f>
        <v>#VALUE!</v>
      </c>
      <c r="Q238" s="150" t="e">
        <f aca="false">VLOOKUP($C238,#REF!,16,0)</f>
        <v>#VALUE!</v>
      </c>
      <c r="R238" s="151" t="e">
        <f aca="false">VLOOKUP($C238,#REF!,17,0)</f>
        <v>#VALUE!</v>
      </c>
      <c r="S238" s="152" t="e">
        <f aca="false">VLOOKUP($C238,#REF!,18,0)</f>
        <v>#VALUE!</v>
      </c>
      <c r="T238" s="151" t="e">
        <f aca="false">VLOOKUP($C238,#REF!,19,0)</f>
        <v>#VALUE!</v>
      </c>
      <c r="U238" s="140"/>
      <c r="V238" s="150" t="e">
        <f aca="false">VLOOKUP($C238,#REF!,20,0)</f>
        <v>#VALUE!</v>
      </c>
      <c r="W238" s="152" t="e">
        <f aca="false">VLOOKUP($C238,#REF!,21,0)</f>
        <v>#VALUE!</v>
      </c>
      <c r="X238" s="150" t="e">
        <f aca="false">VLOOKUP($C238,#REF!,22,0)</f>
        <v>#VALUE!</v>
      </c>
      <c r="Y238" s="152" t="e">
        <f aca="false">VLOOKUP($C238,#REF!,23,0)</f>
        <v>#VALUE!</v>
      </c>
      <c r="Z238" s="150" t="e">
        <f aca="false">VLOOKUP($C238,#REF!,24,0)</f>
        <v>#VALUE!</v>
      </c>
      <c r="AA238" s="151" t="e">
        <f aca="false">VLOOKUP($C238,#REF!,25,0)</f>
        <v>#VALUE!</v>
      </c>
      <c r="AB238" s="152" t="e">
        <f aca="false">VLOOKUP($C238,#REF!,26,0)</f>
        <v>#VALUE!</v>
      </c>
      <c r="AC238" s="151" t="e">
        <f aca="false">VLOOKUP($C238,#REF!,27,0)</f>
        <v>#VALUE!</v>
      </c>
      <c r="AD238" s="1"/>
      <c r="AE238" s="150" t="e">
        <f aca="false">IF(M238="-","-","0,5 GB")</f>
        <v>#VALUE!</v>
      </c>
      <c r="AF238" s="153" t="s">
        <v>92</v>
      </c>
      <c r="AG238" s="153" t="s">
        <v>93</v>
      </c>
      <c r="AH238" s="151" t="s">
        <v>94</v>
      </c>
      <c r="AI238" s="1"/>
      <c r="AJ238" s="150" t="s">
        <v>95</v>
      </c>
      <c r="AK238" s="153" t="s">
        <v>96</v>
      </c>
      <c r="AL238" s="153" t="s">
        <v>97</v>
      </c>
      <c r="AM238" s="153" t="s">
        <v>98</v>
      </c>
      <c r="AN238" s="153" t="s">
        <v>98</v>
      </c>
      <c r="AO238" s="151" t="s">
        <v>92</v>
      </c>
      <c r="AP238" s="1"/>
      <c r="AQ238" s="154" t="n">
        <v>90</v>
      </c>
      <c r="AR238" s="137"/>
      <c r="AS238" s="150" t="n">
        <v>0</v>
      </c>
      <c r="AT238" s="151" t="n">
        <v>0</v>
      </c>
      <c r="AU238" s="140"/>
      <c r="AV238" s="150" t="n">
        <f aca="false">IFERROR(ROUND($D238-M238-AW238,0),0)</f>
        <v>0</v>
      </c>
      <c r="AW238" s="151" t="n">
        <f aca="false">IFERROR(N238*$G238,0)</f>
        <v>0</v>
      </c>
      <c r="AX238" s="150" t="n">
        <f aca="false">IFERROR(ROUND($D238-O238-AY238,0),0)</f>
        <v>0</v>
      </c>
      <c r="AY238" s="151" t="n">
        <f aca="false">IFERROR(P238*$G238,0)</f>
        <v>0</v>
      </c>
      <c r="AZ238" s="150" t="n">
        <f aca="false">IFERROR(ROUND($D238-Q238-BA238,0),0)</f>
        <v>0</v>
      </c>
      <c r="BA238" s="151" t="n">
        <f aca="false">IFERROR(R238*$G238,0)</f>
        <v>0</v>
      </c>
      <c r="BB238" s="152" t="n">
        <f aca="false">IFERROR(ROUND($D238-S238-BC238,0),0)</f>
        <v>0</v>
      </c>
      <c r="BC238" s="151" t="n">
        <f aca="false">IFERROR(T238*$G238,0)</f>
        <v>0</v>
      </c>
      <c r="BD238" s="140"/>
      <c r="BE238" s="150" t="n">
        <f aca="false">IFERROR(ROUND($D238-V238-BF238,0),0)</f>
        <v>0</v>
      </c>
      <c r="BF238" s="151" t="n">
        <f aca="false">IFERROR(W238*$G238,0)</f>
        <v>0</v>
      </c>
      <c r="BG238" s="150" t="n">
        <f aca="false">IFERROR(ROUND($D238-X238-BH238,0),0)</f>
        <v>0</v>
      </c>
      <c r="BH238" s="151" t="n">
        <f aca="false">IFERROR(Y238*$G238,0)</f>
        <v>0</v>
      </c>
      <c r="BI238" s="152" t="n">
        <f aca="false">IFERROR(ROUND($D238-Z238-BJ238,0),0)</f>
        <v>0</v>
      </c>
      <c r="BJ238" s="151" t="n">
        <f aca="false">IFERROR(AA238*$G238,0)</f>
        <v>0</v>
      </c>
      <c r="BK238" s="152" t="n">
        <f aca="false">IFERROR(ROUND($D238-AB238-BL238,0),0)</f>
        <v>0</v>
      </c>
      <c r="BL238" s="151" t="n">
        <f aca="false">IFERROR(AC238*$G238,0)</f>
        <v>0</v>
      </c>
      <c r="BM238" s="1"/>
      <c r="BN238" s="154" t="n">
        <v>0</v>
      </c>
      <c r="BO238" s="155"/>
      <c r="BP238" s="150" t="n">
        <v>0</v>
      </c>
      <c r="BQ238" s="151" t="n">
        <v>0</v>
      </c>
      <c r="BR238" s="152"/>
      <c r="BS238" s="150" t="n">
        <v>0</v>
      </c>
      <c r="BT238" s="151" t="n">
        <v>0</v>
      </c>
      <c r="BU238" s="150" t="n">
        <v>0</v>
      </c>
      <c r="BV238" s="151" t="n">
        <v>0</v>
      </c>
      <c r="BW238" s="150" t="n">
        <v>0</v>
      </c>
      <c r="BX238" s="151" t="n">
        <v>0</v>
      </c>
      <c r="BY238" s="150" t="n">
        <v>0</v>
      </c>
      <c r="BZ238" s="151" t="n">
        <v>0</v>
      </c>
      <c r="CA238" s="152"/>
      <c r="CB238" s="150" t="n">
        <v>0</v>
      </c>
      <c r="CC238" s="151" t="n">
        <v>0</v>
      </c>
      <c r="CD238" s="150" t="n">
        <v>0</v>
      </c>
      <c r="CE238" s="151" t="n">
        <v>0</v>
      </c>
      <c r="CF238" s="150" t="n">
        <v>0</v>
      </c>
      <c r="CG238" s="151" t="n">
        <v>0</v>
      </c>
      <c r="CH238" s="150" t="n">
        <v>0</v>
      </c>
      <c r="CI238" s="151" t="n">
        <v>0</v>
      </c>
      <c r="CJ238" s="1"/>
      <c r="CK238" s="149"/>
      <c r="CL238" s="137"/>
      <c r="CM238" s="154" t="str">
        <f aca="false">IFERROR(+$H238-($J238+$K238*$G238),"-")</f>
        <v>-</v>
      </c>
      <c r="CN238" s="137"/>
      <c r="CO238" s="154" t="str">
        <f aca="false">IFERROR(+$H238-($M238+$N238*$G238),"-")</f>
        <v>-</v>
      </c>
      <c r="CP238" s="154" t="str">
        <f aca="false">IFERROR(+$H238-($O238+$P238*$G238),"-")</f>
        <v>-</v>
      </c>
      <c r="CQ238" s="154" t="str">
        <f aca="false">IFERROR(+$H238-($Q238+$R238*$G238),"-")</f>
        <v>-</v>
      </c>
      <c r="CR238" s="154" t="str">
        <f aca="false">IFERROR(+$H238-($Q238+$R238*$G238),"-")</f>
        <v>-</v>
      </c>
      <c r="CS238" s="137"/>
      <c r="CT238" s="154" t="str">
        <f aca="false">IFERROR(+$H238-($V238+$W238*$G238),"-")</f>
        <v>-</v>
      </c>
      <c r="CU238" s="154" t="str">
        <f aca="false">IFERROR(+$H238-($X238+$Y238*$G238),"-")</f>
        <v>-</v>
      </c>
      <c r="CV238" s="154" t="str">
        <f aca="false">IFERROR(+$H238-($Z238+$AA238*$G238),"-")</f>
        <v>-</v>
      </c>
      <c r="CW238" s="154" t="str">
        <f aca="false">IFERROR(+$H238-($AB238+$AC238*$G238),"-")</f>
        <v>-</v>
      </c>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row>
    <row r="239" s="1" customFormat="true" ht="12.75" hidden="false" customHeight="true" outlineLevel="0" collapsed="false">
      <c r="B239" s="134" t="s">
        <v>339</v>
      </c>
      <c r="C239" s="135" t="s">
        <v>342</v>
      </c>
      <c r="D239" s="136" t="e">
        <f aca="false">VLOOKUP($C239,#REF!,5,0)</f>
        <v>#VALUE!</v>
      </c>
      <c r="E239" s="157" t="e">
        <f aca="false">VLOOKUP($C239,#REF!,6,0)</f>
        <v>#VALUE!</v>
      </c>
      <c r="F239" s="135" t="e">
        <f aca="false">VLOOKUP($C239,#REF!,7,0)</f>
        <v>#VALUE!</v>
      </c>
      <c r="G239" s="135" t="e">
        <f aca="false">VLOOKUP($C239,#REF!,8,0)</f>
        <v>#VALUE!</v>
      </c>
      <c r="H239" s="158" t="e">
        <f aca="false">VLOOKUP($C239,#REF!,9,0)</f>
        <v>#VALUE!</v>
      </c>
      <c r="I239" s="137"/>
      <c r="J239" s="138" t="e">
        <f aca="false">VLOOKUP($C239,#REF!,10,0)</f>
        <v>#VALUE!</v>
      </c>
      <c r="K239" s="139" t="e">
        <f aca="false">VLOOKUP($C239,#REF!,11,0)</f>
        <v>#VALUE!</v>
      </c>
      <c r="L239" s="140"/>
      <c r="M239" s="138" t="e">
        <f aca="false">VLOOKUP($C239,#REF!,12,0)</f>
        <v>#VALUE!</v>
      </c>
      <c r="N239" s="140" t="e">
        <f aca="false">VLOOKUP($C239,#REF!,13,0)</f>
        <v>#VALUE!</v>
      </c>
      <c r="O239" s="138" t="e">
        <f aca="false">VLOOKUP($C239,#REF!,14,0)</f>
        <v>#VALUE!</v>
      </c>
      <c r="P239" s="140" t="e">
        <f aca="false">VLOOKUP($C239,#REF!,15,0)</f>
        <v>#VALUE!</v>
      </c>
      <c r="Q239" s="138" t="e">
        <f aca="false">VLOOKUP($C239,#REF!,16,0)</f>
        <v>#VALUE!</v>
      </c>
      <c r="R239" s="139" t="e">
        <f aca="false">VLOOKUP($C239,#REF!,17,0)</f>
        <v>#VALUE!</v>
      </c>
      <c r="S239" s="140" t="e">
        <f aca="false">VLOOKUP($C239,#REF!,18,0)</f>
        <v>#VALUE!</v>
      </c>
      <c r="T239" s="139" t="e">
        <f aca="false">VLOOKUP($C239,#REF!,19,0)</f>
        <v>#VALUE!</v>
      </c>
      <c r="U239" s="140"/>
      <c r="V239" s="138" t="e">
        <f aca="false">VLOOKUP($C239,#REF!,20,0)</f>
        <v>#VALUE!</v>
      </c>
      <c r="W239" s="140" t="e">
        <f aca="false">VLOOKUP($C239,#REF!,21,0)</f>
        <v>#VALUE!</v>
      </c>
      <c r="X239" s="138" t="e">
        <f aca="false">VLOOKUP($C239,#REF!,22,0)</f>
        <v>#VALUE!</v>
      </c>
      <c r="Y239" s="140" t="e">
        <f aca="false">VLOOKUP($C239,#REF!,23,0)</f>
        <v>#VALUE!</v>
      </c>
      <c r="Z239" s="138" t="e">
        <f aca="false">VLOOKUP($C239,#REF!,24,0)</f>
        <v>#VALUE!</v>
      </c>
      <c r="AA239" s="139" t="e">
        <f aca="false">VLOOKUP($C239,#REF!,25,0)</f>
        <v>#VALUE!</v>
      </c>
      <c r="AB239" s="140" t="e">
        <f aca="false">VLOOKUP($C239,#REF!,26,0)</f>
        <v>#VALUE!</v>
      </c>
      <c r="AC239" s="139" t="e">
        <f aca="false">VLOOKUP($C239,#REF!,27,0)</f>
        <v>#VALUE!</v>
      </c>
      <c r="AE239" s="138" t="e">
        <f aca="false">IF(M239="-","-","0,5 GB")</f>
        <v>#VALUE!</v>
      </c>
      <c r="AF239" s="141" t="s">
        <v>92</v>
      </c>
      <c r="AG239" s="141" t="s">
        <v>93</v>
      </c>
      <c r="AH239" s="139" t="s">
        <v>94</v>
      </c>
      <c r="AJ239" s="138" t="s">
        <v>95</v>
      </c>
      <c r="AK239" s="141" t="s">
        <v>96</v>
      </c>
      <c r="AL239" s="141" t="s">
        <v>97</v>
      </c>
      <c r="AM239" s="141" t="s">
        <v>98</v>
      </c>
      <c r="AN239" s="141" t="s">
        <v>98</v>
      </c>
      <c r="AO239" s="139" t="s">
        <v>92</v>
      </c>
      <c r="AQ239" s="142" t="n">
        <v>2</v>
      </c>
      <c r="AR239" s="137"/>
      <c r="AS239" s="138" t="n">
        <v>0</v>
      </c>
      <c r="AT239" s="139" t="n">
        <v>0</v>
      </c>
      <c r="AU239" s="140"/>
      <c r="AV239" s="138" t="n">
        <f aca="false">IFERROR(ROUND($D239-M239-AW239,0),0)</f>
        <v>0</v>
      </c>
      <c r="AW239" s="139" t="n">
        <f aca="false">IFERROR(N239*$G239,0)</f>
        <v>0</v>
      </c>
      <c r="AX239" s="138" t="n">
        <f aca="false">IFERROR(ROUND($D239-O239-AY239,0),0)</f>
        <v>0</v>
      </c>
      <c r="AY239" s="139" t="n">
        <f aca="false">IFERROR(P239*$G239,0)</f>
        <v>0</v>
      </c>
      <c r="AZ239" s="138" t="n">
        <f aca="false">IFERROR(ROUND($D239-Q239-BA239,0),0)</f>
        <v>0</v>
      </c>
      <c r="BA239" s="139" t="n">
        <f aca="false">IFERROR(R239*$G239,0)</f>
        <v>0</v>
      </c>
      <c r="BB239" s="140" t="n">
        <f aca="false">IFERROR(ROUND($D239-S239-BC239,0),0)</f>
        <v>0</v>
      </c>
      <c r="BC239" s="139" t="n">
        <f aca="false">IFERROR(T239*$G239,0)</f>
        <v>0</v>
      </c>
      <c r="BD239" s="140"/>
      <c r="BE239" s="138" t="n">
        <f aca="false">IFERROR(ROUND($D239-V239-BF239,0),0)</f>
        <v>0</v>
      </c>
      <c r="BF239" s="139" t="n">
        <f aca="false">IFERROR(W239*$G239,0)</f>
        <v>0</v>
      </c>
      <c r="BG239" s="138" t="n">
        <f aca="false">IFERROR(ROUND($D239-X239-BH239,0),0)</f>
        <v>0</v>
      </c>
      <c r="BH239" s="139" t="n">
        <f aca="false">IFERROR(Y239*$G239,0)</f>
        <v>0</v>
      </c>
      <c r="BI239" s="140" t="n">
        <f aca="false">IFERROR(ROUND($D239-Z239-BJ239,0),0)</f>
        <v>0</v>
      </c>
      <c r="BJ239" s="139" t="n">
        <f aca="false">IFERROR(AA239*$G239,0)</f>
        <v>0</v>
      </c>
      <c r="BK239" s="140" t="n">
        <f aca="false">IFERROR(ROUND($D239-AB239-BL239,0),0)</f>
        <v>0</v>
      </c>
      <c r="BL239" s="139" t="n">
        <f aca="false">IFERROR(AC239*$G239,0)</f>
        <v>0</v>
      </c>
      <c r="BN239" s="142" t="e">
        <f aca="false">#N/A</f>
        <v>#N/A</v>
      </c>
      <c r="BO239" s="137"/>
      <c r="BP239" s="138" t="e">
        <f aca="false">#N/A</f>
        <v>#N/A</v>
      </c>
      <c r="BQ239" s="139" t="e">
        <f aca="false">#N/A</f>
        <v>#N/A</v>
      </c>
      <c r="BR239" s="140"/>
      <c r="BS239" s="138" t="e">
        <f aca="false">#N/A</f>
        <v>#N/A</v>
      </c>
      <c r="BT239" s="139" t="e">
        <f aca="false">#N/A</f>
        <v>#N/A</v>
      </c>
      <c r="BU239" s="138" t="e">
        <f aca="false">#N/A</f>
        <v>#N/A</v>
      </c>
      <c r="BV239" s="139" t="e">
        <f aca="false">#N/A</f>
        <v>#N/A</v>
      </c>
      <c r="BW239" s="138" t="e">
        <f aca="false">#N/A</f>
        <v>#N/A</v>
      </c>
      <c r="BX239" s="139" t="e">
        <f aca="false">#N/A</f>
        <v>#N/A</v>
      </c>
      <c r="BY239" s="138" t="e">
        <f aca="false">#N/A</f>
        <v>#N/A</v>
      </c>
      <c r="BZ239" s="139" t="e">
        <f aca="false">#N/A</f>
        <v>#N/A</v>
      </c>
      <c r="CA239" s="140"/>
      <c r="CB239" s="138" t="e">
        <f aca="false">#N/A</f>
        <v>#N/A</v>
      </c>
      <c r="CC239" s="139" t="e">
        <f aca="false">#N/A</f>
        <v>#N/A</v>
      </c>
      <c r="CD239" s="138" t="e">
        <f aca="false">#N/A</f>
        <v>#N/A</v>
      </c>
      <c r="CE239" s="139" t="e">
        <f aca="false">#N/A</f>
        <v>#N/A</v>
      </c>
      <c r="CF239" s="138" t="e">
        <f aca="false">#N/A</f>
        <v>#N/A</v>
      </c>
      <c r="CG239" s="139" t="e">
        <f aca="false">#N/A</f>
        <v>#N/A</v>
      </c>
      <c r="CH239" s="138" t="e">
        <f aca="false">#N/A</f>
        <v>#N/A</v>
      </c>
      <c r="CI239" s="139" t="e">
        <f aca="false">#N/A</f>
        <v>#N/A</v>
      </c>
      <c r="CK239" s="143"/>
      <c r="CL239" s="137"/>
      <c r="CM239" s="144" t="str">
        <f aca="false">IFERROR(+$H239-($J239+$K239*$G239),"-")</f>
        <v>-</v>
      </c>
      <c r="CN239" s="137"/>
      <c r="CO239" s="144" t="str">
        <f aca="false">IFERROR(+$H239-($M239+$N239*$G239),"-")</f>
        <v>-</v>
      </c>
      <c r="CP239" s="144" t="str">
        <f aca="false">IFERROR(+$H239-($O239+$P239*$G239),"-")</f>
        <v>-</v>
      </c>
      <c r="CQ239" s="144" t="str">
        <f aca="false">IFERROR(+$H239-($Q239+$R239*$G239),"-")</f>
        <v>-</v>
      </c>
      <c r="CR239" s="144" t="str">
        <f aca="false">IFERROR(+$H239-($Q239+$R239*$G239),"-")</f>
        <v>-</v>
      </c>
      <c r="CS239" s="137"/>
      <c r="CT239" s="144" t="str">
        <f aca="false">IFERROR(+$H239-($V239+$W239*$G239),"-")</f>
        <v>-</v>
      </c>
      <c r="CU239" s="144" t="str">
        <f aca="false">IFERROR(+$H239-($X239+$Y239*$G239),"-")</f>
        <v>-</v>
      </c>
      <c r="CV239" s="144" t="str">
        <f aca="false">IFERROR(+$H239-($Z239+$AA239*$G239),"-")</f>
        <v>-</v>
      </c>
      <c r="CW239" s="144" t="str">
        <f aca="false">IFERROR(+$H239-($AB239+$AC239*$G239),"-")</f>
        <v>-</v>
      </c>
    </row>
    <row r="240" s="156" customFormat="true" ht="12.75" hidden="false" customHeight="true" outlineLevel="0" collapsed="false">
      <c r="A240" s="1"/>
      <c r="B240" s="145" t="s">
        <v>343</v>
      </c>
      <c r="C240" s="146" t="s">
        <v>344</v>
      </c>
      <c r="D240" s="147" t="e">
        <f aca="false">VLOOKUP($C240,#REF!,5,0)</f>
        <v>#VALUE!</v>
      </c>
      <c r="E240" s="148" t="e">
        <f aca="false">VLOOKUP($C240,#REF!,6,0)</f>
        <v>#VALUE!</v>
      </c>
      <c r="F240" s="146" t="e">
        <f aca="false">VLOOKUP($C240,#REF!,7,0)</f>
        <v>#VALUE!</v>
      </c>
      <c r="G240" s="146" t="e">
        <f aca="false">VLOOKUP($C240,#REF!,8,0)</f>
        <v>#VALUE!</v>
      </c>
      <c r="H240" s="149" t="e">
        <f aca="false">VLOOKUP($C240,#REF!,9,0)</f>
        <v>#VALUE!</v>
      </c>
      <c r="I240" s="137"/>
      <c r="J240" s="150" t="e">
        <f aca="false">VLOOKUP($C240,#REF!,10,0)</f>
        <v>#VALUE!</v>
      </c>
      <c r="K240" s="151" t="e">
        <f aca="false">VLOOKUP($C240,#REF!,11,0)</f>
        <v>#VALUE!</v>
      </c>
      <c r="L240" s="140"/>
      <c r="M240" s="150" t="e">
        <f aca="false">VLOOKUP($C240,#REF!,12,0)</f>
        <v>#VALUE!</v>
      </c>
      <c r="N240" s="152" t="e">
        <f aca="false">VLOOKUP($C240,#REF!,13,0)</f>
        <v>#VALUE!</v>
      </c>
      <c r="O240" s="150" t="e">
        <f aca="false">VLOOKUP($C240,#REF!,14,0)</f>
        <v>#VALUE!</v>
      </c>
      <c r="P240" s="152" t="e">
        <f aca="false">VLOOKUP($C240,#REF!,15,0)</f>
        <v>#VALUE!</v>
      </c>
      <c r="Q240" s="150" t="e">
        <f aca="false">VLOOKUP($C240,#REF!,16,0)</f>
        <v>#VALUE!</v>
      </c>
      <c r="R240" s="151" t="e">
        <f aca="false">VLOOKUP($C240,#REF!,17,0)</f>
        <v>#VALUE!</v>
      </c>
      <c r="S240" s="152" t="e">
        <f aca="false">VLOOKUP($C240,#REF!,18,0)</f>
        <v>#VALUE!</v>
      </c>
      <c r="T240" s="151" t="e">
        <f aca="false">VLOOKUP($C240,#REF!,19,0)</f>
        <v>#VALUE!</v>
      </c>
      <c r="U240" s="140"/>
      <c r="V240" s="150" t="e">
        <f aca="false">VLOOKUP($C240,#REF!,20,0)</f>
        <v>#VALUE!</v>
      </c>
      <c r="W240" s="152" t="e">
        <f aca="false">VLOOKUP($C240,#REF!,21,0)</f>
        <v>#VALUE!</v>
      </c>
      <c r="X240" s="150" t="e">
        <f aca="false">VLOOKUP($C240,#REF!,22,0)</f>
        <v>#VALUE!</v>
      </c>
      <c r="Y240" s="152" t="e">
        <f aca="false">VLOOKUP($C240,#REF!,23,0)</f>
        <v>#VALUE!</v>
      </c>
      <c r="Z240" s="150" t="e">
        <f aca="false">VLOOKUP($C240,#REF!,24,0)</f>
        <v>#VALUE!</v>
      </c>
      <c r="AA240" s="151" t="e">
        <f aca="false">VLOOKUP($C240,#REF!,25,0)</f>
        <v>#VALUE!</v>
      </c>
      <c r="AB240" s="152" t="e">
        <f aca="false">VLOOKUP($C240,#REF!,26,0)</f>
        <v>#VALUE!</v>
      </c>
      <c r="AC240" s="151" t="e">
        <f aca="false">VLOOKUP($C240,#REF!,27,0)</f>
        <v>#VALUE!</v>
      </c>
      <c r="AD240" s="1"/>
      <c r="AE240" s="150" t="e">
        <f aca="false">IF(M240="-","-","0,5 GB")</f>
        <v>#VALUE!</v>
      </c>
      <c r="AF240" s="153" t="s">
        <v>92</v>
      </c>
      <c r="AG240" s="153" t="s">
        <v>93</v>
      </c>
      <c r="AH240" s="151" t="s">
        <v>94</v>
      </c>
      <c r="AI240" s="1"/>
      <c r="AJ240" s="150" t="s">
        <v>95</v>
      </c>
      <c r="AK240" s="153" t="s">
        <v>96</v>
      </c>
      <c r="AL240" s="153" t="s">
        <v>97</v>
      </c>
      <c r="AM240" s="153" t="s">
        <v>98</v>
      </c>
      <c r="AN240" s="153" t="s">
        <v>98</v>
      </c>
      <c r="AO240" s="151" t="s">
        <v>92</v>
      </c>
      <c r="AP240" s="1"/>
      <c r="AQ240" s="154" t="n">
        <v>166</v>
      </c>
      <c r="AR240" s="137"/>
      <c r="AS240" s="150" t="n">
        <v>0</v>
      </c>
      <c r="AT240" s="151" t="n">
        <v>0</v>
      </c>
      <c r="AU240" s="140"/>
      <c r="AV240" s="150" t="n">
        <f aca="false">IFERROR(ROUND($D240-M240-AW240,0),0)</f>
        <v>0</v>
      </c>
      <c r="AW240" s="151" t="n">
        <f aca="false">IFERROR(N240*$G240,0)</f>
        <v>0</v>
      </c>
      <c r="AX240" s="150" t="n">
        <f aca="false">IFERROR(ROUND($D240-O240-AY240,0),0)</f>
        <v>0</v>
      </c>
      <c r="AY240" s="151" t="n">
        <f aca="false">IFERROR(P240*$G240,0)</f>
        <v>0</v>
      </c>
      <c r="AZ240" s="150" t="n">
        <f aca="false">IFERROR(ROUND($D240-Q240-BA240,0),0)</f>
        <v>0</v>
      </c>
      <c r="BA240" s="151" t="n">
        <f aca="false">IFERROR(R240*$G240,0)</f>
        <v>0</v>
      </c>
      <c r="BB240" s="152" t="n">
        <f aca="false">IFERROR(ROUND($D240-S240-BC240,0),0)</f>
        <v>0</v>
      </c>
      <c r="BC240" s="151" t="n">
        <f aca="false">IFERROR(T240*$G240,0)</f>
        <v>0</v>
      </c>
      <c r="BD240" s="140"/>
      <c r="BE240" s="150" t="n">
        <f aca="false">IFERROR(ROUND($D240-V240-BF240,0),0)</f>
        <v>0</v>
      </c>
      <c r="BF240" s="151" t="n">
        <f aca="false">IFERROR(W240*$G240,0)</f>
        <v>0</v>
      </c>
      <c r="BG240" s="150" t="n">
        <f aca="false">IFERROR(ROUND($D240-X240-BH240,0),0)</f>
        <v>0</v>
      </c>
      <c r="BH240" s="151" t="n">
        <f aca="false">IFERROR(Y240*$G240,0)</f>
        <v>0</v>
      </c>
      <c r="BI240" s="152" t="n">
        <f aca="false">IFERROR(ROUND($D240-Z240-BJ240,0),0)</f>
        <v>0</v>
      </c>
      <c r="BJ240" s="151" t="n">
        <f aca="false">IFERROR(AA240*$G240,0)</f>
        <v>0</v>
      </c>
      <c r="BK240" s="152" t="n">
        <f aca="false">IFERROR(ROUND($D240-AB240-BL240,0),0)</f>
        <v>0</v>
      </c>
      <c r="BL240" s="151" t="n">
        <f aca="false">IFERROR(AC240*$G240,0)</f>
        <v>0</v>
      </c>
      <c r="BM240" s="1"/>
      <c r="BN240" s="154" t="n">
        <v>-24.79</v>
      </c>
      <c r="BO240" s="155"/>
      <c r="BP240" s="150" t="n">
        <v>-24.79</v>
      </c>
      <c r="BQ240" s="151" t="n">
        <v>0</v>
      </c>
      <c r="BR240" s="152"/>
      <c r="BS240" s="150" t="n">
        <v>0</v>
      </c>
      <c r="BT240" s="151" t="n">
        <v>0</v>
      </c>
      <c r="BU240" s="150" t="n">
        <v>0</v>
      </c>
      <c r="BV240" s="151" t="n">
        <v>0</v>
      </c>
      <c r="BW240" s="150" t="n">
        <v>0</v>
      </c>
      <c r="BX240" s="151" t="n">
        <v>0</v>
      </c>
      <c r="BY240" s="150" t="n">
        <v>0</v>
      </c>
      <c r="BZ240" s="151" t="n">
        <v>0</v>
      </c>
      <c r="CA240" s="152"/>
      <c r="CB240" s="150" t="n">
        <v>0</v>
      </c>
      <c r="CC240" s="151" t="n">
        <v>0</v>
      </c>
      <c r="CD240" s="150" t="n">
        <v>0</v>
      </c>
      <c r="CE240" s="151" t="n">
        <v>0</v>
      </c>
      <c r="CF240" s="150" t="n">
        <v>0</v>
      </c>
      <c r="CG240" s="151" t="n">
        <v>0</v>
      </c>
      <c r="CH240" s="150" t="n">
        <v>0</v>
      </c>
      <c r="CI240" s="151" t="n">
        <v>0</v>
      </c>
      <c r="CJ240" s="1"/>
      <c r="CK240" s="149"/>
      <c r="CL240" s="137"/>
      <c r="CM240" s="154"/>
      <c r="CN240" s="137"/>
      <c r="CO240" s="154" t="str">
        <f aca="false">IFERROR(+$H240-($M240+$N240*$G240),"-")</f>
        <v>-</v>
      </c>
      <c r="CP240" s="154" t="str">
        <f aca="false">IFERROR(+$H240-($O240+$P240*$G240),"-")</f>
        <v>-</v>
      </c>
      <c r="CQ240" s="154" t="str">
        <f aca="false">IFERROR(+$H240-($Q240+$R240*$G240),"-")</f>
        <v>-</v>
      </c>
      <c r="CR240" s="154" t="str">
        <f aca="false">IFERROR(+$H240-($Q240+$R240*$G240),"-")</f>
        <v>-</v>
      </c>
      <c r="CS240" s="137"/>
      <c r="CT240" s="154" t="str">
        <f aca="false">IFERROR(+$H240-($V240+$W240*$G240),"-")</f>
        <v>-</v>
      </c>
      <c r="CU240" s="154" t="str">
        <f aca="false">IFERROR(+$H240-($X240+$Y240*$G240),"-")</f>
        <v>-</v>
      </c>
      <c r="CV240" s="154" t="str">
        <f aca="false">IFERROR(+$H240-($Z240+$AA240*$G240),"-")</f>
        <v>-</v>
      </c>
      <c r="CW240" s="154" t="str">
        <f aca="false">IFERROR(+$H240-($AB240+$AC240*$G240),"-")</f>
        <v>-</v>
      </c>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row>
    <row r="241" s="1" customFormat="true" ht="12.75" hidden="false" customHeight="true" outlineLevel="0" collapsed="false">
      <c r="B241" s="134"/>
      <c r="C241" s="135"/>
      <c r="D241" s="136"/>
      <c r="E241" s="157"/>
      <c r="F241" s="135"/>
      <c r="G241" s="135"/>
      <c r="H241" s="158"/>
      <c r="I241" s="137"/>
      <c r="J241" s="138"/>
      <c r="K241" s="139"/>
      <c r="L241" s="140"/>
      <c r="M241" s="138"/>
      <c r="N241" s="140"/>
      <c r="O241" s="138"/>
      <c r="P241" s="140"/>
      <c r="Q241" s="138"/>
      <c r="R241" s="139"/>
      <c r="S241" s="140"/>
      <c r="T241" s="139"/>
      <c r="U241" s="140"/>
      <c r="V241" s="138"/>
      <c r="W241" s="140"/>
      <c r="X241" s="138"/>
      <c r="Y241" s="140"/>
      <c r="Z241" s="138"/>
      <c r="AA241" s="139"/>
      <c r="AB241" s="140"/>
      <c r="AC241" s="139"/>
      <c r="AE241" s="138"/>
      <c r="AF241" s="141"/>
      <c r="AG241" s="141"/>
      <c r="AH241" s="139"/>
      <c r="AJ241" s="138"/>
      <c r="AK241" s="141"/>
      <c r="AL241" s="141"/>
      <c r="AM241" s="141"/>
      <c r="AN241" s="141"/>
      <c r="AO241" s="139"/>
      <c r="AQ241" s="142"/>
      <c r="AR241" s="137"/>
      <c r="AS241" s="138"/>
      <c r="AT241" s="139"/>
      <c r="AU241" s="140"/>
      <c r="AV241" s="138"/>
      <c r="AW241" s="139"/>
      <c r="AX241" s="138"/>
      <c r="AY241" s="139"/>
      <c r="AZ241" s="138"/>
      <c r="BA241" s="139"/>
      <c r="BB241" s="140"/>
      <c r="BC241" s="139"/>
      <c r="BD241" s="140"/>
      <c r="BE241" s="138"/>
      <c r="BF241" s="139"/>
      <c r="BG241" s="138"/>
      <c r="BH241" s="139"/>
      <c r="BI241" s="140"/>
      <c r="BJ241" s="139"/>
      <c r="BK241" s="140"/>
      <c r="BL241" s="139"/>
      <c r="BN241" s="142"/>
      <c r="BO241" s="137"/>
      <c r="BP241" s="138"/>
      <c r="BQ241" s="139"/>
      <c r="BR241" s="140"/>
      <c r="BS241" s="138"/>
      <c r="BT241" s="139"/>
      <c r="BU241" s="138"/>
      <c r="BV241" s="139"/>
      <c r="BW241" s="138"/>
      <c r="BX241" s="139"/>
      <c r="BY241" s="138"/>
      <c r="BZ241" s="139"/>
      <c r="CA241" s="140"/>
      <c r="CB241" s="138"/>
      <c r="CC241" s="139"/>
      <c r="CD241" s="138"/>
      <c r="CE241" s="139"/>
      <c r="CF241" s="138"/>
      <c r="CG241" s="139"/>
      <c r="CH241" s="138"/>
      <c r="CI241" s="139"/>
      <c r="CK241" s="143"/>
      <c r="CL241" s="137"/>
      <c r="CM241" s="144"/>
      <c r="CN241" s="137"/>
      <c r="CO241" s="144"/>
      <c r="CP241" s="144"/>
      <c r="CQ241" s="144"/>
      <c r="CR241" s="144"/>
      <c r="CS241" s="137"/>
      <c r="CT241" s="144"/>
      <c r="CU241" s="144"/>
      <c r="CV241" s="144"/>
      <c r="CW241" s="144"/>
    </row>
    <row r="242" s="156" customFormat="true" ht="12.75" hidden="false" customHeight="true" outlineLevel="0" collapsed="false">
      <c r="A242" s="1"/>
      <c r="B242" s="145"/>
      <c r="C242" s="146"/>
      <c r="D242" s="147"/>
      <c r="E242" s="148"/>
      <c r="F242" s="146"/>
      <c r="G242" s="146"/>
      <c r="H242" s="149"/>
      <c r="I242" s="137"/>
      <c r="J242" s="150"/>
      <c r="K242" s="151"/>
      <c r="L242" s="140"/>
      <c r="M242" s="150"/>
      <c r="N242" s="152"/>
      <c r="O242" s="150"/>
      <c r="P242" s="152"/>
      <c r="Q242" s="150"/>
      <c r="R242" s="151"/>
      <c r="S242" s="152"/>
      <c r="T242" s="151"/>
      <c r="U242" s="140"/>
      <c r="V242" s="150"/>
      <c r="W242" s="152"/>
      <c r="X242" s="150"/>
      <c r="Y242" s="152"/>
      <c r="Z242" s="150"/>
      <c r="AA242" s="151"/>
      <c r="AB242" s="152"/>
      <c r="AC242" s="151"/>
      <c r="AD242" s="1"/>
      <c r="AE242" s="150"/>
      <c r="AF242" s="153"/>
      <c r="AG242" s="153"/>
      <c r="AH242" s="151"/>
      <c r="AI242" s="1"/>
      <c r="AJ242" s="150"/>
      <c r="AK242" s="153"/>
      <c r="AL242" s="153"/>
      <c r="AM242" s="153"/>
      <c r="AN242" s="153"/>
      <c r="AO242" s="151"/>
      <c r="AP242" s="1"/>
      <c r="AQ242" s="154"/>
      <c r="AR242" s="137"/>
      <c r="AS242" s="150"/>
      <c r="AT242" s="151"/>
      <c r="AU242" s="140"/>
      <c r="AV242" s="150"/>
      <c r="AW242" s="151"/>
      <c r="AX242" s="150"/>
      <c r="AY242" s="151"/>
      <c r="AZ242" s="150"/>
      <c r="BA242" s="151"/>
      <c r="BB242" s="152"/>
      <c r="BC242" s="151"/>
      <c r="BD242" s="140"/>
      <c r="BE242" s="150"/>
      <c r="BF242" s="151"/>
      <c r="BG242" s="150"/>
      <c r="BH242" s="151"/>
      <c r="BI242" s="152"/>
      <c r="BJ242" s="151"/>
      <c r="BK242" s="152"/>
      <c r="BL242" s="151"/>
      <c r="BM242" s="1"/>
      <c r="BN242" s="154"/>
      <c r="BO242" s="155"/>
      <c r="BP242" s="150"/>
      <c r="BQ242" s="151"/>
      <c r="BR242" s="152"/>
      <c r="BS242" s="150"/>
      <c r="BT242" s="151"/>
      <c r="BU242" s="150"/>
      <c r="BV242" s="151"/>
      <c r="BW242" s="150"/>
      <c r="BX242" s="151"/>
      <c r="BY242" s="150"/>
      <c r="BZ242" s="151"/>
      <c r="CA242" s="152"/>
      <c r="CB242" s="150"/>
      <c r="CC242" s="151"/>
      <c r="CD242" s="150"/>
      <c r="CE242" s="151"/>
      <c r="CF242" s="150"/>
      <c r="CG242" s="151"/>
      <c r="CH242" s="150"/>
      <c r="CI242" s="151"/>
      <c r="CJ242" s="1"/>
      <c r="CK242" s="149"/>
      <c r="CL242" s="137"/>
      <c r="CM242" s="154"/>
      <c r="CN242" s="137"/>
      <c r="CO242" s="154"/>
      <c r="CP242" s="154"/>
      <c r="CQ242" s="154"/>
      <c r="CR242" s="154"/>
      <c r="CS242" s="137"/>
      <c r="CT242" s="154"/>
      <c r="CU242" s="154"/>
      <c r="CV242" s="154"/>
      <c r="CW242" s="154"/>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row>
    <row r="243" s="1" customFormat="true" ht="12.75" hidden="false" customHeight="true" outlineLevel="0" collapsed="false">
      <c r="B243" s="134"/>
      <c r="C243" s="135"/>
      <c r="D243" s="136"/>
      <c r="E243" s="157"/>
      <c r="F243" s="135"/>
      <c r="G243" s="135"/>
      <c r="H243" s="158"/>
      <c r="I243" s="137"/>
      <c r="J243" s="138"/>
      <c r="K243" s="139"/>
      <c r="L243" s="140"/>
      <c r="M243" s="138"/>
      <c r="N243" s="140"/>
      <c r="O243" s="138"/>
      <c r="P243" s="140"/>
      <c r="Q243" s="138"/>
      <c r="R243" s="139"/>
      <c r="S243" s="140"/>
      <c r="T243" s="139"/>
      <c r="U243" s="140"/>
      <c r="V243" s="138"/>
      <c r="W243" s="140"/>
      <c r="X243" s="138"/>
      <c r="Y243" s="140"/>
      <c r="Z243" s="138"/>
      <c r="AA243" s="139"/>
      <c r="AB243" s="140"/>
      <c r="AC243" s="139"/>
      <c r="AE243" s="138"/>
      <c r="AF243" s="141"/>
      <c r="AG243" s="141"/>
      <c r="AH243" s="139"/>
      <c r="AJ243" s="138"/>
      <c r="AK243" s="141"/>
      <c r="AL243" s="141"/>
      <c r="AM243" s="141"/>
      <c r="AN243" s="141"/>
      <c r="AO243" s="139"/>
      <c r="AQ243" s="142"/>
      <c r="AR243" s="137"/>
      <c r="AS243" s="138"/>
      <c r="AT243" s="139"/>
      <c r="AU243" s="140"/>
      <c r="AV243" s="138"/>
      <c r="AW243" s="139"/>
      <c r="AX243" s="138"/>
      <c r="AY243" s="139"/>
      <c r="AZ243" s="138"/>
      <c r="BA243" s="139"/>
      <c r="BB243" s="140"/>
      <c r="BC243" s="139"/>
      <c r="BD243" s="140"/>
      <c r="BE243" s="138"/>
      <c r="BF243" s="139"/>
      <c r="BG243" s="138"/>
      <c r="BH243" s="139"/>
      <c r="BI243" s="140"/>
      <c r="BJ243" s="139"/>
      <c r="BK243" s="140"/>
      <c r="BL243" s="139"/>
      <c r="BN243" s="142"/>
      <c r="BO243" s="137"/>
      <c r="BP243" s="138"/>
      <c r="BQ243" s="139"/>
      <c r="BR243" s="140"/>
      <c r="BS243" s="138"/>
      <c r="BT243" s="139"/>
      <c r="BU243" s="138"/>
      <c r="BV243" s="139"/>
      <c r="BW243" s="138"/>
      <c r="BX243" s="139"/>
      <c r="BY243" s="138"/>
      <c r="BZ243" s="139"/>
      <c r="CA243" s="140"/>
      <c r="CB243" s="138"/>
      <c r="CC243" s="139"/>
      <c r="CD243" s="138"/>
      <c r="CE243" s="139"/>
      <c r="CF243" s="138"/>
      <c r="CG243" s="139"/>
      <c r="CH243" s="138"/>
      <c r="CI243" s="139"/>
      <c r="CK243" s="143"/>
      <c r="CL243" s="137"/>
      <c r="CM243" s="144"/>
      <c r="CN243" s="137"/>
      <c r="CO243" s="144"/>
      <c r="CP243" s="144"/>
      <c r="CQ243" s="144"/>
      <c r="CR243" s="144"/>
      <c r="CS243" s="137"/>
      <c r="CT243" s="144"/>
      <c r="CU243" s="144"/>
      <c r="CV243" s="144"/>
      <c r="CW243" s="144"/>
    </row>
    <row r="244" s="156" customFormat="true" ht="12.75" hidden="false" customHeight="true" outlineLevel="0" collapsed="false">
      <c r="A244" s="1"/>
      <c r="B244" s="145"/>
      <c r="C244" s="146"/>
      <c r="D244" s="147"/>
      <c r="E244" s="148"/>
      <c r="F244" s="146"/>
      <c r="G244" s="146"/>
      <c r="H244" s="149"/>
      <c r="I244" s="137"/>
      <c r="J244" s="150"/>
      <c r="K244" s="151"/>
      <c r="L244" s="140"/>
      <c r="M244" s="150"/>
      <c r="N244" s="152"/>
      <c r="O244" s="150"/>
      <c r="P244" s="152"/>
      <c r="Q244" s="150"/>
      <c r="R244" s="151"/>
      <c r="S244" s="152"/>
      <c r="T244" s="151"/>
      <c r="U244" s="140"/>
      <c r="V244" s="150"/>
      <c r="W244" s="152"/>
      <c r="X244" s="150"/>
      <c r="Y244" s="152"/>
      <c r="Z244" s="150"/>
      <c r="AA244" s="151"/>
      <c r="AB244" s="152"/>
      <c r="AC244" s="151"/>
      <c r="AD244" s="1"/>
      <c r="AE244" s="150"/>
      <c r="AF244" s="153"/>
      <c r="AG244" s="153"/>
      <c r="AH244" s="151"/>
      <c r="AI244" s="1"/>
      <c r="AJ244" s="150"/>
      <c r="AK244" s="153"/>
      <c r="AL244" s="153"/>
      <c r="AM244" s="153"/>
      <c r="AN244" s="153"/>
      <c r="AO244" s="151"/>
      <c r="AP244" s="1"/>
      <c r="AQ244" s="154"/>
      <c r="AR244" s="137"/>
      <c r="AS244" s="150"/>
      <c r="AT244" s="151"/>
      <c r="AU244" s="140"/>
      <c r="AV244" s="150"/>
      <c r="AW244" s="151"/>
      <c r="AX244" s="150"/>
      <c r="AY244" s="151"/>
      <c r="AZ244" s="150"/>
      <c r="BA244" s="151"/>
      <c r="BB244" s="152"/>
      <c r="BC244" s="151"/>
      <c r="BD244" s="140"/>
      <c r="BE244" s="150"/>
      <c r="BF244" s="151"/>
      <c r="BG244" s="150"/>
      <c r="BH244" s="151"/>
      <c r="BI244" s="152"/>
      <c r="BJ244" s="151"/>
      <c r="BK244" s="152"/>
      <c r="BL244" s="151"/>
      <c r="BM244" s="1"/>
      <c r="BN244" s="154"/>
      <c r="BO244" s="155"/>
      <c r="BP244" s="150"/>
      <c r="BQ244" s="151"/>
      <c r="BR244" s="152"/>
      <c r="BS244" s="150"/>
      <c r="BT244" s="151"/>
      <c r="BU244" s="150"/>
      <c r="BV244" s="151"/>
      <c r="BW244" s="150"/>
      <c r="BX244" s="151"/>
      <c r="BY244" s="150"/>
      <c r="BZ244" s="151"/>
      <c r="CA244" s="152"/>
      <c r="CB244" s="150"/>
      <c r="CC244" s="151"/>
      <c r="CD244" s="150"/>
      <c r="CE244" s="151"/>
      <c r="CF244" s="150"/>
      <c r="CG244" s="151"/>
      <c r="CH244" s="150"/>
      <c r="CI244" s="151"/>
      <c r="CJ244" s="1"/>
      <c r="CK244" s="149"/>
      <c r="CL244" s="137"/>
      <c r="CM244" s="154"/>
      <c r="CN244" s="137"/>
      <c r="CO244" s="154"/>
      <c r="CP244" s="154"/>
      <c r="CQ244" s="154"/>
      <c r="CR244" s="154"/>
      <c r="CS244" s="137"/>
      <c r="CT244" s="154"/>
      <c r="CU244" s="154"/>
      <c r="CV244" s="154"/>
      <c r="CW244" s="154"/>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row>
    <row r="245" s="1" customFormat="true" ht="12.75" hidden="false" customHeight="true" outlineLevel="0" collapsed="false">
      <c r="B245" s="134"/>
      <c r="C245" s="135"/>
      <c r="D245" s="136"/>
      <c r="E245" s="157"/>
      <c r="F245" s="135"/>
      <c r="G245" s="135"/>
      <c r="H245" s="158"/>
      <c r="I245" s="137"/>
      <c r="J245" s="138"/>
      <c r="K245" s="139"/>
      <c r="L245" s="140"/>
      <c r="M245" s="138"/>
      <c r="N245" s="140"/>
      <c r="O245" s="138"/>
      <c r="P245" s="140"/>
      <c r="Q245" s="138"/>
      <c r="R245" s="139"/>
      <c r="S245" s="140"/>
      <c r="T245" s="139"/>
      <c r="U245" s="140"/>
      <c r="V245" s="138"/>
      <c r="W245" s="140"/>
      <c r="X245" s="138"/>
      <c r="Y245" s="140"/>
      <c r="Z245" s="138"/>
      <c r="AA245" s="139"/>
      <c r="AB245" s="140"/>
      <c r="AC245" s="139"/>
      <c r="AE245" s="138"/>
      <c r="AF245" s="141"/>
      <c r="AG245" s="141"/>
      <c r="AH245" s="139"/>
      <c r="AJ245" s="138"/>
      <c r="AK245" s="141"/>
      <c r="AL245" s="141"/>
      <c r="AM245" s="141"/>
      <c r="AN245" s="141"/>
      <c r="AO245" s="139"/>
      <c r="AQ245" s="142"/>
      <c r="AR245" s="137"/>
      <c r="AS245" s="138"/>
      <c r="AT245" s="139"/>
      <c r="AU245" s="140"/>
      <c r="AV245" s="138"/>
      <c r="AW245" s="139"/>
      <c r="AX245" s="138"/>
      <c r="AY245" s="139"/>
      <c r="AZ245" s="138"/>
      <c r="BA245" s="139"/>
      <c r="BB245" s="140"/>
      <c r="BC245" s="139"/>
      <c r="BD245" s="140"/>
      <c r="BE245" s="138"/>
      <c r="BF245" s="139"/>
      <c r="BG245" s="138"/>
      <c r="BH245" s="139"/>
      <c r="BI245" s="140"/>
      <c r="BJ245" s="139"/>
      <c r="BK245" s="140"/>
      <c r="BL245" s="139"/>
      <c r="BN245" s="142"/>
      <c r="BO245" s="137"/>
      <c r="BP245" s="138"/>
      <c r="BQ245" s="139"/>
      <c r="BR245" s="140"/>
      <c r="BS245" s="138"/>
      <c r="BT245" s="139"/>
      <c r="BU245" s="138"/>
      <c r="BV245" s="139"/>
      <c r="BW245" s="138"/>
      <c r="BX245" s="139"/>
      <c r="BY245" s="138"/>
      <c r="BZ245" s="139"/>
      <c r="CA245" s="140"/>
      <c r="CB245" s="138"/>
      <c r="CC245" s="139"/>
      <c r="CD245" s="138"/>
      <c r="CE245" s="139"/>
      <c r="CF245" s="138"/>
      <c r="CG245" s="139"/>
      <c r="CH245" s="138"/>
      <c r="CI245" s="139"/>
      <c r="CK245" s="143"/>
      <c r="CL245" s="137"/>
      <c r="CM245" s="144"/>
      <c r="CN245" s="137"/>
      <c r="CO245" s="144"/>
      <c r="CP245" s="144"/>
      <c r="CQ245" s="144"/>
      <c r="CR245" s="144"/>
      <c r="CS245" s="137"/>
      <c r="CT245" s="144"/>
      <c r="CU245" s="144"/>
      <c r="CV245" s="144"/>
      <c r="CW245" s="144"/>
    </row>
    <row r="246" s="156" customFormat="true" ht="12.75" hidden="false" customHeight="true" outlineLevel="0" collapsed="false">
      <c r="A246" s="1"/>
      <c r="B246" s="145"/>
      <c r="C246" s="146"/>
      <c r="D246" s="147"/>
      <c r="E246" s="148"/>
      <c r="F246" s="146"/>
      <c r="G246" s="146"/>
      <c r="H246" s="149"/>
      <c r="I246" s="137"/>
      <c r="J246" s="150"/>
      <c r="K246" s="151"/>
      <c r="L246" s="140"/>
      <c r="M246" s="150"/>
      <c r="N246" s="152"/>
      <c r="O246" s="150"/>
      <c r="P246" s="152"/>
      <c r="Q246" s="150"/>
      <c r="R246" s="151"/>
      <c r="S246" s="152"/>
      <c r="T246" s="151"/>
      <c r="U246" s="140"/>
      <c r="V246" s="150"/>
      <c r="W246" s="152"/>
      <c r="X246" s="150"/>
      <c r="Y246" s="152"/>
      <c r="Z246" s="150"/>
      <c r="AA246" s="151"/>
      <c r="AB246" s="152"/>
      <c r="AC246" s="151"/>
      <c r="AD246" s="1"/>
      <c r="AE246" s="150"/>
      <c r="AF246" s="153"/>
      <c r="AG246" s="153"/>
      <c r="AH246" s="151"/>
      <c r="AI246" s="1"/>
      <c r="AJ246" s="150"/>
      <c r="AK246" s="153"/>
      <c r="AL246" s="153"/>
      <c r="AM246" s="153"/>
      <c r="AN246" s="153"/>
      <c r="AO246" s="151"/>
      <c r="AP246" s="1"/>
      <c r="AQ246" s="154"/>
      <c r="AR246" s="137"/>
      <c r="AS246" s="150"/>
      <c r="AT246" s="151"/>
      <c r="AU246" s="140"/>
      <c r="AV246" s="150"/>
      <c r="AW246" s="151"/>
      <c r="AX246" s="150"/>
      <c r="AY246" s="151"/>
      <c r="AZ246" s="150"/>
      <c r="BA246" s="151"/>
      <c r="BB246" s="152"/>
      <c r="BC246" s="151"/>
      <c r="BD246" s="140"/>
      <c r="BE246" s="150"/>
      <c r="BF246" s="151"/>
      <c r="BG246" s="150"/>
      <c r="BH246" s="151"/>
      <c r="BI246" s="152"/>
      <c r="BJ246" s="151"/>
      <c r="BK246" s="152"/>
      <c r="BL246" s="151"/>
      <c r="BM246" s="1"/>
      <c r="BN246" s="154"/>
      <c r="BO246" s="155"/>
      <c r="BP246" s="150"/>
      <c r="BQ246" s="151"/>
      <c r="BR246" s="152"/>
      <c r="BS246" s="150"/>
      <c r="BT246" s="151"/>
      <c r="BU246" s="150"/>
      <c r="BV246" s="151"/>
      <c r="BW246" s="150"/>
      <c r="BX246" s="151"/>
      <c r="BY246" s="150"/>
      <c r="BZ246" s="151"/>
      <c r="CA246" s="152"/>
      <c r="CB246" s="150"/>
      <c r="CC246" s="151"/>
      <c r="CD246" s="150"/>
      <c r="CE246" s="151"/>
      <c r="CF246" s="150"/>
      <c r="CG246" s="151"/>
      <c r="CH246" s="150"/>
      <c r="CI246" s="151"/>
      <c r="CJ246" s="1"/>
      <c r="CK246" s="149"/>
      <c r="CL246" s="137"/>
      <c r="CM246" s="154"/>
      <c r="CN246" s="137"/>
      <c r="CO246" s="154"/>
      <c r="CP246" s="154"/>
      <c r="CQ246" s="154"/>
      <c r="CR246" s="154"/>
      <c r="CS246" s="137"/>
      <c r="CT246" s="154"/>
      <c r="CU246" s="154"/>
      <c r="CV246" s="154"/>
      <c r="CW246" s="154"/>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c r="EG246" s="1"/>
      <c r="EH246" s="1"/>
    </row>
    <row r="247" s="1" customFormat="true" ht="12.75" hidden="false" customHeight="true" outlineLevel="0" collapsed="false">
      <c r="B247" s="134"/>
      <c r="C247" s="135"/>
      <c r="D247" s="136"/>
      <c r="E247" s="157"/>
      <c r="F247" s="135"/>
      <c r="G247" s="135"/>
      <c r="H247" s="158"/>
      <c r="I247" s="137"/>
      <c r="J247" s="138"/>
      <c r="K247" s="139"/>
      <c r="L247" s="140"/>
      <c r="M247" s="138"/>
      <c r="N247" s="140"/>
      <c r="O247" s="138"/>
      <c r="P247" s="140"/>
      <c r="Q247" s="138"/>
      <c r="R247" s="139"/>
      <c r="S247" s="140"/>
      <c r="T247" s="139"/>
      <c r="U247" s="140"/>
      <c r="V247" s="138"/>
      <c r="W247" s="140"/>
      <c r="X247" s="138"/>
      <c r="Y247" s="140"/>
      <c r="Z247" s="138"/>
      <c r="AA247" s="139"/>
      <c r="AB247" s="140"/>
      <c r="AC247" s="139"/>
      <c r="AE247" s="138"/>
      <c r="AF247" s="141"/>
      <c r="AG247" s="141"/>
      <c r="AH247" s="139"/>
      <c r="AJ247" s="138"/>
      <c r="AK247" s="141"/>
      <c r="AL247" s="141"/>
      <c r="AM247" s="141"/>
      <c r="AN247" s="141"/>
      <c r="AO247" s="139"/>
      <c r="AQ247" s="142"/>
      <c r="AR247" s="137"/>
      <c r="AS247" s="138"/>
      <c r="AT247" s="139"/>
      <c r="AU247" s="140"/>
      <c r="AV247" s="138"/>
      <c r="AW247" s="139"/>
      <c r="AX247" s="138"/>
      <c r="AY247" s="139"/>
      <c r="AZ247" s="138"/>
      <c r="BA247" s="139"/>
      <c r="BB247" s="140"/>
      <c r="BC247" s="139"/>
      <c r="BD247" s="140"/>
      <c r="BE247" s="138"/>
      <c r="BF247" s="139"/>
      <c r="BG247" s="138"/>
      <c r="BH247" s="139"/>
      <c r="BI247" s="140"/>
      <c r="BJ247" s="139"/>
      <c r="BK247" s="140"/>
      <c r="BL247" s="139"/>
      <c r="BN247" s="142"/>
      <c r="BO247" s="137"/>
      <c r="BP247" s="138"/>
      <c r="BQ247" s="139"/>
      <c r="BR247" s="140"/>
      <c r="BS247" s="138"/>
      <c r="BT247" s="139"/>
      <c r="BU247" s="138"/>
      <c r="BV247" s="139"/>
      <c r="BW247" s="138"/>
      <c r="BX247" s="139"/>
      <c r="BY247" s="138"/>
      <c r="BZ247" s="139"/>
      <c r="CA247" s="140"/>
      <c r="CB247" s="138"/>
      <c r="CC247" s="139"/>
      <c r="CD247" s="138"/>
      <c r="CE247" s="139"/>
      <c r="CF247" s="138"/>
      <c r="CG247" s="139"/>
      <c r="CH247" s="138"/>
      <c r="CI247" s="139"/>
      <c r="CK247" s="143"/>
      <c r="CL247" s="137"/>
      <c r="CM247" s="144"/>
      <c r="CN247" s="137"/>
      <c r="CO247" s="144"/>
      <c r="CP247" s="144"/>
      <c r="CQ247" s="144"/>
      <c r="CR247" s="144"/>
      <c r="CS247" s="137"/>
      <c r="CT247" s="144"/>
      <c r="CU247" s="144"/>
      <c r="CV247" s="144"/>
      <c r="CW247" s="144"/>
    </row>
    <row r="248" s="156" customFormat="true" ht="12.75" hidden="false" customHeight="true" outlineLevel="0" collapsed="false">
      <c r="A248" s="1"/>
      <c r="B248" s="145"/>
      <c r="C248" s="146"/>
      <c r="D248" s="147"/>
      <c r="E248" s="148"/>
      <c r="F248" s="146"/>
      <c r="G248" s="146"/>
      <c r="H248" s="149"/>
      <c r="I248" s="137"/>
      <c r="J248" s="150"/>
      <c r="K248" s="151"/>
      <c r="L248" s="140"/>
      <c r="M248" s="150"/>
      <c r="N248" s="152"/>
      <c r="O248" s="150"/>
      <c r="P248" s="152"/>
      <c r="Q248" s="150"/>
      <c r="R248" s="151"/>
      <c r="S248" s="152"/>
      <c r="T248" s="151"/>
      <c r="U248" s="140"/>
      <c r="V248" s="150"/>
      <c r="W248" s="152"/>
      <c r="X248" s="150"/>
      <c r="Y248" s="152"/>
      <c r="Z248" s="150"/>
      <c r="AA248" s="151"/>
      <c r="AB248" s="152"/>
      <c r="AC248" s="151"/>
      <c r="AD248" s="1"/>
      <c r="AE248" s="150"/>
      <c r="AF248" s="153"/>
      <c r="AG248" s="153"/>
      <c r="AH248" s="151"/>
      <c r="AI248" s="1"/>
      <c r="AJ248" s="150"/>
      <c r="AK248" s="153"/>
      <c r="AL248" s="153"/>
      <c r="AM248" s="153"/>
      <c r="AN248" s="153"/>
      <c r="AO248" s="151"/>
      <c r="AP248" s="1"/>
      <c r="AQ248" s="154"/>
      <c r="AR248" s="137"/>
      <c r="AS248" s="150"/>
      <c r="AT248" s="151"/>
      <c r="AU248" s="140"/>
      <c r="AV248" s="150"/>
      <c r="AW248" s="151"/>
      <c r="AX248" s="150"/>
      <c r="AY248" s="151"/>
      <c r="AZ248" s="150"/>
      <c r="BA248" s="151"/>
      <c r="BB248" s="152"/>
      <c r="BC248" s="151"/>
      <c r="BD248" s="140"/>
      <c r="BE248" s="150"/>
      <c r="BF248" s="151"/>
      <c r="BG248" s="150"/>
      <c r="BH248" s="151"/>
      <c r="BI248" s="152"/>
      <c r="BJ248" s="151"/>
      <c r="BK248" s="152"/>
      <c r="BL248" s="151"/>
      <c r="BM248" s="1"/>
      <c r="BN248" s="154"/>
      <c r="BO248" s="155"/>
      <c r="BP248" s="150"/>
      <c r="BQ248" s="151"/>
      <c r="BR248" s="152"/>
      <c r="BS248" s="150"/>
      <c r="BT248" s="151"/>
      <c r="BU248" s="150"/>
      <c r="BV248" s="151"/>
      <c r="BW248" s="150"/>
      <c r="BX248" s="151"/>
      <c r="BY248" s="150"/>
      <c r="BZ248" s="151"/>
      <c r="CA248" s="152"/>
      <c r="CB248" s="150"/>
      <c r="CC248" s="151"/>
      <c r="CD248" s="150"/>
      <c r="CE248" s="151"/>
      <c r="CF248" s="150"/>
      <c r="CG248" s="151"/>
      <c r="CH248" s="150"/>
      <c r="CI248" s="151"/>
      <c r="CJ248" s="1"/>
      <c r="CK248" s="149"/>
      <c r="CL248" s="137"/>
      <c r="CM248" s="154"/>
      <c r="CN248" s="137"/>
      <c r="CO248" s="154"/>
      <c r="CP248" s="154"/>
      <c r="CQ248" s="154"/>
      <c r="CR248" s="154"/>
      <c r="CS248" s="137"/>
      <c r="CT248" s="154"/>
      <c r="CU248" s="154"/>
      <c r="CV248" s="154"/>
      <c r="CW248" s="154"/>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row>
    <row r="249" s="1" customFormat="true" ht="12.75" hidden="false" customHeight="true" outlineLevel="0" collapsed="false">
      <c r="B249" s="134"/>
      <c r="C249" s="135"/>
      <c r="D249" s="136"/>
      <c r="E249" s="157"/>
      <c r="F249" s="135"/>
      <c r="G249" s="135"/>
      <c r="H249" s="158"/>
      <c r="I249" s="137"/>
      <c r="J249" s="138"/>
      <c r="K249" s="139"/>
      <c r="L249" s="140"/>
      <c r="M249" s="138"/>
      <c r="N249" s="140"/>
      <c r="O249" s="138"/>
      <c r="P249" s="140"/>
      <c r="Q249" s="138"/>
      <c r="R249" s="139"/>
      <c r="S249" s="140"/>
      <c r="T249" s="139"/>
      <c r="U249" s="140"/>
      <c r="V249" s="138"/>
      <c r="W249" s="140"/>
      <c r="X249" s="138"/>
      <c r="Y249" s="140"/>
      <c r="Z249" s="138"/>
      <c r="AA249" s="139"/>
      <c r="AB249" s="140"/>
      <c r="AC249" s="139"/>
      <c r="AE249" s="138"/>
      <c r="AF249" s="141"/>
      <c r="AG249" s="141"/>
      <c r="AH249" s="139"/>
      <c r="AJ249" s="138"/>
      <c r="AK249" s="141"/>
      <c r="AL249" s="141"/>
      <c r="AM249" s="141"/>
      <c r="AN249" s="141"/>
      <c r="AO249" s="139"/>
      <c r="AQ249" s="142"/>
      <c r="AR249" s="137"/>
      <c r="AS249" s="138"/>
      <c r="AT249" s="139"/>
      <c r="AU249" s="140"/>
      <c r="AV249" s="138"/>
      <c r="AW249" s="139"/>
      <c r="AX249" s="138"/>
      <c r="AY249" s="139"/>
      <c r="AZ249" s="138"/>
      <c r="BA249" s="139"/>
      <c r="BB249" s="140"/>
      <c r="BC249" s="139"/>
      <c r="BD249" s="140"/>
      <c r="BE249" s="138"/>
      <c r="BF249" s="139"/>
      <c r="BG249" s="138"/>
      <c r="BH249" s="139"/>
      <c r="BI249" s="140"/>
      <c r="BJ249" s="139"/>
      <c r="BK249" s="140"/>
      <c r="BL249" s="139"/>
      <c r="BN249" s="142"/>
      <c r="BO249" s="137"/>
      <c r="BP249" s="138"/>
      <c r="BQ249" s="139"/>
      <c r="BR249" s="140"/>
      <c r="BS249" s="138"/>
      <c r="BT249" s="139"/>
      <c r="BU249" s="138"/>
      <c r="BV249" s="139"/>
      <c r="BW249" s="138"/>
      <c r="BX249" s="139"/>
      <c r="BY249" s="138"/>
      <c r="BZ249" s="139"/>
      <c r="CA249" s="140"/>
      <c r="CB249" s="138"/>
      <c r="CC249" s="139"/>
      <c r="CD249" s="138"/>
      <c r="CE249" s="139"/>
      <c r="CF249" s="138"/>
      <c r="CG249" s="139"/>
      <c r="CH249" s="138"/>
      <c r="CI249" s="139"/>
      <c r="CK249" s="143"/>
      <c r="CL249" s="137"/>
      <c r="CM249" s="144"/>
      <c r="CN249" s="137"/>
      <c r="CO249" s="144"/>
      <c r="CP249" s="144"/>
      <c r="CQ249" s="144"/>
      <c r="CR249" s="144"/>
      <c r="CS249" s="137"/>
      <c r="CT249" s="144"/>
      <c r="CU249" s="144"/>
      <c r="CV249" s="144"/>
      <c r="CW249" s="144"/>
    </row>
    <row r="250" s="156" customFormat="true" ht="12.75" hidden="false" customHeight="true" outlineLevel="0" collapsed="false">
      <c r="A250" s="1"/>
      <c r="B250" s="145"/>
      <c r="C250" s="146"/>
      <c r="D250" s="147"/>
      <c r="E250" s="148"/>
      <c r="F250" s="146"/>
      <c r="G250" s="146"/>
      <c r="H250" s="149"/>
      <c r="I250" s="137"/>
      <c r="J250" s="150"/>
      <c r="K250" s="151"/>
      <c r="L250" s="140"/>
      <c r="M250" s="150"/>
      <c r="N250" s="152"/>
      <c r="O250" s="150"/>
      <c r="P250" s="152"/>
      <c r="Q250" s="150"/>
      <c r="R250" s="151"/>
      <c r="S250" s="152"/>
      <c r="T250" s="151"/>
      <c r="U250" s="140"/>
      <c r="V250" s="150"/>
      <c r="W250" s="152"/>
      <c r="X250" s="150"/>
      <c r="Y250" s="152"/>
      <c r="Z250" s="150"/>
      <c r="AA250" s="151"/>
      <c r="AB250" s="152"/>
      <c r="AC250" s="151"/>
      <c r="AD250" s="1"/>
      <c r="AE250" s="150"/>
      <c r="AF250" s="153"/>
      <c r="AG250" s="153"/>
      <c r="AH250" s="151"/>
      <c r="AI250" s="1"/>
      <c r="AJ250" s="150"/>
      <c r="AK250" s="153"/>
      <c r="AL250" s="153"/>
      <c r="AM250" s="153"/>
      <c r="AN250" s="153"/>
      <c r="AO250" s="151"/>
      <c r="AP250" s="1"/>
      <c r="AQ250" s="154"/>
      <c r="AR250" s="137"/>
      <c r="AS250" s="150"/>
      <c r="AT250" s="151"/>
      <c r="AU250" s="140"/>
      <c r="AV250" s="150"/>
      <c r="AW250" s="151"/>
      <c r="AX250" s="150"/>
      <c r="AY250" s="151"/>
      <c r="AZ250" s="150"/>
      <c r="BA250" s="151"/>
      <c r="BB250" s="152"/>
      <c r="BC250" s="151"/>
      <c r="BD250" s="140"/>
      <c r="BE250" s="150"/>
      <c r="BF250" s="151"/>
      <c r="BG250" s="150"/>
      <c r="BH250" s="151"/>
      <c r="BI250" s="152"/>
      <c r="BJ250" s="151"/>
      <c r="BK250" s="152"/>
      <c r="BL250" s="151"/>
      <c r="BM250" s="1"/>
      <c r="BN250" s="154"/>
      <c r="BO250" s="155"/>
      <c r="BP250" s="150"/>
      <c r="BQ250" s="151"/>
      <c r="BR250" s="152"/>
      <c r="BS250" s="150"/>
      <c r="BT250" s="151"/>
      <c r="BU250" s="150"/>
      <c r="BV250" s="151"/>
      <c r="BW250" s="150"/>
      <c r="BX250" s="151"/>
      <c r="BY250" s="150"/>
      <c r="BZ250" s="151"/>
      <c r="CA250" s="152"/>
      <c r="CB250" s="150"/>
      <c r="CC250" s="151"/>
      <c r="CD250" s="150"/>
      <c r="CE250" s="151"/>
      <c r="CF250" s="150"/>
      <c r="CG250" s="151"/>
      <c r="CH250" s="150"/>
      <c r="CI250" s="151"/>
      <c r="CJ250" s="1"/>
      <c r="CK250" s="149"/>
      <c r="CL250" s="137"/>
      <c r="CM250" s="154"/>
      <c r="CN250" s="137"/>
      <c r="CO250" s="154"/>
      <c r="CP250" s="154"/>
      <c r="CQ250" s="154"/>
      <c r="CR250" s="154"/>
      <c r="CS250" s="137"/>
      <c r="CT250" s="154"/>
      <c r="CU250" s="154"/>
      <c r="CV250" s="154"/>
      <c r="CW250" s="154"/>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c r="EG250" s="1"/>
      <c r="EH250" s="1"/>
    </row>
    <row r="251" s="1" customFormat="true" ht="12.75" hidden="false" customHeight="true" outlineLevel="0" collapsed="false">
      <c r="B251" s="134"/>
      <c r="C251" s="135"/>
      <c r="D251" s="136"/>
      <c r="E251" s="157"/>
      <c r="F251" s="135"/>
      <c r="G251" s="135"/>
      <c r="H251" s="158"/>
      <c r="I251" s="137"/>
      <c r="J251" s="138"/>
      <c r="K251" s="139"/>
      <c r="L251" s="140"/>
      <c r="M251" s="138"/>
      <c r="N251" s="140"/>
      <c r="O251" s="138"/>
      <c r="P251" s="140"/>
      <c r="Q251" s="138"/>
      <c r="R251" s="139"/>
      <c r="S251" s="140"/>
      <c r="T251" s="139"/>
      <c r="U251" s="140"/>
      <c r="V251" s="138"/>
      <c r="W251" s="140"/>
      <c r="X251" s="138"/>
      <c r="Y251" s="140"/>
      <c r="Z251" s="138"/>
      <c r="AA251" s="139"/>
      <c r="AB251" s="140"/>
      <c r="AC251" s="139"/>
      <c r="AE251" s="138"/>
      <c r="AF251" s="141"/>
      <c r="AG251" s="141"/>
      <c r="AH251" s="139"/>
      <c r="AJ251" s="138"/>
      <c r="AK251" s="141"/>
      <c r="AL251" s="141"/>
      <c r="AM251" s="141"/>
      <c r="AN251" s="141"/>
      <c r="AO251" s="139"/>
      <c r="AQ251" s="142"/>
      <c r="AR251" s="137"/>
      <c r="AS251" s="138"/>
      <c r="AT251" s="139"/>
      <c r="AU251" s="140"/>
      <c r="AV251" s="138"/>
      <c r="AW251" s="139"/>
      <c r="AX251" s="138"/>
      <c r="AY251" s="139"/>
      <c r="AZ251" s="138"/>
      <c r="BA251" s="139"/>
      <c r="BB251" s="140"/>
      <c r="BC251" s="139"/>
      <c r="BD251" s="140"/>
      <c r="BE251" s="138"/>
      <c r="BF251" s="139"/>
      <c r="BG251" s="138"/>
      <c r="BH251" s="139"/>
      <c r="BI251" s="140"/>
      <c r="BJ251" s="139"/>
      <c r="BK251" s="140"/>
      <c r="BL251" s="139"/>
      <c r="BN251" s="142"/>
      <c r="BO251" s="137"/>
      <c r="BP251" s="138"/>
      <c r="BQ251" s="139"/>
      <c r="BR251" s="140"/>
      <c r="BS251" s="138"/>
      <c r="BT251" s="139"/>
      <c r="BU251" s="138"/>
      <c r="BV251" s="139"/>
      <c r="BW251" s="138"/>
      <c r="BX251" s="139"/>
      <c r="BY251" s="138"/>
      <c r="BZ251" s="139"/>
      <c r="CA251" s="140"/>
      <c r="CB251" s="138"/>
      <c r="CC251" s="139"/>
      <c r="CD251" s="138"/>
      <c r="CE251" s="139"/>
      <c r="CF251" s="138"/>
      <c r="CG251" s="139"/>
      <c r="CH251" s="138"/>
      <c r="CI251" s="139"/>
      <c r="CK251" s="143"/>
      <c r="CL251" s="137"/>
      <c r="CM251" s="144"/>
      <c r="CN251" s="137"/>
      <c r="CO251" s="144"/>
      <c r="CP251" s="144"/>
      <c r="CQ251" s="144"/>
      <c r="CR251" s="144"/>
      <c r="CS251" s="137"/>
      <c r="CT251" s="144"/>
      <c r="CU251" s="144"/>
      <c r="CV251" s="144"/>
      <c r="CW251" s="144"/>
    </row>
    <row r="252" s="156" customFormat="true" ht="12.75" hidden="false" customHeight="true" outlineLevel="0" collapsed="false">
      <c r="A252" s="1"/>
      <c r="B252" s="145"/>
      <c r="C252" s="146"/>
      <c r="D252" s="147"/>
      <c r="E252" s="148"/>
      <c r="F252" s="146"/>
      <c r="G252" s="146"/>
      <c r="H252" s="149"/>
      <c r="I252" s="137"/>
      <c r="J252" s="150"/>
      <c r="K252" s="151"/>
      <c r="L252" s="140"/>
      <c r="M252" s="150"/>
      <c r="N252" s="152"/>
      <c r="O252" s="150"/>
      <c r="P252" s="152"/>
      <c r="Q252" s="150"/>
      <c r="R252" s="151"/>
      <c r="S252" s="152"/>
      <c r="T252" s="151"/>
      <c r="U252" s="140"/>
      <c r="V252" s="150"/>
      <c r="W252" s="152"/>
      <c r="X252" s="150"/>
      <c r="Y252" s="152"/>
      <c r="Z252" s="150"/>
      <c r="AA252" s="151"/>
      <c r="AB252" s="152"/>
      <c r="AC252" s="151"/>
      <c r="AD252" s="1"/>
      <c r="AE252" s="150"/>
      <c r="AF252" s="153"/>
      <c r="AG252" s="153"/>
      <c r="AH252" s="151"/>
      <c r="AI252" s="1"/>
      <c r="AJ252" s="150"/>
      <c r="AK252" s="153"/>
      <c r="AL252" s="153"/>
      <c r="AM252" s="153"/>
      <c r="AN252" s="153"/>
      <c r="AO252" s="151"/>
      <c r="AP252" s="1"/>
      <c r="AQ252" s="154"/>
      <c r="AR252" s="137"/>
      <c r="AS252" s="150"/>
      <c r="AT252" s="151"/>
      <c r="AU252" s="140"/>
      <c r="AV252" s="150"/>
      <c r="AW252" s="151"/>
      <c r="AX252" s="150"/>
      <c r="AY252" s="151"/>
      <c r="AZ252" s="150"/>
      <c r="BA252" s="151"/>
      <c r="BB252" s="152"/>
      <c r="BC252" s="151"/>
      <c r="BD252" s="140"/>
      <c r="BE252" s="150"/>
      <c r="BF252" s="151"/>
      <c r="BG252" s="150"/>
      <c r="BH252" s="151"/>
      <c r="BI252" s="152"/>
      <c r="BJ252" s="151"/>
      <c r="BK252" s="152"/>
      <c r="BL252" s="151"/>
      <c r="BM252" s="1"/>
      <c r="BN252" s="154"/>
      <c r="BO252" s="155"/>
      <c r="BP252" s="150"/>
      <c r="BQ252" s="151"/>
      <c r="BR252" s="152"/>
      <c r="BS252" s="150"/>
      <c r="BT252" s="151"/>
      <c r="BU252" s="150"/>
      <c r="BV252" s="151"/>
      <c r="BW252" s="150"/>
      <c r="BX252" s="151"/>
      <c r="BY252" s="150"/>
      <c r="BZ252" s="151"/>
      <c r="CA252" s="152"/>
      <c r="CB252" s="150"/>
      <c r="CC252" s="151"/>
      <c r="CD252" s="150"/>
      <c r="CE252" s="151"/>
      <c r="CF252" s="150"/>
      <c r="CG252" s="151"/>
      <c r="CH252" s="150"/>
      <c r="CI252" s="151"/>
      <c r="CJ252" s="1"/>
      <c r="CK252" s="149"/>
      <c r="CL252" s="137"/>
      <c r="CM252" s="154"/>
      <c r="CN252" s="137"/>
      <c r="CO252" s="154"/>
      <c r="CP252" s="154"/>
      <c r="CQ252" s="154"/>
      <c r="CR252" s="154"/>
      <c r="CS252" s="137"/>
      <c r="CT252" s="154"/>
      <c r="CU252" s="154"/>
      <c r="CV252" s="154"/>
      <c r="CW252" s="154"/>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row>
    <row r="253" s="1" customFormat="true" ht="12.75" hidden="false" customHeight="true" outlineLevel="0" collapsed="false">
      <c r="B253" s="134"/>
      <c r="C253" s="135"/>
      <c r="D253" s="136"/>
      <c r="E253" s="157"/>
      <c r="F253" s="135"/>
      <c r="G253" s="135"/>
      <c r="H253" s="158"/>
      <c r="I253" s="137"/>
      <c r="J253" s="138"/>
      <c r="K253" s="139"/>
      <c r="L253" s="140"/>
      <c r="M253" s="138"/>
      <c r="N253" s="140"/>
      <c r="O253" s="138"/>
      <c r="P253" s="140"/>
      <c r="Q253" s="138"/>
      <c r="R253" s="139"/>
      <c r="S253" s="140"/>
      <c r="T253" s="139"/>
      <c r="U253" s="140"/>
      <c r="V253" s="138"/>
      <c r="W253" s="140"/>
      <c r="X253" s="138"/>
      <c r="Y253" s="140"/>
      <c r="Z253" s="138"/>
      <c r="AA253" s="139"/>
      <c r="AB253" s="140"/>
      <c r="AC253" s="139"/>
      <c r="AE253" s="138"/>
      <c r="AF253" s="141"/>
      <c r="AG253" s="141"/>
      <c r="AH253" s="139"/>
      <c r="AJ253" s="138"/>
      <c r="AK253" s="141"/>
      <c r="AL253" s="141"/>
      <c r="AM253" s="141"/>
      <c r="AN253" s="141"/>
      <c r="AO253" s="139"/>
      <c r="AQ253" s="142"/>
      <c r="AR253" s="137"/>
      <c r="AS253" s="138"/>
      <c r="AT253" s="139"/>
      <c r="AU253" s="140"/>
      <c r="AV253" s="138"/>
      <c r="AW253" s="139"/>
      <c r="AX253" s="138"/>
      <c r="AY253" s="139"/>
      <c r="AZ253" s="138"/>
      <c r="BA253" s="139"/>
      <c r="BB253" s="140"/>
      <c r="BC253" s="139"/>
      <c r="BD253" s="140"/>
      <c r="BE253" s="138"/>
      <c r="BF253" s="139"/>
      <c r="BG253" s="138"/>
      <c r="BH253" s="139"/>
      <c r="BI253" s="140"/>
      <c r="BJ253" s="139"/>
      <c r="BK253" s="140"/>
      <c r="BL253" s="139"/>
      <c r="BN253" s="142"/>
      <c r="BO253" s="137"/>
      <c r="BP253" s="138"/>
      <c r="BQ253" s="139"/>
      <c r="BR253" s="140"/>
      <c r="BS253" s="138"/>
      <c r="BT253" s="139"/>
      <c r="BU253" s="138"/>
      <c r="BV253" s="139"/>
      <c r="BW253" s="138"/>
      <c r="BX253" s="139"/>
      <c r="BY253" s="138"/>
      <c r="BZ253" s="139"/>
      <c r="CA253" s="140"/>
      <c r="CB253" s="138"/>
      <c r="CC253" s="139"/>
      <c r="CD253" s="138"/>
      <c r="CE253" s="139"/>
      <c r="CF253" s="138"/>
      <c r="CG253" s="139"/>
      <c r="CH253" s="138"/>
      <c r="CI253" s="139"/>
      <c r="CK253" s="143"/>
      <c r="CL253" s="137"/>
      <c r="CM253" s="144"/>
      <c r="CN253" s="137"/>
      <c r="CO253" s="144"/>
      <c r="CP253" s="144"/>
      <c r="CQ253" s="144"/>
      <c r="CR253" s="144"/>
      <c r="CS253" s="137"/>
      <c r="CT253" s="144"/>
      <c r="CU253" s="144"/>
      <c r="CV253" s="144"/>
      <c r="CW253" s="144"/>
    </row>
    <row r="254" s="156" customFormat="true" ht="12.75" hidden="false" customHeight="true" outlineLevel="0" collapsed="false">
      <c r="A254" s="1"/>
      <c r="B254" s="145"/>
      <c r="C254" s="146"/>
      <c r="D254" s="147"/>
      <c r="E254" s="148"/>
      <c r="F254" s="146"/>
      <c r="G254" s="146"/>
      <c r="H254" s="149"/>
      <c r="I254" s="137"/>
      <c r="J254" s="150"/>
      <c r="K254" s="151"/>
      <c r="L254" s="140"/>
      <c r="M254" s="150"/>
      <c r="N254" s="152"/>
      <c r="O254" s="150"/>
      <c r="P254" s="152"/>
      <c r="Q254" s="150"/>
      <c r="R254" s="151"/>
      <c r="S254" s="152"/>
      <c r="T254" s="151"/>
      <c r="U254" s="140"/>
      <c r="V254" s="150"/>
      <c r="W254" s="152"/>
      <c r="X254" s="150"/>
      <c r="Y254" s="152"/>
      <c r="Z254" s="150"/>
      <c r="AA254" s="151"/>
      <c r="AB254" s="152"/>
      <c r="AC254" s="151"/>
      <c r="AD254" s="1"/>
      <c r="AE254" s="150"/>
      <c r="AF254" s="153"/>
      <c r="AG254" s="153"/>
      <c r="AH254" s="151"/>
      <c r="AI254" s="1"/>
      <c r="AJ254" s="150"/>
      <c r="AK254" s="153"/>
      <c r="AL254" s="153"/>
      <c r="AM254" s="153"/>
      <c r="AN254" s="153"/>
      <c r="AO254" s="151"/>
      <c r="AP254" s="1"/>
      <c r="AQ254" s="154"/>
      <c r="AR254" s="137"/>
      <c r="AS254" s="150"/>
      <c r="AT254" s="151"/>
      <c r="AU254" s="140"/>
      <c r="AV254" s="150"/>
      <c r="AW254" s="151"/>
      <c r="AX254" s="150"/>
      <c r="AY254" s="151"/>
      <c r="AZ254" s="150"/>
      <c r="BA254" s="151"/>
      <c r="BB254" s="152"/>
      <c r="BC254" s="151"/>
      <c r="BD254" s="140"/>
      <c r="BE254" s="150"/>
      <c r="BF254" s="151"/>
      <c r="BG254" s="150"/>
      <c r="BH254" s="151"/>
      <c r="BI254" s="152"/>
      <c r="BJ254" s="151"/>
      <c r="BK254" s="152"/>
      <c r="BL254" s="151"/>
      <c r="BM254" s="1"/>
      <c r="BN254" s="154"/>
      <c r="BO254" s="155"/>
      <c r="BP254" s="150"/>
      <c r="BQ254" s="151"/>
      <c r="BR254" s="152"/>
      <c r="BS254" s="150"/>
      <c r="BT254" s="151"/>
      <c r="BU254" s="150"/>
      <c r="BV254" s="151"/>
      <c r="BW254" s="150"/>
      <c r="BX254" s="151"/>
      <c r="BY254" s="150"/>
      <c r="BZ254" s="151"/>
      <c r="CA254" s="152"/>
      <c r="CB254" s="150"/>
      <c r="CC254" s="151"/>
      <c r="CD254" s="150"/>
      <c r="CE254" s="151"/>
      <c r="CF254" s="150"/>
      <c r="CG254" s="151"/>
      <c r="CH254" s="150"/>
      <c r="CI254" s="151"/>
      <c r="CJ254" s="1"/>
      <c r="CK254" s="149"/>
      <c r="CL254" s="137"/>
      <c r="CM254" s="154"/>
      <c r="CN254" s="137"/>
      <c r="CO254" s="154"/>
      <c r="CP254" s="154"/>
      <c r="CQ254" s="154"/>
      <c r="CR254" s="154"/>
      <c r="CS254" s="137"/>
      <c r="CT254" s="154"/>
      <c r="CU254" s="154"/>
      <c r="CV254" s="154"/>
      <c r="CW254" s="154"/>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row>
    <row r="255" s="1" customFormat="true" ht="12.75" hidden="false" customHeight="true" outlineLevel="0" collapsed="false">
      <c r="B255" s="134"/>
      <c r="C255" s="135"/>
      <c r="D255" s="136"/>
      <c r="E255" s="157"/>
      <c r="F255" s="135"/>
      <c r="G255" s="135"/>
      <c r="H255" s="158"/>
      <c r="I255" s="137"/>
      <c r="J255" s="138"/>
      <c r="K255" s="139"/>
      <c r="L255" s="140"/>
      <c r="M255" s="138"/>
      <c r="N255" s="140"/>
      <c r="O255" s="138"/>
      <c r="P255" s="140"/>
      <c r="Q255" s="138"/>
      <c r="R255" s="139"/>
      <c r="S255" s="140"/>
      <c r="T255" s="139"/>
      <c r="U255" s="140"/>
      <c r="V255" s="138"/>
      <c r="W255" s="140"/>
      <c r="X255" s="138"/>
      <c r="Y255" s="140"/>
      <c r="Z255" s="138"/>
      <c r="AA255" s="139"/>
      <c r="AB255" s="140"/>
      <c r="AC255" s="139"/>
      <c r="AE255" s="138"/>
      <c r="AF255" s="141"/>
      <c r="AG255" s="141"/>
      <c r="AH255" s="139"/>
      <c r="AJ255" s="138"/>
      <c r="AK255" s="141"/>
      <c r="AL255" s="141"/>
      <c r="AM255" s="141"/>
      <c r="AN255" s="141"/>
      <c r="AO255" s="139"/>
      <c r="AQ255" s="142"/>
      <c r="AR255" s="137"/>
      <c r="AS255" s="138"/>
      <c r="AT255" s="139"/>
      <c r="AU255" s="140"/>
      <c r="AV255" s="138"/>
      <c r="AW255" s="139"/>
      <c r="AX255" s="138"/>
      <c r="AY255" s="139"/>
      <c r="AZ255" s="138"/>
      <c r="BA255" s="139"/>
      <c r="BB255" s="140"/>
      <c r="BC255" s="139"/>
      <c r="BD255" s="140"/>
      <c r="BE255" s="138"/>
      <c r="BF255" s="139"/>
      <c r="BG255" s="138"/>
      <c r="BH255" s="139"/>
      <c r="BI255" s="140"/>
      <c r="BJ255" s="139"/>
      <c r="BK255" s="140"/>
      <c r="BL255" s="139"/>
      <c r="BN255" s="142"/>
      <c r="BO255" s="137"/>
      <c r="BP255" s="138"/>
      <c r="BQ255" s="139"/>
      <c r="BR255" s="140"/>
      <c r="BS255" s="138"/>
      <c r="BT255" s="139"/>
      <c r="BU255" s="138"/>
      <c r="BV255" s="139"/>
      <c r="BW255" s="138"/>
      <c r="BX255" s="139"/>
      <c r="BY255" s="138"/>
      <c r="BZ255" s="139"/>
      <c r="CA255" s="140"/>
      <c r="CB255" s="138"/>
      <c r="CC255" s="139"/>
      <c r="CD255" s="138"/>
      <c r="CE255" s="139"/>
      <c r="CF255" s="138"/>
      <c r="CG255" s="139"/>
      <c r="CH255" s="138"/>
      <c r="CI255" s="139"/>
    </row>
  </sheetData>
  <autoFilter ref="B28:C28"/>
  <mergeCells count="137">
    <mergeCell ref="B2:G2"/>
    <mergeCell ref="H2:H4"/>
    <mergeCell ref="J2:K2"/>
    <mergeCell ref="M2:AC2"/>
    <mergeCell ref="D4:G4"/>
    <mergeCell ref="J4:K4"/>
    <mergeCell ref="M4:N4"/>
    <mergeCell ref="O4:P4"/>
    <mergeCell ref="Q4:R4"/>
    <mergeCell ref="S4:T4"/>
    <mergeCell ref="V4:W4"/>
    <mergeCell ref="X4:Y4"/>
    <mergeCell ref="Z4:AA4"/>
    <mergeCell ref="AB4:AC4"/>
    <mergeCell ref="B5:C17"/>
    <mergeCell ref="D5:G12"/>
    <mergeCell ref="H5:H12"/>
    <mergeCell ref="J5:K12"/>
    <mergeCell ref="M5:N5"/>
    <mergeCell ref="O5:P12"/>
    <mergeCell ref="Q5:R12"/>
    <mergeCell ref="S5:T12"/>
    <mergeCell ref="V5:W5"/>
    <mergeCell ref="X5:Y12"/>
    <mergeCell ref="Z5:AA12"/>
    <mergeCell ref="AB5:AC12"/>
    <mergeCell ref="V7:W12"/>
    <mergeCell ref="D13:G14"/>
    <mergeCell ref="J13:K13"/>
    <mergeCell ref="M13:N13"/>
    <mergeCell ref="O13:P13"/>
    <mergeCell ref="Q13:R13"/>
    <mergeCell ref="S13:T13"/>
    <mergeCell ref="V13:W13"/>
    <mergeCell ref="X13:Y13"/>
    <mergeCell ref="Z13:AA13"/>
    <mergeCell ref="AB13:AC13"/>
    <mergeCell ref="J14:K14"/>
    <mergeCell ref="M14:N14"/>
    <mergeCell ref="O14:P14"/>
    <mergeCell ref="Q14:R14"/>
    <mergeCell ref="S14:T14"/>
    <mergeCell ref="V14:W14"/>
    <mergeCell ref="X14:Y14"/>
    <mergeCell ref="D15:G15"/>
    <mergeCell ref="J15:K15"/>
    <mergeCell ref="M15:N15"/>
    <mergeCell ref="O15:P15"/>
    <mergeCell ref="Q15:R15"/>
    <mergeCell ref="S15:T15"/>
    <mergeCell ref="V15:W15"/>
    <mergeCell ref="X15:Y15"/>
    <mergeCell ref="Z15:AA15"/>
    <mergeCell ref="AB15:AC15"/>
    <mergeCell ref="D16:G16"/>
    <mergeCell ref="J16:K16"/>
    <mergeCell ref="M16:N16"/>
    <mergeCell ref="O16:P16"/>
    <mergeCell ref="Q16:R16"/>
    <mergeCell ref="S16:T16"/>
    <mergeCell ref="V16:W16"/>
    <mergeCell ref="X16:Y16"/>
    <mergeCell ref="Z16:AA16"/>
    <mergeCell ref="AB16:AC16"/>
    <mergeCell ref="D17:G17"/>
    <mergeCell ref="J17:K17"/>
    <mergeCell ref="M17:N17"/>
    <mergeCell ref="O17:P17"/>
    <mergeCell ref="Q17:R17"/>
    <mergeCell ref="S17:T17"/>
    <mergeCell ref="V17:W17"/>
    <mergeCell ref="X17:Y17"/>
    <mergeCell ref="Z17:AA17"/>
    <mergeCell ref="AB17:AC17"/>
    <mergeCell ref="D18:G18"/>
    <mergeCell ref="J18:K18"/>
    <mergeCell ref="M18:N18"/>
    <mergeCell ref="O18:P18"/>
    <mergeCell ref="Q18:R18"/>
    <mergeCell ref="S18:T18"/>
    <mergeCell ref="V18:W18"/>
    <mergeCell ref="X18:Y18"/>
    <mergeCell ref="Z18:AA18"/>
    <mergeCell ref="AB18:AC18"/>
    <mergeCell ref="BN19:CI19"/>
    <mergeCell ref="CK19:CW19"/>
    <mergeCell ref="B22:G26"/>
    <mergeCell ref="H22:H26"/>
    <mergeCell ref="J22:K24"/>
    <mergeCell ref="M22:AC22"/>
    <mergeCell ref="AE22:AO22"/>
    <mergeCell ref="AQ22:AQ26"/>
    <mergeCell ref="AS22:AT24"/>
    <mergeCell ref="AV22:BL22"/>
    <mergeCell ref="BN22:BN26"/>
    <mergeCell ref="BP22:BQ24"/>
    <mergeCell ref="BS22:CI22"/>
    <mergeCell ref="CK22:CK26"/>
    <mergeCell ref="CM22:CM24"/>
    <mergeCell ref="CO22:CW22"/>
    <mergeCell ref="M24:T24"/>
    <mergeCell ref="V24:AC24"/>
    <mergeCell ref="AE24:AH24"/>
    <mergeCell ref="AJ24:AO24"/>
    <mergeCell ref="AV24:BC24"/>
    <mergeCell ref="BE24:BL24"/>
    <mergeCell ref="BS24:BZ24"/>
    <mergeCell ref="CB24:CI24"/>
    <mergeCell ref="CO24:CR24"/>
    <mergeCell ref="CT24:CW24"/>
    <mergeCell ref="J26:K26"/>
    <mergeCell ref="M26:N26"/>
    <mergeCell ref="O26:P26"/>
    <mergeCell ref="Q26:R26"/>
    <mergeCell ref="S26:T26"/>
    <mergeCell ref="V26:W26"/>
    <mergeCell ref="X26:Y26"/>
    <mergeCell ref="Z26:AA26"/>
    <mergeCell ref="AB26:AC26"/>
    <mergeCell ref="AS26:AT26"/>
    <mergeCell ref="AV26:AW26"/>
    <mergeCell ref="AX26:AY26"/>
    <mergeCell ref="AZ26:BA26"/>
    <mergeCell ref="BB26:BC26"/>
    <mergeCell ref="BE26:BF26"/>
    <mergeCell ref="BG26:BH26"/>
    <mergeCell ref="BI26:BJ26"/>
    <mergeCell ref="BK26:BL26"/>
    <mergeCell ref="BP26:BQ26"/>
    <mergeCell ref="BS26:BT26"/>
    <mergeCell ref="BU26:BV26"/>
    <mergeCell ref="BW26:BX26"/>
    <mergeCell ref="BY26:BZ26"/>
    <mergeCell ref="CB26:CC26"/>
    <mergeCell ref="CD26:CE26"/>
    <mergeCell ref="CF26:CG26"/>
    <mergeCell ref="CH26:CI26"/>
  </mergeCells>
  <conditionalFormatting sqref="BN29:BN30 BP30:BQ30 BS30:BZ30 CB30:CI30">
    <cfRule type="cellIs" priority="2" operator="lessThan" aboveAverage="0" equalAverage="0" bottom="0" percent="0" rank="0" text="" dxfId="2">
      <formula>0</formula>
    </cfRule>
    <cfRule type="cellIs" priority="3" operator="greaterThan" aboveAverage="0" equalAverage="0" bottom="0" percent="0" rank="0" text="" dxfId="3">
      <formula>0</formula>
    </cfRule>
  </conditionalFormatting>
  <conditionalFormatting sqref="BP29">
    <cfRule type="cellIs" priority="4" operator="lessThan" aboveAverage="0" equalAverage="0" bottom="0" percent="0" rank="0" text="" dxfId="4">
      <formula>0</formula>
    </cfRule>
    <cfRule type="cellIs" priority="5" operator="greaterThan" aboveAverage="0" equalAverage="0" bottom="0" percent="0" rank="0" text="" dxfId="5">
      <formula>0</formula>
    </cfRule>
  </conditionalFormatting>
  <conditionalFormatting sqref="BQ29">
    <cfRule type="cellIs" priority="6" operator="lessThan" aboveAverage="0" equalAverage="0" bottom="0" percent="0" rank="0" text="" dxfId="6">
      <formula>0</formula>
    </cfRule>
    <cfRule type="cellIs" priority="7" operator="greaterThan" aboveAverage="0" equalAverage="0" bottom="0" percent="0" rank="0" text="" dxfId="7">
      <formula>0</formula>
    </cfRule>
  </conditionalFormatting>
  <conditionalFormatting sqref="BS29">
    <cfRule type="cellIs" priority="8" operator="lessThan" aboveAverage="0" equalAverage="0" bottom="0" percent="0" rank="0" text="" dxfId="8">
      <formula>0</formula>
    </cfRule>
    <cfRule type="cellIs" priority="9" operator="greaterThan" aboveAverage="0" equalAverage="0" bottom="0" percent="0" rank="0" text="" dxfId="9">
      <formula>0</formula>
    </cfRule>
  </conditionalFormatting>
  <conditionalFormatting sqref="BT29">
    <cfRule type="cellIs" priority="10" operator="lessThan" aboveAverage="0" equalAverage="0" bottom="0" percent="0" rank="0" text="" dxfId="10">
      <formula>0</formula>
    </cfRule>
    <cfRule type="cellIs" priority="11" operator="greaterThan" aboveAverage="0" equalAverage="0" bottom="0" percent="0" rank="0" text="" dxfId="11">
      <formula>0</formula>
    </cfRule>
  </conditionalFormatting>
  <conditionalFormatting sqref="BU29">
    <cfRule type="cellIs" priority="12" operator="lessThan" aboveAverage="0" equalAverage="0" bottom="0" percent="0" rank="0" text="" dxfId="12">
      <formula>0</formula>
    </cfRule>
    <cfRule type="cellIs" priority="13" operator="greaterThan" aboveAverage="0" equalAverage="0" bottom="0" percent="0" rank="0" text="" dxfId="13">
      <formula>0</formula>
    </cfRule>
  </conditionalFormatting>
  <conditionalFormatting sqref="BV29">
    <cfRule type="cellIs" priority="14" operator="lessThan" aboveAverage="0" equalAverage="0" bottom="0" percent="0" rank="0" text="" dxfId="14">
      <formula>0</formula>
    </cfRule>
    <cfRule type="cellIs" priority="15" operator="greaterThan" aboveAverage="0" equalAverage="0" bottom="0" percent="0" rank="0" text="" dxfId="15">
      <formula>0</formula>
    </cfRule>
  </conditionalFormatting>
  <conditionalFormatting sqref="BW29">
    <cfRule type="cellIs" priority="16" operator="lessThan" aboveAverage="0" equalAverage="0" bottom="0" percent="0" rank="0" text="" dxfId="16">
      <formula>0</formula>
    </cfRule>
    <cfRule type="cellIs" priority="17" operator="greaterThan" aboveAverage="0" equalAverage="0" bottom="0" percent="0" rank="0" text="" dxfId="17">
      <formula>0</formula>
    </cfRule>
  </conditionalFormatting>
  <conditionalFormatting sqref="BX29">
    <cfRule type="cellIs" priority="18" operator="lessThan" aboveAverage="0" equalAverage="0" bottom="0" percent="0" rank="0" text="" dxfId="18">
      <formula>0</formula>
    </cfRule>
    <cfRule type="cellIs" priority="19" operator="greaterThan" aboveAverage="0" equalAverage="0" bottom="0" percent="0" rank="0" text="" dxfId="19">
      <formula>0</formula>
    </cfRule>
  </conditionalFormatting>
  <conditionalFormatting sqref="BY29">
    <cfRule type="cellIs" priority="20" operator="lessThan" aboveAverage="0" equalAverage="0" bottom="0" percent="0" rank="0" text="" dxfId="20">
      <formula>0</formula>
    </cfRule>
    <cfRule type="cellIs" priority="21" operator="greaterThan" aboveAverage="0" equalAverage="0" bottom="0" percent="0" rank="0" text="" dxfId="21">
      <formula>0</formula>
    </cfRule>
  </conditionalFormatting>
  <conditionalFormatting sqref="BZ29">
    <cfRule type="cellIs" priority="22" operator="lessThan" aboveAverage="0" equalAverage="0" bottom="0" percent="0" rank="0" text="" dxfId="22">
      <formula>0</formula>
    </cfRule>
    <cfRule type="cellIs" priority="23" operator="greaterThan" aboveAverage="0" equalAverage="0" bottom="0" percent="0" rank="0" text="" dxfId="23">
      <formula>0</formula>
    </cfRule>
  </conditionalFormatting>
  <conditionalFormatting sqref="CB29">
    <cfRule type="cellIs" priority="24" operator="lessThan" aboveAverage="0" equalAverage="0" bottom="0" percent="0" rank="0" text="" dxfId="24">
      <formula>0</formula>
    </cfRule>
    <cfRule type="cellIs" priority="25" operator="greaterThan" aboveAverage="0" equalAverage="0" bottom="0" percent="0" rank="0" text="" dxfId="25">
      <formula>0</formula>
    </cfRule>
  </conditionalFormatting>
  <conditionalFormatting sqref="CC29">
    <cfRule type="cellIs" priority="26" operator="lessThan" aboveAverage="0" equalAverage="0" bottom="0" percent="0" rank="0" text="" dxfId="26">
      <formula>0</formula>
    </cfRule>
    <cfRule type="cellIs" priority="27" operator="greaterThan" aboveAverage="0" equalAverage="0" bottom="0" percent="0" rank="0" text="" dxfId="27">
      <formula>0</formula>
    </cfRule>
  </conditionalFormatting>
  <conditionalFormatting sqref="CD29">
    <cfRule type="cellIs" priority="28" operator="lessThan" aboveAverage="0" equalAverage="0" bottom="0" percent="0" rank="0" text="" dxfId="28">
      <formula>0</formula>
    </cfRule>
    <cfRule type="cellIs" priority="29" operator="greaterThan" aboveAverage="0" equalAverage="0" bottom="0" percent="0" rank="0" text="" dxfId="29">
      <formula>0</formula>
    </cfRule>
  </conditionalFormatting>
  <conditionalFormatting sqref="CE29">
    <cfRule type="cellIs" priority="30" operator="lessThan" aboveAverage="0" equalAverage="0" bottom="0" percent="0" rank="0" text="" dxfId="30">
      <formula>0</formula>
    </cfRule>
    <cfRule type="cellIs" priority="31" operator="greaterThan" aboveAverage="0" equalAverage="0" bottom="0" percent="0" rank="0" text="" dxfId="31">
      <formula>0</formula>
    </cfRule>
  </conditionalFormatting>
  <conditionalFormatting sqref="CF29">
    <cfRule type="cellIs" priority="32" operator="lessThan" aboveAverage="0" equalAverage="0" bottom="0" percent="0" rank="0" text="" dxfId="32">
      <formula>0</formula>
    </cfRule>
    <cfRule type="cellIs" priority="33" operator="greaterThan" aboveAverage="0" equalAverage="0" bottom="0" percent="0" rank="0" text="" dxfId="33">
      <formula>0</formula>
    </cfRule>
  </conditionalFormatting>
  <conditionalFormatting sqref="CG29">
    <cfRule type="cellIs" priority="34" operator="lessThan" aboveAverage="0" equalAverage="0" bottom="0" percent="0" rank="0" text="" dxfId="34">
      <formula>0</formula>
    </cfRule>
    <cfRule type="cellIs" priority="35" operator="greaterThan" aboveAverage="0" equalAverage="0" bottom="0" percent="0" rank="0" text="" dxfId="35">
      <formula>0</formula>
    </cfRule>
  </conditionalFormatting>
  <conditionalFormatting sqref="CH29">
    <cfRule type="cellIs" priority="36" operator="lessThan" aboveAverage="0" equalAverage="0" bottom="0" percent="0" rank="0" text="" dxfId="36">
      <formula>0</formula>
    </cfRule>
    <cfRule type="cellIs" priority="37" operator="greaterThan" aboveAverage="0" equalAverage="0" bottom="0" percent="0" rank="0" text="" dxfId="37">
      <formula>0</formula>
    </cfRule>
  </conditionalFormatting>
  <conditionalFormatting sqref="CI29">
    <cfRule type="cellIs" priority="38" operator="lessThan" aboveAverage="0" equalAverage="0" bottom="0" percent="0" rank="0" text="" dxfId="38">
      <formula>0</formula>
    </cfRule>
    <cfRule type="cellIs" priority="39" operator="greaterThan" aboveAverage="0" equalAverage="0" bottom="0" percent="0" rank="0" text="" dxfId="39">
      <formula>0</formula>
    </cfRule>
  </conditionalFormatting>
  <conditionalFormatting sqref="BN31:BN255 BP32:BQ32 BP34:BQ34 BP36:BQ36 BP38:BQ38 BP40:BQ40 BP42:BQ42 BP44:BQ44 BP46:BQ46 BP48:BQ48 BP50:BQ50 BP52:BQ52 BP54:BQ54 BP56:BQ56 BP58:BQ58 BP60:BQ60 BP62:BQ62 BP64:BQ64 BP66:BQ66 BP68:BQ68 BP70:BQ70 BP72:BQ72 BP74:BQ74 BP76:BQ76 BP78:BQ78 BP80:BQ80 BP82:BQ82 BP84:BQ84 BP86:BQ86 BP88:BQ88 BP90:BQ90 BP92:BQ92 BP94:BQ94 BP96:BQ96 BP98:BQ98 BP100:BQ100 BP102:BQ102 BP104:BQ104 BP106:BQ106 BP108:BQ108 BP110:BQ110 BP112:BQ112 BP114:BQ114 BP116:BQ116 BP118:BQ118 BP120:BQ120 BP122:BQ122 BP124:BQ124 BP126:BQ126 BP128:BQ128 BP130:BQ130 BP132:BQ132 BP134:BQ134 BP136:BQ136 BP138:BQ138 BP140:BQ140 BP142:BQ142 BP144:BQ144 BP146:BQ146 BP148:BQ148 BP150:BQ150 BP152:BQ152 BP154:BQ154 BP156:BQ156 BP158:BQ158 BP160:BQ160 BP162:BQ162 BP164:BQ164 BP166:BQ166 BP168:BQ168 BP170:BQ170 BP172:BQ172 BP174:BQ174 BP176:BQ176 BP178:BQ178 BP180:BQ180 BP182:BQ182 BP184:BQ184 BP186:BQ186 BP188:BQ188 BP190:BQ190 BP192:BQ192 BP197:BQ197 BP199:BQ199 BP201:BQ201 BP203:BQ203 BP205:BQ205 BP207:BQ207 BP209:BQ209 BP211:BQ211 BP213:BQ213 BP215:BQ215 BP217:BQ217 BP219:BQ219 BP221:BQ221 BP223:BQ223 BP225:BQ225 BP227:BQ227 BP229:BQ229 BP231:BQ231 BP233:BQ233 BP235:BQ235 BP237:BQ237 BP239:BQ239 BP241:BQ241 BP243:BQ243 BP245:BQ245 BP247:BQ247 BP249:BQ249 BP251:BQ251 BP253:BQ253 BP255:BQ255 BS32:BZ32 BS34:BZ34 BS36:BZ36 BS38:BZ38 BS40:BZ40 BS42:BZ42 BS44:BZ44 BS46:BZ46 BS48:BZ48 BS50:BZ50 BS52:BZ52 BS54:BZ54 BS56:BZ56 BS58:BZ58 BS60:BZ60 BS62:BZ62 BS64:BZ64 BS66:BZ66 BS68:BZ68 BS70:BZ70 BS72:BZ72 BS74:BZ74 BS76:BZ76 BS78:BZ78 BS80:BZ80 BS82:BZ82 BS84:BZ84 BS86:BZ86 BS88:BZ88 BS90:BZ90 BS92:BZ92 BS94:BZ94 BS96:BZ96 BS98:BZ98 BS100:BZ100 BS102:BZ102 BS104:BZ104 BS106:BZ106 BS108:BZ108 BS110:BZ110 BS112:BZ112 BS114:BZ114 BS116:BZ116 BS118:BZ118 BS120:BZ120 BS122:BZ122 BS124:BZ124 BS126:BZ126 BS128:BZ128 BS130:BZ130 BS132:BZ132 BS134:BZ134 BS136:BZ136 BS138:BZ138 BS140:BZ140 BS142:BZ142 BS144:BZ144 BS146:BZ146 BS148:BZ148 BS150:BZ150 BS152:BZ152 BS154:BZ154 BS156:BZ156 BS158:BZ158 BS160:BZ160 BS162:BZ162 BS164:BZ164 BS166:BZ166 BS168:BZ168 BS170:BZ170 BS172:BZ172 BS174:BZ174 BS176:BZ176 BS178:BZ178 BS180:BZ180 BS182:BZ182 BS184:BZ184 BS186:BZ186 BS188:BZ188 BS190:BZ190 BS192:BZ192 BS197:BZ197 BS199:BZ199 BS201:BZ201 BS203:BZ203 BS205:BZ205 BS207:BZ207 BS209:BZ209 BS211:BZ211 BS213:BZ213 BS215:BZ215 BS217:BZ217 BS219:BZ219 BS221:BZ221 BS223:BZ223 BS225:BZ225 BS227:BZ227 BS229:BZ229 BS231:BZ231 BS233:BZ233 BS235:BZ235 BS237:BZ237 BS239:BZ239 BS241:BZ241 BS243:BZ243 BS245:BZ245 BS247:BZ247 BS249:BZ249 BS251:BZ251 BS253:BZ253 BS255:BZ255 CB32:CI32 CB34:CI34 CB36:CI36 CB38:CI38 CB40:CI40 CB42:CI42 CB44:CI44 CB46:CI46 CB48:CI48 CB50:CI50 CB52:CI52 CB54:CI54 CB56:CI56 CB58:CI58 CB60:CI60 CB62:CI62 CB64:CI64 CB66:CI66 CB68:CI68 CB70:CI70 CB72:CI72 CB74:CI74 CB76:CI76 CB78:CI78 CB80:CI80 CB82:CI82 CB84:CI84 CB86:CI86 CB88:CI88 CB90:CI90 CB92:CI92 CB94:CI94 CB96:CI96 CB98:CI98 CB100:CI100 CB102:CI102 CB104:CI104 CB106:CI106 CB108:CI108 CB110:CI110 CB112:CI112 CB114:CI114 CB116:CI116 CB118:CI118 CB120:CI120 CB122:CI122 CB124:CI124 CB126:CI126 CB128:CI128 CB130:CI130 CB132:CI132 CB134:CI134 CB136:CI136 CB138:CI138 CB140:CI140 CB142:CI142 CB144:CI144 CB146:CI146 CB148:CI148 CB150:CI150 CB152:CI152 CB154:CI154 CB156:CI156 CB158:CI158 CB160:CI160 CB162:CI162 CB164:CI164 CB166:CI166 CB168:CI168 CB170:CI170 CB172:CI172 CB174:CI174 CB176:CI176 CB178:CI178 CB180:CI180 CB182:CI182 CB184:CI184 CB186:CI186 CB188:CI188 CB190:CI190 CB192:CI192 CB197:CI197 CB199:CI199 CB201:CI201 CB203:CI203 CB205:CI205 CB207:CI207 CB209:CI209 CB211:CI211 CB213:CI213 CB215:CI215 CB217:CI217 CB219:CI219 CB221:CI221 CB223:CI223 CB225:CI225 CB227:CI227 CB229:CI229 CB231:CI231 CB233:CI233 CB235:CI235 CB237:CI237 CB239:CI239 CB241:CI241 CB243:CI243 CB245:CI245 CB247:CI247 CB249:CI249 CB251:CI251 CB253:CI253 CB255:CI255">
    <cfRule type="cellIs" priority="40" operator="lessThan" aboveAverage="0" equalAverage="0" bottom="0" percent="0" rank="0" text="" dxfId="40">
      <formula>0</formula>
    </cfRule>
    <cfRule type="cellIs" priority="41" operator="greaterThan" aboveAverage="0" equalAverage="0" bottom="0" percent="0" rank="0" text="" dxfId="41">
      <formula>0</formula>
    </cfRule>
  </conditionalFormatting>
  <conditionalFormatting sqref="BP31 BP33 BP35 BP37 BP39 BP41 BP43 BP45 BP47 BP49 BP51 BP53 BP55 BP57 BP59 BP61 BP63 BP65 BP67 BP69 BP71 BP73 BP75 BP77 BP79 BP81 BP83 BP85 BP87 BP89 BP91 BP93 BP95 BP97 BP99 BP101 BP103 BP105 BP107 BP109 BP111 BP113 BP115 BP117 BP119 BP121 BP123 BP125 BP127 BP129 BP131 BP133 BP135 BP137 BP139 BP141 BP143 BP145 BP147 BP149 BP151 BP153 BP155 BP157 BP159 BP161 BP163 BP165 BP167 BP169 BP171 BP173 BP175 BP177 BP179 BP181 BP183 BP185 BP187 BP189 BP191 BP193:BP196 BP198 BP200 BP202 BP204 BP206 BP208 BP210 BP212 BP214 BP216 BP218 BP220 BP222 BP224 BP226 BP228 BP230 BP232 BP234 BP236 BP238 BP240 BP242 BP244 BP246 BP248 BP250 BP252 BP254">
    <cfRule type="cellIs" priority="42" operator="lessThan" aboveAverage="0" equalAverage="0" bottom="0" percent="0" rank="0" text="" dxfId="42">
      <formula>0</formula>
    </cfRule>
    <cfRule type="cellIs" priority="43" operator="greaterThan" aboveAverage="0" equalAverage="0" bottom="0" percent="0" rank="0" text="" dxfId="43">
      <formula>0</formula>
    </cfRule>
  </conditionalFormatting>
  <conditionalFormatting sqref="BQ31 BQ33 BQ35 BQ37 BQ39 BQ41 BQ43 BQ45 BQ47 BQ49 BQ51 BQ53 BQ55 BQ57 BQ59 BQ61 BQ63 BQ65 BQ67 BQ69 BQ71 BQ73 BQ75 BQ77 BQ79 BQ81 BQ83 BQ85 BQ87 BQ89 BQ91 BQ93 BQ95 BQ97 BQ99 BQ101 BQ103 BQ105 BQ107 BQ109 BQ111 BQ113 BQ115 BQ117 BQ119 BQ121 BQ123 BQ125 BQ127 BQ129 BQ131 BQ133 BQ135 BQ137 BQ139 BQ141 BQ143 BQ145 BQ147 BQ149 BQ151 BQ153 BQ155 BQ157 BQ159 BQ161 BQ163 BQ165 BQ167 BQ169 BQ171 BQ173 BQ175 BQ177 BQ179 BQ181 BQ183 BQ185 BQ187 BQ189 BQ191 BQ193:BQ196 BQ198 BQ200 BQ202 BQ204 BQ206 BQ208 BQ210 BQ212 BQ214 BQ216 BQ218 BQ220 BQ222 BQ224 BQ226 BQ228 BQ230 BQ232 BQ234 BQ236 BQ238 BQ240 BQ242 BQ244 BQ246 BQ248 BQ250 BQ252 BQ254">
    <cfRule type="cellIs" priority="44" operator="lessThan" aboveAverage="0" equalAverage="0" bottom="0" percent="0" rank="0" text="" dxfId="44">
      <formula>0</formula>
    </cfRule>
    <cfRule type="cellIs" priority="45" operator="greaterThan" aboveAverage="0" equalAverage="0" bottom="0" percent="0" rank="0" text="" dxfId="45">
      <formula>0</formula>
    </cfRule>
  </conditionalFormatting>
  <conditionalFormatting sqref="BS31 BS33 BS35 BS37 BS39 BS41 BS43 BS45 BS47 BS49 BS51 BS53 BS55 BS57 BS59 BS61 BS63 BS65 BS67 BS69 BS71 BS73 BS75 BS77 BS79 BS81 BS83 BS85 BS87 BS89 BS91 BS93 BS95 BS97 BS99 BS101 BS103 BS105 BS107 BS109 BS111 BS113 BS115 BS117 BS119 BS121 BS123 BS125 BS127 BS129 BS131 BS133 BS135 BS137 BS139 BS141 BS143 BS145 BS147 BS149 BS151 BS153 BS155 BS157 BS159 BS161 BS163 BS165 BS167 BS169 BS171 BS173 BS175 BS177 BS179 BS181 BS183 BS185 BS187 BS189 BS191 BS193:BS196 BS198 BS200 BS202 BS204 BS206 BS208 BS210 BS212 BS214 BS216 BS218 BS220 BS222 BS224 BS226 BS228 BS230 BS232 BS234 BS236 BS238 BS240 BS242 BS244 BS246 BS248 BS250 BS252 BS254">
    <cfRule type="cellIs" priority="46" operator="lessThan" aboveAverage="0" equalAverage="0" bottom="0" percent="0" rank="0" text="" dxfId="46">
      <formula>0</formula>
    </cfRule>
    <cfRule type="cellIs" priority="47" operator="greaterThan" aboveAverage="0" equalAverage="0" bottom="0" percent="0" rank="0" text="" dxfId="47">
      <formula>0</formula>
    </cfRule>
  </conditionalFormatting>
  <conditionalFormatting sqref="BT31 BT33 BT35 BT37 BT39 BT41 BT43 BT45 BT47 BT49 BT51 BT53 BT55 BT57 BT59 BT61 BT63 BT65 BT67 BT69 BT71 BT73 BT75 BT77 BT79 BT81 BT83 BT85 BT87 BT89 BT91 BT93 BT95 BT97 BT99 BT101 BT103 BT105 BT107 BT109 BT111 BT113 BT115 BT117 BT119 BT121 BT123 BT125 BT127 BT129 BT131 BT133 BT135 BT137 BT139 BT141 BT143 BT145 BT147 BT149 BT151 BT153 BT155 BT157 BT159 BT161 BT163 BT165 BT167 BT169 BT171 BT173 BT175 BT177 BT179 BT181 BT183 BT185 BT187 BT189 BT191 BT193:BT196 BT198 BT200 BT202 BT204 BT206 BT208 BT210 BT212 BT214 BT216 BT218 BT220 BT222 BT224 BT226 BT228 BT230 BT232 BT234 BT236 BT238 BT240 BT242 BT244 BT246 BT248 BT250 BT252 BT254">
    <cfRule type="cellIs" priority="48" operator="lessThan" aboveAverage="0" equalAverage="0" bottom="0" percent="0" rank="0" text="" dxfId="48">
      <formula>0</formula>
    </cfRule>
    <cfRule type="cellIs" priority="49" operator="greaterThan" aboveAverage="0" equalAverage="0" bottom="0" percent="0" rank="0" text="" dxfId="49">
      <formula>0</formula>
    </cfRule>
  </conditionalFormatting>
  <conditionalFormatting sqref="BU31 BU33 BU35 BU37 BU39 BU41 BU43 BU45 BU47 BU49 BU51 BU53 BU55 BU57 BU59 BU61 BU63 BU65 BU67 BU69 BU71 BU73 BU75 BU77 BU79 BU81 BU83 BU85 BU87 BU89 BU91 BU93 BU95 BU97 BU99 BU101 BU103 BU105 BU107 BU109 BU111 BU113 BU115 BU117 BU119 BU121 BU123 BU125 BU127 BU129 BU131 BU133 BU135 BU137 BU139 BU141 BU143 BU145 BU147 BU149 BU151 BU153 BU155 BU157 BU159 BU161 BU163 BU165 BU167 BU169 BU171 BU173 BU175 BU177 BU179 BU181 BU183 BU185 BU187 BU189 BU191 BU193:BU196 BU198 BU200 BU202 BU204 BU206 BU208 BU210 BU212 BU214 BU216 BU218 BU220 BU222 BU224 BU226 BU228 BU230 BU232 BU234 BU236 BU238 BU240 BU242 BU244 BU246 BU248 BU250 BU252 BU254">
    <cfRule type="cellIs" priority="50" operator="lessThan" aboveAverage="0" equalAverage="0" bottom="0" percent="0" rank="0" text="" dxfId="50">
      <formula>0</formula>
    </cfRule>
    <cfRule type="cellIs" priority="51" operator="greaterThan" aboveAverage="0" equalAverage="0" bottom="0" percent="0" rank="0" text="" dxfId="51">
      <formula>0</formula>
    </cfRule>
  </conditionalFormatting>
  <conditionalFormatting sqref="BV31 BV33 BV35 BV37 BV39 BV41 BV43 BV45 BV47 BV49 BV51 BV53 BV55 BV57 BV59 BV61 BV63 BV65 BV67 BV69 BV71 BV73 BV75 BV77 BV79 BV81 BV83 BV85 BV87 BV89 BV91 BV93 BV95 BV97 BV99 BV101 BV103 BV105 BV107 BV109 BV111 BV113 BV115 BV117 BV119 BV121 BV123 BV125 BV127 BV129 BV131 BV133 BV135 BV137 BV139 BV141 BV143 BV145 BV147 BV149 BV151 BV153 BV155 BV157 BV159 BV161 BV163 BV165 BV167 BV169 BV171 BV173 BV175 BV177 BV179 BV181 BV183 BV185 BV187 BV189 BV191 BV193:BV196 BV198 BV200 BV202 BV204 BV206 BV208 BV210 BV212 BV214 BV216 BV218 BV220 BV222 BV224 BV226 BV228 BV230 BV232 BV234 BV236 BV238 BV240 BV242 BV244 BV246 BV248 BV250 BV252 BV254">
    <cfRule type="cellIs" priority="52" operator="lessThan" aboveAverage="0" equalAverage="0" bottom="0" percent="0" rank="0" text="" dxfId="52">
      <formula>0</formula>
    </cfRule>
    <cfRule type="cellIs" priority="53" operator="greaterThan" aboveAverage="0" equalAverage="0" bottom="0" percent="0" rank="0" text="" dxfId="53">
      <formula>0</formula>
    </cfRule>
  </conditionalFormatting>
  <conditionalFormatting sqref="BW31 BW33 BW35 BW37 BW39 BW41 BW43 BW45 BW47 BW49 BW51 BW53 BW55 BW57 BW59 BW61 BW63 BW65 BW67 BW69 BW71 BW73 BW75 BW77 BW79 BW81 BW83 BW85 BW87 BW89 BW91 BW93 BW95 BW97 BW99 BW101 BW103 BW105 BW107 BW109 BW111 BW113 BW115 BW117 BW119 BW121 BW123 BW125 BW127 BW129 BW131 BW133 BW135 BW137 BW139 BW141 BW143 BW145 BW147 BW149 BW151 BW153 BW155 BW157 BW159 BW161 BW163 BW165 BW167 BW169 BW171 BW173 BW175 BW177 BW179 BW181 BW183 BW185 BW187 BW189 BW191 BW193:BW196 BW198 BW200 BW202 BW204 BW206 BW208 BW210 BW212 BW214 BW216 BW218 BW220 BW222 BW224 BW226 BW228 BW230 BW232 BW234 BW236 BW238 BW240 BW242 BW244 BW246 BW248 BW250 BW252 BW254">
    <cfRule type="cellIs" priority="54" operator="lessThan" aboveAverage="0" equalAverage="0" bottom="0" percent="0" rank="0" text="" dxfId="54">
      <formula>0</formula>
    </cfRule>
    <cfRule type="cellIs" priority="55" operator="greaterThan" aboveAverage="0" equalAverage="0" bottom="0" percent="0" rank="0" text="" dxfId="55">
      <formula>0</formula>
    </cfRule>
  </conditionalFormatting>
  <conditionalFormatting sqref="BX31 BX33 BX35 BX37 BX39 BX41 BX43 BX45 BX47 BX49 BX51 BX53 BX55 BX57 BX59 BX61 BX63 BX65 BX67 BX69 BX71 BX73 BX75 BX77 BX79 BX81 BX83 BX85 BX87 BX89 BX91 BX93 BX95 BX97 BX99 BX101 BX103 BX105 BX107 BX109 BX111 BX113 BX115 BX117 BX119 BX121 BX123 BX125 BX127 BX129 BX131 BX133 BX135 BX137 BX139 BX141 BX143 BX145 BX147 BX149 BX151 BX153 BX155 BX157 BX159 BX161 BX163 BX165 BX167 BX169 BX171 BX173 BX175 BX177 BX179 BX181 BX183 BX185 BX187 BX189 BX191 BX193:BX196 BX198 BX200 BX202 BX204 BX206 BX208 BX210 BX212 BX214 BX216 BX218 BX220 BX222 BX224 BX226 BX228 BX230 BX232 BX234 BX236 BX238 BX240 BX242 BX244 BX246 BX248 BX250 BX252 BX254">
    <cfRule type="cellIs" priority="56" operator="lessThan" aboveAverage="0" equalAverage="0" bottom="0" percent="0" rank="0" text="" dxfId="56">
      <formula>0</formula>
    </cfRule>
    <cfRule type="cellIs" priority="57" operator="greaterThan" aboveAverage="0" equalAverage="0" bottom="0" percent="0" rank="0" text="" dxfId="57">
      <formula>0</formula>
    </cfRule>
  </conditionalFormatting>
  <conditionalFormatting sqref="BY31 BY33 BY35 BY37 BY39 BY41 BY43 BY45 BY47 BY49 BY51 BY53 BY55 BY57 BY59 BY61 BY63 BY65 BY67 BY69 BY71 BY73 BY75 BY77 BY79 BY81 BY83 BY85 BY87 BY89 BY91 BY93 BY95 BY97 BY99 BY101 BY103 BY105 BY107 BY109 BY111 BY113 BY115 BY117 BY119 BY121 BY123 BY125 BY127 BY129 BY131 BY133 BY135 BY137 BY139 BY141 BY143 BY145 BY147 BY149 BY151 BY153 BY155 BY157 BY159 BY161 BY163 BY165 BY167 BY169 BY171 BY173 BY175 BY177 BY179 BY181 BY183 BY185 BY187 BY189 BY191 BY193:BY196 BY198 BY200 BY202 BY204 BY206 BY208 BY210 BY212 BY214 BY216 BY218 BY220 BY222 BY224 BY226 BY228 BY230 BY232 BY234 BY236 BY238 BY240 BY242 BY244 BY246 BY248 BY250 BY252 BY254">
    <cfRule type="cellIs" priority="58" operator="lessThan" aboveAverage="0" equalAverage="0" bottom="0" percent="0" rank="0" text="" dxfId="58">
      <formula>0</formula>
    </cfRule>
    <cfRule type="cellIs" priority="59" operator="greaterThan" aboveAverage="0" equalAverage="0" bottom="0" percent="0" rank="0" text="" dxfId="59">
      <formula>0</formula>
    </cfRule>
  </conditionalFormatting>
  <conditionalFormatting sqref="BZ31 BZ33 BZ35 BZ37 BZ39 BZ41 BZ43 BZ45 BZ47 BZ49 BZ51 BZ53 BZ55 BZ57 BZ59 BZ61 BZ63 BZ65 BZ67 BZ69 BZ71 BZ73 BZ75 BZ77 BZ79 BZ81 BZ83 BZ85 BZ87 BZ89 BZ91 BZ93 BZ95 BZ97 BZ99 BZ101 BZ103 BZ105 BZ107 BZ109 BZ111 BZ113 BZ115 BZ117 BZ119 BZ121 BZ123 BZ125 BZ127 BZ129 BZ131 BZ133 BZ135 BZ137 BZ139 BZ141 BZ143 BZ145 BZ147 BZ149 BZ151 BZ153 BZ155 BZ157 BZ159 BZ161 BZ163 BZ165 BZ167 BZ169 BZ171 BZ173 BZ175 BZ177 BZ179 BZ181 BZ183 BZ185 BZ187 BZ189 BZ191 BZ193:BZ196 BZ198 BZ200 BZ202 BZ204 BZ206 BZ208 BZ210 BZ212 BZ214 BZ216 BZ218 BZ220 BZ222 BZ224 BZ226 BZ228 BZ230 BZ232 BZ234 BZ236 BZ238 BZ240 BZ242 BZ244 BZ246 BZ248 BZ250 BZ252 BZ254">
    <cfRule type="cellIs" priority="60" operator="lessThan" aboveAverage="0" equalAverage="0" bottom="0" percent="0" rank="0" text="" dxfId="60">
      <formula>0</formula>
    </cfRule>
    <cfRule type="cellIs" priority="61" operator="greaterThan" aboveAverage="0" equalAverage="0" bottom="0" percent="0" rank="0" text="" dxfId="61">
      <formula>0</formula>
    </cfRule>
  </conditionalFormatting>
  <conditionalFormatting sqref="CB31 CB33 CB35 CB37 CB39 CB41 CB43 CB45 CB47 CB49 CB51 CB53 CB55 CB57 CB59 CB61 CB63 CB65 CB67 CB69 CB71 CB73 CB75 CB77 CB79 CB81 CB83 CB85 CB87 CB89 CB91 CB93 CB95 CB97 CB99 CB101 CB103 CB105 CB107 CB109 CB111 CB113 CB115 CB117 CB119 CB121 CB123 CB125 CB127 CB129 CB131 CB133 CB135 CB137 CB139 CB141 CB143 CB145 CB147 CB149 CB151 CB153 CB155 CB157 CB159 CB161 CB163 CB165 CB167 CB169 CB171 CB173 CB175 CB177 CB179 CB181 CB183 CB185 CB187 CB189 CB191 CB193:CB196 CB198 CB200 CB202 CB204 CB206 CB208 CB210 CB212 CB214 CB216 CB218 CB220 CB222 CB224 CB226 CB228 CB230 CB232 CB234 CB236 CB238 CB240 CB242 CB244 CB246 CB248 CB250 CB252 CB254">
    <cfRule type="cellIs" priority="62" operator="lessThan" aboveAverage="0" equalAverage="0" bottom="0" percent="0" rank="0" text="" dxfId="62">
      <formula>0</formula>
    </cfRule>
    <cfRule type="cellIs" priority="63" operator="greaterThan" aboveAverage="0" equalAverage="0" bottom="0" percent="0" rank="0" text="" dxfId="63">
      <formula>0</formula>
    </cfRule>
  </conditionalFormatting>
  <conditionalFormatting sqref="CC31 CC33 CC35 CC37 CC39 CC41 CC43 CC45 CC47 CC49 CC51 CC53 CC55 CC57 CC59 CC61 CC63 CC65 CC67 CC69 CC71 CC73 CC75 CC77 CC79 CC81 CC83 CC85 CC87 CC89 CC91 CC93 CC95 CC97 CC99 CC101 CC103 CC105 CC107 CC109 CC111 CC113 CC115 CC117 CC119 CC121 CC123 CC125 CC127 CC129 CC131 CC133 CC135 CC137 CC139 CC141 CC143 CC145 CC147 CC149 CC151 CC153 CC155 CC157 CC159 CC161 CC163 CC165 CC167 CC169 CC171 CC173 CC175 CC177 CC179 CC181 CC183 CC185 CC187 CC189 CC191 CC193:CC196 CC198 CC200 CC202 CC204 CC206 CC208 CC210 CC212 CC214 CC216 CC218 CC220 CC222 CC224 CC226 CC228 CC230 CC232 CC234 CC236 CC238 CC240 CC242 CC244 CC246 CC248 CC250 CC252 CC254">
    <cfRule type="cellIs" priority="64" operator="lessThan" aboveAverage="0" equalAverage="0" bottom="0" percent="0" rank="0" text="" dxfId="64">
      <formula>0</formula>
    </cfRule>
    <cfRule type="cellIs" priority="65" operator="greaterThan" aboveAverage="0" equalAverage="0" bottom="0" percent="0" rank="0" text="" dxfId="65">
      <formula>0</formula>
    </cfRule>
  </conditionalFormatting>
  <conditionalFormatting sqref="CD31 CD33 CD35 CD37 CD39 CD41 CD43 CD45 CD47 CD49 CD51 CD53 CD55 CD57 CD59 CD61 CD63 CD65 CD67 CD69 CD71 CD73 CD75 CD77 CD79 CD81 CD83 CD85 CD87 CD89 CD91 CD93 CD95 CD97 CD99 CD101 CD103 CD105 CD107 CD109 CD111 CD113 CD115 CD117 CD119 CD121 CD123 CD125 CD127 CD129 CD131 CD133 CD135 CD137 CD139 CD141 CD143 CD145 CD147 CD149 CD151 CD153 CD155 CD157 CD159 CD161 CD163 CD165 CD167 CD169 CD171 CD173 CD175 CD177 CD179 CD181 CD183 CD185 CD187 CD189 CD191 CD193:CD196 CD198 CD200 CD202 CD204 CD206 CD208 CD210 CD212 CD214 CD216 CD218 CD220 CD222 CD224 CD226 CD228 CD230 CD232 CD234 CD236 CD238 CD240 CD242 CD244 CD246 CD248 CD250 CD252 CD254">
    <cfRule type="cellIs" priority="66" operator="lessThan" aboveAverage="0" equalAverage="0" bottom="0" percent="0" rank="0" text="" dxfId="66">
      <formula>0</formula>
    </cfRule>
    <cfRule type="cellIs" priority="67" operator="greaterThan" aboveAverage="0" equalAverage="0" bottom="0" percent="0" rank="0" text="" dxfId="67">
      <formula>0</formula>
    </cfRule>
  </conditionalFormatting>
  <conditionalFormatting sqref="CE31 CE33 CE35 CE37 CE39 CE41 CE43 CE45 CE47 CE49 CE51 CE53 CE55 CE57 CE59 CE61 CE63 CE65 CE67 CE69 CE71 CE73 CE75 CE77 CE79 CE81 CE83 CE85 CE87 CE89 CE91 CE93 CE95 CE97 CE99 CE101 CE103 CE105 CE107 CE109 CE111 CE113 CE115 CE117 CE119 CE121 CE123 CE125 CE127 CE129 CE131 CE133 CE135 CE137 CE139 CE141 CE143 CE145 CE147 CE149 CE151 CE153 CE155 CE157 CE159 CE161 CE163 CE165 CE167 CE169 CE171 CE173 CE175 CE177 CE179 CE181 CE183 CE185 CE187 CE189 CE191 CE193:CE196 CE198 CE200 CE202 CE204 CE206 CE208 CE210 CE212 CE214 CE216 CE218 CE220 CE222 CE224 CE226 CE228 CE230 CE232 CE234 CE236 CE238 CE240 CE242 CE244 CE246 CE248 CE250 CE252 CE254">
    <cfRule type="cellIs" priority="68" operator="lessThan" aboveAverage="0" equalAverage="0" bottom="0" percent="0" rank="0" text="" dxfId="68">
      <formula>0</formula>
    </cfRule>
    <cfRule type="cellIs" priority="69" operator="greaterThan" aboveAverage="0" equalAverage="0" bottom="0" percent="0" rank="0" text="" dxfId="69">
      <formula>0</formula>
    </cfRule>
  </conditionalFormatting>
  <conditionalFormatting sqref="CF31 CF33 CF35 CF37 CF39 CF41 CF43 CF45 CF47 CF49 CF51 CF53 CF55 CF57 CF59 CF61 CF63 CF65 CF67 CF69 CF71 CF73 CF75 CF77 CF79 CF81 CF83 CF85 CF87 CF89 CF91 CF93 CF95 CF97 CF99 CF101 CF103 CF105 CF107 CF109 CF111 CF113 CF115 CF117 CF119 CF121 CF123 CF125 CF127 CF129 CF131 CF133 CF135 CF137 CF139 CF141 CF143 CF145 CF147 CF149 CF151 CF153 CF155 CF157 CF159 CF161 CF163 CF165 CF167 CF169 CF171 CF173 CF175 CF177 CF179 CF181 CF183 CF185 CF187 CF189 CF191 CF193:CF196 CF198 CF200 CF202 CF204 CF206 CF208 CF210 CF212 CF214 CF216 CF218 CF220 CF222 CF224 CF226 CF228 CF230 CF232 CF234 CF236 CF238 CF240 CF242 CF244 CF246 CF248 CF250 CF252 CF254">
    <cfRule type="cellIs" priority="70" operator="lessThan" aboveAverage="0" equalAverage="0" bottom="0" percent="0" rank="0" text="" dxfId="70">
      <formula>0</formula>
    </cfRule>
    <cfRule type="cellIs" priority="71" operator="greaterThan" aboveAverage="0" equalAverage="0" bottom="0" percent="0" rank="0" text="" dxfId="71">
      <formula>0</formula>
    </cfRule>
  </conditionalFormatting>
  <conditionalFormatting sqref="CG31 CG33 CG35 CG37 CG39 CG41 CG43 CG45 CG47 CG49 CG51 CG53 CG55 CG57 CG59 CG61 CG63 CG65 CG67 CG69 CG71 CG73 CG75 CG77 CG79 CG81 CG83 CG85 CG87 CG89 CG91 CG93 CG95 CG97 CG99 CG101 CG103 CG105 CG107 CG109 CG111 CG113 CG115 CG117 CG119 CG121 CG123 CG125 CG127 CG129 CG131 CG133 CG135 CG137 CG139 CG141 CG143 CG145 CG147 CG149 CG151 CG153 CG155 CG157 CG159 CG161 CG163 CG165 CG167 CG169 CG171 CG173 CG175 CG177 CG179 CG181 CG183 CG185 CG187 CG189 CG191 CG193:CG196 CG198 CG200 CG202 CG204 CG206 CG208 CG210 CG212 CG214 CG216 CG218 CG220 CG222 CG224 CG226 CG228 CG230 CG232 CG234 CG236 CG238 CG240 CG242 CG244 CG246 CG248 CG250 CG252 CG254">
    <cfRule type="cellIs" priority="72" operator="lessThan" aboveAverage="0" equalAverage="0" bottom="0" percent="0" rank="0" text="" dxfId="72">
      <formula>0</formula>
    </cfRule>
    <cfRule type="cellIs" priority="73" operator="greaterThan" aboveAverage="0" equalAverage="0" bottom="0" percent="0" rank="0" text="" dxfId="73">
      <formula>0</formula>
    </cfRule>
  </conditionalFormatting>
  <conditionalFormatting sqref="CH31 CH33 CH35 CH37 CH39 CH41 CH43 CH45 CH47 CH49 CH51 CH53 CH55 CH57 CH59 CH61 CH63 CH65 CH67 CH69 CH71 CH73 CH75 CH77 CH79 CH81 CH83 CH85 CH87 CH89 CH91 CH93 CH95 CH97 CH99 CH101 CH103 CH105 CH107 CH109 CH111 CH113 CH115 CH117 CH119 CH121 CH123 CH125 CH127 CH129 CH131 CH133 CH135 CH137 CH139 CH141 CH143 CH145 CH147 CH149 CH151 CH153 CH155 CH157 CH159 CH161 CH163 CH165 CH167 CH169 CH171 CH173 CH175 CH177 CH179 CH181 CH183 CH185 CH187 CH189 CH191 CH193:CH196 CH198 CH200 CH202 CH204 CH206 CH208 CH210 CH212 CH214 CH216 CH218 CH220 CH222 CH224 CH226 CH228 CH230 CH232 CH234 CH236 CH238 CH240 CH242 CH244 CH246 CH248 CH250 CH252 CH254">
    <cfRule type="cellIs" priority="74" operator="lessThan" aboveAverage="0" equalAverage="0" bottom="0" percent="0" rank="0" text="" dxfId="74">
      <formula>0</formula>
    </cfRule>
    <cfRule type="cellIs" priority="75" operator="greaterThan" aboveAverage="0" equalAverage="0" bottom="0" percent="0" rank="0" text="" dxfId="75">
      <formula>0</formula>
    </cfRule>
  </conditionalFormatting>
  <conditionalFormatting sqref="CI31 CI33 CI35 CI37 CI39 CI41 CI43 CI45 CI47 CI49 CI51 CI53 CI55 CI57 CI59 CI61 CI63 CI65 CI67 CI69 CI71 CI73 CI75 CI77 CI79 CI81 CI83 CI85 CI87 CI89 CI91 CI93 CI95 CI97 CI99 CI101 CI103 CI105 CI107 CI109 CI111 CI113 CI115 CI117 CI119 CI121 CI123 CI125 CI127 CI129 CI131 CI133 CI135 CI137 CI139 CI141 CI143 CI145 CI147 CI149 CI151 CI153 CI155 CI157 CI159 CI161 CI163 CI165 CI167 CI169 CI171 CI173 CI175 CI177 CI179 CI181 CI183 CI185 CI187 CI189 CI191 CI193:CI196 CI198 CI200 CI202 CI204 CI206 CI208 CI210 CI212 CI214 CI216 CI218 CI220 CI222 CI224 CI226 CI228 CI230 CI232 CI234 CI236 CI238 CI240 CI242 CI244 CI246 CI248 CI250 CI252 CI254">
    <cfRule type="cellIs" priority="76" operator="lessThan" aboveAverage="0" equalAverage="0" bottom="0" percent="0" rank="0" text="" dxfId="76">
      <formula>0</formula>
    </cfRule>
    <cfRule type="cellIs" priority="77" operator="greaterThan" aboveAverage="0" equalAverage="0" bottom="0" percent="0" rank="0" text="" dxfId="77">
      <formula>0</formula>
    </cfRule>
  </conditionalFormatting>
  <printOptions headings="false" gridLines="false" gridLinesSet="true" horizontalCentered="false" verticalCentered="false"/>
  <pageMargins left="0.747916666666667" right="0.747916666666667" top="0.984027777777778" bottom="0.984027777777778" header="0.511811023622047" footer="0"/>
  <pageSetup paperSize="8" scale="100" fitToWidth="1" fitToHeight="1" pageOrder="downThenOver" orientation="portrait" blackAndWhite="false" draft="false" cellComments="none" horizontalDpi="300" verticalDpi="300" copies="1"/>
  <headerFooter differentFirst="false" differentOddEven="false">
    <oddHeader/>
    <oddFooter>&amp;C&amp;1#&amp;"Calibri,Normal"&amp;8&amp;Ked7d31Orange Restricted</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808080"/>
    <pageSetUpPr fitToPage="false"/>
  </sheetPr>
  <dimension ref="B3:P77"/>
  <sheetViews>
    <sheetView showFormulas="false" showGridLines="false" showRowColHeaders="true" showZeros="true" rightToLeft="false" tabSelected="false" showOutlineSymbols="true" defaultGridColor="true" view="normal" topLeftCell="A5" colorId="64" zoomScale="85" zoomScaleNormal="85" zoomScalePageLayoutView="100" workbookViewId="0">
      <selection pane="topLeft" activeCell="B3" activeCellId="0" sqref="B3"/>
    </sheetView>
  </sheetViews>
  <sheetFormatPr defaultColWidth="10.6875" defaultRowHeight="12.75" zeroHeight="false" outlineLevelRow="0" outlineLevelCol="0"/>
  <cols>
    <col collapsed="false" customWidth="true" hidden="false" outlineLevel="0" max="2" min="2" style="0" width="35.14"/>
    <col collapsed="false" customWidth="true" hidden="false" outlineLevel="0" max="3" min="3" style="0" width="22.14"/>
    <col collapsed="false" customWidth="true" hidden="false" outlineLevel="0" max="4" min="4" style="0" width="19.85"/>
    <col collapsed="false" customWidth="true" hidden="false" outlineLevel="0" max="6" min="5" style="0" width="16.86"/>
    <col collapsed="false" customWidth="true" hidden="false" outlineLevel="0" max="8" min="8" style="0" width="40.86"/>
    <col collapsed="false" customWidth="true" hidden="false" outlineLevel="0" max="12" min="9" style="0" width="20.57"/>
    <col collapsed="false" customWidth="true" hidden="false" outlineLevel="0" max="258" min="258" style="0" width="35.14"/>
    <col collapsed="false" customWidth="true" hidden="false" outlineLevel="0" max="259" min="259" style="0" width="22.14"/>
    <col collapsed="false" customWidth="true" hidden="false" outlineLevel="0" max="260" min="260" style="0" width="19.85"/>
    <col collapsed="false" customWidth="true" hidden="false" outlineLevel="0" max="262" min="261" style="0" width="16.86"/>
    <col collapsed="false" customWidth="true" hidden="false" outlineLevel="0" max="264" min="264" style="0" width="40.86"/>
    <col collapsed="false" customWidth="true" hidden="false" outlineLevel="0" max="268" min="265" style="0" width="20.57"/>
    <col collapsed="false" customWidth="true" hidden="false" outlineLevel="0" max="514" min="514" style="0" width="35.14"/>
    <col collapsed="false" customWidth="true" hidden="false" outlineLevel="0" max="515" min="515" style="0" width="22.14"/>
    <col collapsed="false" customWidth="true" hidden="false" outlineLevel="0" max="516" min="516" style="0" width="19.85"/>
    <col collapsed="false" customWidth="true" hidden="false" outlineLevel="0" max="518" min="517" style="0" width="16.86"/>
    <col collapsed="false" customWidth="true" hidden="false" outlineLevel="0" max="520" min="520" style="0" width="40.86"/>
    <col collapsed="false" customWidth="true" hidden="false" outlineLevel="0" max="524" min="521" style="0" width="20.57"/>
    <col collapsed="false" customWidth="true" hidden="false" outlineLevel="0" max="770" min="770" style="0" width="35.14"/>
    <col collapsed="false" customWidth="true" hidden="false" outlineLevel="0" max="771" min="771" style="0" width="22.14"/>
    <col collapsed="false" customWidth="true" hidden="false" outlineLevel="0" max="772" min="772" style="0" width="19.85"/>
    <col collapsed="false" customWidth="true" hidden="false" outlineLevel="0" max="774" min="773" style="0" width="16.86"/>
    <col collapsed="false" customWidth="true" hidden="false" outlineLevel="0" max="776" min="776" style="0" width="40.86"/>
    <col collapsed="false" customWidth="true" hidden="false" outlineLevel="0" max="780" min="777" style="0" width="20.57"/>
  </cols>
  <sheetData>
    <row r="3" customFormat="false" ht="30.75" hidden="false" customHeight="true" outlineLevel="0" collapsed="false">
      <c r="B3" s="165" t="s">
        <v>345</v>
      </c>
      <c r="C3" s="165"/>
      <c r="D3" s="165"/>
      <c r="E3" s="165"/>
      <c r="F3" s="165"/>
    </row>
    <row r="4" customFormat="false" ht="30.75" hidden="false" customHeight="true" outlineLevel="0" collapsed="false">
      <c r="B4" s="165"/>
      <c r="C4" s="165"/>
      <c r="D4" s="165"/>
      <c r="E4" s="165"/>
      <c r="F4" s="165"/>
    </row>
    <row r="5" customFormat="false" ht="30.75" hidden="false" customHeight="true" outlineLevel="0" collapsed="false">
      <c r="B5" s="165"/>
      <c r="C5" s="165"/>
      <c r="D5" s="165"/>
      <c r="E5" s="165"/>
      <c r="F5" s="165"/>
    </row>
    <row r="6" customFormat="false" ht="30.75" hidden="false" customHeight="true" outlineLevel="0" collapsed="false">
      <c r="B6" s="165"/>
      <c r="C6" s="165"/>
      <c r="D6" s="165"/>
      <c r="E6" s="165"/>
      <c r="F6" s="165"/>
    </row>
    <row r="8" customFormat="false" ht="18.75" hidden="false" customHeight="false" outlineLevel="0" collapsed="false">
      <c r="B8" s="166" t="s">
        <v>346</v>
      </c>
      <c r="C8" s="166"/>
      <c r="D8" s="166"/>
      <c r="E8" s="166"/>
      <c r="F8" s="166"/>
    </row>
    <row r="9" customFormat="false" ht="18.75" hidden="false" customHeight="false" outlineLevel="0" collapsed="false">
      <c r="B9" s="167"/>
      <c r="C9" s="167"/>
      <c r="D9" s="167"/>
      <c r="E9" s="167"/>
      <c r="F9" s="167"/>
    </row>
    <row r="10" customFormat="false" ht="25.5" hidden="false" customHeight="false" outlineLevel="0" collapsed="false">
      <c r="B10" s="168" t="s">
        <v>347</v>
      </c>
      <c r="C10" s="168" t="s">
        <v>348</v>
      </c>
      <c r="D10" s="168" t="s">
        <v>349</v>
      </c>
      <c r="K10" s="169"/>
      <c r="L10" s="170"/>
      <c r="M10" s="170"/>
      <c r="N10" s="170"/>
      <c r="O10" s="170"/>
      <c r="P10" s="170"/>
    </row>
    <row r="11" customFormat="false" ht="12.75" hidden="false" customHeight="false" outlineLevel="0" collapsed="false">
      <c r="B11" s="171" t="s">
        <v>350</v>
      </c>
      <c r="C11" s="172" t="s">
        <v>351</v>
      </c>
      <c r="D11" s="173" t="s">
        <v>352</v>
      </c>
      <c r="K11" s="169"/>
      <c r="L11" s="170"/>
      <c r="M11" s="170"/>
      <c r="N11" s="170"/>
      <c r="O11" s="170"/>
      <c r="P11" s="170"/>
    </row>
    <row r="12" customFormat="false" ht="12.75" hidden="false" customHeight="false" outlineLevel="0" collapsed="false">
      <c r="B12" s="174" t="s">
        <v>353</v>
      </c>
      <c r="C12" s="175" t="s">
        <v>354</v>
      </c>
      <c r="D12" s="176" t="s">
        <v>355</v>
      </c>
      <c r="K12" s="169"/>
      <c r="L12" s="170"/>
      <c r="M12" s="170"/>
      <c r="N12" s="172"/>
      <c r="O12" s="172"/>
      <c r="P12" s="172"/>
    </row>
    <row r="13" customFormat="false" ht="12.75" hidden="false" customHeight="false" outlineLevel="0" collapsed="false">
      <c r="B13" s="171" t="s">
        <v>356</v>
      </c>
      <c r="C13" s="172" t="s">
        <v>357</v>
      </c>
      <c r="D13" s="173" t="s">
        <v>358</v>
      </c>
      <c r="K13" s="169"/>
      <c r="L13" s="170"/>
      <c r="M13" s="170"/>
      <c r="N13" s="170"/>
      <c r="O13" s="172"/>
      <c r="P13" s="172"/>
    </row>
    <row r="14" customFormat="false" ht="12.75" hidden="false" customHeight="true" outlineLevel="0" collapsed="false">
      <c r="B14" s="177" t="s">
        <v>359</v>
      </c>
      <c r="C14" s="178" t="s">
        <v>360</v>
      </c>
      <c r="D14" s="179" t="s">
        <v>361</v>
      </c>
      <c r="K14" s="169"/>
      <c r="L14" s="170"/>
      <c r="M14" s="170"/>
      <c r="N14" s="170"/>
      <c r="O14" s="172"/>
      <c r="P14" s="172"/>
    </row>
    <row r="15" customFormat="false" ht="12.75" hidden="false" customHeight="false" outlineLevel="0" collapsed="false">
      <c r="K15" s="169"/>
      <c r="L15" s="170"/>
      <c r="M15" s="170"/>
      <c r="N15" s="170"/>
      <c r="O15" s="172"/>
      <c r="P15" s="172"/>
    </row>
    <row r="16" customFormat="false" ht="12.75" hidden="false" customHeight="false" outlineLevel="0" collapsed="false">
      <c r="K16" s="169"/>
      <c r="L16" s="170"/>
      <c r="M16" s="170"/>
      <c r="N16" s="170"/>
      <c r="O16" s="172"/>
      <c r="P16" s="172"/>
    </row>
    <row r="17" customFormat="false" ht="18.75" hidden="false" customHeight="false" outlineLevel="0" collapsed="false">
      <c r="B17" s="166" t="s">
        <v>362</v>
      </c>
      <c r="C17" s="166"/>
      <c r="D17" s="166"/>
      <c r="E17" s="166"/>
      <c r="F17" s="166"/>
      <c r="K17" s="169"/>
      <c r="L17" s="170"/>
      <c r="M17" s="170"/>
      <c r="N17" s="170"/>
      <c r="O17" s="170"/>
      <c r="P17" s="170"/>
    </row>
    <row r="18" customFormat="false" ht="18.75" hidden="false" customHeight="true" outlineLevel="0" collapsed="false">
      <c r="K18" s="169"/>
      <c r="L18" s="170"/>
      <c r="M18" s="170"/>
      <c r="N18" s="170"/>
      <c r="O18" s="170"/>
      <c r="P18" s="170"/>
    </row>
    <row r="19" customFormat="false" ht="12.75" hidden="false" customHeight="false" outlineLevel="0" collapsed="false">
      <c r="C19" s="180" t="s">
        <v>363</v>
      </c>
      <c r="D19" s="180"/>
      <c r="E19" s="180"/>
      <c r="F19" s="180"/>
      <c r="K19" s="169"/>
      <c r="L19" s="170"/>
      <c r="M19" s="170"/>
      <c r="N19" s="170"/>
      <c r="O19" s="170"/>
      <c r="P19" s="170"/>
    </row>
    <row r="20" customFormat="false" ht="25.5" hidden="false" customHeight="false" outlineLevel="0" collapsed="false">
      <c r="B20" s="168" t="s">
        <v>347</v>
      </c>
      <c r="C20" s="181" t="s">
        <v>364</v>
      </c>
      <c r="D20" s="181" t="s">
        <v>365</v>
      </c>
      <c r="E20" s="181" t="s">
        <v>366</v>
      </c>
      <c r="F20" s="181" t="s">
        <v>367</v>
      </c>
      <c r="K20" s="169"/>
      <c r="L20" s="170"/>
      <c r="M20" s="170"/>
      <c r="N20" s="170"/>
      <c r="O20" s="170"/>
      <c r="P20" s="170"/>
    </row>
    <row r="21" customFormat="false" ht="12.75" hidden="false" customHeight="false" outlineLevel="0" collapsed="false">
      <c r="B21" s="182" t="s">
        <v>350</v>
      </c>
      <c r="C21" s="183" t="n">
        <v>150</v>
      </c>
      <c r="D21" s="184" t="n">
        <v>150</v>
      </c>
      <c r="E21" s="184" t="n">
        <v>135</v>
      </c>
      <c r="F21" s="185" t="n">
        <v>120</v>
      </c>
      <c r="K21" s="169"/>
      <c r="L21" s="170"/>
      <c r="M21" s="172"/>
      <c r="N21" s="172"/>
      <c r="O21" s="172"/>
      <c r="P21" s="172"/>
    </row>
    <row r="22" customFormat="false" ht="12.75" hidden="false" customHeight="false" outlineLevel="0" collapsed="false">
      <c r="B22" s="186" t="s">
        <v>353</v>
      </c>
      <c r="C22" s="187" t="n">
        <v>250</v>
      </c>
      <c r="D22" s="188" t="n">
        <v>250</v>
      </c>
      <c r="E22" s="188" t="n">
        <v>225</v>
      </c>
      <c r="F22" s="189" t="n">
        <v>200</v>
      </c>
      <c r="K22" s="169"/>
      <c r="L22" s="170"/>
      <c r="M22" s="172"/>
      <c r="N22" s="172"/>
      <c r="O22" s="172"/>
      <c r="P22" s="172"/>
    </row>
    <row r="23" customFormat="false" ht="12.75" hidden="false" customHeight="false" outlineLevel="0" collapsed="false">
      <c r="B23" s="190" t="s">
        <v>356</v>
      </c>
      <c r="C23" s="191" t="n">
        <v>300</v>
      </c>
      <c r="D23" s="192" t="n">
        <v>300</v>
      </c>
      <c r="E23" s="192" t="n">
        <v>270</v>
      </c>
      <c r="F23" s="193" t="n">
        <v>240</v>
      </c>
      <c r="K23" s="169"/>
      <c r="L23" s="170"/>
      <c r="M23" s="172"/>
      <c r="N23" s="172"/>
      <c r="O23" s="172"/>
      <c r="P23" s="172"/>
    </row>
    <row r="24" customFormat="false" ht="12.75" hidden="false" customHeight="false" outlineLevel="0" collapsed="false">
      <c r="B24" s="194" t="s">
        <v>359</v>
      </c>
      <c r="C24" s="195" t="n">
        <v>400</v>
      </c>
      <c r="D24" s="196" t="n">
        <v>400</v>
      </c>
      <c r="E24" s="196" t="n">
        <v>360</v>
      </c>
      <c r="F24" s="197" t="n">
        <v>320</v>
      </c>
      <c r="K24" s="169"/>
      <c r="L24" s="170"/>
      <c r="M24" s="172"/>
      <c r="N24" s="172"/>
      <c r="O24" s="172"/>
      <c r="P24" s="172"/>
    </row>
    <row r="25" customFormat="false" ht="12.75" hidden="false" customHeight="false" outlineLevel="0" collapsed="false">
      <c r="K25" s="169"/>
      <c r="L25" s="170"/>
      <c r="M25" s="172"/>
      <c r="N25" s="172"/>
      <c r="O25" s="172"/>
      <c r="P25" s="172"/>
    </row>
    <row r="26" customFormat="false" ht="12.75" hidden="false" customHeight="false" outlineLevel="0" collapsed="false">
      <c r="B26" s="198"/>
      <c r="L26" s="172"/>
      <c r="M26" s="172"/>
      <c r="N26" s="172"/>
      <c r="O26" s="172"/>
      <c r="P26" s="172"/>
    </row>
    <row r="27" customFormat="false" ht="18.75" hidden="false" customHeight="false" outlineLevel="0" collapsed="false">
      <c r="B27" s="166" t="s">
        <v>368</v>
      </c>
      <c r="C27" s="166"/>
      <c r="D27" s="166"/>
      <c r="E27" s="166"/>
      <c r="F27" s="166"/>
      <c r="L27" s="172"/>
      <c r="M27" s="172"/>
      <c r="N27" s="172"/>
      <c r="O27" s="172"/>
      <c r="P27" s="172"/>
    </row>
    <row r="28" customFormat="false" ht="18.75" hidden="false" customHeight="true" outlineLevel="0" collapsed="false">
      <c r="H28" s="172"/>
      <c r="I28" s="172"/>
      <c r="J28" s="172"/>
      <c r="K28" s="172"/>
    </row>
    <row r="29" customFormat="false" ht="12.75" hidden="false" customHeight="false" outlineLevel="0" collapsed="false">
      <c r="C29" s="180" t="s">
        <v>369</v>
      </c>
      <c r="D29" s="180"/>
      <c r="E29" s="180"/>
      <c r="F29" s="180"/>
      <c r="H29" s="172"/>
      <c r="I29" s="172"/>
      <c r="J29" s="172"/>
      <c r="K29" s="172"/>
    </row>
    <row r="30" customFormat="false" ht="21" hidden="false" customHeight="true" outlineLevel="0" collapsed="false">
      <c r="B30" s="199" t="s">
        <v>370</v>
      </c>
      <c r="C30" s="200" t="s">
        <v>371</v>
      </c>
      <c r="D30" s="200" t="s">
        <v>372</v>
      </c>
      <c r="E30" s="200" t="s">
        <v>373</v>
      </c>
      <c r="F30" s="200" t="s">
        <v>374</v>
      </c>
    </row>
    <row r="31" customFormat="false" ht="15" hidden="false" customHeight="true" outlineLevel="0" collapsed="false">
      <c r="B31" s="201" t="s">
        <v>375</v>
      </c>
      <c r="C31" s="202" t="n">
        <v>1</v>
      </c>
      <c r="D31" s="202"/>
      <c r="E31" s="202"/>
      <c r="F31" s="202"/>
      <c r="H31" s="172"/>
      <c r="I31" s="172"/>
      <c r="J31" s="172"/>
    </row>
    <row r="32" customFormat="false" ht="15" hidden="false" customHeight="true" outlineLevel="0" collapsed="false">
      <c r="B32" s="201" t="s">
        <v>376</v>
      </c>
      <c r="C32" s="202"/>
      <c r="D32" s="202"/>
      <c r="E32" s="202"/>
      <c r="F32" s="202"/>
    </row>
    <row r="33" customFormat="false" ht="15" hidden="false" customHeight="true" outlineLevel="0" collapsed="false">
      <c r="B33" s="201" t="s">
        <v>377</v>
      </c>
      <c r="C33" s="202"/>
      <c r="D33" s="202"/>
      <c r="E33" s="202"/>
      <c r="F33" s="202"/>
    </row>
    <row r="34" customFormat="false" ht="15" hidden="false" customHeight="true" outlineLevel="0" collapsed="false">
      <c r="B34" s="201" t="s">
        <v>378</v>
      </c>
      <c r="C34" s="202"/>
      <c r="D34" s="202"/>
      <c r="E34" s="202"/>
      <c r="F34" s="202"/>
    </row>
    <row r="35" customFormat="false" ht="15" hidden="false" customHeight="true" outlineLevel="0" collapsed="false">
      <c r="B35" s="203" t="s">
        <v>379</v>
      </c>
      <c r="C35" s="204" t="n">
        <v>4</v>
      </c>
      <c r="D35" s="204" t="n">
        <v>3</v>
      </c>
      <c r="E35" s="204" t="n">
        <v>2</v>
      </c>
      <c r="F35" s="204" t="n">
        <v>1</v>
      </c>
    </row>
    <row r="36" customFormat="false" ht="15" hidden="false" customHeight="true" outlineLevel="0" collapsed="false">
      <c r="B36" s="174" t="s">
        <v>380</v>
      </c>
      <c r="C36" s="204"/>
      <c r="D36" s="204"/>
      <c r="E36" s="204"/>
      <c r="F36" s="204"/>
    </row>
    <row r="37" customFormat="false" ht="15" hidden="false" customHeight="true" outlineLevel="0" collapsed="false">
      <c r="B37" s="174" t="s">
        <v>381</v>
      </c>
      <c r="C37" s="204"/>
      <c r="D37" s="204"/>
      <c r="E37" s="204"/>
      <c r="F37" s="204"/>
    </row>
    <row r="38" customFormat="false" ht="15" hidden="false" customHeight="true" outlineLevel="0" collapsed="false">
      <c r="B38" s="177" t="s">
        <v>382</v>
      </c>
      <c r="C38" s="204"/>
      <c r="D38" s="204"/>
      <c r="E38" s="204"/>
      <c r="F38" s="204"/>
    </row>
    <row r="39" customFormat="false" ht="15" hidden="false" customHeight="true" outlineLevel="0" collapsed="false">
      <c r="B39" s="205" t="s">
        <v>383</v>
      </c>
      <c r="C39" s="206" t="n">
        <v>1</v>
      </c>
      <c r="D39" s="206"/>
      <c r="E39" s="206"/>
      <c r="F39" s="206"/>
    </row>
    <row r="40" customFormat="false" ht="15" hidden="false" customHeight="true" outlineLevel="0" collapsed="false">
      <c r="B40" s="201" t="s">
        <v>384</v>
      </c>
      <c r="C40" s="206"/>
      <c r="D40" s="206"/>
      <c r="E40" s="206"/>
      <c r="F40" s="206"/>
    </row>
    <row r="41" customFormat="false" ht="15" hidden="false" customHeight="true" outlineLevel="0" collapsed="false">
      <c r="B41" s="207" t="s">
        <v>385</v>
      </c>
      <c r="C41" s="204" t="n">
        <v>2</v>
      </c>
      <c r="D41" s="204" t="n">
        <v>1</v>
      </c>
      <c r="E41" s="204"/>
      <c r="F41" s="204"/>
    </row>
    <row r="42" customFormat="false" ht="15" hidden="false" customHeight="true" outlineLevel="0" collapsed="false">
      <c r="B42" s="205" t="s">
        <v>386</v>
      </c>
      <c r="C42" s="208" t="n">
        <v>3</v>
      </c>
      <c r="D42" s="208" t="n">
        <v>2</v>
      </c>
      <c r="E42" s="208" t="n">
        <v>1</v>
      </c>
      <c r="F42" s="208"/>
    </row>
    <row r="43" customFormat="false" ht="15" hidden="false" customHeight="true" outlineLevel="0" collapsed="false">
      <c r="B43" s="201" t="s">
        <v>387</v>
      </c>
      <c r="C43" s="208"/>
      <c r="D43" s="208"/>
      <c r="E43" s="208"/>
      <c r="F43" s="208"/>
    </row>
    <row r="44" customFormat="false" ht="15" hidden="false" customHeight="true" outlineLevel="0" collapsed="false">
      <c r="B44" s="201" t="s">
        <v>388</v>
      </c>
      <c r="C44" s="208"/>
      <c r="D44" s="208"/>
      <c r="E44" s="208"/>
      <c r="F44" s="208"/>
    </row>
    <row r="45" customFormat="false" ht="15" hidden="false" customHeight="true" outlineLevel="0" collapsed="false">
      <c r="B45" s="209" t="s">
        <v>389</v>
      </c>
      <c r="C45" s="208"/>
      <c r="D45" s="208"/>
      <c r="E45" s="208"/>
      <c r="F45" s="208"/>
    </row>
    <row r="46" customFormat="false" ht="15" hidden="false" customHeight="true" outlineLevel="0" collapsed="false">
      <c r="B46" s="203" t="s">
        <v>390</v>
      </c>
      <c r="C46" s="204" t="n">
        <v>1</v>
      </c>
      <c r="D46" s="204"/>
      <c r="E46" s="204"/>
      <c r="F46" s="204"/>
    </row>
    <row r="47" customFormat="false" ht="15" hidden="false" customHeight="true" outlineLevel="0" collapsed="false">
      <c r="B47" s="174" t="s">
        <v>391</v>
      </c>
      <c r="C47" s="204"/>
      <c r="D47" s="204"/>
      <c r="E47" s="204"/>
      <c r="F47" s="204"/>
    </row>
    <row r="48" customFormat="false" ht="15" hidden="false" customHeight="true" outlineLevel="0" collapsed="false">
      <c r="B48" s="174" t="s">
        <v>392</v>
      </c>
      <c r="C48" s="204"/>
      <c r="D48" s="204"/>
      <c r="E48" s="204"/>
      <c r="F48" s="204"/>
    </row>
    <row r="49" customFormat="false" ht="15" hidden="false" customHeight="true" outlineLevel="0" collapsed="false">
      <c r="B49" s="177" t="s">
        <v>393</v>
      </c>
      <c r="C49" s="204"/>
      <c r="D49" s="204"/>
      <c r="E49" s="204"/>
      <c r="F49" s="204"/>
    </row>
    <row r="50" customFormat="false" ht="15" hidden="false" customHeight="true" outlineLevel="0" collapsed="false">
      <c r="B50" s="169"/>
      <c r="C50" s="172"/>
      <c r="D50" s="172"/>
      <c r="E50" s="172"/>
      <c r="F50" s="172"/>
    </row>
    <row r="52" customFormat="false" ht="12.75" hidden="false" customHeight="false" outlineLevel="0" collapsed="false">
      <c r="B52" s="11" t="s">
        <v>394</v>
      </c>
    </row>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23.25" hidden="false" customHeight="true" outlineLevel="0" collapsed="false"/>
  </sheetData>
  <mergeCells count="17">
    <mergeCell ref="B3:F6"/>
    <mergeCell ref="B8:F8"/>
    <mergeCell ref="B17:F17"/>
    <mergeCell ref="C19:F19"/>
    <mergeCell ref="B27:F27"/>
    <mergeCell ref="C29:F29"/>
    <mergeCell ref="C31:F34"/>
    <mergeCell ref="C35:C38"/>
    <mergeCell ref="D35:D38"/>
    <mergeCell ref="E35:E38"/>
    <mergeCell ref="F35:F38"/>
    <mergeCell ref="C39:F40"/>
    <mergeCell ref="D41:F41"/>
    <mergeCell ref="C42:C45"/>
    <mergeCell ref="D42:D45"/>
    <mergeCell ref="E42:F45"/>
    <mergeCell ref="C46:F49"/>
  </mergeCell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&amp;C&amp;1#&amp;"Calibri,Normal"&amp;8&amp;Ked7d31Orange Restricted</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F6600"/>
    <pageSetUpPr fitToPage="true"/>
  </sheetPr>
  <dimension ref="A1:DA510"/>
  <sheetViews>
    <sheetView showFormulas="false" showGridLines="false" showRowColHeaders="true" showZeros="true" rightToLeft="false" tabSelected="true" showOutlineSymbols="true" defaultGridColor="true" view="normal" topLeftCell="A1" colorId="64" zoomScale="70" zoomScaleNormal="70" zoomScalePageLayoutView="100" workbookViewId="0">
      <selection pane="topLeft" activeCell="B5" activeCellId="0" sqref="B5"/>
    </sheetView>
  </sheetViews>
  <sheetFormatPr defaultColWidth="11.43359375" defaultRowHeight="12.75" zeroHeight="false" outlineLevelRow="0" outlineLevelCol="1"/>
  <cols>
    <col collapsed="false" customWidth="true" hidden="false" outlineLevel="0" max="1" min="1" style="210" width="6.15"/>
    <col collapsed="false" customWidth="true" hidden="false" outlineLevel="0" max="2" min="2" style="2" width="14.86"/>
    <col collapsed="false" customWidth="true" hidden="false" outlineLevel="0" max="3" min="3" style="211" width="67.71"/>
    <col collapsed="false" customWidth="true" hidden="false" outlineLevel="1" max="4" min="4" style="2" width="10.14"/>
    <col collapsed="false" customWidth="true" hidden="false" outlineLevel="1" max="5" min="5" style="2" width="8.42"/>
    <col collapsed="false" customWidth="true" hidden="false" outlineLevel="1" max="6" min="6" style="2" width="33"/>
    <col collapsed="false" customWidth="true" hidden="false" outlineLevel="1" max="7" min="7" style="2" width="7.86"/>
    <col collapsed="false" customWidth="true" hidden="false" outlineLevel="1" max="8" min="8" style="212" width="11.86"/>
    <col collapsed="false" customWidth="true" hidden="false" outlineLevel="0" max="9" min="9" style="213" width="3.42"/>
    <col collapsed="false" customWidth="true" hidden="true" outlineLevel="0" max="10" min="10" style="2" width="10.58"/>
    <col collapsed="false" customWidth="true" hidden="true" outlineLevel="0" max="11" min="11" style="2" width="10.14"/>
    <col collapsed="false" customWidth="true" hidden="false" outlineLevel="0" max="12" min="12" style="1" width="1"/>
    <col collapsed="false" customWidth="true" hidden="false" outlineLevel="1" max="13" min="13" style="2" width="9"/>
    <col collapsed="false" customWidth="true" hidden="false" outlineLevel="1" max="14" min="14" style="2" width="17.14"/>
    <col collapsed="false" customWidth="true" hidden="false" outlineLevel="1" max="18" min="15" style="2" width="9"/>
    <col collapsed="false" customWidth="true" hidden="false" outlineLevel="0" max="19" min="19" style="2" width="1.42"/>
    <col collapsed="false" customWidth="true" hidden="false" outlineLevel="1" max="20" min="20" style="2" width="10"/>
    <col collapsed="false" customWidth="true" hidden="false" outlineLevel="1" max="21" min="21" style="2" width="10.42"/>
    <col collapsed="false" customWidth="true" hidden="false" outlineLevel="1" max="24" min="22" style="2" width="10"/>
    <col collapsed="false" customWidth="true" hidden="false" outlineLevel="1" max="25" min="25" style="214" width="10"/>
    <col collapsed="false" customWidth="true" hidden="false" outlineLevel="1" max="29" min="26" style="2" width="10"/>
    <col collapsed="false" customWidth="true" hidden="false" outlineLevel="0" max="30" min="30" style="2" width="2.14"/>
    <col collapsed="false" customWidth="true" hidden="true" outlineLevel="1" max="31" min="31" style="2" width="14.15"/>
    <col collapsed="false" customWidth="true" hidden="true" outlineLevel="1" max="32" min="32" style="1" width="2.42"/>
    <col collapsed="false" customWidth="true" hidden="true" outlineLevel="1" max="34" min="33" style="2" width="10.99"/>
    <col collapsed="false" customWidth="true" hidden="false" outlineLevel="1" max="35" min="35" style="1" width="1.58"/>
    <col collapsed="false" customWidth="true" hidden="false" outlineLevel="1" max="41" min="36" style="2" width="11.14"/>
    <col collapsed="false" customWidth="true" hidden="false" outlineLevel="1" max="42" min="42" style="2" width="1.85"/>
    <col collapsed="false" customWidth="true" hidden="false" outlineLevel="1" max="52" min="43" style="2" width="11.14"/>
    <col collapsed="false" customWidth="true" hidden="false" outlineLevel="1" max="53" min="53" style="2" width="2.42"/>
    <col collapsed="false" customWidth="true" hidden="true" outlineLevel="0" max="54" min="54" style="2" width="14.57"/>
    <col collapsed="false" customWidth="true" hidden="true" outlineLevel="0" max="55" min="55" style="2" width="2.42"/>
    <col collapsed="false" customWidth="true" hidden="true" outlineLevel="0" max="57" min="56" style="2" width="12.42"/>
    <col collapsed="false" customWidth="true" hidden="false" outlineLevel="0" max="58" min="58" style="2" width="3.42"/>
    <col collapsed="false" customWidth="true" hidden="false" outlineLevel="0" max="64" min="59" style="2" width="8.86"/>
    <col collapsed="false" customWidth="true" hidden="false" outlineLevel="0" max="65" min="65" style="2" width="3.42"/>
    <col collapsed="false" customWidth="true" hidden="false" outlineLevel="0" max="71" min="66" style="2" width="8.86"/>
    <col collapsed="false" customWidth="true" hidden="false" outlineLevel="0" max="75" min="72" style="212" width="8.86"/>
    <col collapsed="false" customWidth="true" hidden="false" outlineLevel="0" max="76" min="76" style="2" width="2.29"/>
    <col collapsed="false" customWidth="true" hidden="true" outlineLevel="0" max="77" min="77" style="2" width="11.14"/>
    <col collapsed="false" customWidth="true" hidden="true" outlineLevel="0" max="78" min="78" style="1" width="1.42"/>
    <col collapsed="false" customWidth="true" hidden="true" outlineLevel="0" max="79" min="79" style="2" width="18.14"/>
    <col collapsed="false" customWidth="true" hidden="false" outlineLevel="0" max="80" min="80" style="1" width="1.42"/>
    <col collapsed="false" customWidth="true" hidden="false" outlineLevel="0" max="81" min="81" style="1" width="15.86"/>
    <col collapsed="false" customWidth="true" hidden="false" outlineLevel="0" max="83" min="82" style="2" width="15.42"/>
    <col collapsed="false" customWidth="true" hidden="false" outlineLevel="0" max="84" min="84" style="1" width="1.42"/>
    <col collapsed="false" customWidth="true" hidden="false" outlineLevel="0" max="87" min="85" style="2" width="16"/>
    <col collapsed="false" customWidth="true" hidden="false" outlineLevel="0" max="88" min="88" style="2" width="15.57"/>
    <col collapsed="false" customWidth="true" hidden="false" outlineLevel="0" max="89" min="89" style="2" width="15.86"/>
    <col collapsed="false" customWidth="true" hidden="false" outlineLevel="0" max="90" min="90" style="2" width="2.57"/>
    <col collapsed="false" customWidth="true" hidden="false" outlineLevel="0" max="91" min="91" style="2" width="14.86"/>
    <col collapsed="false" customWidth="true" hidden="false" outlineLevel="0" max="92" min="92" style="2" width="3.86"/>
    <col collapsed="false" customWidth="true" hidden="true" outlineLevel="0" max="93" min="93" style="2" width="11.14"/>
    <col collapsed="false" customWidth="true" hidden="true" outlineLevel="0" max="94" min="94" style="1" width="1.42"/>
    <col collapsed="false" customWidth="true" hidden="true" outlineLevel="0" max="95" min="95" style="2" width="15.86"/>
    <col collapsed="false" customWidth="true" hidden="false" outlineLevel="0" max="96" min="96" style="1" width="1.42"/>
    <col collapsed="false" customWidth="true" hidden="false" outlineLevel="0" max="97" min="97" style="1" width="12.14"/>
    <col collapsed="false" customWidth="true" hidden="false" outlineLevel="0" max="99" min="98" style="2" width="12.14"/>
    <col collapsed="false" customWidth="true" hidden="false" outlineLevel="0" max="100" min="100" style="1" width="1.42"/>
    <col collapsed="false" customWidth="true" hidden="false" outlineLevel="0" max="105" min="101" style="2" width="12.86"/>
    <col collapsed="false" customWidth="false" hidden="false" outlineLevel="0" max="1024" min="106" style="2" width="11.42"/>
  </cols>
  <sheetData>
    <row r="1" customFormat="false" ht="13.5" hidden="false" customHeight="false" outlineLevel="0" collapsed="false">
      <c r="AF1" s="2"/>
      <c r="AI1" s="2"/>
    </row>
    <row r="2" customFormat="false" ht="26.25" hidden="false" customHeight="true" outlineLevel="0" collapsed="false">
      <c r="B2" s="3" t="s">
        <v>0</v>
      </c>
      <c r="C2" s="3"/>
      <c r="D2" s="3"/>
      <c r="E2" s="3"/>
      <c r="F2" s="3"/>
      <c r="G2" s="3"/>
      <c r="H2" s="215" t="s">
        <v>1</v>
      </c>
      <c r="J2" s="5" t="s">
        <v>2</v>
      </c>
      <c r="K2" s="5"/>
      <c r="L2" s="6"/>
      <c r="M2" s="7" t="s">
        <v>3</v>
      </c>
      <c r="N2" s="7"/>
      <c r="O2" s="7"/>
      <c r="P2" s="7"/>
      <c r="Q2" s="7"/>
      <c r="R2" s="7"/>
      <c r="S2" s="7"/>
      <c r="T2" s="7"/>
      <c r="U2" s="7"/>
      <c r="V2" s="7"/>
      <c r="W2" s="7"/>
      <c r="X2" s="7"/>
      <c r="Y2" s="7"/>
      <c r="Z2" s="7"/>
      <c r="AA2" s="7"/>
      <c r="AB2" s="7"/>
      <c r="AC2" s="7"/>
      <c r="AE2" s="8"/>
      <c r="AF2" s="2"/>
      <c r="AG2" s="8"/>
      <c r="AH2" s="9"/>
      <c r="AI2" s="216"/>
      <c r="AJ2" s="9"/>
      <c r="AK2" s="9"/>
      <c r="AL2" s="9"/>
      <c r="AM2" s="9"/>
      <c r="AN2" s="9"/>
      <c r="AO2" s="9"/>
      <c r="AP2" s="9"/>
      <c r="AQ2" s="9"/>
      <c r="AR2" s="9"/>
      <c r="AS2" s="9"/>
      <c r="AT2" s="9"/>
      <c r="AU2" s="9"/>
      <c r="AV2" s="9"/>
      <c r="AW2" s="9"/>
      <c r="AX2" s="9"/>
      <c r="BZ2" s="2"/>
      <c r="CC2" s="2"/>
      <c r="CP2" s="2"/>
      <c r="CS2" s="2"/>
    </row>
    <row r="3" customFormat="false" ht="24" hidden="false" customHeight="true" outlineLevel="0" collapsed="false">
      <c r="A3" s="217"/>
      <c r="B3" s="11"/>
      <c r="C3" s="218"/>
      <c r="H3" s="215"/>
      <c r="I3" s="217"/>
      <c r="M3" s="12"/>
      <c r="S3" s="13"/>
      <c r="Y3" s="219"/>
      <c r="AA3" s="14"/>
      <c r="AB3" s="14"/>
      <c r="AC3" s="14"/>
      <c r="AE3" s="8"/>
      <c r="AF3" s="15"/>
      <c r="AG3" s="15"/>
      <c r="AH3" s="15"/>
      <c r="AI3" s="15"/>
      <c r="AJ3" s="15"/>
      <c r="AK3" s="15"/>
      <c r="AL3" s="15"/>
      <c r="AM3" s="15"/>
      <c r="AN3" s="15"/>
      <c r="AO3" s="15"/>
      <c r="AP3" s="15"/>
      <c r="AQ3" s="15"/>
      <c r="AR3" s="15"/>
      <c r="AS3" s="15"/>
      <c r="AT3" s="15"/>
      <c r="AU3" s="15"/>
      <c r="AV3" s="15"/>
      <c r="AW3" s="15"/>
      <c r="AX3" s="16"/>
      <c r="BT3" s="220"/>
      <c r="BU3" s="220"/>
      <c r="BV3" s="220"/>
      <c r="BW3" s="220"/>
    </row>
    <row r="4" s="28" customFormat="true" ht="58.5" hidden="false" customHeight="true" outlineLevel="0" collapsed="false">
      <c r="A4" s="50"/>
      <c r="B4" s="18" t="n">
        <v>45748</v>
      </c>
      <c r="C4" s="221" t="s">
        <v>395</v>
      </c>
      <c r="D4" s="222"/>
      <c r="E4" s="222"/>
      <c r="F4" s="223"/>
      <c r="G4" s="224"/>
      <c r="H4" s="215"/>
      <c r="I4" s="225"/>
      <c r="J4" s="22" t="s">
        <v>4</v>
      </c>
      <c r="K4" s="22"/>
      <c r="L4" s="21"/>
      <c r="M4" s="23" t="s">
        <v>4</v>
      </c>
      <c r="N4" s="23"/>
      <c r="O4" s="24" t="s">
        <v>6</v>
      </c>
      <c r="P4" s="24"/>
      <c r="Q4" s="25" t="s">
        <v>7</v>
      </c>
      <c r="R4" s="25"/>
      <c r="S4" s="26"/>
      <c r="T4" s="23" t="s">
        <v>4</v>
      </c>
      <c r="U4" s="23"/>
      <c r="V4" s="24" t="s">
        <v>8</v>
      </c>
      <c r="W4" s="24"/>
      <c r="X4" s="24" t="s">
        <v>6</v>
      </c>
      <c r="Y4" s="24"/>
      <c r="Z4" s="24" t="s">
        <v>6</v>
      </c>
      <c r="AA4" s="24"/>
      <c r="AB4" s="27" t="s">
        <v>7</v>
      </c>
      <c r="AC4" s="27"/>
      <c r="AD4" s="2"/>
      <c r="AE4" s="8"/>
      <c r="AF4" s="226"/>
      <c r="AG4" s="29"/>
      <c r="AH4" s="29"/>
      <c r="AI4" s="226"/>
      <c r="AJ4" s="29"/>
      <c r="AK4" s="29"/>
      <c r="AL4" s="29"/>
      <c r="AM4" s="29"/>
      <c r="AN4" s="29"/>
      <c r="AO4" s="29"/>
      <c r="AP4" s="29"/>
      <c r="AQ4" s="31"/>
      <c r="AR4" s="31"/>
      <c r="AS4" s="29"/>
      <c r="AT4" s="29"/>
      <c r="AU4" s="29"/>
      <c r="AV4" s="29"/>
      <c r="AW4" s="29"/>
      <c r="AX4" s="29"/>
      <c r="BT4" s="227"/>
      <c r="BU4" s="227"/>
      <c r="BV4" s="227"/>
      <c r="BW4" s="227"/>
      <c r="CB4" s="21"/>
      <c r="CF4" s="21"/>
      <c r="CM4" s="228"/>
      <c r="CN4" s="228"/>
      <c r="CO4" s="228"/>
      <c r="CP4" s="228"/>
      <c r="CQ4" s="228"/>
      <c r="CR4" s="21"/>
      <c r="CS4" s="228"/>
      <c r="CT4" s="228"/>
      <c r="CU4" s="228"/>
      <c r="CV4" s="21"/>
      <c r="CW4" s="228"/>
      <c r="CX4" s="228"/>
      <c r="CY4" s="228"/>
      <c r="CZ4" s="228"/>
      <c r="DA4" s="228"/>
    </row>
    <row r="5" customFormat="false" ht="12" hidden="false" customHeight="true" outlineLevel="0" collapsed="false">
      <c r="B5" s="32" t="s">
        <v>9</v>
      </c>
      <c r="C5" s="32"/>
      <c r="D5" s="33" t="s">
        <v>10</v>
      </c>
      <c r="E5" s="33"/>
      <c r="F5" s="33"/>
      <c r="G5" s="33"/>
      <c r="H5" s="229" t="s">
        <v>11</v>
      </c>
      <c r="I5" s="230"/>
      <c r="J5" s="36" t="s">
        <v>12</v>
      </c>
      <c r="K5" s="36"/>
      <c r="L5" s="37"/>
      <c r="M5" s="231" t="s">
        <v>396</v>
      </c>
      <c r="N5" s="231"/>
      <c r="O5" s="232" t="s">
        <v>397</v>
      </c>
      <c r="P5" s="232"/>
      <c r="Q5" s="232" t="s">
        <v>398</v>
      </c>
      <c r="R5" s="232"/>
      <c r="S5" s="233"/>
      <c r="T5" s="43"/>
      <c r="U5" s="43"/>
      <c r="V5" s="234" t="s">
        <v>399</v>
      </c>
      <c r="W5" s="234"/>
      <c r="X5" s="40" t="s">
        <v>400</v>
      </c>
      <c r="Y5" s="40"/>
      <c r="Z5" s="40" t="s">
        <v>401</v>
      </c>
      <c r="AA5" s="40"/>
      <c r="AB5" s="44" t="s">
        <v>402</v>
      </c>
      <c r="AC5" s="44"/>
      <c r="AE5" s="45"/>
      <c r="AF5" s="80"/>
      <c r="AG5" s="28"/>
      <c r="AH5" s="28"/>
      <c r="AI5" s="88"/>
      <c r="AJ5" s="28"/>
      <c r="AK5" s="28"/>
      <c r="AL5" s="45"/>
      <c r="AM5" s="45"/>
      <c r="AN5" s="45"/>
      <c r="AO5" s="45"/>
      <c r="AP5" s="88"/>
      <c r="AQ5" s="28"/>
      <c r="AR5" s="28"/>
      <c r="AS5" s="28"/>
      <c r="AT5" s="28"/>
      <c r="AU5" s="28"/>
      <c r="AV5" s="28"/>
      <c r="AW5" s="28"/>
      <c r="AX5" s="28"/>
      <c r="BZ5" s="2"/>
      <c r="CB5" s="35"/>
      <c r="CC5" s="2"/>
      <c r="CF5" s="35"/>
      <c r="CP5" s="2"/>
      <c r="CR5" s="35"/>
      <c r="CS5" s="2"/>
      <c r="CV5" s="35"/>
    </row>
    <row r="6" customFormat="false" ht="2.25" hidden="false" customHeight="true" outlineLevel="0" collapsed="false">
      <c r="B6" s="32"/>
      <c r="C6" s="32"/>
      <c r="D6" s="33"/>
      <c r="E6" s="33"/>
      <c r="F6" s="33"/>
      <c r="G6" s="33"/>
      <c r="H6" s="229"/>
      <c r="I6" s="235"/>
      <c r="J6" s="36"/>
      <c r="K6" s="36"/>
      <c r="L6" s="37"/>
      <c r="M6" s="236"/>
      <c r="N6" s="237"/>
      <c r="O6" s="232"/>
      <c r="P6" s="232"/>
      <c r="Q6" s="232"/>
      <c r="R6" s="232"/>
      <c r="S6" s="233"/>
      <c r="T6" s="46"/>
      <c r="U6" s="47"/>
      <c r="V6" s="234"/>
      <c r="W6" s="234"/>
      <c r="X6" s="40"/>
      <c r="Y6" s="40"/>
      <c r="Z6" s="40"/>
      <c r="AA6" s="40"/>
      <c r="AB6" s="44"/>
      <c r="AC6" s="44"/>
      <c r="AE6" s="28"/>
      <c r="AF6" s="88"/>
      <c r="AG6" s="28"/>
      <c r="AH6" s="28"/>
      <c r="AI6" s="88"/>
      <c r="AJ6" s="28"/>
      <c r="AK6" s="28"/>
      <c r="AL6" s="45"/>
      <c r="AM6" s="45"/>
      <c r="AN6" s="45"/>
      <c r="AO6" s="45"/>
      <c r="AP6" s="88"/>
      <c r="AQ6" s="28"/>
      <c r="AR6" s="28"/>
      <c r="AS6" s="28"/>
      <c r="AT6" s="28"/>
      <c r="AU6" s="28"/>
      <c r="AV6" s="28"/>
      <c r="AW6" s="28"/>
      <c r="AX6" s="28"/>
      <c r="BZ6" s="2"/>
      <c r="CB6" s="37"/>
      <c r="CC6" s="2"/>
      <c r="CF6" s="37"/>
      <c r="CP6" s="2"/>
      <c r="CR6" s="37"/>
      <c r="CS6" s="2"/>
      <c r="CV6" s="37"/>
    </row>
    <row r="7" customFormat="false" ht="12.75" hidden="false" customHeight="true" outlineLevel="0" collapsed="false">
      <c r="B7" s="32"/>
      <c r="C7" s="32"/>
      <c r="D7" s="33"/>
      <c r="E7" s="33"/>
      <c r="F7" s="33"/>
      <c r="G7" s="33"/>
      <c r="H7" s="229"/>
      <c r="I7" s="235"/>
      <c r="J7" s="36"/>
      <c r="K7" s="36"/>
      <c r="L7" s="37"/>
      <c r="M7" s="238"/>
      <c r="N7" s="237"/>
      <c r="O7" s="232"/>
      <c r="P7" s="232"/>
      <c r="Q7" s="232"/>
      <c r="R7" s="232"/>
      <c r="S7" s="42"/>
      <c r="T7" s="49" t="s">
        <v>403</v>
      </c>
      <c r="U7" s="49"/>
      <c r="V7" s="234"/>
      <c r="W7" s="234"/>
      <c r="X7" s="40"/>
      <c r="Y7" s="40"/>
      <c r="Z7" s="40"/>
      <c r="AA7" s="40"/>
      <c r="AB7" s="44"/>
      <c r="AC7" s="44"/>
      <c r="AE7" s="50"/>
      <c r="AF7" s="88"/>
      <c r="AG7" s="28"/>
      <c r="AH7" s="28"/>
      <c r="AI7" s="88"/>
      <c r="AJ7" s="28"/>
      <c r="AK7" s="28"/>
      <c r="AL7" s="45"/>
      <c r="AM7" s="45"/>
      <c r="AN7" s="45"/>
      <c r="AO7" s="45"/>
      <c r="AP7" s="88"/>
      <c r="AQ7" s="28"/>
      <c r="AR7" s="28"/>
      <c r="AS7" s="28"/>
      <c r="AT7" s="28"/>
      <c r="AU7" s="28"/>
      <c r="AV7" s="28"/>
      <c r="AW7" s="28"/>
      <c r="AX7" s="28"/>
      <c r="BZ7" s="2"/>
      <c r="CB7" s="37"/>
      <c r="CC7" s="2"/>
      <c r="CF7" s="37"/>
      <c r="CP7" s="2"/>
      <c r="CR7" s="37"/>
      <c r="CS7" s="2"/>
      <c r="CV7" s="37"/>
    </row>
    <row r="8" customFormat="false" ht="12.75" hidden="false" customHeight="false" outlineLevel="0" collapsed="false">
      <c r="B8" s="32"/>
      <c r="C8" s="32"/>
      <c r="D8" s="33"/>
      <c r="E8" s="33"/>
      <c r="F8" s="33"/>
      <c r="G8" s="33"/>
      <c r="H8" s="229"/>
      <c r="I8" s="235"/>
      <c r="J8" s="36"/>
      <c r="K8" s="36"/>
      <c r="L8" s="37"/>
      <c r="M8" s="239"/>
      <c r="N8" s="237"/>
      <c r="O8" s="232"/>
      <c r="P8" s="232"/>
      <c r="Q8" s="232"/>
      <c r="R8" s="232"/>
      <c r="S8" s="42"/>
      <c r="T8" s="49"/>
      <c r="U8" s="49"/>
      <c r="V8" s="234"/>
      <c r="W8" s="234"/>
      <c r="X8" s="40"/>
      <c r="Y8" s="40"/>
      <c r="Z8" s="40"/>
      <c r="AA8" s="40"/>
      <c r="AB8" s="44"/>
      <c r="AC8" s="44"/>
      <c r="AE8" s="50"/>
      <c r="AF8" s="88"/>
      <c r="AG8" s="28"/>
      <c r="AH8" s="28"/>
      <c r="AI8" s="88"/>
      <c r="AJ8" s="28"/>
      <c r="AK8" s="28"/>
      <c r="AL8" s="45"/>
      <c r="AM8" s="45"/>
      <c r="AN8" s="45"/>
      <c r="AO8" s="45"/>
      <c r="AP8" s="88"/>
      <c r="AQ8" s="28"/>
      <c r="AR8" s="28"/>
      <c r="AS8" s="28"/>
      <c r="AT8" s="28"/>
      <c r="AU8" s="28"/>
      <c r="AV8" s="28"/>
      <c r="AW8" s="28"/>
      <c r="AX8" s="28"/>
      <c r="BZ8" s="2"/>
      <c r="CB8" s="37"/>
      <c r="CC8" s="2"/>
      <c r="CF8" s="37"/>
      <c r="CP8" s="2"/>
      <c r="CR8" s="37"/>
      <c r="CS8" s="2"/>
      <c r="CV8" s="37"/>
    </row>
    <row r="9" customFormat="false" ht="12.75" hidden="false" customHeight="false" outlineLevel="0" collapsed="false">
      <c r="B9" s="32"/>
      <c r="C9" s="32"/>
      <c r="D9" s="33"/>
      <c r="E9" s="33"/>
      <c r="F9" s="33"/>
      <c r="G9" s="33"/>
      <c r="H9" s="229"/>
      <c r="I9" s="235"/>
      <c r="J9" s="36"/>
      <c r="K9" s="36"/>
      <c r="L9" s="37"/>
      <c r="M9" s="238" t="s">
        <v>404</v>
      </c>
      <c r="N9" s="237"/>
      <c r="O9" s="232"/>
      <c r="P9" s="232"/>
      <c r="Q9" s="232"/>
      <c r="R9" s="232"/>
      <c r="S9" s="42"/>
      <c r="T9" s="49"/>
      <c r="U9" s="49"/>
      <c r="V9" s="234"/>
      <c r="W9" s="234"/>
      <c r="X9" s="40"/>
      <c r="Y9" s="40"/>
      <c r="Z9" s="40"/>
      <c r="AA9" s="40"/>
      <c r="AB9" s="44"/>
      <c r="AC9" s="44"/>
      <c r="AE9" s="50"/>
      <c r="AF9" s="88"/>
      <c r="AG9" s="28"/>
      <c r="AH9" s="28"/>
      <c r="AI9" s="88"/>
      <c r="AJ9" s="28"/>
      <c r="AK9" s="28"/>
      <c r="AL9" s="45"/>
      <c r="AM9" s="45"/>
      <c r="AN9" s="45"/>
      <c r="AO9" s="45"/>
      <c r="AP9" s="88"/>
      <c r="AQ9" s="28"/>
      <c r="AR9" s="28"/>
      <c r="AS9" s="28"/>
      <c r="AT9" s="28"/>
      <c r="AU9" s="28"/>
      <c r="AV9" s="28"/>
      <c r="AW9" s="28"/>
      <c r="AX9" s="28"/>
      <c r="BZ9" s="2"/>
      <c r="CB9" s="37"/>
      <c r="CC9" s="2"/>
      <c r="CF9" s="37"/>
      <c r="CP9" s="2"/>
      <c r="CR9" s="37"/>
      <c r="CS9" s="2"/>
      <c r="CV9" s="37"/>
    </row>
    <row r="10" customFormat="false" ht="12.75" hidden="false" customHeight="false" outlineLevel="0" collapsed="false">
      <c r="B10" s="32"/>
      <c r="C10" s="32"/>
      <c r="D10" s="33"/>
      <c r="E10" s="33"/>
      <c r="F10" s="33"/>
      <c r="G10" s="33"/>
      <c r="H10" s="229"/>
      <c r="I10" s="235"/>
      <c r="J10" s="36"/>
      <c r="K10" s="36"/>
      <c r="L10" s="37"/>
      <c r="M10" s="239"/>
      <c r="N10" s="237"/>
      <c r="O10" s="232"/>
      <c r="P10" s="232"/>
      <c r="Q10" s="232"/>
      <c r="R10" s="232"/>
      <c r="S10" s="42"/>
      <c r="T10" s="49"/>
      <c r="U10" s="49"/>
      <c r="V10" s="234"/>
      <c r="W10" s="234"/>
      <c r="X10" s="40"/>
      <c r="Y10" s="40"/>
      <c r="Z10" s="40"/>
      <c r="AA10" s="40"/>
      <c r="AB10" s="44"/>
      <c r="AC10" s="44"/>
      <c r="AE10" s="28"/>
      <c r="AF10" s="88"/>
      <c r="AG10" s="28"/>
      <c r="AH10" s="28"/>
      <c r="AI10" s="88"/>
      <c r="AJ10" s="28"/>
      <c r="AK10" s="28"/>
      <c r="AL10" s="45"/>
      <c r="AM10" s="45"/>
      <c r="AN10" s="45"/>
      <c r="AO10" s="45"/>
      <c r="AP10" s="88"/>
      <c r="AQ10" s="28"/>
      <c r="AR10" s="28"/>
      <c r="AS10" s="28"/>
      <c r="AT10" s="28"/>
      <c r="AU10" s="28"/>
      <c r="AV10" s="28"/>
      <c r="AW10" s="28"/>
      <c r="AX10" s="28"/>
      <c r="BZ10" s="2"/>
      <c r="CB10" s="37"/>
      <c r="CC10" s="2"/>
      <c r="CF10" s="37"/>
      <c r="CP10" s="2"/>
      <c r="CR10" s="37"/>
      <c r="CS10" s="2"/>
      <c r="CV10" s="37"/>
    </row>
    <row r="11" customFormat="false" ht="12.75" hidden="false" customHeight="false" outlineLevel="0" collapsed="false">
      <c r="B11" s="32"/>
      <c r="C11" s="32"/>
      <c r="D11" s="33"/>
      <c r="E11" s="33"/>
      <c r="F11" s="33"/>
      <c r="G11" s="33"/>
      <c r="H11" s="229"/>
      <c r="I11" s="235"/>
      <c r="J11" s="36"/>
      <c r="K11" s="36"/>
      <c r="L11" s="37"/>
      <c r="M11" s="238" t="s">
        <v>405</v>
      </c>
      <c r="N11" s="237"/>
      <c r="O11" s="232"/>
      <c r="P11" s="232"/>
      <c r="Q11" s="232"/>
      <c r="R11" s="232"/>
      <c r="S11" s="42"/>
      <c r="T11" s="49"/>
      <c r="U11" s="49"/>
      <c r="V11" s="234"/>
      <c r="W11" s="234"/>
      <c r="X11" s="40"/>
      <c r="Y11" s="40"/>
      <c r="Z11" s="40"/>
      <c r="AA11" s="40"/>
      <c r="AB11" s="44"/>
      <c r="AC11" s="44"/>
      <c r="AE11" s="28"/>
      <c r="AF11" s="88"/>
      <c r="AG11" s="28"/>
      <c r="AH11" s="28"/>
      <c r="AI11" s="88"/>
      <c r="AJ11" s="28"/>
      <c r="AK11" s="28"/>
      <c r="AL11" s="45"/>
      <c r="AM11" s="45"/>
      <c r="AN11" s="45"/>
      <c r="AO11" s="45"/>
      <c r="AP11" s="88"/>
      <c r="AQ11" s="28"/>
      <c r="AR11" s="28"/>
      <c r="AS11" s="28"/>
      <c r="AT11" s="28"/>
      <c r="AU11" s="28"/>
      <c r="AV11" s="28"/>
      <c r="AW11" s="28"/>
      <c r="AX11" s="28"/>
      <c r="BZ11" s="2"/>
      <c r="CB11" s="37"/>
      <c r="CC11" s="2"/>
      <c r="CF11" s="37"/>
      <c r="CP11" s="2"/>
      <c r="CR11" s="37"/>
      <c r="CS11" s="2"/>
      <c r="CV11" s="37"/>
    </row>
    <row r="12" customFormat="false" ht="50.25" hidden="false" customHeight="true" outlineLevel="0" collapsed="false">
      <c r="B12" s="32"/>
      <c r="C12" s="32"/>
      <c r="D12" s="33"/>
      <c r="E12" s="33"/>
      <c r="F12" s="33"/>
      <c r="G12" s="33"/>
      <c r="H12" s="229"/>
      <c r="I12" s="235"/>
      <c r="J12" s="36"/>
      <c r="K12" s="36"/>
      <c r="L12" s="37"/>
      <c r="M12" s="240"/>
      <c r="N12" s="241"/>
      <c r="O12" s="232"/>
      <c r="P12" s="232"/>
      <c r="Q12" s="232"/>
      <c r="R12" s="232"/>
      <c r="S12" s="42"/>
      <c r="T12" s="49"/>
      <c r="U12" s="49"/>
      <c r="V12" s="234"/>
      <c r="W12" s="234"/>
      <c r="X12" s="40"/>
      <c r="Y12" s="40"/>
      <c r="Z12" s="40"/>
      <c r="AA12" s="40"/>
      <c r="AB12" s="44"/>
      <c r="AC12" s="44"/>
      <c r="AE12" s="28"/>
      <c r="AF12" s="88"/>
      <c r="AG12" s="28"/>
      <c r="AH12" s="28"/>
      <c r="AI12" s="88"/>
      <c r="AJ12" s="28"/>
      <c r="AK12" s="28"/>
      <c r="AL12" s="45"/>
      <c r="AM12" s="45"/>
      <c r="AN12" s="45"/>
      <c r="AO12" s="45"/>
      <c r="AP12" s="88"/>
      <c r="AQ12" s="28"/>
      <c r="AR12" s="28"/>
      <c r="AS12" s="28"/>
      <c r="AT12" s="28"/>
      <c r="AU12" s="28"/>
      <c r="AV12" s="28"/>
      <c r="AW12" s="28"/>
      <c r="AX12" s="28"/>
      <c r="BZ12" s="2"/>
      <c r="CB12" s="37"/>
      <c r="CC12" s="2"/>
      <c r="CF12" s="37"/>
      <c r="CP12" s="2"/>
      <c r="CR12" s="37"/>
      <c r="CS12" s="2"/>
      <c r="CV12" s="37"/>
    </row>
    <row r="13" s="2" customFormat="true" ht="18.75" hidden="false" customHeight="true" outlineLevel="0" collapsed="false">
      <c r="A13" s="210"/>
      <c r="B13" s="32"/>
      <c r="C13" s="32"/>
      <c r="D13" s="54" t="s">
        <v>25</v>
      </c>
      <c r="E13" s="54"/>
      <c r="F13" s="54"/>
      <c r="G13" s="54"/>
      <c r="H13" s="242"/>
      <c r="I13" s="235"/>
      <c r="J13" s="56" t="s">
        <v>12</v>
      </c>
      <c r="K13" s="56"/>
      <c r="L13" s="37"/>
      <c r="M13" s="243" t="s">
        <v>12</v>
      </c>
      <c r="N13" s="243"/>
      <c r="O13" s="244" t="s">
        <v>397</v>
      </c>
      <c r="P13" s="244"/>
      <c r="Q13" s="244" t="s">
        <v>398</v>
      </c>
      <c r="R13" s="244"/>
      <c r="S13" s="42"/>
      <c r="T13" s="245" t="s">
        <v>406</v>
      </c>
      <c r="U13" s="245"/>
      <c r="V13" s="246" t="s">
        <v>407</v>
      </c>
      <c r="W13" s="246"/>
      <c r="X13" s="246" t="s">
        <v>408</v>
      </c>
      <c r="Y13" s="246"/>
      <c r="Z13" s="246" t="s">
        <v>409</v>
      </c>
      <c r="AA13" s="246"/>
      <c r="AB13" s="55" t="s">
        <v>410</v>
      </c>
      <c r="AC13" s="55"/>
      <c r="AE13" s="28"/>
      <c r="AF13" s="88"/>
      <c r="AG13" s="28"/>
      <c r="AH13" s="28"/>
      <c r="AI13" s="88"/>
      <c r="AJ13" s="28"/>
      <c r="AK13" s="28"/>
      <c r="AL13" s="45"/>
      <c r="AM13" s="45"/>
      <c r="AN13" s="45"/>
      <c r="AO13" s="45"/>
      <c r="AP13" s="88"/>
      <c r="AQ13" s="28"/>
      <c r="AR13" s="28"/>
      <c r="AS13" s="28"/>
      <c r="AT13" s="28"/>
      <c r="AU13" s="28"/>
      <c r="AV13" s="28"/>
      <c r="AW13" s="28"/>
      <c r="AX13" s="28"/>
      <c r="BT13" s="212"/>
      <c r="BU13" s="212"/>
      <c r="BV13" s="212"/>
      <c r="BW13" s="212"/>
    </row>
    <row r="14" s="2" customFormat="true" ht="18.75" hidden="false" customHeight="true" outlineLevel="0" collapsed="false">
      <c r="A14" s="210"/>
      <c r="B14" s="32"/>
      <c r="C14" s="32"/>
      <c r="D14" s="54"/>
      <c r="E14" s="54"/>
      <c r="F14" s="54"/>
      <c r="G14" s="54"/>
      <c r="H14" s="247"/>
      <c r="I14" s="235"/>
      <c r="J14" s="63" t="s">
        <v>12</v>
      </c>
      <c r="K14" s="63"/>
      <c r="L14" s="37"/>
      <c r="M14" s="64" t="s">
        <v>12</v>
      </c>
      <c r="N14" s="64"/>
      <c r="O14" s="66" t="s">
        <v>12</v>
      </c>
      <c r="P14" s="66"/>
      <c r="Q14" s="67" t="s">
        <v>12</v>
      </c>
      <c r="R14" s="67"/>
      <c r="S14" s="42"/>
      <c r="T14" s="248" t="s">
        <v>411</v>
      </c>
      <c r="U14" s="248"/>
      <c r="V14" s="248" t="s">
        <v>412</v>
      </c>
      <c r="W14" s="248"/>
      <c r="X14" s="249"/>
      <c r="Y14" s="250"/>
      <c r="Z14" s="249"/>
      <c r="AA14" s="251"/>
      <c r="AB14" s="249"/>
      <c r="AC14" s="252"/>
      <c r="AE14" s="28"/>
      <c r="AF14" s="88"/>
      <c r="AG14" s="28"/>
      <c r="AH14" s="28"/>
      <c r="AI14" s="88"/>
      <c r="AJ14" s="28"/>
      <c r="AK14" s="28"/>
      <c r="AL14" s="45"/>
      <c r="AM14" s="45"/>
      <c r="AN14" s="45"/>
      <c r="AO14" s="45"/>
      <c r="AP14" s="88"/>
      <c r="AQ14" s="28"/>
      <c r="AR14" s="28"/>
      <c r="AS14" s="28"/>
      <c r="AT14" s="28"/>
      <c r="AU14" s="28"/>
      <c r="AV14" s="28"/>
      <c r="AW14" s="28"/>
      <c r="AX14" s="28"/>
      <c r="BT14" s="212"/>
      <c r="BU14" s="212"/>
      <c r="BV14" s="212"/>
      <c r="BW14" s="212"/>
    </row>
    <row r="15" s="2" customFormat="true" ht="31.5" hidden="false" customHeight="true" outlineLevel="0" collapsed="false">
      <c r="A15" s="210"/>
      <c r="B15" s="32"/>
      <c r="C15" s="32"/>
      <c r="D15" s="72" t="s">
        <v>34</v>
      </c>
      <c r="E15" s="72"/>
      <c r="F15" s="72"/>
      <c r="G15" s="72"/>
      <c r="H15" s="253" t="s">
        <v>12</v>
      </c>
      <c r="I15" s="254"/>
      <c r="J15" s="75" t="s">
        <v>12</v>
      </c>
      <c r="K15" s="75"/>
      <c r="L15" s="37"/>
      <c r="M15" s="76" t="s">
        <v>35</v>
      </c>
      <c r="N15" s="76"/>
      <c r="O15" s="78" t="s">
        <v>36</v>
      </c>
      <c r="P15" s="78"/>
      <c r="Q15" s="78" t="s">
        <v>36</v>
      </c>
      <c r="R15" s="78"/>
      <c r="S15" s="233"/>
      <c r="T15" s="76" t="s">
        <v>35</v>
      </c>
      <c r="U15" s="76"/>
      <c r="V15" s="77" t="s">
        <v>36</v>
      </c>
      <c r="W15" s="77"/>
      <c r="X15" s="78" t="s">
        <v>36</v>
      </c>
      <c r="Y15" s="78"/>
      <c r="Z15" s="78" t="s">
        <v>36</v>
      </c>
      <c r="AA15" s="78"/>
      <c r="AB15" s="79" t="s">
        <v>36</v>
      </c>
      <c r="AC15" s="79"/>
      <c r="AE15" s="80"/>
      <c r="AF15" s="80"/>
      <c r="AG15" s="28"/>
      <c r="AH15" s="28"/>
      <c r="AI15" s="88"/>
      <c r="AJ15" s="28"/>
      <c r="AK15" s="28"/>
      <c r="AL15" s="28"/>
      <c r="AM15" s="28"/>
      <c r="AN15" s="28"/>
      <c r="AO15" s="28"/>
      <c r="AP15" s="88"/>
      <c r="AQ15" s="28"/>
      <c r="AR15" s="28"/>
      <c r="AS15" s="28"/>
      <c r="AT15" s="28"/>
      <c r="AU15" s="28"/>
      <c r="AV15" s="28"/>
      <c r="AW15" s="28"/>
      <c r="AX15" s="28"/>
      <c r="BT15" s="212"/>
      <c r="BU15" s="212"/>
      <c r="BV15" s="212"/>
      <c r="BW15" s="212"/>
    </row>
    <row r="16" s="2" customFormat="true" ht="46.5" hidden="false" customHeight="true" outlineLevel="0" collapsed="false">
      <c r="A16" s="210"/>
      <c r="B16" s="32"/>
      <c r="C16" s="32"/>
      <c r="D16" s="72" t="s">
        <v>37</v>
      </c>
      <c r="E16" s="72"/>
      <c r="F16" s="72"/>
      <c r="G16" s="72"/>
      <c r="H16" s="253" t="s">
        <v>38</v>
      </c>
      <c r="I16" s="254"/>
      <c r="J16" s="81" t="s">
        <v>413</v>
      </c>
      <c r="K16" s="81"/>
      <c r="L16" s="37"/>
      <c r="M16" s="82" t="s">
        <v>40</v>
      </c>
      <c r="N16" s="82"/>
      <c r="O16" s="77" t="s">
        <v>41</v>
      </c>
      <c r="P16" s="77"/>
      <c r="Q16" s="77" t="s">
        <v>41</v>
      </c>
      <c r="R16" s="77"/>
      <c r="S16" s="233"/>
      <c r="T16" s="82" t="s">
        <v>40</v>
      </c>
      <c r="U16" s="82"/>
      <c r="V16" s="77" t="s">
        <v>41</v>
      </c>
      <c r="W16" s="77"/>
      <c r="X16" s="77" t="s">
        <v>41</v>
      </c>
      <c r="Y16" s="77"/>
      <c r="Z16" s="77" t="s">
        <v>41</v>
      </c>
      <c r="AA16" s="77"/>
      <c r="AB16" s="83" t="s">
        <v>41</v>
      </c>
      <c r="AC16" s="83"/>
      <c r="AE16" s="80"/>
      <c r="AF16" s="80"/>
      <c r="AG16" s="45"/>
      <c r="AH16" s="28"/>
      <c r="AI16" s="88"/>
      <c r="AJ16" s="45"/>
      <c r="AK16" s="45"/>
      <c r="AL16" s="45"/>
      <c r="AM16" s="28"/>
      <c r="AN16" s="45"/>
      <c r="AO16" s="28"/>
      <c r="AP16" s="88"/>
      <c r="AQ16" s="45"/>
      <c r="AR16" s="28"/>
      <c r="AS16" s="45"/>
      <c r="AT16" s="28"/>
      <c r="AU16" s="28"/>
      <c r="AV16" s="28"/>
      <c r="AW16" s="45"/>
      <c r="AX16" s="28"/>
      <c r="BT16" s="212"/>
      <c r="BU16" s="212"/>
      <c r="BV16" s="212"/>
      <c r="BW16" s="212"/>
    </row>
    <row r="17" s="2" customFormat="true" ht="16.5" hidden="false" customHeight="true" outlineLevel="0" collapsed="false">
      <c r="A17" s="210"/>
      <c r="B17" s="32"/>
      <c r="C17" s="32"/>
      <c r="D17" s="84" t="s">
        <v>42</v>
      </c>
      <c r="E17" s="84"/>
      <c r="F17" s="84"/>
      <c r="G17" s="84"/>
      <c r="H17" s="255" t="s">
        <v>12</v>
      </c>
      <c r="I17" s="256"/>
      <c r="J17" s="75" t="s">
        <v>12</v>
      </c>
      <c r="K17" s="75"/>
      <c r="L17" s="37"/>
      <c r="M17" s="87" t="s">
        <v>43</v>
      </c>
      <c r="N17" s="87"/>
      <c r="O17" s="78" t="s">
        <v>43</v>
      </c>
      <c r="P17" s="78"/>
      <c r="Q17" s="78" t="s">
        <v>43</v>
      </c>
      <c r="R17" s="78"/>
      <c r="S17" s="233"/>
      <c r="T17" s="87" t="s">
        <v>43</v>
      </c>
      <c r="U17" s="87"/>
      <c r="V17" s="78" t="s">
        <v>43</v>
      </c>
      <c r="W17" s="78"/>
      <c r="X17" s="78" t="s">
        <v>43</v>
      </c>
      <c r="Y17" s="78"/>
      <c r="Z17" s="78" t="s">
        <v>43</v>
      </c>
      <c r="AA17" s="78"/>
      <c r="AB17" s="79" t="s">
        <v>43</v>
      </c>
      <c r="AC17" s="79"/>
      <c r="AE17" s="88"/>
      <c r="AF17" s="88"/>
      <c r="AG17" s="28"/>
      <c r="AH17" s="28"/>
      <c r="AI17" s="88"/>
      <c r="AJ17" s="28"/>
      <c r="AK17" s="28"/>
      <c r="AL17" s="28"/>
      <c r="AM17" s="28"/>
      <c r="AN17" s="28"/>
      <c r="AO17" s="28"/>
      <c r="AP17" s="88"/>
      <c r="AQ17" s="28"/>
      <c r="AR17" s="28"/>
      <c r="AS17" s="28"/>
      <c r="AT17" s="28"/>
      <c r="AU17" s="28"/>
      <c r="AV17" s="28"/>
      <c r="AW17" s="45"/>
      <c r="AX17" s="28"/>
      <c r="BT17" s="212"/>
      <c r="BU17" s="212"/>
      <c r="BV17" s="212"/>
      <c r="BW17" s="212"/>
    </row>
    <row r="18" s="2" customFormat="true" ht="23.25" hidden="false" customHeight="false" outlineLevel="0" collapsed="false">
      <c r="A18" s="210"/>
      <c r="B18" s="257"/>
      <c r="C18" s="257"/>
      <c r="D18" s="258"/>
      <c r="E18" s="258"/>
      <c r="F18" s="259"/>
      <c r="G18" s="259"/>
      <c r="H18" s="260"/>
      <c r="I18" s="261"/>
      <c r="J18" s="262"/>
      <c r="K18" s="262"/>
      <c r="L18" s="88"/>
      <c r="M18" s="263"/>
      <c r="N18" s="263"/>
      <c r="O18" s="263"/>
      <c r="P18" s="263"/>
      <c r="Q18" s="263"/>
      <c r="R18" s="263"/>
      <c r="S18" s="88"/>
      <c r="T18" s="263"/>
      <c r="U18" s="262"/>
      <c r="V18" s="263"/>
      <c r="W18" s="262"/>
      <c r="X18" s="263"/>
      <c r="Y18" s="264"/>
      <c r="Z18" s="263"/>
      <c r="AA18" s="263"/>
      <c r="AB18" s="263"/>
      <c r="AC18" s="262"/>
      <c r="AE18" s="88"/>
      <c r="AF18" s="88"/>
      <c r="AG18" s="28"/>
      <c r="AH18" s="28"/>
      <c r="AI18" s="88"/>
      <c r="AJ18" s="28"/>
      <c r="AK18" s="28"/>
      <c r="AL18" s="28"/>
      <c r="AM18" s="28"/>
      <c r="AN18" s="28"/>
      <c r="AO18" s="28"/>
      <c r="AP18" s="88"/>
      <c r="AQ18" s="28"/>
      <c r="AR18" s="28"/>
      <c r="AS18" s="28"/>
      <c r="AT18" s="28"/>
      <c r="AU18" s="28"/>
      <c r="AV18" s="28"/>
      <c r="AW18" s="45"/>
      <c r="AX18" s="28"/>
      <c r="BT18" s="212"/>
      <c r="BU18" s="212"/>
      <c r="BV18" s="212"/>
      <c r="BW18" s="212"/>
    </row>
    <row r="19" customFormat="false" ht="18.75" hidden="false" customHeight="true" outlineLevel="0" collapsed="false">
      <c r="B19" s="95"/>
      <c r="C19" s="96" t="s">
        <v>414</v>
      </c>
      <c r="BB19" s="265" t="s">
        <v>57</v>
      </c>
      <c r="BC19" s="265"/>
      <c r="BD19" s="265"/>
      <c r="BE19" s="265"/>
      <c r="BF19" s="265"/>
      <c r="BG19" s="265"/>
      <c r="BH19" s="265"/>
      <c r="BI19" s="265"/>
      <c r="BJ19" s="265"/>
      <c r="BK19" s="265"/>
      <c r="BL19" s="265"/>
      <c r="BM19" s="265"/>
      <c r="BN19" s="265"/>
      <c r="BO19" s="265"/>
      <c r="BP19" s="265"/>
      <c r="BQ19" s="265"/>
      <c r="BR19" s="265"/>
      <c r="BS19" s="265"/>
      <c r="BT19" s="265"/>
      <c r="BU19" s="265"/>
      <c r="BV19" s="265"/>
      <c r="BW19" s="265"/>
      <c r="BY19" s="266" t="s">
        <v>58</v>
      </c>
      <c r="BZ19" s="266"/>
      <c r="CA19" s="266"/>
      <c r="CB19" s="266"/>
      <c r="CC19" s="266"/>
      <c r="CD19" s="266"/>
      <c r="CE19" s="266"/>
      <c r="CF19" s="266"/>
      <c r="CG19" s="266"/>
      <c r="CH19" s="266"/>
      <c r="CI19" s="266"/>
      <c r="CJ19" s="266"/>
      <c r="CK19" s="266"/>
      <c r="CO19" s="267" t="s">
        <v>415</v>
      </c>
      <c r="CP19" s="267"/>
      <c r="CQ19" s="267"/>
      <c r="CR19" s="267"/>
      <c r="CS19" s="267"/>
      <c r="CT19" s="267"/>
      <c r="CU19" s="267"/>
      <c r="CV19" s="267"/>
      <c r="CW19" s="267"/>
      <c r="CX19" s="267"/>
      <c r="CY19" s="267"/>
      <c r="CZ19" s="267"/>
      <c r="DA19" s="267"/>
    </row>
    <row r="20" customFormat="false" ht="14.25" hidden="false" customHeight="false" outlineLevel="0" collapsed="false">
      <c r="C20" s="96" t="s">
        <v>59</v>
      </c>
      <c r="D20" s="99"/>
      <c r="E20" s="99"/>
      <c r="I20" s="210"/>
      <c r="L20" s="2"/>
      <c r="BZ20" s="2"/>
      <c r="CB20" s="2"/>
      <c r="CC20" s="2"/>
      <c r="CF20" s="2"/>
      <c r="CO20" s="211"/>
      <c r="CP20" s="211"/>
      <c r="CQ20" s="211"/>
      <c r="CR20" s="211"/>
      <c r="CS20" s="2"/>
      <c r="CV20" s="211"/>
    </row>
    <row r="21" s="268" customFormat="true" ht="24" hidden="false" customHeight="false" outlineLevel="0" collapsed="false">
      <c r="A21" s="210"/>
      <c r="C21" s="269" t="s">
        <v>416</v>
      </c>
      <c r="F21" s="223"/>
      <c r="H21" s="270"/>
      <c r="I21" s="210"/>
      <c r="AF21" s="271"/>
      <c r="AI21" s="271"/>
      <c r="BC21" s="268" t="n">
        <v>7</v>
      </c>
      <c r="BD21" s="268" t="n">
        <v>8</v>
      </c>
      <c r="BE21" s="268" t="n">
        <v>9</v>
      </c>
      <c r="BF21" s="268" t="n">
        <v>10</v>
      </c>
      <c r="BG21" s="272" t="n">
        <v>13</v>
      </c>
      <c r="BH21" s="272" t="n">
        <v>14</v>
      </c>
      <c r="BI21" s="272" t="n">
        <v>15</v>
      </c>
      <c r="BJ21" s="272" t="n">
        <v>16</v>
      </c>
      <c r="BK21" s="272" t="n">
        <v>17</v>
      </c>
      <c r="BL21" s="272" t="n">
        <v>18</v>
      </c>
      <c r="BM21" s="272" t="n">
        <v>19</v>
      </c>
      <c r="BN21" s="272" t="n">
        <v>20</v>
      </c>
      <c r="BO21" s="272" t="n">
        <v>21</v>
      </c>
      <c r="BP21" s="272" t="n">
        <v>22</v>
      </c>
      <c r="BQ21" s="272" t="n">
        <v>23</v>
      </c>
      <c r="BR21" s="272" t="n">
        <v>24</v>
      </c>
      <c r="BS21" s="272" t="n">
        <v>25</v>
      </c>
      <c r="BT21" s="272" t="n">
        <v>26</v>
      </c>
      <c r="BU21" s="272" t="n">
        <v>27</v>
      </c>
      <c r="BV21" s="272" t="n">
        <v>28</v>
      </c>
      <c r="BW21" s="272" t="n">
        <v>29</v>
      </c>
      <c r="BX21" s="272" t="n">
        <v>30</v>
      </c>
    </row>
    <row r="22" customFormat="false" ht="18.75" hidden="false" customHeight="true" outlineLevel="0" collapsed="false">
      <c r="B22" s="101" t="s">
        <v>61</v>
      </c>
      <c r="C22" s="101"/>
      <c r="D22" s="101"/>
      <c r="E22" s="101"/>
      <c r="F22" s="101"/>
      <c r="G22" s="101"/>
      <c r="H22" s="273" t="s">
        <v>1</v>
      </c>
      <c r="J22" s="102" t="s">
        <v>62</v>
      </c>
      <c r="K22" s="102"/>
      <c r="L22" s="6"/>
      <c r="M22" s="102" t="s">
        <v>63</v>
      </c>
      <c r="N22" s="102"/>
      <c r="O22" s="102"/>
      <c r="P22" s="102"/>
      <c r="Q22" s="102"/>
      <c r="R22" s="102"/>
      <c r="S22" s="102"/>
      <c r="T22" s="102"/>
      <c r="U22" s="102"/>
      <c r="V22" s="102"/>
      <c r="W22" s="102"/>
      <c r="X22" s="102"/>
      <c r="Y22" s="102"/>
      <c r="Z22" s="102"/>
      <c r="AA22" s="102"/>
      <c r="AB22" s="102"/>
      <c r="AC22" s="102"/>
      <c r="AE22" s="102" t="s">
        <v>65</v>
      </c>
      <c r="AG22" s="102" t="s">
        <v>66</v>
      </c>
      <c r="AH22" s="102"/>
      <c r="AI22" s="6"/>
      <c r="AJ22" s="104" t="s">
        <v>67</v>
      </c>
      <c r="AK22" s="104"/>
      <c r="AL22" s="104"/>
      <c r="AM22" s="104"/>
      <c r="AN22" s="104"/>
      <c r="AO22" s="104"/>
      <c r="AP22" s="104"/>
      <c r="AQ22" s="104"/>
      <c r="AR22" s="104"/>
      <c r="AS22" s="104"/>
      <c r="AT22" s="104"/>
      <c r="AU22" s="104"/>
      <c r="AV22" s="104"/>
      <c r="AW22" s="104"/>
      <c r="AX22" s="104"/>
      <c r="AY22" s="104"/>
      <c r="AZ22" s="104"/>
      <c r="BB22" s="102" t="s">
        <v>417</v>
      </c>
      <c r="BD22" s="102" t="s">
        <v>62</v>
      </c>
      <c r="BE22" s="102"/>
      <c r="BF22" s="6"/>
      <c r="BG22" s="102" t="s">
        <v>63</v>
      </c>
      <c r="BH22" s="102"/>
      <c r="BI22" s="102"/>
      <c r="BJ22" s="102"/>
      <c r="BK22" s="102"/>
      <c r="BL22" s="102"/>
      <c r="BM22" s="102"/>
      <c r="BN22" s="102"/>
      <c r="BO22" s="102"/>
      <c r="BP22" s="102"/>
      <c r="BQ22" s="102"/>
      <c r="BR22" s="102"/>
      <c r="BS22" s="102"/>
      <c r="BT22" s="102"/>
      <c r="BU22" s="102"/>
      <c r="BV22" s="102"/>
      <c r="BW22" s="102"/>
      <c r="BY22" s="97" t="s">
        <v>1</v>
      </c>
      <c r="CA22" s="97" t="s">
        <v>62</v>
      </c>
      <c r="CC22" s="97" t="s">
        <v>63</v>
      </c>
      <c r="CD22" s="97"/>
      <c r="CE22" s="97"/>
      <c r="CF22" s="97"/>
      <c r="CG22" s="97"/>
      <c r="CH22" s="97"/>
      <c r="CI22" s="97"/>
      <c r="CJ22" s="97"/>
      <c r="CK22" s="97"/>
      <c r="CO22" s="97" t="s">
        <v>1</v>
      </c>
      <c r="CQ22" s="97" t="s">
        <v>62</v>
      </c>
      <c r="CS22" s="97" t="s">
        <v>63</v>
      </c>
      <c r="CT22" s="97"/>
      <c r="CU22" s="97"/>
      <c r="CV22" s="97"/>
      <c r="CW22" s="97"/>
      <c r="CX22" s="97"/>
      <c r="CY22" s="97"/>
      <c r="CZ22" s="97"/>
      <c r="DA22" s="97"/>
    </row>
    <row r="23" customFormat="false" ht="18.75" hidden="false" customHeight="false" outlineLevel="0" collapsed="false">
      <c r="B23" s="101"/>
      <c r="C23" s="101"/>
      <c r="D23" s="101"/>
      <c r="E23" s="101"/>
      <c r="F23" s="101"/>
      <c r="G23" s="101"/>
      <c r="H23" s="273"/>
      <c r="J23" s="102"/>
      <c r="K23" s="102"/>
      <c r="L23" s="6"/>
      <c r="M23" s="105"/>
      <c r="N23" s="6"/>
      <c r="O23" s="6"/>
      <c r="P23" s="6"/>
      <c r="Q23" s="6"/>
      <c r="R23" s="6"/>
      <c r="S23" s="6"/>
      <c r="T23" s="6"/>
      <c r="U23" s="6"/>
      <c r="V23" s="6"/>
      <c r="W23" s="6"/>
      <c r="X23" s="6"/>
      <c r="Y23" s="274"/>
      <c r="Z23" s="6"/>
      <c r="AA23" s="6"/>
      <c r="AB23" s="6"/>
      <c r="AC23" s="6"/>
      <c r="AE23" s="102"/>
      <c r="AG23" s="102"/>
      <c r="AH23" s="102"/>
      <c r="AI23" s="6"/>
      <c r="AJ23" s="105"/>
      <c r="AK23" s="6"/>
      <c r="AL23" s="6"/>
      <c r="AM23" s="6"/>
      <c r="AN23" s="6"/>
      <c r="AO23" s="6"/>
      <c r="AP23" s="6"/>
      <c r="AQ23" s="6"/>
      <c r="AR23" s="6"/>
      <c r="AS23" s="6"/>
      <c r="AT23" s="6"/>
      <c r="AU23" s="6"/>
      <c r="AV23" s="6"/>
      <c r="AW23" s="6"/>
      <c r="AX23" s="6"/>
      <c r="AY23" s="6"/>
      <c r="AZ23" s="6"/>
      <c r="BB23" s="102"/>
      <c r="BD23" s="102"/>
      <c r="BE23" s="102"/>
      <c r="BF23" s="6"/>
      <c r="BG23" s="105"/>
      <c r="BH23" s="6"/>
      <c r="BI23" s="6"/>
      <c r="BJ23" s="6"/>
      <c r="BK23" s="6"/>
      <c r="BL23" s="6"/>
      <c r="BM23" s="6"/>
      <c r="BN23" s="6"/>
      <c r="BO23" s="6"/>
      <c r="BP23" s="6"/>
      <c r="BQ23" s="6"/>
      <c r="BR23" s="6"/>
      <c r="BS23" s="6"/>
      <c r="BT23" s="275"/>
      <c r="BU23" s="275"/>
      <c r="BV23" s="275"/>
      <c r="BW23" s="275"/>
      <c r="BY23" s="97"/>
      <c r="CA23" s="97"/>
      <c r="CC23" s="105"/>
      <c r="CD23" s="6"/>
      <c r="CE23" s="6"/>
      <c r="CG23" s="6"/>
      <c r="CH23" s="6"/>
      <c r="CI23" s="6"/>
      <c r="CJ23" s="6"/>
      <c r="CK23" s="6"/>
      <c r="CO23" s="97"/>
      <c r="CQ23" s="97"/>
      <c r="CS23" s="105"/>
      <c r="CT23" s="6"/>
      <c r="CU23" s="6"/>
      <c r="CW23" s="6"/>
      <c r="CX23" s="6"/>
      <c r="CY23" s="6"/>
      <c r="CZ23" s="6"/>
      <c r="DA23" s="6"/>
    </row>
    <row r="24" customFormat="false" ht="18.75" hidden="false" customHeight="true" outlineLevel="0" collapsed="false">
      <c r="B24" s="101"/>
      <c r="C24" s="101"/>
      <c r="D24" s="101"/>
      <c r="E24" s="101"/>
      <c r="F24" s="101"/>
      <c r="G24" s="101"/>
      <c r="H24" s="273"/>
      <c r="J24" s="102"/>
      <c r="K24" s="102"/>
      <c r="L24" s="21"/>
      <c r="M24" s="106" t="s">
        <v>68</v>
      </c>
      <c r="N24" s="106"/>
      <c r="O24" s="106"/>
      <c r="P24" s="106"/>
      <c r="Q24" s="106"/>
      <c r="R24" s="106"/>
      <c r="S24" s="14"/>
      <c r="T24" s="106" t="s">
        <v>418</v>
      </c>
      <c r="U24" s="106"/>
      <c r="V24" s="106"/>
      <c r="W24" s="106"/>
      <c r="X24" s="106"/>
      <c r="Y24" s="106"/>
      <c r="Z24" s="106"/>
      <c r="AA24" s="106"/>
      <c r="AB24" s="106"/>
      <c r="AC24" s="106"/>
      <c r="AE24" s="102"/>
      <c r="AG24" s="102"/>
      <c r="AH24" s="102"/>
      <c r="AI24" s="21"/>
      <c r="AJ24" s="106" t="s">
        <v>68</v>
      </c>
      <c r="AK24" s="106"/>
      <c r="AL24" s="106"/>
      <c r="AM24" s="106"/>
      <c r="AN24" s="106"/>
      <c r="AO24" s="106"/>
      <c r="AP24" s="14"/>
      <c r="AQ24" s="106" t="s">
        <v>69</v>
      </c>
      <c r="AR24" s="106"/>
      <c r="AS24" s="106"/>
      <c r="AT24" s="106"/>
      <c r="AU24" s="106"/>
      <c r="AV24" s="106"/>
      <c r="AW24" s="106"/>
      <c r="AX24" s="106"/>
      <c r="AY24" s="106"/>
      <c r="AZ24" s="106"/>
      <c r="BB24" s="102"/>
      <c r="BD24" s="102"/>
      <c r="BE24" s="102"/>
      <c r="BF24" s="21"/>
      <c r="BG24" s="106" t="s">
        <v>68</v>
      </c>
      <c r="BH24" s="106"/>
      <c r="BI24" s="106"/>
      <c r="BJ24" s="106"/>
      <c r="BK24" s="106"/>
      <c r="BL24" s="106"/>
      <c r="BM24" s="14"/>
      <c r="BN24" s="106" t="s">
        <v>418</v>
      </c>
      <c r="BO24" s="106"/>
      <c r="BP24" s="106"/>
      <c r="BQ24" s="106"/>
      <c r="BR24" s="106"/>
      <c r="BS24" s="106"/>
      <c r="BT24" s="106"/>
      <c r="BU24" s="106"/>
      <c r="BV24" s="106"/>
      <c r="BW24" s="106"/>
      <c r="BY24" s="97"/>
      <c r="CA24" s="97"/>
      <c r="CC24" s="276" t="s">
        <v>68</v>
      </c>
      <c r="CD24" s="276"/>
      <c r="CE24" s="276"/>
      <c r="CG24" s="276" t="s">
        <v>69</v>
      </c>
      <c r="CH24" s="276"/>
      <c r="CI24" s="276"/>
      <c r="CJ24" s="276"/>
      <c r="CK24" s="276"/>
      <c r="CM24" s="277" t="s">
        <v>419</v>
      </c>
      <c r="CO24" s="97"/>
      <c r="CQ24" s="97"/>
      <c r="CS24" s="276" t="s">
        <v>68</v>
      </c>
      <c r="CT24" s="276"/>
      <c r="CU24" s="276"/>
      <c r="CV24" s="2"/>
      <c r="CW24" s="276" t="s">
        <v>69</v>
      </c>
      <c r="CX24" s="276"/>
      <c r="CY24" s="276"/>
      <c r="CZ24" s="276"/>
      <c r="DA24" s="276"/>
    </row>
    <row r="25" s="1" customFormat="true" ht="18.75" hidden="false" customHeight="false" outlineLevel="0" collapsed="false">
      <c r="A25" s="213"/>
      <c r="B25" s="101"/>
      <c r="C25" s="101"/>
      <c r="D25" s="101"/>
      <c r="E25" s="101"/>
      <c r="F25" s="101"/>
      <c r="G25" s="101"/>
      <c r="H25" s="273"/>
      <c r="I25" s="213"/>
      <c r="J25" s="6"/>
      <c r="K25" s="6"/>
      <c r="L25" s="21"/>
      <c r="M25" s="107"/>
      <c r="N25" s="14"/>
      <c r="O25" s="14"/>
      <c r="P25" s="14"/>
      <c r="Q25" s="14"/>
      <c r="R25" s="108"/>
      <c r="S25" s="14"/>
      <c r="T25" s="107"/>
      <c r="U25" s="14"/>
      <c r="V25" s="14"/>
      <c r="W25" s="14"/>
      <c r="X25" s="14"/>
      <c r="Y25" s="219"/>
      <c r="Z25" s="14"/>
      <c r="AA25" s="14"/>
      <c r="AB25" s="14"/>
      <c r="AC25" s="108"/>
      <c r="AD25" s="2"/>
      <c r="AE25" s="102"/>
      <c r="AG25" s="6"/>
      <c r="AH25" s="6"/>
      <c r="AI25" s="21"/>
      <c r="AJ25" s="107"/>
      <c r="AK25" s="14"/>
      <c r="AL25" s="14"/>
      <c r="AM25" s="14"/>
      <c r="AN25" s="14"/>
      <c r="AO25" s="108"/>
      <c r="AP25" s="14"/>
      <c r="AQ25" s="107"/>
      <c r="AR25" s="14"/>
      <c r="AS25" s="14"/>
      <c r="AT25" s="14"/>
      <c r="AU25" s="14"/>
      <c r="AV25" s="14"/>
      <c r="AW25" s="14"/>
      <c r="AX25" s="108"/>
      <c r="AZ25" s="109"/>
      <c r="BB25" s="102"/>
      <c r="BD25" s="6"/>
      <c r="BE25" s="6"/>
      <c r="BF25" s="21"/>
      <c r="BG25" s="107"/>
      <c r="BH25" s="14"/>
      <c r="BI25" s="14"/>
      <c r="BJ25" s="14"/>
      <c r="BK25" s="14"/>
      <c r="BL25" s="108"/>
      <c r="BM25" s="14"/>
      <c r="BN25" s="107"/>
      <c r="BO25" s="14"/>
      <c r="BP25" s="14"/>
      <c r="BQ25" s="14"/>
      <c r="BR25" s="14"/>
      <c r="BS25" s="14"/>
      <c r="BT25" s="278"/>
      <c r="BU25" s="279"/>
      <c r="BV25" s="278"/>
      <c r="BW25" s="279"/>
      <c r="BY25" s="97"/>
      <c r="CA25" s="6"/>
      <c r="CC25" s="6"/>
      <c r="CD25" s="14"/>
      <c r="CE25" s="14"/>
      <c r="CG25" s="107"/>
      <c r="CH25" s="14"/>
      <c r="CI25" s="14"/>
      <c r="CJ25" s="14"/>
      <c r="CK25" s="14"/>
      <c r="CM25" s="277"/>
      <c r="CO25" s="97"/>
      <c r="CQ25" s="6"/>
      <c r="CS25" s="6"/>
      <c r="CT25" s="14"/>
      <c r="CU25" s="14"/>
      <c r="CV25" s="2"/>
      <c r="CW25" s="107"/>
      <c r="CX25" s="14"/>
      <c r="CY25" s="14"/>
      <c r="CZ25" s="14"/>
      <c r="DA25" s="14"/>
    </row>
    <row r="26" customFormat="false" ht="39" hidden="false" customHeight="true" outlineLevel="0" collapsed="false">
      <c r="B26" s="101"/>
      <c r="C26" s="101"/>
      <c r="D26" s="101"/>
      <c r="E26" s="101"/>
      <c r="F26" s="101"/>
      <c r="G26" s="101"/>
      <c r="H26" s="273"/>
      <c r="I26" s="280"/>
      <c r="J26" s="111" t="s">
        <v>4</v>
      </c>
      <c r="K26" s="111"/>
      <c r="L26" s="21"/>
      <c r="M26" s="112" t="s">
        <v>4</v>
      </c>
      <c r="N26" s="112"/>
      <c r="O26" s="112" t="s">
        <v>6</v>
      </c>
      <c r="P26" s="112"/>
      <c r="Q26" s="113" t="s">
        <v>7</v>
      </c>
      <c r="R26" s="113"/>
      <c r="S26" s="21"/>
      <c r="T26" s="112" t="s">
        <v>70</v>
      </c>
      <c r="U26" s="112"/>
      <c r="V26" s="112" t="s">
        <v>71</v>
      </c>
      <c r="W26" s="112"/>
      <c r="X26" s="112" t="s">
        <v>72</v>
      </c>
      <c r="Y26" s="112"/>
      <c r="Z26" s="112" t="s">
        <v>72</v>
      </c>
      <c r="AA26" s="112"/>
      <c r="AB26" s="113" t="s">
        <v>73</v>
      </c>
      <c r="AC26" s="113"/>
      <c r="AE26" s="102"/>
      <c r="AF26" s="110"/>
      <c r="AG26" s="111" t="s">
        <v>4</v>
      </c>
      <c r="AH26" s="111"/>
      <c r="AI26" s="21"/>
      <c r="AJ26" s="111" t="s">
        <v>4</v>
      </c>
      <c r="AK26" s="111"/>
      <c r="AL26" s="111" t="s">
        <v>6</v>
      </c>
      <c r="AM26" s="111"/>
      <c r="AN26" s="111" t="s">
        <v>7</v>
      </c>
      <c r="AO26" s="111"/>
      <c r="AP26" s="21"/>
      <c r="AQ26" s="113" t="s">
        <v>70</v>
      </c>
      <c r="AR26" s="113"/>
      <c r="AS26" s="113" t="s">
        <v>71</v>
      </c>
      <c r="AT26" s="113"/>
      <c r="AU26" s="114" t="s">
        <v>72</v>
      </c>
      <c r="AV26" s="114"/>
      <c r="AW26" s="114" t="s">
        <v>72</v>
      </c>
      <c r="AX26" s="114"/>
      <c r="AY26" s="115" t="s">
        <v>73</v>
      </c>
      <c r="AZ26" s="115"/>
      <c r="BB26" s="102"/>
      <c r="BD26" s="111" t="s">
        <v>4</v>
      </c>
      <c r="BE26" s="111"/>
      <c r="BF26" s="21"/>
      <c r="BG26" s="111" t="s">
        <v>4</v>
      </c>
      <c r="BH26" s="111"/>
      <c r="BI26" s="111" t="s">
        <v>6</v>
      </c>
      <c r="BJ26" s="111"/>
      <c r="BK26" s="111" t="s">
        <v>7</v>
      </c>
      <c r="BL26" s="111"/>
      <c r="BM26" s="21"/>
      <c r="BN26" s="113" t="s">
        <v>70</v>
      </c>
      <c r="BO26" s="113"/>
      <c r="BP26" s="113" t="s">
        <v>71</v>
      </c>
      <c r="BQ26" s="113"/>
      <c r="BR26" s="116" t="s">
        <v>72</v>
      </c>
      <c r="BS26" s="116"/>
      <c r="BT26" s="281" t="s">
        <v>72</v>
      </c>
      <c r="BU26" s="281"/>
      <c r="BV26" s="282" t="s">
        <v>73</v>
      </c>
      <c r="BW26" s="282"/>
      <c r="BY26" s="97"/>
      <c r="BZ26" s="110"/>
      <c r="CA26" s="283" t="s">
        <v>4</v>
      </c>
      <c r="CB26" s="110"/>
      <c r="CC26" s="283" t="s">
        <v>4</v>
      </c>
      <c r="CD26" s="283" t="s">
        <v>6</v>
      </c>
      <c r="CE26" s="284" t="s">
        <v>7</v>
      </c>
      <c r="CF26" s="110"/>
      <c r="CG26" s="283" t="s">
        <v>70</v>
      </c>
      <c r="CH26" s="283" t="s">
        <v>71</v>
      </c>
      <c r="CI26" s="283" t="s">
        <v>72</v>
      </c>
      <c r="CJ26" s="283" t="s">
        <v>72</v>
      </c>
      <c r="CK26" s="284" t="s">
        <v>73</v>
      </c>
      <c r="CM26" s="277"/>
      <c r="CO26" s="97"/>
      <c r="CP26" s="110"/>
      <c r="CQ26" s="283" t="s">
        <v>4</v>
      </c>
      <c r="CR26" s="110"/>
      <c r="CS26" s="283" t="s">
        <v>4</v>
      </c>
      <c r="CT26" s="283" t="s">
        <v>6</v>
      </c>
      <c r="CU26" s="284" t="s">
        <v>7</v>
      </c>
      <c r="CV26" s="285"/>
      <c r="CW26" s="283" t="s">
        <v>70</v>
      </c>
      <c r="CX26" s="283" t="s">
        <v>71</v>
      </c>
      <c r="CY26" s="283" t="s">
        <v>72</v>
      </c>
      <c r="CZ26" s="283" t="s">
        <v>72</v>
      </c>
      <c r="DA26" s="284" t="s">
        <v>73</v>
      </c>
    </row>
    <row r="27" customFormat="false" ht="13.5" hidden="false" customHeight="false" outlineLevel="0" collapsed="false">
      <c r="A27" s="217"/>
      <c r="B27" s="117"/>
      <c r="C27" s="218"/>
      <c r="G27" s="120"/>
      <c r="H27" s="286"/>
      <c r="I27" s="217"/>
      <c r="J27" s="119"/>
      <c r="K27" s="120"/>
      <c r="M27" s="119"/>
      <c r="T27" s="119"/>
      <c r="Y27" s="287"/>
      <c r="AE27" s="118"/>
      <c r="AG27" s="119"/>
      <c r="AH27" s="120"/>
      <c r="AJ27" s="119"/>
      <c r="AO27" s="120"/>
      <c r="AQ27" s="119"/>
      <c r="AR27" s="120"/>
      <c r="AS27" s="119"/>
      <c r="AT27" s="120"/>
      <c r="AV27" s="120"/>
      <c r="AX27" s="120"/>
      <c r="AZ27" s="120"/>
      <c r="BB27" s="118"/>
      <c r="BD27" s="119"/>
      <c r="BE27" s="120"/>
      <c r="BG27" s="119"/>
      <c r="BL27" s="120"/>
      <c r="BN27" s="119"/>
      <c r="BO27" s="120"/>
      <c r="BP27" s="119"/>
      <c r="BQ27" s="120"/>
      <c r="BS27" s="120"/>
      <c r="BT27" s="220"/>
      <c r="BU27" s="288"/>
      <c r="BV27" s="220"/>
      <c r="BW27" s="288"/>
      <c r="BY27" s="289"/>
      <c r="CA27" s="119"/>
      <c r="CC27" s="119"/>
      <c r="CG27" s="289"/>
      <c r="CM27" s="277"/>
      <c r="CO27" s="289"/>
      <c r="CQ27" s="119"/>
      <c r="CS27" s="119"/>
      <c r="CV27" s="15"/>
      <c r="CW27" s="289"/>
    </row>
    <row r="28" customFormat="false" ht="38.25" hidden="false" customHeight="false" outlineLevel="0" collapsed="false">
      <c r="B28" s="290" t="s">
        <v>74</v>
      </c>
      <c r="C28" s="291" t="s">
        <v>420</v>
      </c>
      <c r="D28" s="291" t="s">
        <v>76</v>
      </c>
      <c r="E28" s="291" t="s">
        <v>77</v>
      </c>
      <c r="F28" s="292" t="s">
        <v>78</v>
      </c>
      <c r="G28" s="292" t="s">
        <v>79</v>
      </c>
      <c r="H28" s="293" t="s">
        <v>80</v>
      </c>
      <c r="I28" s="225"/>
      <c r="J28" s="124" t="s">
        <v>81</v>
      </c>
      <c r="K28" s="125" t="s">
        <v>82</v>
      </c>
      <c r="L28" s="21"/>
      <c r="M28" s="294" t="s">
        <v>81</v>
      </c>
      <c r="N28" s="295" t="s">
        <v>83</v>
      </c>
      <c r="O28" s="294" t="s">
        <v>81</v>
      </c>
      <c r="P28" s="296" t="s">
        <v>83</v>
      </c>
      <c r="Q28" s="294" t="s">
        <v>81</v>
      </c>
      <c r="R28" s="297" t="s">
        <v>83</v>
      </c>
      <c r="S28" s="21"/>
      <c r="T28" s="294" t="s">
        <v>81</v>
      </c>
      <c r="U28" s="296" t="s">
        <v>83</v>
      </c>
      <c r="V28" s="294" t="s">
        <v>81</v>
      </c>
      <c r="W28" s="296" t="s">
        <v>83</v>
      </c>
      <c r="X28" s="294" t="s">
        <v>81</v>
      </c>
      <c r="Y28" s="298" t="s">
        <v>83</v>
      </c>
      <c r="Z28" s="124" t="s">
        <v>81</v>
      </c>
      <c r="AA28" s="127" t="s">
        <v>83</v>
      </c>
      <c r="AB28" s="124" t="s">
        <v>81</v>
      </c>
      <c r="AC28" s="128" t="s">
        <v>83</v>
      </c>
      <c r="AE28" s="292" t="s">
        <v>85</v>
      </c>
      <c r="AF28" s="21"/>
      <c r="AG28" s="294" t="s">
        <v>86</v>
      </c>
      <c r="AH28" s="299" t="s">
        <v>87</v>
      </c>
      <c r="AI28" s="21"/>
      <c r="AJ28" s="294" t="s">
        <v>86</v>
      </c>
      <c r="AK28" s="299" t="s">
        <v>87</v>
      </c>
      <c r="AL28" s="294" t="s">
        <v>86</v>
      </c>
      <c r="AM28" s="299" t="s">
        <v>87</v>
      </c>
      <c r="AN28" s="294" t="s">
        <v>86</v>
      </c>
      <c r="AO28" s="299" t="s">
        <v>87</v>
      </c>
      <c r="AP28" s="21"/>
      <c r="AQ28" s="294" t="s">
        <v>86</v>
      </c>
      <c r="AR28" s="299" t="s">
        <v>87</v>
      </c>
      <c r="AS28" s="294" t="s">
        <v>86</v>
      </c>
      <c r="AT28" s="299" t="s">
        <v>87</v>
      </c>
      <c r="AU28" s="294" t="s">
        <v>86</v>
      </c>
      <c r="AV28" s="299" t="s">
        <v>87</v>
      </c>
      <c r="AW28" s="294" t="s">
        <v>86</v>
      </c>
      <c r="AX28" s="299" t="s">
        <v>87</v>
      </c>
      <c r="AY28" s="294" t="s">
        <v>86</v>
      </c>
      <c r="AZ28" s="299" t="s">
        <v>87</v>
      </c>
      <c r="BB28" s="122" t="s">
        <v>80</v>
      </c>
      <c r="BD28" s="124" t="s">
        <v>81</v>
      </c>
      <c r="BE28" s="125" t="s">
        <v>82</v>
      </c>
      <c r="BF28" s="21"/>
      <c r="BG28" s="294" t="s">
        <v>81</v>
      </c>
      <c r="BH28" s="299" t="s">
        <v>83</v>
      </c>
      <c r="BI28" s="294" t="s">
        <v>81</v>
      </c>
      <c r="BJ28" s="299" t="s">
        <v>83</v>
      </c>
      <c r="BK28" s="294" t="s">
        <v>81</v>
      </c>
      <c r="BL28" s="299" t="s">
        <v>83</v>
      </c>
      <c r="BM28" s="300"/>
      <c r="BN28" s="294" t="s">
        <v>81</v>
      </c>
      <c r="BO28" s="299" t="s">
        <v>83</v>
      </c>
      <c r="BP28" s="294" t="s">
        <v>81</v>
      </c>
      <c r="BQ28" s="299" t="s">
        <v>83</v>
      </c>
      <c r="BR28" s="294" t="s">
        <v>81</v>
      </c>
      <c r="BS28" s="299" t="s">
        <v>83</v>
      </c>
      <c r="BT28" s="301" t="s">
        <v>81</v>
      </c>
      <c r="BU28" s="302" t="s">
        <v>83</v>
      </c>
      <c r="BV28" s="301" t="s">
        <v>81</v>
      </c>
      <c r="BW28" s="302" t="s">
        <v>83</v>
      </c>
      <c r="BY28" s="303" t="s">
        <v>80</v>
      </c>
      <c r="BZ28" s="21"/>
      <c r="CA28" s="124" t="s">
        <v>88</v>
      </c>
      <c r="CB28" s="21"/>
      <c r="CC28" s="294" t="s">
        <v>89</v>
      </c>
      <c r="CD28" s="294" t="s">
        <v>421</v>
      </c>
      <c r="CE28" s="294" t="s">
        <v>421</v>
      </c>
      <c r="CF28" s="300"/>
      <c r="CG28" s="294" t="s">
        <v>421</v>
      </c>
      <c r="CH28" s="294" t="s">
        <v>421</v>
      </c>
      <c r="CI28" s="294" t="s">
        <v>421</v>
      </c>
      <c r="CJ28" s="124" t="s">
        <v>421</v>
      </c>
      <c r="CK28" s="124" t="s">
        <v>421</v>
      </c>
      <c r="CM28" s="277"/>
      <c r="CO28" s="303" t="s">
        <v>80</v>
      </c>
      <c r="CP28" s="21"/>
      <c r="CQ28" s="124" t="s">
        <v>422</v>
      </c>
      <c r="CR28" s="21"/>
      <c r="CS28" s="294" t="s">
        <v>423</v>
      </c>
      <c r="CT28" s="294" t="s">
        <v>423</v>
      </c>
      <c r="CU28" s="294" t="s">
        <v>423</v>
      </c>
      <c r="CV28" s="300"/>
      <c r="CW28" s="294" t="s">
        <v>423</v>
      </c>
      <c r="CX28" s="294" t="s">
        <v>423</v>
      </c>
      <c r="CY28" s="294" t="s">
        <v>423</v>
      </c>
      <c r="CZ28" s="124" t="s">
        <v>423</v>
      </c>
      <c r="DA28" s="124" t="s">
        <v>423</v>
      </c>
    </row>
    <row r="29" customFormat="false" ht="12.75" hidden="false" customHeight="false" outlineLevel="0" collapsed="false">
      <c r="B29" s="304" t="s">
        <v>424</v>
      </c>
      <c r="C29" s="305" t="s">
        <v>425</v>
      </c>
      <c r="D29" s="306" t="n">
        <v>64</v>
      </c>
      <c r="E29" s="306" t="n">
        <v>1.1</v>
      </c>
      <c r="F29" s="306" t="s">
        <v>426</v>
      </c>
      <c r="G29" s="307" t="n">
        <v>24</v>
      </c>
      <c r="H29" s="308" t="n">
        <v>63.6363636363636</v>
      </c>
      <c r="I29" s="2"/>
      <c r="J29" s="144" t="s">
        <v>12</v>
      </c>
      <c r="K29" s="309" t="s">
        <v>12</v>
      </c>
      <c r="L29" s="310"/>
      <c r="M29" s="311" t="n">
        <v>0</v>
      </c>
      <c r="N29" s="312" t="n">
        <v>2.3</v>
      </c>
      <c r="O29" s="311" t="n">
        <v>0</v>
      </c>
      <c r="P29" s="312" t="n">
        <v>0.3</v>
      </c>
      <c r="Q29" s="310" t="n">
        <v>0</v>
      </c>
      <c r="R29" s="312" t="n">
        <v>0.3</v>
      </c>
      <c r="S29" s="310"/>
      <c r="T29" s="311" t="n">
        <v>0</v>
      </c>
      <c r="U29" s="312" t="n">
        <v>0.5</v>
      </c>
      <c r="V29" s="311" t="n">
        <v>0</v>
      </c>
      <c r="W29" s="312" t="n">
        <v>0.5</v>
      </c>
      <c r="X29" s="311" t="n">
        <v>0</v>
      </c>
      <c r="Y29" s="312" t="n">
        <v>0.5</v>
      </c>
      <c r="Z29" s="313" t="n">
        <v>0</v>
      </c>
      <c r="AA29" s="314" t="n">
        <v>0.4</v>
      </c>
      <c r="AB29" s="313" t="n">
        <v>0</v>
      </c>
      <c r="AC29" s="314" t="n">
        <v>0.4</v>
      </c>
      <c r="AD29" s="315"/>
      <c r="AE29" s="144" t="n">
        <v>0</v>
      </c>
      <c r="AF29" s="315"/>
      <c r="AG29" s="311" t="n">
        <v>0</v>
      </c>
      <c r="AH29" s="309" t="n">
        <v>0</v>
      </c>
      <c r="AI29" s="310"/>
      <c r="AJ29" s="311" t="n">
        <v>9</v>
      </c>
      <c r="AK29" s="309" t="n">
        <v>55.2</v>
      </c>
      <c r="AL29" s="311" t="n">
        <v>57</v>
      </c>
      <c r="AM29" s="309" t="n">
        <v>7.2</v>
      </c>
      <c r="AN29" s="311" t="n">
        <v>57</v>
      </c>
      <c r="AO29" s="309" t="n">
        <v>7.2</v>
      </c>
      <c r="AP29" s="310"/>
      <c r="AQ29" s="311" t="n">
        <v>52</v>
      </c>
      <c r="AR29" s="309" t="n">
        <v>12</v>
      </c>
      <c r="AS29" s="311" t="n">
        <v>52</v>
      </c>
      <c r="AT29" s="309" t="n">
        <v>12</v>
      </c>
      <c r="AU29" s="311" t="n">
        <v>52</v>
      </c>
      <c r="AV29" s="309" t="n">
        <v>12</v>
      </c>
      <c r="AW29" s="311" t="n">
        <v>54</v>
      </c>
      <c r="AX29" s="309" t="n">
        <v>9.6</v>
      </c>
      <c r="AY29" s="311" t="n">
        <v>54</v>
      </c>
      <c r="AZ29" s="309" t="n">
        <v>9.6</v>
      </c>
      <c r="BB29" s="144" t="n">
        <v>0</v>
      </c>
      <c r="BC29" s="315"/>
      <c r="BD29" s="311" t="n">
        <v>0</v>
      </c>
      <c r="BE29" s="316" t="n">
        <v>0</v>
      </c>
      <c r="BF29" s="310"/>
      <c r="BG29" s="317" t="n">
        <v>0</v>
      </c>
      <c r="BH29" s="318" t="n">
        <v>0.2</v>
      </c>
      <c r="BI29" s="317" t="n">
        <v>0</v>
      </c>
      <c r="BJ29" s="318" t="n">
        <v>0</v>
      </c>
      <c r="BK29" s="317" t="n">
        <v>0</v>
      </c>
      <c r="BL29" s="318" t="n">
        <v>0</v>
      </c>
      <c r="BM29" s="310"/>
      <c r="BN29" s="317" t="n">
        <v>0</v>
      </c>
      <c r="BO29" s="318" t="n">
        <v>0</v>
      </c>
      <c r="BP29" s="317" t="n">
        <v>0</v>
      </c>
      <c r="BQ29" s="318" t="n">
        <v>0</v>
      </c>
      <c r="BR29" s="317" t="n">
        <v>0</v>
      </c>
      <c r="BS29" s="318" t="n">
        <v>0</v>
      </c>
      <c r="BT29" s="317" t="n">
        <v>0</v>
      </c>
      <c r="BU29" s="318" t="n">
        <v>0</v>
      </c>
      <c r="BV29" s="317" t="n">
        <v>0</v>
      </c>
      <c r="BW29" s="318" t="n">
        <v>0</v>
      </c>
      <c r="BY29" s="143"/>
      <c r="BZ29" s="315"/>
      <c r="CA29" s="144" t="s">
        <v>12</v>
      </c>
      <c r="CB29" s="315"/>
      <c r="CC29" s="144" t="n">
        <v>-8.43636363636364</v>
      </c>
      <c r="CD29" s="144" t="n">
        <v>-56.4363636363636</v>
      </c>
      <c r="CE29" s="144" t="n">
        <v>-56.4363636363636</v>
      </c>
      <c r="CF29" s="315"/>
      <c r="CG29" s="144" t="n">
        <v>-51.6363636363636</v>
      </c>
      <c r="CH29" s="144" t="n">
        <v>-51.6363636363636</v>
      </c>
      <c r="CI29" s="144" t="n">
        <v>-51.6363636363636</v>
      </c>
      <c r="CJ29" s="144" t="n">
        <v>-54.0363636363636</v>
      </c>
      <c r="CK29" s="144" t="n">
        <v>-54.0363636363636</v>
      </c>
      <c r="CM29" s="144" t="n">
        <v>54.5454545454546</v>
      </c>
      <c r="CO29" s="319"/>
      <c r="CP29" s="320"/>
      <c r="CQ29" s="321" t="s">
        <v>12</v>
      </c>
      <c r="CR29" s="320"/>
      <c r="CS29" s="322" t="n">
        <v>0.654545454545456</v>
      </c>
      <c r="CT29" s="322" t="n">
        <v>-47.3454545454545</v>
      </c>
      <c r="CU29" s="322" t="n">
        <v>-47.3454545454545</v>
      </c>
      <c r="CV29" s="323"/>
      <c r="CW29" s="322" t="n">
        <v>-42.5454545454546</v>
      </c>
      <c r="CX29" s="322" t="n">
        <v>-42.5454545454546</v>
      </c>
      <c r="CY29" s="322" t="n">
        <v>-42.5454545454546</v>
      </c>
      <c r="CZ29" s="322" t="n">
        <v>-44.9454545454545</v>
      </c>
      <c r="DA29" s="322" t="n">
        <v>-44.9454545454545</v>
      </c>
    </row>
    <row r="30" customFormat="false" ht="12.75" hidden="false" customHeight="false" outlineLevel="0" collapsed="false">
      <c r="B30" s="305" t="s">
        <v>424</v>
      </c>
      <c r="C30" s="305" t="s">
        <v>427</v>
      </c>
      <c r="D30" s="306" t="n">
        <v>77</v>
      </c>
      <c r="E30" s="306" t="n">
        <v>1.1</v>
      </c>
      <c r="F30" s="324" t="s">
        <v>426</v>
      </c>
      <c r="G30" s="144" t="n">
        <v>24</v>
      </c>
      <c r="H30" s="325" t="n">
        <v>76.8595041322314</v>
      </c>
      <c r="I30" s="2"/>
      <c r="J30" s="144" t="s">
        <v>12</v>
      </c>
      <c r="K30" s="309" t="s">
        <v>12</v>
      </c>
      <c r="L30" s="310"/>
      <c r="M30" s="311" t="n">
        <v>0</v>
      </c>
      <c r="N30" s="312" t="n">
        <v>2.9</v>
      </c>
      <c r="O30" s="311" t="n">
        <v>0</v>
      </c>
      <c r="P30" s="312" t="n">
        <v>0.5</v>
      </c>
      <c r="Q30" s="310" t="n">
        <v>0</v>
      </c>
      <c r="R30" s="312" t="n">
        <v>0.3</v>
      </c>
      <c r="S30" s="310"/>
      <c r="T30" s="311" t="n">
        <v>0</v>
      </c>
      <c r="U30" s="312" t="n">
        <v>2.9</v>
      </c>
      <c r="V30" s="311" t="n">
        <v>0</v>
      </c>
      <c r="W30" s="312" t="n">
        <v>0.9</v>
      </c>
      <c r="X30" s="311" t="n">
        <v>0</v>
      </c>
      <c r="Y30" s="312" t="n">
        <v>0.9</v>
      </c>
      <c r="Z30" s="313" t="n">
        <v>0</v>
      </c>
      <c r="AA30" s="314" t="n">
        <v>0.8</v>
      </c>
      <c r="AB30" s="313" t="n">
        <v>0</v>
      </c>
      <c r="AC30" s="314" t="n">
        <v>0.8</v>
      </c>
      <c r="AD30" s="315"/>
      <c r="AE30" s="144" t="n">
        <v>0</v>
      </c>
      <c r="AF30" s="315"/>
      <c r="AG30" s="311" t="n">
        <v>0</v>
      </c>
      <c r="AH30" s="309" t="n">
        <v>0</v>
      </c>
      <c r="AI30" s="310"/>
      <c r="AJ30" s="311" t="n">
        <v>7</v>
      </c>
      <c r="AK30" s="309" t="n">
        <v>69.6</v>
      </c>
      <c r="AL30" s="311" t="n">
        <v>65</v>
      </c>
      <c r="AM30" s="309" t="n">
        <v>12</v>
      </c>
      <c r="AN30" s="310" t="n">
        <v>70</v>
      </c>
      <c r="AO30" s="309" t="n">
        <v>7.2</v>
      </c>
      <c r="AP30" s="310"/>
      <c r="AQ30" s="311" t="n">
        <v>7</v>
      </c>
      <c r="AR30" s="309" t="n">
        <v>69.6</v>
      </c>
      <c r="AS30" s="311" t="n">
        <v>55</v>
      </c>
      <c r="AT30" s="309" t="n">
        <v>21.6</v>
      </c>
      <c r="AU30" s="310" t="n">
        <v>55</v>
      </c>
      <c r="AV30" s="309" t="n">
        <v>21.6</v>
      </c>
      <c r="AW30" s="310" t="n">
        <v>58</v>
      </c>
      <c r="AX30" s="309" t="n">
        <v>19.2</v>
      </c>
      <c r="AY30" s="310" t="n">
        <v>58</v>
      </c>
      <c r="AZ30" s="309" t="n">
        <v>19.2</v>
      </c>
      <c r="BB30" s="144" t="n">
        <v>0</v>
      </c>
      <c r="BC30" s="315"/>
      <c r="BD30" s="311" t="n">
        <v>0</v>
      </c>
      <c r="BE30" s="316" t="n">
        <v>0</v>
      </c>
      <c r="BF30" s="310"/>
      <c r="BG30" s="317" t="n">
        <v>0</v>
      </c>
      <c r="BH30" s="318" t="n">
        <v>0.4</v>
      </c>
      <c r="BI30" s="317" t="n">
        <v>0</v>
      </c>
      <c r="BJ30" s="318" t="n">
        <v>0.2</v>
      </c>
      <c r="BK30" s="317" t="n">
        <v>0</v>
      </c>
      <c r="BL30" s="318" t="n">
        <v>0</v>
      </c>
      <c r="BM30" s="310"/>
      <c r="BN30" s="317" t="n">
        <v>0</v>
      </c>
      <c r="BO30" s="318" t="n">
        <v>0</v>
      </c>
      <c r="BP30" s="317" t="n">
        <v>0</v>
      </c>
      <c r="BQ30" s="318" t="n">
        <v>0</v>
      </c>
      <c r="BR30" s="317" t="n">
        <v>0</v>
      </c>
      <c r="BS30" s="318" t="n">
        <v>0</v>
      </c>
      <c r="BT30" s="317" t="n">
        <v>0</v>
      </c>
      <c r="BU30" s="318" t="n">
        <v>0</v>
      </c>
      <c r="BV30" s="317" t="n">
        <v>0</v>
      </c>
      <c r="BW30" s="318" t="n">
        <v>0</v>
      </c>
      <c r="BY30" s="143"/>
      <c r="BZ30" s="315"/>
      <c r="CA30" s="144" t="s">
        <v>12</v>
      </c>
      <c r="CB30" s="315"/>
      <c r="CC30" s="144" t="n">
        <v>-7.2595041322314</v>
      </c>
      <c r="CD30" s="144" t="n">
        <v>-64.8595041322314</v>
      </c>
      <c r="CE30" s="144" t="n">
        <v>-69.6595041322314</v>
      </c>
      <c r="CF30" s="315"/>
      <c r="CG30" s="144" t="n">
        <v>-7.2595041322314</v>
      </c>
      <c r="CH30" s="144" t="n">
        <v>-55.2595041322314</v>
      </c>
      <c r="CI30" s="144" t="n">
        <v>-55.2595041322314</v>
      </c>
      <c r="CJ30" s="144" t="n">
        <v>-57.6595041322314</v>
      </c>
      <c r="CK30" s="144" t="n">
        <v>-57.6595041322314</v>
      </c>
      <c r="CM30" s="144" t="n">
        <v>70.2479338842975</v>
      </c>
      <c r="CO30" s="319"/>
      <c r="CP30" s="320"/>
      <c r="CQ30" s="321" t="s">
        <v>12</v>
      </c>
      <c r="CR30" s="320"/>
      <c r="CS30" s="322" t="n">
        <v>-0.647933884297515</v>
      </c>
      <c r="CT30" s="322" t="n">
        <v>-58.2479338842975</v>
      </c>
      <c r="CU30" s="322" t="n">
        <v>-63.0479338842975</v>
      </c>
      <c r="CV30" s="323"/>
      <c r="CW30" s="322" t="n">
        <v>-0.647933884297515</v>
      </c>
      <c r="CX30" s="322" t="n">
        <v>-48.6479338842975</v>
      </c>
      <c r="CY30" s="322" t="n">
        <v>-48.6479338842975</v>
      </c>
      <c r="CZ30" s="322" t="n">
        <v>-51.0479338842975</v>
      </c>
      <c r="DA30" s="322" t="n">
        <v>-51.0479338842975</v>
      </c>
    </row>
    <row r="31" customFormat="false" ht="12.75" hidden="false" customHeight="false" outlineLevel="0" collapsed="false">
      <c r="B31" s="305" t="s">
        <v>428</v>
      </c>
      <c r="C31" s="305" t="s">
        <v>429</v>
      </c>
      <c r="D31" s="306" t="n">
        <v>49</v>
      </c>
      <c r="E31" s="306" t="n">
        <v>1.1</v>
      </c>
      <c r="F31" s="306" t="s">
        <v>426</v>
      </c>
      <c r="G31" s="307" t="n">
        <v>24</v>
      </c>
      <c r="H31" s="308" t="n">
        <v>47.1074380165289</v>
      </c>
      <c r="I31" s="2"/>
      <c r="J31" s="144" t="s">
        <v>12</v>
      </c>
      <c r="K31" s="309" t="s">
        <v>12</v>
      </c>
      <c r="L31" s="310"/>
      <c r="M31" s="311" t="n">
        <v>0</v>
      </c>
      <c r="N31" s="312" t="n">
        <v>1.7</v>
      </c>
      <c r="O31" s="311" t="n">
        <v>0</v>
      </c>
      <c r="P31" s="312" t="n">
        <v>0.3</v>
      </c>
      <c r="Q31" s="310" t="n">
        <v>0</v>
      </c>
      <c r="R31" s="312" t="n">
        <v>0.3</v>
      </c>
      <c r="S31" s="310"/>
      <c r="T31" s="311" t="n">
        <v>0</v>
      </c>
      <c r="U31" s="312" t="n">
        <v>0</v>
      </c>
      <c r="V31" s="311" t="n">
        <v>0</v>
      </c>
      <c r="W31" s="312" t="n">
        <v>0</v>
      </c>
      <c r="X31" s="311" t="n">
        <v>0</v>
      </c>
      <c r="Y31" s="312" t="n">
        <v>0</v>
      </c>
      <c r="Z31" s="313" t="n">
        <v>0</v>
      </c>
      <c r="AA31" s="314" t="n">
        <v>0</v>
      </c>
      <c r="AB31" s="313" t="n">
        <v>0</v>
      </c>
      <c r="AC31" s="314" t="n">
        <v>0</v>
      </c>
      <c r="AD31" s="315"/>
      <c r="AE31" s="144" t="n">
        <v>2</v>
      </c>
      <c r="AF31" s="315"/>
      <c r="AG31" s="311" t="n">
        <v>0</v>
      </c>
      <c r="AH31" s="309" t="n">
        <v>0</v>
      </c>
      <c r="AI31" s="310"/>
      <c r="AJ31" s="311" t="n">
        <v>8</v>
      </c>
      <c r="AK31" s="309" t="n">
        <v>40.8</v>
      </c>
      <c r="AL31" s="311" t="n">
        <v>42</v>
      </c>
      <c r="AM31" s="309" t="n">
        <v>7.2</v>
      </c>
      <c r="AN31" s="311" t="n">
        <v>42</v>
      </c>
      <c r="AO31" s="309" t="n">
        <v>7.2</v>
      </c>
      <c r="AP31" s="310"/>
      <c r="AQ31" s="311" t="n">
        <v>49</v>
      </c>
      <c r="AR31" s="309" t="n">
        <v>0</v>
      </c>
      <c r="AS31" s="311" t="n">
        <v>49</v>
      </c>
      <c r="AT31" s="309" t="n">
        <v>0</v>
      </c>
      <c r="AU31" s="311" t="n">
        <v>49</v>
      </c>
      <c r="AV31" s="309" t="n">
        <v>0</v>
      </c>
      <c r="AW31" s="311" t="n">
        <v>49</v>
      </c>
      <c r="AX31" s="309" t="n">
        <v>0</v>
      </c>
      <c r="AY31" s="311" t="n">
        <v>49</v>
      </c>
      <c r="AZ31" s="309" t="n">
        <v>0</v>
      </c>
      <c r="BB31" s="144" t="n">
        <v>0</v>
      </c>
      <c r="BC31" s="315"/>
      <c r="BD31" s="311" t="n">
        <v>0</v>
      </c>
      <c r="BE31" s="316" t="n">
        <v>0</v>
      </c>
      <c r="BF31" s="310"/>
      <c r="BG31" s="317" t="n">
        <v>0</v>
      </c>
      <c r="BH31" s="318" t="n">
        <v>0.2</v>
      </c>
      <c r="BI31" s="317" t="n">
        <v>0</v>
      </c>
      <c r="BJ31" s="318" t="n">
        <v>0</v>
      </c>
      <c r="BK31" s="317" t="n">
        <v>0</v>
      </c>
      <c r="BL31" s="318" t="n">
        <v>0</v>
      </c>
      <c r="BM31" s="310"/>
      <c r="BN31" s="317" t="n">
        <v>0</v>
      </c>
      <c r="BO31" s="318" t="n">
        <v>0</v>
      </c>
      <c r="BP31" s="317" t="n">
        <v>0</v>
      </c>
      <c r="BQ31" s="318" t="n">
        <v>0</v>
      </c>
      <c r="BR31" s="317" t="n">
        <v>0</v>
      </c>
      <c r="BS31" s="318" t="n">
        <v>0</v>
      </c>
      <c r="BT31" s="317" t="n">
        <v>0</v>
      </c>
      <c r="BU31" s="318" t="n">
        <v>0</v>
      </c>
      <c r="BV31" s="317" t="n">
        <v>0</v>
      </c>
      <c r="BW31" s="318" t="n">
        <v>0</v>
      </c>
      <c r="BY31" s="143"/>
      <c r="BZ31" s="315"/>
      <c r="CA31" s="144" t="s">
        <v>12</v>
      </c>
      <c r="CB31" s="315"/>
      <c r="CC31" s="144" t="n">
        <v>-6.30743801652892</v>
      </c>
      <c r="CD31" s="144" t="n">
        <v>-39.9074380165289</v>
      </c>
      <c r="CE31" s="144" t="n">
        <v>-39.9074380165289</v>
      </c>
      <c r="CF31" s="315"/>
      <c r="CG31" s="144" t="n">
        <v>-47.1074380165289</v>
      </c>
      <c r="CH31" s="144" t="n">
        <v>-47.1074380165289</v>
      </c>
      <c r="CI31" s="144" t="n">
        <v>-47.1074380165289</v>
      </c>
      <c r="CJ31" s="144" t="n">
        <v>-47.1074380165289</v>
      </c>
      <c r="CK31" s="144" t="n">
        <v>-47.1074380165289</v>
      </c>
      <c r="CM31" s="144" t="n">
        <v>48.7603305785124</v>
      </c>
      <c r="CO31" s="319"/>
      <c r="CP31" s="320"/>
      <c r="CQ31" s="321" t="s">
        <v>12</v>
      </c>
      <c r="CR31" s="320"/>
      <c r="CS31" s="322" t="n">
        <v>-7.96033057851239</v>
      </c>
      <c r="CT31" s="322" t="n">
        <v>-41.5603305785124</v>
      </c>
      <c r="CU31" s="322" t="n">
        <v>-41.5603305785124</v>
      </c>
      <c r="CV31" s="323"/>
      <c r="CW31" s="322" t="n">
        <v>-48.7603305785124</v>
      </c>
      <c r="CX31" s="322" t="n">
        <v>-48.7603305785124</v>
      </c>
      <c r="CY31" s="322" t="n">
        <v>-48.7603305785124</v>
      </c>
      <c r="CZ31" s="322" t="n">
        <v>-48.7603305785124</v>
      </c>
      <c r="DA31" s="322" t="n">
        <v>-48.7603305785124</v>
      </c>
    </row>
    <row r="32" customFormat="false" ht="12.75" hidden="false" customHeight="false" outlineLevel="0" collapsed="false">
      <c r="B32" s="305" t="s">
        <v>428</v>
      </c>
      <c r="C32" s="305" t="s">
        <v>430</v>
      </c>
      <c r="D32" s="306" t="n">
        <v>60</v>
      </c>
      <c r="E32" s="306" t="n">
        <v>1.1</v>
      </c>
      <c r="F32" s="324" t="s">
        <v>426</v>
      </c>
      <c r="G32" s="144" t="n">
        <v>24</v>
      </c>
      <c r="H32" s="325" t="n">
        <v>59.504132231405</v>
      </c>
      <c r="I32" s="2"/>
      <c r="J32" s="144" t="s">
        <v>12</v>
      </c>
      <c r="K32" s="309" t="s">
        <v>12</v>
      </c>
      <c r="L32" s="310"/>
      <c r="M32" s="311" t="n">
        <v>0</v>
      </c>
      <c r="N32" s="312" t="n">
        <v>2.1</v>
      </c>
      <c r="O32" s="311" t="n">
        <v>0</v>
      </c>
      <c r="P32" s="312" t="n">
        <v>0.3</v>
      </c>
      <c r="Q32" s="310" t="n">
        <v>0</v>
      </c>
      <c r="R32" s="312" t="n">
        <v>0.3</v>
      </c>
      <c r="S32" s="310"/>
      <c r="T32" s="311" t="n">
        <v>0</v>
      </c>
      <c r="U32" s="312" t="n">
        <v>0.9</v>
      </c>
      <c r="V32" s="311" t="n">
        <v>0</v>
      </c>
      <c r="W32" s="312" t="n">
        <v>0.9</v>
      </c>
      <c r="X32" s="311" t="n">
        <v>0</v>
      </c>
      <c r="Y32" s="312" t="n">
        <v>0.9</v>
      </c>
      <c r="Z32" s="313" t="n">
        <v>0</v>
      </c>
      <c r="AA32" s="314" t="n">
        <v>0.8</v>
      </c>
      <c r="AB32" s="313" t="n">
        <v>0</v>
      </c>
      <c r="AC32" s="314" t="n">
        <v>0.8</v>
      </c>
      <c r="AD32" s="315"/>
      <c r="AE32" s="144" t="n">
        <v>0</v>
      </c>
      <c r="AF32" s="315"/>
      <c r="AG32" s="311" t="n">
        <v>0</v>
      </c>
      <c r="AH32" s="309" t="n">
        <v>0</v>
      </c>
      <c r="AI32" s="310"/>
      <c r="AJ32" s="311" t="n">
        <v>10</v>
      </c>
      <c r="AK32" s="309" t="n">
        <v>50.4</v>
      </c>
      <c r="AL32" s="311" t="n">
        <v>53</v>
      </c>
      <c r="AM32" s="309" t="n">
        <v>7.2</v>
      </c>
      <c r="AN32" s="310" t="n">
        <v>53</v>
      </c>
      <c r="AO32" s="309" t="n">
        <v>7.2</v>
      </c>
      <c r="AP32" s="310"/>
      <c r="AQ32" s="311" t="n">
        <v>38</v>
      </c>
      <c r="AR32" s="309" t="n">
        <v>21.6</v>
      </c>
      <c r="AS32" s="311" t="n">
        <v>38</v>
      </c>
      <c r="AT32" s="309" t="n">
        <v>21.6</v>
      </c>
      <c r="AU32" s="310" t="n">
        <v>38</v>
      </c>
      <c r="AV32" s="309" t="n">
        <v>21.6</v>
      </c>
      <c r="AW32" s="310" t="n">
        <v>41</v>
      </c>
      <c r="AX32" s="309" t="n">
        <v>19.2</v>
      </c>
      <c r="AY32" s="310" t="n">
        <v>41</v>
      </c>
      <c r="AZ32" s="309" t="n">
        <v>19.2</v>
      </c>
      <c r="BB32" s="144" t="n">
        <v>0</v>
      </c>
      <c r="BC32" s="315"/>
      <c r="BD32" s="311" t="n">
        <v>0</v>
      </c>
      <c r="BE32" s="316" t="n">
        <v>0</v>
      </c>
      <c r="BF32" s="310"/>
      <c r="BG32" s="317" t="n">
        <v>0</v>
      </c>
      <c r="BH32" s="318" t="n">
        <v>0.2</v>
      </c>
      <c r="BI32" s="317" t="n">
        <v>0</v>
      </c>
      <c r="BJ32" s="318" t="n">
        <v>0</v>
      </c>
      <c r="BK32" s="317" t="n">
        <v>0</v>
      </c>
      <c r="BL32" s="318" t="n">
        <v>0</v>
      </c>
      <c r="BM32" s="310"/>
      <c r="BN32" s="317" t="n">
        <v>0</v>
      </c>
      <c r="BO32" s="318" t="n">
        <v>0</v>
      </c>
      <c r="BP32" s="317" t="n">
        <v>0</v>
      </c>
      <c r="BQ32" s="318" t="n">
        <v>0</v>
      </c>
      <c r="BR32" s="317" t="n">
        <v>0</v>
      </c>
      <c r="BS32" s="318" t="n">
        <v>0</v>
      </c>
      <c r="BT32" s="317" t="n">
        <v>0</v>
      </c>
      <c r="BU32" s="318" t="n">
        <v>0</v>
      </c>
      <c r="BV32" s="317" t="n">
        <v>0</v>
      </c>
      <c r="BW32" s="318" t="n">
        <v>0</v>
      </c>
      <c r="BY32" s="143"/>
      <c r="BZ32" s="315"/>
      <c r="CA32" s="144" t="s">
        <v>12</v>
      </c>
      <c r="CB32" s="315"/>
      <c r="CC32" s="144" t="n">
        <v>-9.10413223140495</v>
      </c>
      <c r="CD32" s="144" t="n">
        <v>-52.304132231405</v>
      </c>
      <c r="CE32" s="144" t="n">
        <v>-52.304132231405</v>
      </c>
      <c r="CF32" s="315"/>
      <c r="CG32" s="144" t="n">
        <v>-37.904132231405</v>
      </c>
      <c r="CH32" s="144" t="n">
        <v>-37.904132231405</v>
      </c>
      <c r="CI32" s="144" t="n">
        <v>-37.904132231405</v>
      </c>
      <c r="CJ32" s="144" t="n">
        <v>-40.304132231405</v>
      </c>
      <c r="CK32" s="144" t="n">
        <v>-40.304132231405</v>
      </c>
      <c r="CM32" s="144" t="n">
        <v>48.7603305785124</v>
      </c>
      <c r="CO32" s="319"/>
      <c r="CP32" s="320"/>
      <c r="CQ32" s="321" t="s">
        <v>12</v>
      </c>
      <c r="CR32" s="320"/>
      <c r="CS32" s="322" t="n">
        <v>1.63966942148761</v>
      </c>
      <c r="CT32" s="322" t="n">
        <v>-41.5603305785124</v>
      </c>
      <c r="CU32" s="322" t="n">
        <v>-41.5603305785124</v>
      </c>
      <c r="CV32" s="323"/>
      <c r="CW32" s="322" t="n">
        <v>-27.1603305785124</v>
      </c>
      <c r="CX32" s="322" t="n">
        <v>-27.1603305785124</v>
      </c>
      <c r="CY32" s="322" t="n">
        <v>-27.1603305785124</v>
      </c>
      <c r="CZ32" s="322" t="n">
        <v>-29.5603305785124</v>
      </c>
      <c r="DA32" s="322" t="n">
        <v>-29.5603305785124</v>
      </c>
    </row>
    <row r="33" customFormat="false" ht="12.75" hidden="false" customHeight="false" outlineLevel="0" collapsed="false">
      <c r="B33" s="305" t="s">
        <v>112</v>
      </c>
      <c r="C33" s="305" t="s">
        <v>431</v>
      </c>
      <c r="D33" s="306" t="n">
        <v>883</v>
      </c>
      <c r="E33" s="306" t="n">
        <v>3.25</v>
      </c>
      <c r="F33" s="306" t="s">
        <v>432</v>
      </c>
      <c r="G33" s="307" t="n">
        <v>24</v>
      </c>
      <c r="H33" s="308" t="n">
        <v>673.553719008264</v>
      </c>
      <c r="I33" s="2"/>
      <c r="J33" s="144" t="s">
        <v>12</v>
      </c>
      <c r="K33" s="309" t="s">
        <v>12</v>
      </c>
      <c r="L33" s="310"/>
      <c r="M33" s="311" t="n">
        <v>169</v>
      </c>
      <c r="N33" s="312" t="n">
        <v>17</v>
      </c>
      <c r="O33" s="311" t="n">
        <v>0</v>
      </c>
      <c r="P33" s="312" t="n">
        <v>23.2</v>
      </c>
      <c r="Q33" s="310" t="n">
        <v>0</v>
      </c>
      <c r="R33" s="312" t="n">
        <v>23.2</v>
      </c>
      <c r="S33" s="310"/>
      <c r="T33" s="311" t="n">
        <v>0</v>
      </c>
      <c r="U33" s="312" t="n">
        <v>23.2</v>
      </c>
      <c r="V33" s="311" t="n">
        <v>0</v>
      </c>
      <c r="W33" s="312" t="n">
        <v>19.9</v>
      </c>
      <c r="X33" s="311" t="n">
        <v>0</v>
      </c>
      <c r="Y33" s="312" t="n">
        <v>22.7</v>
      </c>
      <c r="Z33" s="313" t="n">
        <v>0</v>
      </c>
      <c r="AA33" s="314" t="n">
        <v>22.7</v>
      </c>
      <c r="AB33" s="313" t="n">
        <v>0</v>
      </c>
      <c r="AC33" s="314" t="n">
        <v>22.7</v>
      </c>
      <c r="AD33" s="315"/>
      <c r="AE33" s="144" t="n">
        <v>209</v>
      </c>
      <c r="AF33" s="315"/>
      <c r="AG33" s="311" t="n">
        <v>0</v>
      </c>
      <c r="AH33" s="309" t="n">
        <v>0</v>
      </c>
      <c r="AI33" s="310"/>
      <c r="AJ33" s="311" t="n">
        <v>306</v>
      </c>
      <c r="AK33" s="309" t="n">
        <v>408</v>
      </c>
      <c r="AL33" s="311" t="n">
        <v>326</v>
      </c>
      <c r="AM33" s="309" t="n">
        <v>556.8</v>
      </c>
      <c r="AN33" s="311" t="n">
        <v>326</v>
      </c>
      <c r="AO33" s="309" t="n">
        <v>556.8</v>
      </c>
      <c r="AP33" s="310"/>
      <c r="AQ33" s="311" t="n">
        <v>326</v>
      </c>
      <c r="AR33" s="309" t="n">
        <v>556.8</v>
      </c>
      <c r="AS33" s="311" t="n">
        <v>405</v>
      </c>
      <c r="AT33" s="309" t="n">
        <v>477.6</v>
      </c>
      <c r="AU33" s="311" t="n">
        <v>338</v>
      </c>
      <c r="AV33" s="309" t="n">
        <v>544.8</v>
      </c>
      <c r="AW33" s="311" t="n">
        <v>338</v>
      </c>
      <c r="AX33" s="309" t="n">
        <v>544.8</v>
      </c>
      <c r="AY33" s="311" t="n">
        <v>338</v>
      </c>
      <c r="AZ33" s="309" t="n">
        <v>544.8</v>
      </c>
      <c r="BB33" s="144" t="n">
        <v>0</v>
      </c>
      <c r="BC33" s="315"/>
      <c r="BD33" s="311" t="n">
        <v>0</v>
      </c>
      <c r="BE33" s="316" t="n">
        <v>0</v>
      </c>
      <c r="BF33" s="310"/>
      <c r="BG33" s="317" t="n">
        <v>0</v>
      </c>
      <c r="BH33" s="318" t="n">
        <v>-1.6</v>
      </c>
      <c r="BI33" s="317" t="n">
        <v>0</v>
      </c>
      <c r="BJ33" s="318" t="n">
        <v>-1.6</v>
      </c>
      <c r="BK33" s="317" t="n">
        <v>0</v>
      </c>
      <c r="BL33" s="318" t="n">
        <v>-1.6</v>
      </c>
      <c r="BM33" s="310"/>
      <c r="BN33" s="317" t="n">
        <v>0</v>
      </c>
      <c r="BO33" s="318" t="n">
        <v>-1.6</v>
      </c>
      <c r="BP33" s="317" t="n">
        <v>0</v>
      </c>
      <c r="BQ33" s="318" t="n">
        <v>-4.7</v>
      </c>
      <c r="BR33" s="317" t="n">
        <v>0</v>
      </c>
      <c r="BS33" s="318" t="n">
        <v>0.200000000000003</v>
      </c>
      <c r="BT33" s="317" t="n">
        <v>0</v>
      </c>
      <c r="BU33" s="318" t="n">
        <v>0.200000000000003</v>
      </c>
      <c r="BV33" s="317" t="n">
        <v>0</v>
      </c>
      <c r="BW33" s="318" t="n">
        <v>0.200000000000003</v>
      </c>
      <c r="BY33" s="143"/>
      <c r="BZ33" s="315"/>
      <c r="CA33" s="144" t="s">
        <v>12</v>
      </c>
      <c r="CB33" s="315"/>
      <c r="CC33" s="144" t="n">
        <v>-96.5537190082645</v>
      </c>
      <c r="CD33" s="144" t="n">
        <v>-116.753719008264</v>
      </c>
      <c r="CE33" s="144" t="n">
        <v>-116.753719008264</v>
      </c>
      <c r="CF33" s="315"/>
      <c r="CG33" s="144" t="n">
        <v>-116.753719008264</v>
      </c>
      <c r="CH33" s="144" t="n">
        <v>-195.953719008264</v>
      </c>
      <c r="CI33" s="144" t="n">
        <v>-128.753719008264</v>
      </c>
      <c r="CJ33" s="144" t="n">
        <v>-128.753719008264</v>
      </c>
      <c r="CK33" s="144" t="n">
        <v>-128.753719008264</v>
      </c>
      <c r="CM33" s="144" t="n">
        <v>709.917355371901</v>
      </c>
      <c r="CO33" s="319"/>
      <c r="CP33" s="320"/>
      <c r="CQ33" s="321" t="s">
        <v>12</v>
      </c>
      <c r="CR33" s="320"/>
      <c r="CS33" s="322" t="n">
        <v>-132.917355371901</v>
      </c>
      <c r="CT33" s="322" t="n">
        <v>-153.117355371901</v>
      </c>
      <c r="CU33" s="322" t="n">
        <v>-153.117355371901</v>
      </c>
      <c r="CV33" s="323"/>
      <c r="CW33" s="322" t="n">
        <v>-153.117355371901</v>
      </c>
      <c r="CX33" s="322" t="n">
        <v>-232.317355371901</v>
      </c>
      <c r="CY33" s="322" t="n">
        <v>-165.117355371901</v>
      </c>
      <c r="CZ33" s="322" t="n">
        <v>-165.117355371901</v>
      </c>
      <c r="DA33" s="322" t="n">
        <v>-165.117355371901</v>
      </c>
    </row>
    <row r="34" customFormat="false" ht="12.75" hidden="false" customHeight="false" outlineLevel="0" collapsed="false">
      <c r="B34" s="305" t="s">
        <v>112</v>
      </c>
      <c r="C34" s="305" t="s">
        <v>431</v>
      </c>
      <c r="D34" s="306" t="n">
        <v>883</v>
      </c>
      <c r="E34" s="306" t="n">
        <v>3.25</v>
      </c>
      <c r="F34" s="324" t="s">
        <v>432</v>
      </c>
      <c r="G34" s="144" t="n">
        <v>48</v>
      </c>
      <c r="H34" s="325" t="n">
        <v>673.553719008264</v>
      </c>
      <c r="I34" s="2"/>
      <c r="J34" s="144" t="s">
        <v>12</v>
      </c>
      <c r="K34" s="309" t="s">
        <v>12</v>
      </c>
      <c r="L34" s="310"/>
      <c r="M34" s="311" t="n">
        <v>169</v>
      </c>
      <c r="N34" s="312" t="n">
        <v>8.5</v>
      </c>
      <c r="O34" s="311" t="n">
        <v>0</v>
      </c>
      <c r="P34" s="312" t="n">
        <v>11.6</v>
      </c>
      <c r="Q34" s="310" t="n">
        <v>0</v>
      </c>
      <c r="R34" s="312" t="n">
        <v>11.6</v>
      </c>
      <c r="S34" s="310"/>
      <c r="T34" s="311" t="n">
        <v>0</v>
      </c>
      <c r="U34" s="312" t="n">
        <v>11.6</v>
      </c>
      <c r="V34" s="311" t="n">
        <v>0</v>
      </c>
      <c r="W34" s="312" t="n">
        <v>10</v>
      </c>
      <c r="X34" s="311" t="n">
        <v>0</v>
      </c>
      <c r="Y34" s="312" t="n">
        <v>11.4</v>
      </c>
      <c r="Z34" s="313" t="n">
        <v>0</v>
      </c>
      <c r="AA34" s="314" t="n">
        <v>11.4</v>
      </c>
      <c r="AB34" s="313" t="n">
        <v>0</v>
      </c>
      <c r="AC34" s="314" t="n">
        <v>11.4</v>
      </c>
      <c r="AD34" s="315"/>
      <c r="AE34" s="144" t="n">
        <v>209</v>
      </c>
      <c r="AF34" s="315"/>
      <c r="AG34" s="311" t="n">
        <v>0</v>
      </c>
      <c r="AH34" s="309" t="n">
        <v>0</v>
      </c>
      <c r="AI34" s="310"/>
      <c r="AJ34" s="311" t="n">
        <v>306</v>
      </c>
      <c r="AK34" s="309" t="n">
        <v>408</v>
      </c>
      <c r="AL34" s="311" t="n">
        <v>326</v>
      </c>
      <c r="AM34" s="309" t="n">
        <v>556.8</v>
      </c>
      <c r="AN34" s="310" t="n">
        <v>326</v>
      </c>
      <c r="AO34" s="309" t="n">
        <v>556.8</v>
      </c>
      <c r="AP34" s="310"/>
      <c r="AQ34" s="311" t="n">
        <v>326</v>
      </c>
      <c r="AR34" s="309" t="n">
        <v>556.8</v>
      </c>
      <c r="AS34" s="311" t="n">
        <v>403</v>
      </c>
      <c r="AT34" s="309" t="n">
        <v>480</v>
      </c>
      <c r="AU34" s="310" t="n">
        <v>336</v>
      </c>
      <c r="AV34" s="309" t="n">
        <v>547.2</v>
      </c>
      <c r="AW34" s="310" t="n">
        <v>336</v>
      </c>
      <c r="AX34" s="309" t="n">
        <v>547.2</v>
      </c>
      <c r="AY34" s="310" t="n">
        <v>336</v>
      </c>
      <c r="AZ34" s="309" t="n">
        <v>547.2</v>
      </c>
      <c r="BB34" s="144" t="n">
        <v>0</v>
      </c>
      <c r="BC34" s="315"/>
      <c r="BD34" s="311" t="n">
        <v>0</v>
      </c>
      <c r="BE34" s="316" t="n">
        <v>0</v>
      </c>
      <c r="BF34" s="310"/>
      <c r="BG34" s="317" t="n">
        <v>0</v>
      </c>
      <c r="BH34" s="318" t="n">
        <v>0</v>
      </c>
      <c r="BI34" s="317" t="n">
        <v>0</v>
      </c>
      <c r="BJ34" s="318" t="n">
        <v>0</v>
      </c>
      <c r="BK34" s="317" t="n">
        <v>0</v>
      </c>
      <c r="BL34" s="318" t="n">
        <v>0</v>
      </c>
      <c r="BM34" s="310"/>
      <c r="BN34" s="317" t="n">
        <v>0</v>
      </c>
      <c r="BO34" s="318" t="n">
        <v>0</v>
      </c>
      <c r="BP34" s="317" t="n">
        <v>0</v>
      </c>
      <c r="BQ34" s="318" t="n">
        <v>0</v>
      </c>
      <c r="BR34" s="317" t="n">
        <v>0</v>
      </c>
      <c r="BS34" s="318" t="n">
        <v>0</v>
      </c>
      <c r="BT34" s="317" t="n">
        <v>0</v>
      </c>
      <c r="BU34" s="318" t="n">
        <v>0</v>
      </c>
      <c r="BV34" s="317" t="n">
        <v>0</v>
      </c>
      <c r="BW34" s="318" t="n">
        <v>0</v>
      </c>
      <c r="BY34" s="143"/>
      <c r="BZ34" s="315"/>
      <c r="CA34" s="144" t="s">
        <v>12</v>
      </c>
      <c r="CB34" s="315"/>
      <c r="CC34" s="144" t="n">
        <v>-96.5537190082645</v>
      </c>
      <c r="CD34" s="144" t="n">
        <v>-116.753719008264</v>
      </c>
      <c r="CE34" s="144" t="n">
        <v>-116.753719008264</v>
      </c>
      <c r="CF34" s="315"/>
      <c r="CG34" s="144" t="n">
        <v>-116.753719008264</v>
      </c>
      <c r="CH34" s="144" t="n">
        <v>-193.553719008264</v>
      </c>
      <c r="CI34" s="144" t="n">
        <v>-126.353719008264</v>
      </c>
      <c r="CJ34" s="144" t="n">
        <v>-126.353719008264</v>
      </c>
      <c r="CK34" s="144" t="n">
        <v>-126.353719008264</v>
      </c>
      <c r="CM34" s="144" t="n">
        <v>709.917355371901</v>
      </c>
      <c r="CO34" s="319"/>
      <c r="CP34" s="320"/>
      <c r="CQ34" s="321" t="s">
        <v>12</v>
      </c>
      <c r="CR34" s="320"/>
      <c r="CS34" s="322" t="n">
        <v>-132.917355371901</v>
      </c>
      <c r="CT34" s="322" t="n">
        <v>-153.117355371901</v>
      </c>
      <c r="CU34" s="322" t="n">
        <v>-153.117355371901</v>
      </c>
      <c r="CV34" s="323"/>
      <c r="CW34" s="322" t="n">
        <v>-153.117355371901</v>
      </c>
      <c r="CX34" s="322" t="n">
        <v>-229.917355371901</v>
      </c>
      <c r="CY34" s="322" t="n">
        <v>-162.717355371901</v>
      </c>
      <c r="CZ34" s="322" t="n">
        <v>-162.717355371901</v>
      </c>
      <c r="DA34" s="322" t="n">
        <v>-162.717355371901</v>
      </c>
    </row>
    <row r="35" customFormat="false" ht="12.75" hidden="false" customHeight="false" outlineLevel="0" collapsed="false">
      <c r="B35" s="305" t="s">
        <v>112</v>
      </c>
      <c r="C35" s="305" t="s">
        <v>433</v>
      </c>
      <c r="D35" s="306" t="n">
        <v>639</v>
      </c>
      <c r="E35" s="306" t="n">
        <v>3.25</v>
      </c>
      <c r="F35" s="306" t="s">
        <v>432</v>
      </c>
      <c r="G35" s="307" t="n">
        <v>24</v>
      </c>
      <c r="H35" s="308" t="n">
        <v>586.776859504132</v>
      </c>
      <c r="I35" s="2"/>
      <c r="J35" s="144" t="s">
        <v>12</v>
      </c>
      <c r="K35" s="309" t="s">
        <v>12</v>
      </c>
      <c r="L35" s="310"/>
      <c r="M35" s="311" t="n">
        <v>169</v>
      </c>
      <c r="N35" s="312" t="n">
        <v>15.5</v>
      </c>
      <c r="O35" s="311" t="n">
        <v>0</v>
      </c>
      <c r="P35" s="312" t="n">
        <v>21.3</v>
      </c>
      <c r="Q35" s="310" t="n">
        <v>0</v>
      </c>
      <c r="R35" s="312" t="n">
        <v>21.3</v>
      </c>
      <c r="S35" s="310"/>
      <c r="T35" s="311" t="n">
        <v>0</v>
      </c>
      <c r="U35" s="312" t="n">
        <v>21.7</v>
      </c>
      <c r="V35" s="311" t="n">
        <v>0</v>
      </c>
      <c r="W35" s="312" t="n">
        <v>21.3</v>
      </c>
      <c r="X35" s="311" t="n">
        <v>0</v>
      </c>
      <c r="Y35" s="312" t="n">
        <v>21.3</v>
      </c>
      <c r="Z35" s="313" t="n">
        <v>0</v>
      </c>
      <c r="AA35" s="314" t="n">
        <v>21.3</v>
      </c>
      <c r="AB35" s="313" t="n">
        <v>0</v>
      </c>
      <c r="AC35" s="314" t="n">
        <v>21.3</v>
      </c>
      <c r="AD35" s="315"/>
      <c r="AE35" s="144" t="n">
        <v>52</v>
      </c>
      <c r="AF35" s="315"/>
      <c r="AG35" s="311" t="n">
        <v>0</v>
      </c>
      <c r="AH35" s="309" t="n">
        <v>0</v>
      </c>
      <c r="AI35" s="310"/>
      <c r="AJ35" s="311" t="n">
        <v>98</v>
      </c>
      <c r="AK35" s="309" t="n">
        <v>372</v>
      </c>
      <c r="AL35" s="311" t="n">
        <v>128</v>
      </c>
      <c r="AM35" s="309" t="n">
        <v>511.2</v>
      </c>
      <c r="AN35" s="311" t="n">
        <v>128</v>
      </c>
      <c r="AO35" s="309" t="n">
        <v>511.2</v>
      </c>
      <c r="AP35" s="310"/>
      <c r="AQ35" s="311" t="n">
        <v>118</v>
      </c>
      <c r="AR35" s="309" t="n">
        <v>520.8</v>
      </c>
      <c r="AS35" s="311" t="n">
        <v>128</v>
      </c>
      <c r="AT35" s="309" t="n">
        <v>511.2</v>
      </c>
      <c r="AU35" s="311" t="n">
        <v>128</v>
      </c>
      <c r="AV35" s="309" t="n">
        <v>511.2</v>
      </c>
      <c r="AW35" s="311" t="n">
        <v>128</v>
      </c>
      <c r="AX35" s="309" t="n">
        <v>511.2</v>
      </c>
      <c r="AY35" s="311" t="n">
        <v>128</v>
      </c>
      <c r="AZ35" s="309" t="n">
        <v>511.2</v>
      </c>
      <c r="BB35" s="144" t="n">
        <v>0</v>
      </c>
      <c r="BC35" s="315"/>
      <c r="BD35" s="311" t="n">
        <v>0</v>
      </c>
      <c r="BE35" s="316" t="n">
        <v>0</v>
      </c>
      <c r="BF35" s="310"/>
      <c r="BG35" s="317" t="n">
        <v>-110</v>
      </c>
      <c r="BH35" s="318" t="n">
        <v>0</v>
      </c>
      <c r="BI35" s="317" t="n">
        <v>-169</v>
      </c>
      <c r="BJ35" s="318" t="n">
        <v>1.8</v>
      </c>
      <c r="BK35" s="317" t="n">
        <v>-169</v>
      </c>
      <c r="BL35" s="318" t="n">
        <v>2.7</v>
      </c>
      <c r="BM35" s="310"/>
      <c r="BN35" s="317" t="n">
        <v>0</v>
      </c>
      <c r="BO35" s="318" t="n">
        <v>-0.899999999999999</v>
      </c>
      <c r="BP35" s="317" t="n">
        <v>0</v>
      </c>
      <c r="BQ35" s="318" t="n">
        <v>-0.400000000000002</v>
      </c>
      <c r="BR35" s="317" t="n">
        <v>0</v>
      </c>
      <c r="BS35" s="318" t="n">
        <v>0.800000000000001</v>
      </c>
      <c r="BT35" s="317" t="n">
        <v>0</v>
      </c>
      <c r="BU35" s="318" t="n">
        <v>0.800000000000001</v>
      </c>
      <c r="BV35" s="317" t="n">
        <v>0</v>
      </c>
      <c r="BW35" s="318" t="n">
        <v>0.800000000000001</v>
      </c>
      <c r="BY35" s="143"/>
      <c r="BZ35" s="315"/>
      <c r="CA35" s="144" t="s">
        <v>12</v>
      </c>
      <c r="CB35" s="315"/>
      <c r="CC35" s="144" t="n">
        <v>-45.7768595041323</v>
      </c>
      <c r="CD35" s="144" t="n">
        <v>-75.5768595041323</v>
      </c>
      <c r="CE35" s="144" t="n">
        <v>-75.5768595041323</v>
      </c>
      <c r="CF35" s="315"/>
      <c r="CG35" s="144" t="n">
        <v>-65.9768595041322</v>
      </c>
      <c r="CH35" s="144" t="n">
        <v>-75.5768595041323</v>
      </c>
      <c r="CI35" s="144" t="n">
        <v>-75.5768595041323</v>
      </c>
      <c r="CJ35" s="144" t="n">
        <v>-75.5768595041323</v>
      </c>
      <c r="CK35" s="144" t="n">
        <v>-75.5768595041323</v>
      </c>
      <c r="CM35" s="144" t="n">
        <v>585.950413223141</v>
      </c>
      <c r="CO35" s="319"/>
      <c r="CP35" s="320"/>
      <c r="CQ35" s="321" t="s">
        <v>12</v>
      </c>
      <c r="CR35" s="320"/>
      <c r="CS35" s="322" t="n">
        <v>-44.9504132231405</v>
      </c>
      <c r="CT35" s="322" t="n">
        <v>-74.7504132231404</v>
      </c>
      <c r="CU35" s="322" t="n">
        <v>-74.7504132231404</v>
      </c>
      <c r="CV35" s="323"/>
      <c r="CW35" s="322" t="n">
        <v>-65.1504132231404</v>
      </c>
      <c r="CX35" s="322" t="n">
        <v>-74.7504132231404</v>
      </c>
      <c r="CY35" s="322" t="n">
        <v>-74.7504132231404</v>
      </c>
      <c r="CZ35" s="322" t="n">
        <v>-74.7504132231404</v>
      </c>
      <c r="DA35" s="322" t="n">
        <v>-74.7504132231404</v>
      </c>
    </row>
    <row r="36" customFormat="false" ht="12.75" hidden="false" customHeight="false" outlineLevel="0" collapsed="false">
      <c r="B36" s="305" t="s">
        <v>112</v>
      </c>
      <c r="C36" s="305" t="s">
        <v>433</v>
      </c>
      <c r="D36" s="306" t="n">
        <v>639</v>
      </c>
      <c r="E36" s="306" t="n">
        <v>3.25</v>
      </c>
      <c r="F36" s="324" t="s">
        <v>432</v>
      </c>
      <c r="G36" s="144" t="n">
        <v>48</v>
      </c>
      <c r="H36" s="325" t="n">
        <v>586.776859504132</v>
      </c>
      <c r="I36" s="2"/>
      <c r="J36" s="144" t="s">
        <v>12</v>
      </c>
      <c r="K36" s="309" t="s">
        <v>12</v>
      </c>
      <c r="L36" s="310"/>
      <c r="M36" s="311" t="n">
        <v>169</v>
      </c>
      <c r="N36" s="312" t="n">
        <v>7.8</v>
      </c>
      <c r="O36" s="311" t="n">
        <v>0</v>
      </c>
      <c r="P36" s="312" t="n">
        <v>10.7</v>
      </c>
      <c r="Q36" s="310" t="n">
        <v>0</v>
      </c>
      <c r="R36" s="312" t="n">
        <v>10.7</v>
      </c>
      <c r="S36" s="310"/>
      <c r="T36" s="311" t="n">
        <v>0</v>
      </c>
      <c r="U36" s="312" t="n">
        <v>10.9</v>
      </c>
      <c r="V36" s="311" t="n">
        <v>0</v>
      </c>
      <c r="W36" s="312" t="n">
        <v>10.7</v>
      </c>
      <c r="X36" s="311" t="n">
        <v>0</v>
      </c>
      <c r="Y36" s="312" t="n">
        <v>10.7</v>
      </c>
      <c r="Z36" s="313" t="n">
        <v>0</v>
      </c>
      <c r="AA36" s="314" t="n">
        <v>10.7</v>
      </c>
      <c r="AB36" s="313" t="n">
        <v>0</v>
      </c>
      <c r="AC36" s="314" t="n">
        <v>10.7</v>
      </c>
      <c r="AD36" s="315"/>
      <c r="AE36" s="144" t="n">
        <v>52</v>
      </c>
      <c r="AF36" s="315"/>
      <c r="AG36" s="311" t="n">
        <v>0</v>
      </c>
      <c r="AH36" s="309" t="n">
        <v>0</v>
      </c>
      <c r="AI36" s="310"/>
      <c r="AJ36" s="311" t="n">
        <v>96</v>
      </c>
      <c r="AK36" s="309" t="n">
        <v>374.4</v>
      </c>
      <c r="AL36" s="311" t="n">
        <v>125</v>
      </c>
      <c r="AM36" s="309" t="n">
        <v>513.6</v>
      </c>
      <c r="AN36" s="310" t="n">
        <v>125</v>
      </c>
      <c r="AO36" s="309" t="n">
        <v>513.6</v>
      </c>
      <c r="AP36" s="310"/>
      <c r="AQ36" s="311" t="n">
        <v>116</v>
      </c>
      <c r="AR36" s="309" t="n">
        <v>523.2</v>
      </c>
      <c r="AS36" s="311" t="n">
        <v>125</v>
      </c>
      <c r="AT36" s="309" t="n">
        <v>513.6</v>
      </c>
      <c r="AU36" s="310" t="n">
        <v>125</v>
      </c>
      <c r="AV36" s="309" t="n">
        <v>513.6</v>
      </c>
      <c r="AW36" s="310" t="n">
        <v>125</v>
      </c>
      <c r="AX36" s="309" t="n">
        <v>513.6</v>
      </c>
      <c r="AY36" s="310" t="n">
        <v>125</v>
      </c>
      <c r="AZ36" s="309" t="n">
        <v>513.6</v>
      </c>
      <c r="BB36" s="144" t="n">
        <v>0</v>
      </c>
      <c r="BC36" s="315"/>
      <c r="BD36" s="311" t="n">
        <v>0</v>
      </c>
      <c r="BE36" s="316" t="n">
        <v>0</v>
      </c>
      <c r="BF36" s="310"/>
      <c r="BG36" s="317" t="n">
        <v>0</v>
      </c>
      <c r="BH36" s="318" t="n">
        <v>0</v>
      </c>
      <c r="BI36" s="317" t="n">
        <v>0</v>
      </c>
      <c r="BJ36" s="318" t="n">
        <v>0</v>
      </c>
      <c r="BK36" s="317" t="n">
        <v>0</v>
      </c>
      <c r="BL36" s="318" t="n">
        <v>0</v>
      </c>
      <c r="BM36" s="310"/>
      <c r="BN36" s="317" t="n">
        <v>0</v>
      </c>
      <c r="BO36" s="318" t="n">
        <v>0</v>
      </c>
      <c r="BP36" s="317" t="n">
        <v>0</v>
      </c>
      <c r="BQ36" s="318" t="n">
        <v>0</v>
      </c>
      <c r="BR36" s="317" t="n">
        <v>0</v>
      </c>
      <c r="BS36" s="318" t="n">
        <v>0</v>
      </c>
      <c r="BT36" s="317" t="n">
        <v>0</v>
      </c>
      <c r="BU36" s="318" t="n">
        <v>0</v>
      </c>
      <c r="BV36" s="317" t="n">
        <v>0</v>
      </c>
      <c r="BW36" s="318" t="n">
        <v>0</v>
      </c>
      <c r="BY36" s="143"/>
      <c r="BZ36" s="315"/>
      <c r="CA36" s="144" t="s">
        <v>12</v>
      </c>
      <c r="CB36" s="315"/>
      <c r="CC36" s="144" t="n">
        <v>-43.3768595041322</v>
      </c>
      <c r="CD36" s="144" t="n">
        <v>-73.1768595041323</v>
      </c>
      <c r="CE36" s="144" t="n">
        <v>-73.1768595041323</v>
      </c>
      <c r="CF36" s="315"/>
      <c r="CG36" s="144" t="n">
        <v>-63.5768595041322</v>
      </c>
      <c r="CH36" s="144" t="n">
        <v>-73.1768595041323</v>
      </c>
      <c r="CI36" s="144" t="n">
        <v>-73.1768595041323</v>
      </c>
      <c r="CJ36" s="144" t="n">
        <v>-73.1768595041323</v>
      </c>
      <c r="CK36" s="144" t="n">
        <v>-73.1768595041323</v>
      </c>
      <c r="CM36" s="144" t="n">
        <v>585.950413223141</v>
      </c>
      <c r="CO36" s="319"/>
      <c r="CP36" s="320"/>
      <c r="CQ36" s="321" t="s">
        <v>12</v>
      </c>
      <c r="CR36" s="320"/>
      <c r="CS36" s="322" t="n">
        <v>-42.5504132231404</v>
      </c>
      <c r="CT36" s="322" t="n">
        <v>-72.3504132231404</v>
      </c>
      <c r="CU36" s="322" t="n">
        <v>-72.3504132231404</v>
      </c>
      <c r="CV36" s="323"/>
      <c r="CW36" s="322" t="n">
        <v>-62.7504132231404</v>
      </c>
      <c r="CX36" s="322" t="n">
        <v>-72.3504132231404</v>
      </c>
      <c r="CY36" s="322" t="n">
        <v>-72.3504132231404</v>
      </c>
      <c r="CZ36" s="322" t="n">
        <v>-72.3504132231404</v>
      </c>
      <c r="DA36" s="322" t="n">
        <v>-72.3504132231404</v>
      </c>
    </row>
    <row r="37" customFormat="false" ht="12.75" hidden="false" customHeight="false" outlineLevel="0" collapsed="false">
      <c r="B37" s="305" t="s">
        <v>112</v>
      </c>
      <c r="C37" s="305" t="s">
        <v>434</v>
      </c>
      <c r="D37" s="306" t="n">
        <v>779</v>
      </c>
      <c r="E37" s="306" t="n">
        <v>3.25</v>
      </c>
      <c r="F37" s="306" t="s">
        <v>432</v>
      </c>
      <c r="G37" s="307" t="n">
        <v>24</v>
      </c>
      <c r="H37" s="308" t="n">
        <v>697.520661157025</v>
      </c>
      <c r="I37" s="2"/>
      <c r="J37" s="144" t="s">
        <v>12</v>
      </c>
      <c r="K37" s="309" t="s">
        <v>12</v>
      </c>
      <c r="L37" s="310"/>
      <c r="M37" s="311" t="n">
        <v>169</v>
      </c>
      <c r="N37" s="312" t="n">
        <v>19.7</v>
      </c>
      <c r="O37" s="311" t="n">
        <v>0</v>
      </c>
      <c r="P37" s="312" t="n">
        <v>25.5</v>
      </c>
      <c r="Q37" s="310" t="n">
        <v>0</v>
      </c>
      <c r="R37" s="312" t="n">
        <v>25.5</v>
      </c>
      <c r="S37" s="310"/>
      <c r="T37" s="311" t="n">
        <v>0</v>
      </c>
      <c r="U37" s="312" t="n">
        <v>25.9</v>
      </c>
      <c r="V37" s="311" t="n">
        <v>0</v>
      </c>
      <c r="W37" s="312" t="n">
        <v>25.5</v>
      </c>
      <c r="X37" s="311" t="n">
        <v>0</v>
      </c>
      <c r="Y37" s="312" t="n">
        <v>25.5</v>
      </c>
      <c r="Z37" s="313" t="n">
        <v>0</v>
      </c>
      <c r="AA37" s="314" t="n">
        <v>25.4</v>
      </c>
      <c r="AB37" s="313" t="n">
        <v>0</v>
      </c>
      <c r="AC37" s="314" t="n">
        <v>25.4</v>
      </c>
      <c r="AD37" s="315"/>
      <c r="AE37" s="144" t="n">
        <v>81</v>
      </c>
      <c r="AF37" s="315"/>
      <c r="AG37" s="311" t="n">
        <v>0</v>
      </c>
      <c r="AH37" s="309" t="n">
        <v>0</v>
      </c>
      <c r="AI37" s="310"/>
      <c r="AJ37" s="311" t="n">
        <v>137</v>
      </c>
      <c r="AK37" s="309" t="n">
        <v>472.8</v>
      </c>
      <c r="AL37" s="311" t="n">
        <v>167</v>
      </c>
      <c r="AM37" s="309" t="n">
        <v>612</v>
      </c>
      <c r="AN37" s="311" t="n">
        <v>167</v>
      </c>
      <c r="AO37" s="309" t="n">
        <v>612</v>
      </c>
      <c r="AP37" s="310"/>
      <c r="AQ37" s="311" t="n">
        <v>157</v>
      </c>
      <c r="AR37" s="309" t="n">
        <v>621.6</v>
      </c>
      <c r="AS37" s="311" t="n">
        <v>167</v>
      </c>
      <c r="AT37" s="309" t="n">
        <v>612</v>
      </c>
      <c r="AU37" s="311" t="n">
        <v>167</v>
      </c>
      <c r="AV37" s="309" t="n">
        <v>612</v>
      </c>
      <c r="AW37" s="311" t="n">
        <v>169</v>
      </c>
      <c r="AX37" s="309" t="n">
        <v>609.6</v>
      </c>
      <c r="AY37" s="311" t="n">
        <v>169</v>
      </c>
      <c r="AZ37" s="309" t="n">
        <v>609.6</v>
      </c>
      <c r="BB37" s="144" t="n">
        <v>0</v>
      </c>
      <c r="BC37" s="315"/>
      <c r="BD37" s="311" t="n">
        <v>0</v>
      </c>
      <c r="BE37" s="316" t="n">
        <v>0</v>
      </c>
      <c r="BF37" s="310"/>
      <c r="BG37" s="317" t="n">
        <v>-160</v>
      </c>
      <c r="BH37" s="318" t="n">
        <v>0</v>
      </c>
      <c r="BI37" s="317" t="n">
        <v>-189</v>
      </c>
      <c r="BJ37" s="318" t="n">
        <v>1.9</v>
      </c>
      <c r="BK37" s="317" t="n">
        <v>-189</v>
      </c>
      <c r="BL37" s="318" t="n">
        <v>2.7</v>
      </c>
      <c r="BM37" s="310"/>
      <c r="BN37" s="317" t="n">
        <v>0</v>
      </c>
      <c r="BO37" s="318" t="n">
        <v>-1</v>
      </c>
      <c r="BP37" s="317" t="n">
        <v>0</v>
      </c>
      <c r="BQ37" s="318" t="n">
        <v>-0.400000000000002</v>
      </c>
      <c r="BR37" s="317" t="n">
        <v>0</v>
      </c>
      <c r="BS37" s="318" t="n">
        <v>0.899999999999999</v>
      </c>
      <c r="BT37" s="317" t="n">
        <v>0</v>
      </c>
      <c r="BU37" s="318" t="n">
        <v>0.800000000000001</v>
      </c>
      <c r="BV37" s="317" t="n">
        <v>0</v>
      </c>
      <c r="BW37" s="318" t="n">
        <v>0.800000000000001</v>
      </c>
      <c r="BY37" s="143"/>
      <c r="BZ37" s="315"/>
      <c r="CA37" s="144" t="s">
        <v>12</v>
      </c>
      <c r="CB37" s="315"/>
      <c r="CC37" s="144" t="n">
        <v>-55.7206611570248</v>
      </c>
      <c r="CD37" s="144" t="n">
        <v>-85.5206611570248</v>
      </c>
      <c r="CE37" s="144" t="n">
        <v>-85.5206611570248</v>
      </c>
      <c r="CF37" s="315"/>
      <c r="CG37" s="144" t="n">
        <v>-75.9206611570248</v>
      </c>
      <c r="CH37" s="144" t="n">
        <v>-85.5206611570248</v>
      </c>
      <c r="CI37" s="144" t="n">
        <v>-85.5206611570248</v>
      </c>
      <c r="CJ37" s="144" t="n">
        <v>-87.9206611570248</v>
      </c>
      <c r="CK37" s="144" t="n">
        <v>-87.9206611570248</v>
      </c>
      <c r="CM37" s="144" t="n">
        <v>693.388429752066</v>
      </c>
      <c r="CO37" s="319"/>
      <c r="CP37" s="320"/>
      <c r="CQ37" s="321" t="s">
        <v>12</v>
      </c>
      <c r="CR37" s="320"/>
      <c r="CS37" s="322" t="n">
        <v>-51.5884297520661</v>
      </c>
      <c r="CT37" s="322" t="n">
        <v>-81.3884297520661</v>
      </c>
      <c r="CU37" s="322" t="n">
        <v>-81.3884297520661</v>
      </c>
      <c r="CV37" s="323"/>
      <c r="CW37" s="322" t="n">
        <v>-71.7884297520661</v>
      </c>
      <c r="CX37" s="322" t="n">
        <v>-81.3884297520661</v>
      </c>
      <c r="CY37" s="322" t="n">
        <v>-81.3884297520661</v>
      </c>
      <c r="CZ37" s="322" t="n">
        <v>-83.7884297520661</v>
      </c>
      <c r="DA37" s="322" t="n">
        <v>-83.7884297520661</v>
      </c>
    </row>
    <row r="38" customFormat="false" ht="12.75" hidden="false" customHeight="false" outlineLevel="0" collapsed="false">
      <c r="B38" s="305" t="s">
        <v>112</v>
      </c>
      <c r="C38" s="305" t="s">
        <v>434</v>
      </c>
      <c r="D38" s="306" t="n">
        <v>779</v>
      </c>
      <c r="E38" s="306" t="n">
        <v>3.25</v>
      </c>
      <c r="F38" s="324" t="s">
        <v>432</v>
      </c>
      <c r="G38" s="144" t="n">
        <v>48</v>
      </c>
      <c r="H38" s="325" t="n">
        <v>697.520661157025</v>
      </c>
      <c r="I38" s="2"/>
      <c r="J38" s="144" t="s">
        <v>12</v>
      </c>
      <c r="K38" s="309" t="s">
        <v>12</v>
      </c>
      <c r="L38" s="310"/>
      <c r="M38" s="311" t="n">
        <v>169</v>
      </c>
      <c r="N38" s="312" t="n">
        <v>9.9</v>
      </c>
      <c r="O38" s="311" t="n">
        <v>0</v>
      </c>
      <c r="P38" s="312" t="n">
        <v>12.8</v>
      </c>
      <c r="Q38" s="310" t="n">
        <v>0</v>
      </c>
      <c r="R38" s="312" t="n">
        <v>12.8</v>
      </c>
      <c r="S38" s="310"/>
      <c r="T38" s="311" t="n">
        <v>0</v>
      </c>
      <c r="U38" s="312" t="n">
        <v>13</v>
      </c>
      <c r="V38" s="311" t="n">
        <v>0</v>
      </c>
      <c r="W38" s="312" t="n">
        <v>12.8</v>
      </c>
      <c r="X38" s="311" t="n">
        <v>0</v>
      </c>
      <c r="Y38" s="312" t="n">
        <v>12.8</v>
      </c>
      <c r="Z38" s="313" t="n">
        <v>0</v>
      </c>
      <c r="AA38" s="314" t="n">
        <v>12.7</v>
      </c>
      <c r="AB38" s="313" t="n">
        <v>0</v>
      </c>
      <c r="AC38" s="314" t="n">
        <v>12.7</v>
      </c>
      <c r="AD38" s="315"/>
      <c r="AE38" s="144" t="n">
        <v>81</v>
      </c>
      <c r="AF38" s="315"/>
      <c r="AG38" s="311" t="n">
        <v>0</v>
      </c>
      <c r="AH38" s="309" t="n">
        <v>0</v>
      </c>
      <c r="AI38" s="310"/>
      <c r="AJ38" s="311" t="n">
        <v>135</v>
      </c>
      <c r="AK38" s="309" t="n">
        <v>475.2</v>
      </c>
      <c r="AL38" s="311" t="n">
        <v>165</v>
      </c>
      <c r="AM38" s="309" t="n">
        <v>614.4</v>
      </c>
      <c r="AN38" s="310" t="n">
        <v>165</v>
      </c>
      <c r="AO38" s="309" t="n">
        <v>614.4</v>
      </c>
      <c r="AP38" s="310"/>
      <c r="AQ38" s="311" t="n">
        <v>155</v>
      </c>
      <c r="AR38" s="309" t="n">
        <v>624</v>
      </c>
      <c r="AS38" s="311" t="n">
        <v>165</v>
      </c>
      <c r="AT38" s="309" t="n">
        <v>614.4</v>
      </c>
      <c r="AU38" s="310" t="n">
        <v>165</v>
      </c>
      <c r="AV38" s="309" t="n">
        <v>614.4</v>
      </c>
      <c r="AW38" s="310" t="n">
        <v>169</v>
      </c>
      <c r="AX38" s="309" t="n">
        <v>609.6</v>
      </c>
      <c r="AY38" s="310" t="n">
        <v>169</v>
      </c>
      <c r="AZ38" s="309" t="n">
        <v>609.6</v>
      </c>
      <c r="BB38" s="144" t="n">
        <v>0</v>
      </c>
      <c r="BC38" s="315"/>
      <c r="BD38" s="311" t="n">
        <v>0</v>
      </c>
      <c r="BE38" s="316" t="n">
        <v>0</v>
      </c>
      <c r="BF38" s="310"/>
      <c r="BG38" s="317" t="n">
        <v>0</v>
      </c>
      <c r="BH38" s="318" t="n">
        <v>0</v>
      </c>
      <c r="BI38" s="317" t="n">
        <v>0</v>
      </c>
      <c r="BJ38" s="318" t="n">
        <v>0</v>
      </c>
      <c r="BK38" s="317" t="n">
        <v>0</v>
      </c>
      <c r="BL38" s="318" t="n">
        <v>0</v>
      </c>
      <c r="BM38" s="310"/>
      <c r="BN38" s="317" t="n">
        <v>0</v>
      </c>
      <c r="BO38" s="318" t="n">
        <v>0</v>
      </c>
      <c r="BP38" s="317" t="n">
        <v>0</v>
      </c>
      <c r="BQ38" s="318" t="n">
        <v>0</v>
      </c>
      <c r="BR38" s="317" t="n">
        <v>0</v>
      </c>
      <c r="BS38" s="318" t="n">
        <v>0</v>
      </c>
      <c r="BT38" s="317" t="n">
        <v>0</v>
      </c>
      <c r="BU38" s="318" t="n">
        <v>0</v>
      </c>
      <c r="BV38" s="317" t="n">
        <v>0</v>
      </c>
      <c r="BW38" s="318" t="n">
        <v>0</v>
      </c>
      <c r="BY38" s="143"/>
      <c r="BZ38" s="315"/>
      <c r="CA38" s="144" t="s">
        <v>12</v>
      </c>
      <c r="CB38" s="315"/>
      <c r="CC38" s="144" t="n">
        <v>-53.3206611570248</v>
      </c>
      <c r="CD38" s="144" t="n">
        <v>-83.1206611570248</v>
      </c>
      <c r="CE38" s="144" t="n">
        <v>-83.1206611570248</v>
      </c>
      <c r="CF38" s="315"/>
      <c r="CG38" s="144" t="n">
        <v>-73.5206611570249</v>
      </c>
      <c r="CH38" s="144" t="n">
        <v>-83.1206611570248</v>
      </c>
      <c r="CI38" s="144" t="n">
        <v>-83.1206611570248</v>
      </c>
      <c r="CJ38" s="144" t="n">
        <v>-87.9206611570248</v>
      </c>
      <c r="CK38" s="144" t="n">
        <v>-87.9206611570248</v>
      </c>
      <c r="CM38" s="144" t="n">
        <v>693.388429752066</v>
      </c>
      <c r="CO38" s="319"/>
      <c r="CP38" s="320"/>
      <c r="CQ38" s="321" t="s">
        <v>12</v>
      </c>
      <c r="CR38" s="320"/>
      <c r="CS38" s="322" t="n">
        <v>-49.1884297520661</v>
      </c>
      <c r="CT38" s="322" t="n">
        <v>-78.9884297520661</v>
      </c>
      <c r="CU38" s="322" t="n">
        <v>-78.9884297520661</v>
      </c>
      <c r="CV38" s="323"/>
      <c r="CW38" s="322" t="n">
        <v>-69.3884297520661</v>
      </c>
      <c r="CX38" s="322" t="n">
        <v>-78.9884297520661</v>
      </c>
      <c r="CY38" s="322" t="n">
        <v>-78.9884297520661</v>
      </c>
      <c r="CZ38" s="322" t="n">
        <v>-83.7884297520661</v>
      </c>
      <c r="DA38" s="322" t="n">
        <v>-83.7884297520661</v>
      </c>
    </row>
    <row r="39" customFormat="false" ht="12.75" hidden="false" customHeight="false" outlineLevel="0" collapsed="false">
      <c r="B39" s="305" t="s">
        <v>112</v>
      </c>
      <c r="C39" s="305" t="s">
        <v>435</v>
      </c>
      <c r="D39" s="306" t="n">
        <v>883</v>
      </c>
      <c r="E39" s="306" t="n">
        <v>3.25</v>
      </c>
      <c r="F39" s="306" t="s">
        <v>432</v>
      </c>
      <c r="G39" s="307" t="n">
        <v>24</v>
      </c>
      <c r="H39" s="308" t="n">
        <v>789.256198347107</v>
      </c>
      <c r="I39" s="2"/>
      <c r="J39" s="144" t="s">
        <v>12</v>
      </c>
      <c r="K39" s="309" t="s">
        <v>12</v>
      </c>
      <c r="L39" s="310"/>
      <c r="M39" s="311" t="n">
        <v>169</v>
      </c>
      <c r="N39" s="312" t="n">
        <v>20.1</v>
      </c>
      <c r="O39" s="311" t="n">
        <v>0</v>
      </c>
      <c r="P39" s="312" t="n">
        <v>25.9</v>
      </c>
      <c r="Q39" s="310" t="n">
        <v>0</v>
      </c>
      <c r="R39" s="312" t="n">
        <v>25.9</v>
      </c>
      <c r="S39" s="310"/>
      <c r="T39" s="311" t="n">
        <v>0</v>
      </c>
      <c r="U39" s="312" t="n">
        <v>26.3</v>
      </c>
      <c r="V39" s="311" t="n">
        <v>0</v>
      </c>
      <c r="W39" s="312" t="n">
        <v>25.9</v>
      </c>
      <c r="X39" s="311" t="n">
        <v>0</v>
      </c>
      <c r="Y39" s="312" t="n">
        <v>25.8</v>
      </c>
      <c r="Z39" s="313" t="n">
        <v>0</v>
      </c>
      <c r="AA39" s="314" t="n">
        <v>25.8</v>
      </c>
      <c r="AB39" s="313" t="n">
        <v>0</v>
      </c>
      <c r="AC39" s="314" t="n">
        <v>25.8</v>
      </c>
      <c r="AD39" s="315"/>
      <c r="AE39" s="144" t="n">
        <v>94</v>
      </c>
      <c r="AF39" s="315"/>
      <c r="AG39" s="311" t="n">
        <v>0</v>
      </c>
      <c r="AH39" s="309" t="n">
        <v>0</v>
      </c>
      <c r="AI39" s="310"/>
      <c r="AJ39" s="311" t="n">
        <v>232</v>
      </c>
      <c r="AK39" s="309" t="n">
        <v>482.4</v>
      </c>
      <c r="AL39" s="311" t="n">
        <v>261</v>
      </c>
      <c r="AM39" s="309" t="n">
        <v>621.6</v>
      </c>
      <c r="AN39" s="311" t="n">
        <v>261</v>
      </c>
      <c r="AO39" s="309" t="n">
        <v>621.6</v>
      </c>
      <c r="AP39" s="310"/>
      <c r="AQ39" s="311" t="n">
        <v>252</v>
      </c>
      <c r="AR39" s="309" t="n">
        <v>631.2</v>
      </c>
      <c r="AS39" s="311" t="n">
        <v>261</v>
      </c>
      <c r="AT39" s="309" t="n">
        <v>621.6</v>
      </c>
      <c r="AU39" s="311" t="n">
        <v>264</v>
      </c>
      <c r="AV39" s="309" t="n">
        <v>619.2</v>
      </c>
      <c r="AW39" s="311" t="n">
        <v>264</v>
      </c>
      <c r="AX39" s="309" t="n">
        <v>619.2</v>
      </c>
      <c r="AY39" s="311" t="n">
        <v>264</v>
      </c>
      <c r="AZ39" s="309" t="n">
        <v>619.2</v>
      </c>
      <c r="BB39" s="144" t="n">
        <v>0</v>
      </c>
      <c r="BC39" s="315"/>
      <c r="BD39" s="311" t="n">
        <v>0</v>
      </c>
      <c r="BE39" s="316" t="n">
        <v>0</v>
      </c>
      <c r="BF39" s="310"/>
      <c r="BG39" s="317" t="n">
        <v>0</v>
      </c>
      <c r="BH39" s="318" t="n">
        <v>-2.1</v>
      </c>
      <c r="BI39" s="317" t="n">
        <v>0</v>
      </c>
      <c r="BJ39" s="318" t="n">
        <v>-1.8</v>
      </c>
      <c r="BK39" s="317" t="n">
        <v>0</v>
      </c>
      <c r="BL39" s="318" t="n">
        <v>-1.8</v>
      </c>
      <c r="BM39" s="310"/>
      <c r="BN39" s="317" t="n">
        <v>0</v>
      </c>
      <c r="BO39" s="318" t="n">
        <v>-1.6</v>
      </c>
      <c r="BP39" s="317" t="n">
        <v>0</v>
      </c>
      <c r="BQ39" s="318" t="n">
        <v>0</v>
      </c>
      <c r="BR39" s="317" t="n">
        <v>0</v>
      </c>
      <c r="BS39" s="318" t="n">
        <v>0</v>
      </c>
      <c r="BT39" s="317" t="n">
        <v>0</v>
      </c>
      <c r="BU39" s="318" t="n">
        <v>0</v>
      </c>
      <c r="BV39" s="317" t="n">
        <v>0</v>
      </c>
      <c r="BW39" s="318" t="n">
        <v>0</v>
      </c>
      <c r="BY39" s="143"/>
      <c r="BZ39" s="315"/>
      <c r="CA39" s="144" t="s">
        <v>12</v>
      </c>
      <c r="CB39" s="315"/>
      <c r="CC39" s="144" t="n">
        <v>-137.856198347107</v>
      </c>
      <c r="CD39" s="144" t="n">
        <v>-167.656198347107</v>
      </c>
      <c r="CE39" s="144" t="n">
        <v>-167.656198347107</v>
      </c>
      <c r="CF39" s="315"/>
      <c r="CG39" s="144" t="n">
        <v>-158.056198347107</v>
      </c>
      <c r="CH39" s="144" t="n">
        <v>-167.656198347107</v>
      </c>
      <c r="CI39" s="144" t="n">
        <v>-170.056198347107</v>
      </c>
      <c r="CJ39" s="144" t="n">
        <v>-170.056198347107</v>
      </c>
      <c r="CK39" s="144" t="n">
        <v>-170.056198347107</v>
      </c>
      <c r="CM39" s="144" t="n">
        <v>792.561983471074</v>
      </c>
      <c r="CO39" s="319"/>
      <c r="CP39" s="320"/>
      <c r="CQ39" s="321" t="s">
        <v>12</v>
      </c>
      <c r="CR39" s="320"/>
      <c r="CS39" s="322" t="n">
        <v>-141.161983471074</v>
      </c>
      <c r="CT39" s="322" t="n">
        <v>-170.961983471074</v>
      </c>
      <c r="CU39" s="322" t="n">
        <v>-170.961983471074</v>
      </c>
      <c r="CV39" s="323"/>
      <c r="CW39" s="322" t="n">
        <v>-161.361983471074</v>
      </c>
      <c r="CX39" s="322" t="n">
        <v>-170.961983471074</v>
      </c>
      <c r="CY39" s="322" t="n">
        <v>-173.361983471074</v>
      </c>
      <c r="CZ39" s="322" t="n">
        <v>-173.361983471074</v>
      </c>
      <c r="DA39" s="322" t="n">
        <v>-173.361983471074</v>
      </c>
    </row>
    <row r="40" customFormat="false" ht="12.75" hidden="false" customHeight="false" outlineLevel="0" collapsed="false">
      <c r="B40" s="305" t="s">
        <v>112</v>
      </c>
      <c r="C40" s="305" t="s">
        <v>435</v>
      </c>
      <c r="D40" s="306" t="n">
        <v>883</v>
      </c>
      <c r="E40" s="306" t="n">
        <v>3.25</v>
      </c>
      <c r="F40" s="324" t="s">
        <v>432</v>
      </c>
      <c r="G40" s="144" t="n">
        <v>48</v>
      </c>
      <c r="H40" s="325" t="n">
        <v>789.256198347107</v>
      </c>
      <c r="I40" s="2"/>
      <c r="J40" s="144" t="s">
        <v>12</v>
      </c>
      <c r="K40" s="309" t="s">
        <v>12</v>
      </c>
      <c r="L40" s="310"/>
      <c r="M40" s="311" t="n">
        <v>169</v>
      </c>
      <c r="N40" s="312" t="n">
        <v>10.1</v>
      </c>
      <c r="O40" s="311" t="n">
        <v>0</v>
      </c>
      <c r="P40" s="312" t="n">
        <v>13</v>
      </c>
      <c r="Q40" s="310" t="n">
        <v>0</v>
      </c>
      <c r="R40" s="312" t="n">
        <v>13</v>
      </c>
      <c r="S40" s="310"/>
      <c r="T40" s="311" t="n">
        <v>0</v>
      </c>
      <c r="U40" s="312" t="n">
        <v>13.2</v>
      </c>
      <c r="V40" s="311" t="n">
        <v>0</v>
      </c>
      <c r="W40" s="312" t="n">
        <v>13</v>
      </c>
      <c r="X40" s="311" t="n">
        <v>0</v>
      </c>
      <c r="Y40" s="312" t="n">
        <v>12.9</v>
      </c>
      <c r="Z40" s="313" t="n">
        <v>0</v>
      </c>
      <c r="AA40" s="314" t="n">
        <v>12.9</v>
      </c>
      <c r="AB40" s="313" t="n">
        <v>0</v>
      </c>
      <c r="AC40" s="314" t="n">
        <v>12.9</v>
      </c>
      <c r="AD40" s="315"/>
      <c r="AE40" s="144" t="n">
        <v>94</v>
      </c>
      <c r="AF40" s="315"/>
      <c r="AG40" s="311" t="n">
        <v>0</v>
      </c>
      <c r="AH40" s="309" t="n">
        <v>0</v>
      </c>
      <c r="AI40" s="310"/>
      <c r="AJ40" s="311" t="n">
        <v>229</v>
      </c>
      <c r="AK40" s="309" t="n">
        <v>484.8</v>
      </c>
      <c r="AL40" s="311" t="n">
        <v>259</v>
      </c>
      <c r="AM40" s="309" t="n">
        <v>624</v>
      </c>
      <c r="AN40" s="310" t="n">
        <v>259</v>
      </c>
      <c r="AO40" s="309" t="n">
        <v>624</v>
      </c>
      <c r="AP40" s="310"/>
      <c r="AQ40" s="311" t="n">
        <v>249</v>
      </c>
      <c r="AR40" s="309" t="n">
        <v>633.6</v>
      </c>
      <c r="AS40" s="311" t="n">
        <v>259</v>
      </c>
      <c r="AT40" s="309" t="n">
        <v>624</v>
      </c>
      <c r="AU40" s="310" t="n">
        <v>264</v>
      </c>
      <c r="AV40" s="309" t="n">
        <v>619.2</v>
      </c>
      <c r="AW40" s="310" t="n">
        <v>264</v>
      </c>
      <c r="AX40" s="309" t="n">
        <v>619.2</v>
      </c>
      <c r="AY40" s="310" t="n">
        <v>264</v>
      </c>
      <c r="AZ40" s="309" t="n">
        <v>619.2</v>
      </c>
      <c r="BB40" s="144" t="n">
        <v>0</v>
      </c>
      <c r="BC40" s="315"/>
      <c r="BD40" s="311" t="n">
        <v>0</v>
      </c>
      <c r="BE40" s="316" t="n">
        <v>0</v>
      </c>
      <c r="BF40" s="310"/>
      <c r="BG40" s="317" t="n">
        <v>0</v>
      </c>
      <c r="BH40" s="318" t="n">
        <v>0</v>
      </c>
      <c r="BI40" s="317" t="n">
        <v>0</v>
      </c>
      <c r="BJ40" s="318" t="n">
        <v>0</v>
      </c>
      <c r="BK40" s="317" t="n">
        <v>0</v>
      </c>
      <c r="BL40" s="318" t="n">
        <v>0</v>
      </c>
      <c r="BM40" s="310"/>
      <c r="BN40" s="317" t="n">
        <v>0</v>
      </c>
      <c r="BO40" s="318" t="n">
        <v>0</v>
      </c>
      <c r="BP40" s="317" t="n">
        <v>0</v>
      </c>
      <c r="BQ40" s="318" t="n">
        <v>0</v>
      </c>
      <c r="BR40" s="317" t="n">
        <v>0</v>
      </c>
      <c r="BS40" s="318" t="n">
        <v>0</v>
      </c>
      <c r="BT40" s="317" t="n">
        <v>0</v>
      </c>
      <c r="BU40" s="318" t="n">
        <v>0</v>
      </c>
      <c r="BV40" s="317" t="n">
        <v>0</v>
      </c>
      <c r="BW40" s="318" t="n">
        <v>0</v>
      </c>
      <c r="BY40" s="143"/>
      <c r="BZ40" s="315"/>
      <c r="CA40" s="144" t="s">
        <v>12</v>
      </c>
      <c r="CB40" s="315"/>
      <c r="CC40" s="144" t="n">
        <v>-135.456198347107</v>
      </c>
      <c r="CD40" s="144" t="n">
        <v>-165.256198347107</v>
      </c>
      <c r="CE40" s="144" t="n">
        <v>-165.256198347107</v>
      </c>
      <c r="CF40" s="315"/>
      <c r="CG40" s="144" t="n">
        <v>-155.656198347107</v>
      </c>
      <c r="CH40" s="144" t="n">
        <v>-165.256198347107</v>
      </c>
      <c r="CI40" s="144" t="n">
        <v>-170.056198347107</v>
      </c>
      <c r="CJ40" s="144" t="n">
        <v>-170.056198347107</v>
      </c>
      <c r="CK40" s="144" t="n">
        <v>-170.056198347107</v>
      </c>
      <c r="CM40" s="144" t="n">
        <v>792.561983471074</v>
      </c>
      <c r="CO40" s="319"/>
      <c r="CP40" s="320"/>
      <c r="CQ40" s="321" t="s">
        <v>12</v>
      </c>
      <c r="CR40" s="320"/>
      <c r="CS40" s="322" t="n">
        <v>-138.761983471074</v>
      </c>
      <c r="CT40" s="322" t="n">
        <v>-168.561983471074</v>
      </c>
      <c r="CU40" s="322" t="n">
        <v>-168.561983471074</v>
      </c>
      <c r="CV40" s="323"/>
      <c r="CW40" s="322" t="n">
        <v>-158.961983471074</v>
      </c>
      <c r="CX40" s="322" t="n">
        <v>-168.561983471074</v>
      </c>
      <c r="CY40" s="322" t="n">
        <v>-173.361983471074</v>
      </c>
      <c r="CZ40" s="322" t="n">
        <v>-173.361983471074</v>
      </c>
      <c r="DA40" s="322" t="n">
        <v>-173.361983471074</v>
      </c>
    </row>
    <row r="41" customFormat="false" ht="12.75" hidden="false" customHeight="false" outlineLevel="0" collapsed="false">
      <c r="B41" s="305" t="s">
        <v>112</v>
      </c>
      <c r="C41" s="305" t="s">
        <v>436</v>
      </c>
      <c r="D41" s="306" t="n">
        <v>983</v>
      </c>
      <c r="E41" s="306" t="n">
        <v>3.25</v>
      </c>
      <c r="F41" s="306" t="s">
        <v>432</v>
      </c>
      <c r="G41" s="307" t="n">
        <v>24</v>
      </c>
      <c r="H41" s="308" t="n">
        <v>902.479338842975</v>
      </c>
      <c r="I41" s="2"/>
      <c r="J41" s="144" t="s">
        <v>12</v>
      </c>
      <c r="K41" s="309" t="s">
        <v>12</v>
      </c>
      <c r="L41" s="310"/>
      <c r="M41" s="311" t="n">
        <v>169</v>
      </c>
      <c r="N41" s="312" t="n">
        <v>24.2</v>
      </c>
      <c r="O41" s="311" t="n">
        <v>0</v>
      </c>
      <c r="P41" s="312" t="n">
        <v>30</v>
      </c>
      <c r="Q41" s="310" t="n">
        <v>0</v>
      </c>
      <c r="R41" s="312" t="n">
        <v>30</v>
      </c>
      <c r="S41" s="310"/>
      <c r="T41" s="311" t="n">
        <v>0</v>
      </c>
      <c r="U41" s="312" t="n">
        <v>30.4</v>
      </c>
      <c r="V41" s="311" t="n">
        <v>0</v>
      </c>
      <c r="W41" s="312" t="n">
        <v>30</v>
      </c>
      <c r="X41" s="311" t="n">
        <v>0</v>
      </c>
      <c r="Y41" s="312" t="n">
        <v>30</v>
      </c>
      <c r="Z41" s="313" t="n">
        <v>0</v>
      </c>
      <c r="AA41" s="314" t="n">
        <v>30</v>
      </c>
      <c r="AB41" s="313" t="n">
        <v>0</v>
      </c>
      <c r="AC41" s="314" t="n">
        <v>30</v>
      </c>
      <c r="AD41" s="315"/>
      <c r="AE41" s="144" t="n">
        <v>81</v>
      </c>
      <c r="AF41" s="315"/>
      <c r="AG41" s="311" t="n">
        <v>0</v>
      </c>
      <c r="AH41" s="309" t="n">
        <v>0</v>
      </c>
      <c r="AI41" s="310"/>
      <c r="AJ41" s="311" t="n">
        <v>233</v>
      </c>
      <c r="AK41" s="309" t="n">
        <v>580.8</v>
      </c>
      <c r="AL41" s="311" t="n">
        <v>263</v>
      </c>
      <c r="AM41" s="309" t="n">
        <v>720</v>
      </c>
      <c r="AN41" s="311" t="n">
        <v>263</v>
      </c>
      <c r="AO41" s="309" t="n">
        <v>720</v>
      </c>
      <c r="AP41" s="310"/>
      <c r="AQ41" s="311" t="n">
        <v>253</v>
      </c>
      <c r="AR41" s="309" t="n">
        <v>729.6</v>
      </c>
      <c r="AS41" s="311" t="n">
        <v>263</v>
      </c>
      <c r="AT41" s="309" t="n">
        <v>720</v>
      </c>
      <c r="AU41" s="311" t="n">
        <v>263</v>
      </c>
      <c r="AV41" s="309" t="n">
        <v>720</v>
      </c>
      <c r="AW41" s="311" t="n">
        <v>263</v>
      </c>
      <c r="AX41" s="309" t="n">
        <v>720</v>
      </c>
      <c r="AY41" s="311" t="n">
        <v>263</v>
      </c>
      <c r="AZ41" s="309" t="n">
        <v>720</v>
      </c>
      <c r="BB41" s="144" t="n">
        <v>0</v>
      </c>
      <c r="BC41" s="315"/>
      <c r="BD41" s="311" t="n">
        <v>0</v>
      </c>
      <c r="BE41" s="316" t="n">
        <v>0</v>
      </c>
      <c r="BF41" s="310"/>
      <c r="BG41" s="317" t="n">
        <v>0</v>
      </c>
      <c r="BH41" s="318" t="n">
        <v>-2.1</v>
      </c>
      <c r="BI41" s="317" t="n">
        <v>0</v>
      </c>
      <c r="BJ41" s="318" t="n">
        <v>-1.9</v>
      </c>
      <c r="BK41" s="317" t="n">
        <v>0</v>
      </c>
      <c r="BL41" s="318" t="n">
        <v>-1.9</v>
      </c>
      <c r="BM41" s="310"/>
      <c r="BN41" s="317" t="n">
        <v>0</v>
      </c>
      <c r="BO41" s="318" t="n">
        <v>-2.1</v>
      </c>
      <c r="BP41" s="317" t="n">
        <v>0</v>
      </c>
      <c r="BQ41" s="318" t="n">
        <v>-2.1</v>
      </c>
      <c r="BR41" s="317" t="n">
        <v>0</v>
      </c>
      <c r="BS41" s="318" t="n">
        <v>-2.1</v>
      </c>
      <c r="BT41" s="317" t="n">
        <v>0</v>
      </c>
      <c r="BU41" s="318" t="n">
        <v>-2</v>
      </c>
      <c r="BV41" s="317" t="n">
        <v>0</v>
      </c>
      <c r="BW41" s="318" t="n">
        <v>-2</v>
      </c>
      <c r="BY41" s="143"/>
      <c r="BZ41" s="315"/>
      <c r="CA41" s="144" t="s">
        <v>12</v>
      </c>
      <c r="CB41" s="315"/>
      <c r="CC41" s="144" t="n">
        <v>-152.679338842975</v>
      </c>
      <c r="CD41" s="144" t="n">
        <v>-182.479338842975</v>
      </c>
      <c r="CE41" s="144" t="n">
        <v>-182.479338842975</v>
      </c>
      <c r="CF41" s="315"/>
      <c r="CG41" s="144" t="n">
        <v>-172.879338842975</v>
      </c>
      <c r="CH41" s="144" t="n">
        <v>-182.479338842975</v>
      </c>
      <c r="CI41" s="144" t="n">
        <v>-182.479338842975</v>
      </c>
      <c r="CJ41" s="144" t="n">
        <v>-182.479338842975</v>
      </c>
      <c r="CK41" s="144" t="n">
        <v>-182.479338842975</v>
      </c>
      <c r="CM41" s="144" t="n">
        <v>900</v>
      </c>
      <c r="CO41" s="319"/>
      <c r="CP41" s="320"/>
      <c r="CQ41" s="321" t="s">
        <v>12</v>
      </c>
      <c r="CR41" s="320"/>
      <c r="CS41" s="322" t="n">
        <v>-150.2</v>
      </c>
      <c r="CT41" s="322" t="n">
        <v>-180</v>
      </c>
      <c r="CU41" s="322" t="n">
        <v>-180</v>
      </c>
      <c r="CV41" s="323"/>
      <c r="CW41" s="322" t="n">
        <v>-170.4</v>
      </c>
      <c r="CX41" s="322" t="n">
        <v>-180</v>
      </c>
      <c r="CY41" s="322" t="n">
        <v>-180</v>
      </c>
      <c r="CZ41" s="322" t="n">
        <v>-180</v>
      </c>
      <c r="DA41" s="322" t="n">
        <v>-180</v>
      </c>
    </row>
    <row r="42" customFormat="false" ht="12.75" hidden="false" customHeight="false" outlineLevel="0" collapsed="false">
      <c r="B42" s="305" t="s">
        <v>112</v>
      </c>
      <c r="C42" s="305" t="s">
        <v>436</v>
      </c>
      <c r="D42" s="306" t="n">
        <v>983</v>
      </c>
      <c r="E42" s="306" t="n">
        <v>3.25</v>
      </c>
      <c r="F42" s="324" t="s">
        <v>432</v>
      </c>
      <c r="G42" s="144" t="n">
        <v>48</v>
      </c>
      <c r="H42" s="325" t="n">
        <v>902.479338842975</v>
      </c>
      <c r="I42" s="2"/>
      <c r="J42" s="144" t="s">
        <v>12</v>
      </c>
      <c r="K42" s="309" t="s">
        <v>12</v>
      </c>
      <c r="L42" s="310"/>
      <c r="M42" s="311" t="n">
        <v>169</v>
      </c>
      <c r="N42" s="312" t="n">
        <v>12.1</v>
      </c>
      <c r="O42" s="311" t="n">
        <v>0</v>
      </c>
      <c r="P42" s="312" t="n">
        <v>15</v>
      </c>
      <c r="Q42" s="310" t="n">
        <v>0</v>
      </c>
      <c r="R42" s="312" t="n">
        <v>15</v>
      </c>
      <c r="S42" s="310"/>
      <c r="T42" s="311" t="n">
        <v>0</v>
      </c>
      <c r="U42" s="312" t="n">
        <v>15.2</v>
      </c>
      <c r="V42" s="311" t="n">
        <v>0</v>
      </c>
      <c r="W42" s="312" t="n">
        <v>15</v>
      </c>
      <c r="X42" s="311" t="n">
        <v>0</v>
      </c>
      <c r="Y42" s="312" t="n">
        <v>15</v>
      </c>
      <c r="Z42" s="313" t="n">
        <v>0</v>
      </c>
      <c r="AA42" s="314" t="n">
        <v>15</v>
      </c>
      <c r="AB42" s="313" t="n">
        <v>0</v>
      </c>
      <c r="AC42" s="314" t="n">
        <v>15</v>
      </c>
      <c r="AD42" s="315"/>
      <c r="AE42" s="144" t="n">
        <v>81</v>
      </c>
      <c r="AF42" s="315"/>
      <c r="AG42" s="311" t="n">
        <v>0</v>
      </c>
      <c r="AH42" s="309" t="n">
        <v>0</v>
      </c>
      <c r="AI42" s="310"/>
      <c r="AJ42" s="311" t="n">
        <v>233</v>
      </c>
      <c r="AK42" s="309" t="n">
        <v>580.8</v>
      </c>
      <c r="AL42" s="311" t="n">
        <v>263</v>
      </c>
      <c r="AM42" s="309" t="n">
        <v>720</v>
      </c>
      <c r="AN42" s="310" t="n">
        <v>263</v>
      </c>
      <c r="AO42" s="309" t="n">
        <v>720</v>
      </c>
      <c r="AP42" s="310"/>
      <c r="AQ42" s="311" t="n">
        <v>253</v>
      </c>
      <c r="AR42" s="309" t="n">
        <v>729.6</v>
      </c>
      <c r="AS42" s="311" t="n">
        <v>263</v>
      </c>
      <c r="AT42" s="309" t="n">
        <v>720</v>
      </c>
      <c r="AU42" s="310" t="n">
        <v>263</v>
      </c>
      <c r="AV42" s="309" t="n">
        <v>720</v>
      </c>
      <c r="AW42" s="310" t="n">
        <v>263</v>
      </c>
      <c r="AX42" s="309" t="n">
        <v>720</v>
      </c>
      <c r="AY42" s="310" t="n">
        <v>263</v>
      </c>
      <c r="AZ42" s="309" t="n">
        <v>720</v>
      </c>
      <c r="BB42" s="144" t="n">
        <v>0</v>
      </c>
      <c r="BC42" s="315"/>
      <c r="BD42" s="311" t="n">
        <v>0</v>
      </c>
      <c r="BE42" s="316" t="n">
        <v>0</v>
      </c>
      <c r="BF42" s="310"/>
      <c r="BG42" s="317" t="n">
        <v>0</v>
      </c>
      <c r="BH42" s="318" t="n">
        <v>0</v>
      </c>
      <c r="BI42" s="317" t="n">
        <v>0</v>
      </c>
      <c r="BJ42" s="318" t="n">
        <v>0</v>
      </c>
      <c r="BK42" s="317" t="n">
        <v>0</v>
      </c>
      <c r="BL42" s="318" t="n">
        <v>0</v>
      </c>
      <c r="BM42" s="310"/>
      <c r="BN42" s="317" t="n">
        <v>0</v>
      </c>
      <c r="BO42" s="318" t="n">
        <v>0</v>
      </c>
      <c r="BP42" s="317" t="n">
        <v>0</v>
      </c>
      <c r="BQ42" s="318" t="n">
        <v>0</v>
      </c>
      <c r="BR42" s="317" t="n">
        <v>0</v>
      </c>
      <c r="BS42" s="318" t="n">
        <v>0</v>
      </c>
      <c r="BT42" s="317" t="n">
        <v>0</v>
      </c>
      <c r="BU42" s="318" t="n">
        <v>0</v>
      </c>
      <c r="BV42" s="317" t="n">
        <v>0</v>
      </c>
      <c r="BW42" s="318" t="n">
        <v>0</v>
      </c>
      <c r="BY42" s="143"/>
      <c r="BZ42" s="315"/>
      <c r="CA42" s="144" t="s">
        <v>12</v>
      </c>
      <c r="CB42" s="315"/>
      <c r="CC42" s="144" t="n">
        <v>-152.679338842975</v>
      </c>
      <c r="CD42" s="144" t="n">
        <v>-182.479338842975</v>
      </c>
      <c r="CE42" s="144" t="n">
        <v>-182.479338842975</v>
      </c>
      <c r="CF42" s="315"/>
      <c r="CG42" s="144" t="n">
        <v>-172.879338842975</v>
      </c>
      <c r="CH42" s="144" t="n">
        <v>-182.479338842975</v>
      </c>
      <c r="CI42" s="144" t="n">
        <v>-182.479338842975</v>
      </c>
      <c r="CJ42" s="144" t="n">
        <v>-182.479338842975</v>
      </c>
      <c r="CK42" s="144" t="n">
        <v>-182.479338842975</v>
      </c>
      <c r="CM42" s="144" t="n">
        <v>900</v>
      </c>
      <c r="CO42" s="319"/>
      <c r="CP42" s="320"/>
      <c r="CQ42" s="321" t="s">
        <v>12</v>
      </c>
      <c r="CR42" s="320"/>
      <c r="CS42" s="322" t="n">
        <v>-150.2</v>
      </c>
      <c r="CT42" s="322" t="n">
        <v>-180</v>
      </c>
      <c r="CU42" s="322" t="n">
        <v>-180</v>
      </c>
      <c r="CV42" s="323"/>
      <c r="CW42" s="322" t="n">
        <v>-170.4</v>
      </c>
      <c r="CX42" s="322" t="n">
        <v>-180</v>
      </c>
      <c r="CY42" s="322" t="n">
        <v>-180</v>
      </c>
      <c r="CZ42" s="322" t="n">
        <v>-180</v>
      </c>
      <c r="DA42" s="322" t="n">
        <v>-180</v>
      </c>
    </row>
    <row r="43" customFormat="false" ht="12.75" hidden="false" customHeight="false" outlineLevel="0" collapsed="false">
      <c r="B43" s="305" t="s">
        <v>112</v>
      </c>
      <c r="C43" s="305" t="s">
        <v>437</v>
      </c>
      <c r="D43" s="306" t="n">
        <v>998</v>
      </c>
      <c r="E43" s="306" t="n">
        <v>3.25</v>
      </c>
      <c r="F43" s="306" t="s">
        <v>432</v>
      </c>
      <c r="G43" s="307" t="n">
        <v>24</v>
      </c>
      <c r="H43" s="308" t="n">
        <v>917.355371900826</v>
      </c>
      <c r="I43" s="2"/>
      <c r="J43" s="144" t="s">
        <v>12</v>
      </c>
      <c r="K43" s="309" t="s">
        <v>12</v>
      </c>
      <c r="L43" s="310"/>
      <c r="M43" s="311" t="n">
        <v>169</v>
      </c>
      <c r="N43" s="312" t="n">
        <v>24.8</v>
      </c>
      <c r="O43" s="311" t="n">
        <v>0</v>
      </c>
      <c r="P43" s="312" t="n">
        <v>30.6</v>
      </c>
      <c r="Q43" s="310" t="n">
        <v>0</v>
      </c>
      <c r="R43" s="312" t="n">
        <v>30.6</v>
      </c>
      <c r="S43" s="310"/>
      <c r="T43" s="311" t="n">
        <v>0</v>
      </c>
      <c r="U43" s="312" t="n">
        <v>31</v>
      </c>
      <c r="V43" s="311" t="n">
        <v>0</v>
      </c>
      <c r="W43" s="312" t="n">
        <v>30.6</v>
      </c>
      <c r="X43" s="311" t="n">
        <v>0</v>
      </c>
      <c r="Y43" s="312" t="n">
        <v>30.6</v>
      </c>
      <c r="Z43" s="313" t="n">
        <v>0</v>
      </c>
      <c r="AA43" s="314" t="n">
        <v>30.6</v>
      </c>
      <c r="AB43" s="313" t="n">
        <v>0</v>
      </c>
      <c r="AC43" s="314" t="n">
        <v>30.6</v>
      </c>
      <c r="AD43" s="315"/>
      <c r="AE43" s="144" t="n">
        <v>81</v>
      </c>
      <c r="AF43" s="315"/>
      <c r="AG43" s="311" t="n">
        <v>0</v>
      </c>
      <c r="AH43" s="309" t="n">
        <v>0</v>
      </c>
      <c r="AI43" s="310"/>
      <c r="AJ43" s="311" t="n">
        <v>234</v>
      </c>
      <c r="AK43" s="309" t="n">
        <v>595.2</v>
      </c>
      <c r="AL43" s="311" t="n">
        <v>264</v>
      </c>
      <c r="AM43" s="309" t="n">
        <v>734.4</v>
      </c>
      <c r="AN43" s="311" t="n">
        <v>264</v>
      </c>
      <c r="AO43" s="309" t="n">
        <v>734.4</v>
      </c>
      <c r="AP43" s="310"/>
      <c r="AQ43" s="311" t="n">
        <v>254</v>
      </c>
      <c r="AR43" s="309" t="n">
        <v>744</v>
      </c>
      <c r="AS43" s="311" t="n">
        <v>264</v>
      </c>
      <c r="AT43" s="309" t="n">
        <v>734.4</v>
      </c>
      <c r="AU43" s="311" t="n">
        <v>264</v>
      </c>
      <c r="AV43" s="309" t="n">
        <v>734.4</v>
      </c>
      <c r="AW43" s="311" t="n">
        <v>264</v>
      </c>
      <c r="AX43" s="309" t="n">
        <v>734.4</v>
      </c>
      <c r="AY43" s="311" t="n">
        <v>264</v>
      </c>
      <c r="AZ43" s="309" t="n">
        <v>734.4</v>
      </c>
      <c r="BB43" s="144" t="n">
        <v>0</v>
      </c>
      <c r="BC43" s="315"/>
      <c r="BD43" s="311" t="n">
        <v>0</v>
      </c>
      <c r="BE43" s="316" t="n">
        <v>0</v>
      </c>
      <c r="BF43" s="310"/>
      <c r="BG43" s="317" t="n">
        <v>0</v>
      </c>
      <c r="BH43" s="318" t="n">
        <v>-1.9</v>
      </c>
      <c r="BI43" s="317" t="n">
        <v>0</v>
      </c>
      <c r="BJ43" s="318" t="n">
        <v>-2.1</v>
      </c>
      <c r="BK43" s="317" t="n">
        <v>0</v>
      </c>
      <c r="BL43" s="318" t="n">
        <v>-2.1</v>
      </c>
      <c r="BM43" s="310"/>
      <c r="BN43" s="317" t="n">
        <v>0</v>
      </c>
      <c r="BO43" s="318" t="n">
        <v>-1.9</v>
      </c>
      <c r="BP43" s="317" t="n">
        <v>0</v>
      </c>
      <c r="BQ43" s="318" t="n">
        <v>-2.1</v>
      </c>
      <c r="BR43" s="317" t="n">
        <v>0</v>
      </c>
      <c r="BS43" s="318" t="n">
        <v>-2.1</v>
      </c>
      <c r="BT43" s="317" t="n">
        <v>0</v>
      </c>
      <c r="BU43" s="318" t="n">
        <v>-2</v>
      </c>
      <c r="BV43" s="317" t="n">
        <v>0</v>
      </c>
      <c r="BW43" s="318" t="n">
        <v>-2</v>
      </c>
      <c r="BY43" s="143"/>
      <c r="BZ43" s="315"/>
      <c r="CA43" s="144" t="s">
        <v>12</v>
      </c>
      <c r="CB43" s="315"/>
      <c r="CC43" s="144" t="n">
        <v>-153.155371900826</v>
      </c>
      <c r="CD43" s="144" t="n">
        <v>-182.955371900826</v>
      </c>
      <c r="CE43" s="144" t="n">
        <v>-182.955371900826</v>
      </c>
      <c r="CF43" s="315"/>
      <c r="CG43" s="144" t="n">
        <v>-173.355371900827</v>
      </c>
      <c r="CH43" s="144" t="n">
        <v>-182.955371900826</v>
      </c>
      <c r="CI43" s="144" t="n">
        <v>-182.955371900826</v>
      </c>
      <c r="CJ43" s="144" t="n">
        <v>-182.955371900826</v>
      </c>
      <c r="CK43" s="144" t="n">
        <v>-182.955371900826</v>
      </c>
      <c r="CM43" s="144" t="n">
        <v>916.528925619835</v>
      </c>
      <c r="CO43" s="319"/>
      <c r="CP43" s="320"/>
      <c r="CQ43" s="321" t="s">
        <v>12</v>
      </c>
      <c r="CR43" s="320"/>
      <c r="CS43" s="322" t="n">
        <v>-152.328925619835</v>
      </c>
      <c r="CT43" s="322" t="n">
        <v>-182.128925619835</v>
      </c>
      <c r="CU43" s="322" t="n">
        <v>-182.128925619835</v>
      </c>
      <c r="CV43" s="323"/>
      <c r="CW43" s="322" t="n">
        <v>-172.528925619835</v>
      </c>
      <c r="CX43" s="322" t="n">
        <v>-182.128925619835</v>
      </c>
      <c r="CY43" s="322" t="n">
        <v>-182.128925619835</v>
      </c>
      <c r="CZ43" s="322" t="n">
        <v>-182.128925619835</v>
      </c>
      <c r="DA43" s="322" t="n">
        <v>-182.128925619835</v>
      </c>
    </row>
    <row r="44" customFormat="false" ht="12.75" hidden="false" customHeight="false" outlineLevel="0" collapsed="false">
      <c r="B44" s="305" t="s">
        <v>112</v>
      </c>
      <c r="C44" s="305" t="s">
        <v>437</v>
      </c>
      <c r="D44" s="306" t="n">
        <v>998</v>
      </c>
      <c r="E44" s="306" t="n">
        <v>3.25</v>
      </c>
      <c r="F44" s="324" t="s">
        <v>432</v>
      </c>
      <c r="G44" s="144" t="n">
        <v>48</v>
      </c>
      <c r="H44" s="325" t="n">
        <v>917.355371900826</v>
      </c>
      <c r="I44" s="2"/>
      <c r="J44" s="144" t="s">
        <v>12</v>
      </c>
      <c r="K44" s="309" t="s">
        <v>12</v>
      </c>
      <c r="L44" s="310"/>
      <c r="M44" s="311" t="n">
        <v>169</v>
      </c>
      <c r="N44" s="312" t="n">
        <v>12.4</v>
      </c>
      <c r="O44" s="311" t="n">
        <v>0</v>
      </c>
      <c r="P44" s="312" t="n">
        <v>15.3</v>
      </c>
      <c r="Q44" s="310" t="n">
        <v>0</v>
      </c>
      <c r="R44" s="312" t="n">
        <v>15.3</v>
      </c>
      <c r="S44" s="310"/>
      <c r="T44" s="311" t="n">
        <v>0</v>
      </c>
      <c r="U44" s="312" t="n">
        <v>15.5</v>
      </c>
      <c r="V44" s="311" t="n">
        <v>0</v>
      </c>
      <c r="W44" s="312" t="n">
        <v>15.3</v>
      </c>
      <c r="X44" s="311" t="n">
        <v>0</v>
      </c>
      <c r="Y44" s="312" t="n">
        <v>15.3</v>
      </c>
      <c r="Z44" s="313" t="n">
        <v>0</v>
      </c>
      <c r="AA44" s="314" t="n">
        <v>15.3</v>
      </c>
      <c r="AB44" s="313" t="n">
        <v>0</v>
      </c>
      <c r="AC44" s="314" t="n">
        <v>15.3</v>
      </c>
      <c r="AD44" s="315"/>
      <c r="AE44" s="144" t="n">
        <v>81</v>
      </c>
      <c r="AF44" s="315"/>
      <c r="AG44" s="311" t="n">
        <v>0</v>
      </c>
      <c r="AH44" s="309" t="n">
        <v>0</v>
      </c>
      <c r="AI44" s="310"/>
      <c r="AJ44" s="311" t="n">
        <v>234</v>
      </c>
      <c r="AK44" s="309" t="n">
        <v>595.2</v>
      </c>
      <c r="AL44" s="311" t="n">
        <v>264</v>
      </c>
      <c r="AM44" s="309" t="n">
        <v>734.4</v>
      </c>
      <c r="AN44" s="310" t="n">
        <v>264</v>
      </c>
      <c r="AO44" s="309" t="n">
        <v>734.4</v>
      </c>
      <c r="AP44" s="310"/>
      <c r="AQ44" s="311" t="n">
        <v>254</v>
      </c>
      <c r="AR44" s="309" t="n">
        <v>744</v>
      </c>
      <c r="AS44" s="311" t="n">
        <v>264</v>
      </c>
      <c r="AT44" s="309" t="n">
        <v>734.4</v>
      </c>
      <c r="AU44" s="310" t="n">
        <v>264</v>
      </c>
      <c r="AV44" s="309" t="n">
        <v>734.4</v>
      </c>
      <c r="AW44" s="310" t="n">
        <v>264</v>
      </c>
      <c r="AX44" s="309" t="n">
        <v>734.4</v>
      </c>
      <c r="AY44" s="310" t="n">
        <v>264</v>
      </c>
      <c r="AZ44" s="309" t="n">
        <v>734.4</v>
      </c>
      <c r="BB44" s="144" t="n">
        <v>0</v>
      </c>
      <c r="BC44" s="315"/>
      <c r="BD44" s="311" t="n">
        <v>0</v>
      </c>
      <c r="BE44" s="316" t="n">
        <v>0</v>
      </c>
      <c r="BF44" s="310"/>
      <c r="BG44" s="317" t="n">
        <v>0</v>
      </c>
      <c r="BH44" s="318" t="n">
        <v>0</v>
      </c>
      <c r="BI44" s="317" t="n">
        <v>0</v>
      </c>
      <c r="BJ44" s="318" t="n">
        <v>0</v>
      </c>
      <c r="BK44" s="317" t="n">
        <v>0</v>
      </c>
      <c r="BL44" s="318" t="n">
        <v>0</v>
      </c>
      <c r="BM44" s="310"/>
      <c r="BN44" s="317" t="n">
        <v>0</v>
      </c>
      <c r="BO44" s="318" t="n">
        <v>0</v>
      </c>
      <c r="BP44" s="317" t="n">
        <v>0</v>
      </c>
      <c r="BQ44" s="318" t="n">
        <v>0</v>
      </c>
      <c r="BR44" s="317" t="n">
        <v>0</v>
      </c>
      <c r="BS44" s="318" t="n">
        <v>0</v>
      </c>
      <c r="BT44" s="317" t="n">
        <v>0</v>
      </c>
      <c r="BU44" s="318" t="n">
        <v>0</v>
      </c>
      <c r="BV44" s="317" t="n">
        <v>0</v>
      </c>
      <c r="BW44" s="318" t="n">
        <v>0</v>
      </c>
      <c r="BY44" s="143"/>
      <c r="BZ44" s="315"/>
      <c r="CA44" s="144" t="s">
        <v>12</v>
      </c>
      <c r="CB44" s="315"/>
      <c r="CC44" s="144" t="n">
        <v>-153.155371900826</v>
      </c>
      <c r="CD44" s="144" t="n">
        <v>-182.955371900826</v>
      </c>
      <c r="CE44" s="144" t="n">
        <v>-182.955371900826</v>
      </c>
      <c r="CF44" s="315"/>
      <c r="CG44" s="144" t="n">
        <v>-173.355371900827</v>
      </c>
      <c r="CH44" s="144" t="n">
        <v>-182.955371900826</v>
      </c>
      <c r="CI44" s="144" t="n">
        <v>-182.955371900826</v>
      </c>
      <c r="CJ44" s="144" t="n">
        <v>-182.955371900826</v>
      </c>
      <c r="CK44" s="144" t="n">
        <v>-182.955371900826</v>
      </c>
      <c r="CM44" s="144" t="n">
        <v>916.528925619835</v>
      </c>
      <c r="CO44" s="319"/>
      <c r="CP44" s="320"/>
      <c r="CQ44" s="321" t="s">
        <v>12</v>
      </c>
      <c r="CR44" s="320"/>
      <c r="CS44" s="322" t="n">
        <v>-152.328925619835</v>
      </c>
      <c r="CT44" s="322" t="n">
        <v>-182.128925619835</v>
      </c>
      <c r="CU44" s="322" t="n">
        <v>-182.128925619835</v>
      </c>
      <c r="CV44" s="323"/>
      <c r="CW44" s="322" t="n">
        <v>-172.528925619835</v>
      </c>
      <c r="CX44" s="322" t="n">
        <v>-182.128925619835</v>
      </c>
      <c r="CY44" s="322" t="n">
        <v>-182.128925619835</v>
      </c>
      <c r="CZ44" s="322" t="n">
        <v>-182.128925619835</v>
      </c>
      <c r="DA44" s="322" t="n">
        <v>-182.128925619835</v>
      </c>
    </row>
    <row r="45" customFormat="false" ht="12.75" hidden="false" customHeight="false" outlineLevel="0" collapsed="false">
      <c r="B45" s="305" t="s">
        <v>112</v>
      </c>
      <c r="C45" s="305" t="s">
        <v>438</v>
      </c>
      <c r="D45" s="306" t="n">
        <v>1097</v>
      </c>
      <c r="E45" s="306" t="n">
        <v>3.25</v>
      </c>
      <c r="F45" s="306" t="s">
        <v>432</v>
      </c>
      <c r="G45" s="307" t="n">
        <v>24</v>
      </c>
      <c r="H45" s="308" t="n">
        <v>1016.52892561983</v>
      </c>
      <c r="I45" s="2"/>
      <c r="J45" s="144" t="s">
        <v>12</v>
      </c>
      <c r="K45" s="309" t="s">
        <v>12</v>
      </c>
      <c r="L45" s="310"/>
      <c r="M45" s="311" t="n">
        <v>169</v>
      </c>
      <c r="N45" s="312" t="n">
        <v>29</v>
      </c>
      <c r="O45" s="311" t="n">
        <v>0</v>
      </c>
      <c r="P45" s="312" t="n">
        <v>34.8</v>
      </c>
      <c r="Q45" s="310" t="n">
        <v>0</v>
      </c>
      <c r="R45" s="312" t="n">
        <v>34.8</v>
      </c>
      <c r="S45" s="310"/>
      <c r="T45" s="311" t="n">
        <v>0</v>
      </c>
      <c r="U45" s="312" t="n">
        <v>35.2</v>
      </c>
      <c r="V45" s="311" t="n">
        <v>0</v>
      </c>
      <c r="W45" s="312" t="n">
        <v>34.8</v>
      </c>
      <c r="X45" s="311" t="n">
        <v>0</v>
      </c>
      <c r="Y45" s="312" t="n">
        <v>34.8</v>
      </c>
      <c r="Z45" s="313" t="n">
        <v>0</v>
      </c>
      <c r="AA45" s="314" t="n">
        <v>34.7</v>
      </c>
      <c r="AB45" s="313" t="n">
        <v>0</v>
      </c>
      <c r="AC45" s="314" t="n">
        <v>34.7</v>
      </c>
      <c r="AD45" s="315"/>
      <c r="AE45" s="144" t="n">
        <v>80</v>
      </c>
      <c r="AF45" s="315"/>
      <c r="AG45" s="311" t="n">
        <v>0</v>
      </c>
      <c r="AH45" s="309" t="n">
        <v>0</v>
      </c>
      <c r="AI45" s="310"/>
      <c r="AJ45" s="311" t="n">
        <v>232</v>
      </c>
      <c r="AK45" s="309" t="n">
        <v>696</v>
      </c>
      <c r="AL45" s="311" t="n">
        <v>262</v>
      </c>
      <c r="AM45" s="309" t="n">
        <v>835.2</v>
      </c>
      <c r="AN45" s="311" t="n">
        <v>262</v>
      </c>
      <c r="AO45" s="309" t="n">
        <v>835.2</v>
      </c>
      <c r="AP45" s="310"/>
      <c r="AQ45" s="311" t="n">
        <v>252</v>
      </c>
      <c r="AR45" s="309" t="n">
        <v>844.8</v>
      </c>
      <c r="AS45" s="311" t="n">
        <v>262</v>
      </c>
      <c r="AT45" s="309" t="n">
        <v>835.2</v>
      </c>
      <c r="AU45" s="311" t="n">
        <v>262</v>
      </c>
      <c r="AV45" s="309" t="n">
        <v>835.2</v>
      </c>
      <c r="AW45" s="311" t="n">
        <v>264</v>
      </c>
      <c r="AX45" s="309" t="n">
        <v>832.8</v>
      </c>
      <c r="AY45" s="311" t="n">
        <v>264</v>
      </c>
      <c r="AZ45" s="309" t="n">
        <v>832.8</v>
      </c>
      <c r="BB45" s="144" t="n">
        <v>0</v>
      </c>
      <c r="BC45" s="315"/>
      <c r="BD45" s="311" t="n">
        <v>0</v>
      </c>
      <c r="BE45" s="316" t="n">
        <v>0</v>
      </c>
      <c r="BF45" s="310"/>
      <c r="BG45" s="317" t="n">
        <v>0</v>
      </c>
      <c r="BH45" s="318" t="n">
        <v>-1.8</v>
      </c>
      <c r="BI45" s="317" t="n">
        <v>0</v>
      </c>
      <c r="BJ45" s="318" t="n">
        <v>-2</v>
      </c>
      <c r="BK45" s="317" t="n">
        <v>0</v>
      </c>
      <c r="BL45" s="318" t="n">
        <v>-2</v>
      </c>
      <c r="BM45" s="310"/>
      <c r="BN45" s="317" t="n">
        <v>0</v>
      </c>
      <c r="BO45" s="318" t="n">
        <v>-1.8</v>
      </c>
      <c r="BP45" s="317" t="n">
        <v>0</v>
      </c>
      <c r="BQ45" s="318" t="n">
        <v>-2</v>
      </c>
      <c r="BR45" s="317" t="n">
        <v>0</v>
      </c>
      <c r="BS45" s="318" t="n">
        <v>-2</v>
      </c>
      <c r="BT45" s="317" t="n">
        <v>0</v>
      </c>
      <c r="BU45" s="318" t="n">
        <v>-2.1</v>
      </c>
      <c r="BV45" s="317" t="n">
        <v>0</v>
      </c>
      <c r="BW45" s="318" t="n">
        <v>-2.1</v>
      </c>
      <c r="BY45" s="143"/>
      <c r="BZ45" s="315"/>
      <c r="CA45" s="144" t="s">
        <v>12</v>
      </c>
      <c r="CB45" s="315"/>
      <c r="CC45" s="144" t="n">
        <v>-151.528925619835</v>
      </c>
      <c r="CD45" s="144" t="n">
        <v>-181.328925619835</v>
      </c>
      <c r="CE45" s="144" t="n">
        <v>-181.328925619835</v>
      </c>
      <c r="CF45" s="315"/>
      <c r="CG45" s="144" t="n">
        <v>-171.728925619835</v>
      </c>
      <c r="CH45" s="144" t="n">
        <v>-181.328925619835</v>
      </c>
      <c r="CI45" s="144" t="n">
        <v>-181.328925619835</v>
      </c>
      <c r="CJ45" s="144" t="n">
        <v>-183.728925619835</v>
      </c>
      <c r="CK45" s="144" t="n">
        <v>-183.728925619835</v>
      </c>
      <c r="CM45" s="144" t="n">
        <v>1023.96694214876</v>
      </c>
      <c r="CO45" s="319"/>
      <c r="CP45" s="320"/>
      <c r="CQ45" s="321" t="s">
        <v>12</v>
      </c>
      <c r="CR45" s="320"/>
      <c r="CS45" s="322" t="n">
        <v>-158.96694214876</v>
      </c>
      <c r="CT45" s="322" t="n">
        <v>-188.76694214876</v>
      </c>
      <c r="CU45" s="322" t="n">
        <v>-188.76694214876</v>
      </c>
      <c r="CV45" s="323"/>
      <c r="CW45" s="322" t="n">
        <v>-179.16694214876</v>
      </c>
      <c r="CX45" s="322" t="n">
        <v>-188.76694214876</v>
      </c>
      <c r="CY45" s="322" t="n">
        <v>-188.76694214876</v>
      </c>
      <c r="CZ45" s="322" t="n">
        <v>-191.16694214876</v>
      </c>
      <c r="DA45" s="322" t="n">
        <v>-191.16694214876</v>
      </c>
    </row>
    <row r="46" customFormat="false" ht="12.75" hidden="false" customHeight="false" outlineLevel="0" collapsed="false">
      <c r="B46" s="305" t="s">
        <v>112</v>
      </c>
      <c r="C46" s="305" t="s">
        <v>438</v>
      </c>
      <c r="D46" s="306" t="n">
        <v>1097</v>
      </c>
      <c r="E46" s="306" t="n">
        <v>3.25</v>
      </c>
      <c r="F46" s="324" t="s">
        <v>432</v>
      </c>
      <c r="G46" s="144" t="n">
        <v>48</v>
      </c>
      <c r="H46" s="325" t="n">
        <v>1016.52892561983</v>
      </c>
      <c r="I46" s="2"/>
      <c r="J46" s="144" t="s">
        <v>12</v>
      </c>
      <c r="K46" s="309" t="s">
        <v>12</v>
      </c>
      <c r="L46" s="310"/>
      <c r="M46" s="311" t="n">
        <v>169</v>
      </c>
      <c r="N46" s="312" t="n">
        <v>14.5</v>
      </c>
      <c r="O46" s="311" t="n">
        <v>0</v>
      </c>
      <c r="P46" s="312" t="n">
        <v>17.4</v>
      </c>
      <c r="Q46" s="310" t="n">
        <v>0</v>
      </c>
      <c r="R46" s="312" t="n">
        <v>17.4</v>
      </c>
      <c r="S46" s="310"/>
      <c r="T46" s="311" t="n">
        <v>0</v>
      </c>
      <c r="U46" s="312" t="n">
        <v>17.6</v>
      </c>
      <c r="V46" s="311" t="n">
        <v>0</v>
      </c>
      <c r="W46" s="312" t="n">
        <v>17.4</v>
      </c>
      <c r="X46" s="311" t="n">
        <v>0</v>
      </c>
      <c r="Y46" s="312" t="n">
        <v>17.4</v>
      </c>
      <c r="Z46" s="313" t="n">
        <v>0</v>
      </c>
      <c r="AA46" s="314" t="n">
        <v>17.4</v>
      </c>
      <c r="AB46" s="313" t="n">
        <v>0</v>
      </c>
      <c r="AC46" s="314" t="n">
        <v>17.4</v>
      </c>
      <c r="AD46" s="315"/>
      <c r="AE46" s="144" t="n">
        <v>80</v>
      </c>
      <c r="AF46" s="315"/>
      <c r="AG46" s="311" t="n">
        <v>0</v>
      </c>
      <c r="AH46" s="309" t="n">
        <v>0</v>
      </c>
      <c r="AI46" s="310"/>
      <c r="AJ46" s="311" t="n">
        <v>232</v>
      </c>
      <c r="AK46" s="309" t="n">
        <v>696</v>
      </c>
      <c r="AL46" s="311" t="n">
        <v>262</v>
      </c>
      <c r="AM46" s="309" t="n">
        <v>835.2</v>
      </c>
      <c r="AN46" s="310" t="n">
        <v>262</v>
      </c>
      <c r="AO46" s="309" t="n">
        <v>835.2</v>
      </c>
      <c r="AP46" s="310"/>
      <c r="AQ46" s="311" t="n">
        <v>252</v>
      </c>
      <c r="AR46" s="309" t="n">
        <v>844.8</v>
      </c>
      <c r="AS46" s="311" t="n">
        <v>262</v>
      </c>
      <c r="AT46" s="309" t="n">
        <v>835.2</v>
      </c>
      <c r="AU46" s="310" t="n">
        <v>262</v>
      </c>
      <c r="AV46" s="309" t="n">
        <v>835.2</v>
      </c>
      <c r="AW46" s="310" t="n">
        <v>262</v>
      </c>
      <c r="AX46" s="309" t="n">
        <v>835.2</v>
      </c>
      <c r="AY46" s="310" t="n">
        <v>262</v>
      </c>
      <c r="AZ46" s="309" t="n">
        <v>835.2</v>
      </c>
      <c r="BB46" s="144" t="n">
        <v>0</v>
      </c>
      <c r="BC46" s="315"/>
      <c r="BD46" s="311" t="n">
        <v>0</v>
      </c>
      <c r="BE46" s="316" t="n">
        <v>0</v>
      </c>
      <c r="BF46" s="310"/>
      <c r="BG46" s="317" t="n">
        <v>0</v>
      </c>
      <c r="BH46" s="318" t="n">
        <v>0</v>
      </c>
      <c r="BI46" s="317" t="n">
        <v>0</v>
      </c>
      <c r="BJ46" s="318" t="n">
        <v>0</v>
      </c>
      <c r="BK46" s="317" t="n">
        <v>0</v>
      </c>
      <c r="BL46" s="318" t="n">
        <v>0</v>
      </c>
      <c r="BM46" s="310"/>
      <c r="BN46" s="317" t="n">
        <v>0</v>
      </c>
      <c r="BO46" s="318" t="n">
        <v>0</v>
      </c>
      <c r="BP46" s="317" t="n">
        <v>0</v>
      </c>
      <c r="BQ46" s="318" t="n">
        <v>0</v>
      </c>
      <c r="BR46" s="317" t="n">
        <v>0</v>
      </c>
      <c r="BS46" s="318" t="n">
        <v>0</v>
      </c>
      <c r="BT46" s="317" t="n">
        <v>0</v>
      </c>
      <c r="BU46" s="318" t="n">
        <v>0</v>
      </c>
      <c r="BV46" s="317" t="n">
        <v>0</v>
      </c>
      <c r="BW46" s="318" t="n">
        <v>0</v>
      </c>
      <c r="BY46" s="143"/>
      <c r="BZ46" s="315"/>
      <c r="CA46" s="144" t="s">
        <v>12</v>
      </c>
      <c r="CB46" s="315"/>
      <c r="CC46" s="144" t="n">
        <v>-151.528925619835</v>
      </c>
      <c r="CD46" s="144" t="n">
        <v>-181.328925619835</v>
      </c>
      <c r="CE46" s="144" t="n">
        <v>-181.328925619835</v>
      </c>
      <c r="CF46" s="315"/>
      <c r="CG46" s="144" t="n">
        <v>-171.728925619835</v>
      </c>
      <c r="CH46" s="144" t="n">
        <v>-181.328925619835</v>
      </c>
      <c r="CI46" s="144" t="n">
        <v>-181.328925619835</v>
      </c>
      <c r="CJ46" s="144" t="n">
        <v>-181.328925619835</v>
      </c>
      <c r="CK46" s="144" t="n">
        <v>-181.328925619835</v>
      </c>
      <c r="CM46" s="144" t="n">
        <v>1023.96694214876</v>
      </c>
      <c r="CO46" s="319"/>
      <c r="CP46" s="320"/>
      <c r="CQ46" s="321" t="s">
        <v>12</v>
      </c>
      <c r="CR46" s="320"/>
      <c r="CS46" s="322" t="n">
        <v>-158.96694214876</v>
      </c>
      <c r="CT46" s="322" t="n">
        <v>-188.76694214876</v>
      </c>
      <c r="CU46" s="322" t="n">
        <v>-188.76694214876</v>
      </c>
      <c r="CV46" s="323"/>
      <c r="CW46" s="322" t="n">
        <v>-179.16694214876</v>
      </c>
      <c r="CX46" s="322" t="n">
        <v>-188.76694214876</v>
      </c>
      <c r="CY46" s="322" t="n">
        <v>-188.76694214876</v>
      </c>
      <c r="CZ46" s="322" t="n">
        <v>-188.76694214876</v>
      </c>
      <c r="DA46" s="322" t="n">
        <v>-188.76694214876</v>
      </c>
    </row>
    <row r="47" customFormat="false" ht="12.75" hidden="false" customHeight="false" outlineLevel="0" collapsed="false">
      <c r="B47" s="305" t="s">
        <v>112</v>
      </c>
      <c r="C47" s="305" t="s">
        <v>439</v>
      </c>
      <c r="D47" s="306" t="n">
        <v>1074</v>
      </c>
      <c r="E47" s="306" t="n">
        <v>3.25</v>
      </c>
      <c r="F47" s="306" t="s">
        <v>432</v>
      </c>
      <c r="G47" s="307" t="n">
        <v>24</v>
      </c>
      <c r="H47" s="308" t="n">
        <v>1001.65289256198</v>
      </c>
      <c r="I47" s="2"/>
      <c r="J47" s="144" t="s">
        <v>12</v>
      </c>
      <c r="K47" s="309" t="s">
        <v>12</v>
      </c>
      <c r="L47" s="310"/>
      <c r="M47" s="311" t="n">
        <v>169</v>
      </c>
      <c r="N47" s="312" t="n">
        <v>28.4</v>
      </c>
      <c r="O47" s="311" t="n">
        <v>0</v>
      </c>
      <c r="P47" s="312" t="n">
        <v>34.1</v>
      </c>
      <c r="Q47" s="310" t="n">
        <v>0</v>
      </c>
      <c r="R47" s="312" t="n">
        <v>34.1</v>
      </c>
      <c r="S47" s="310"/>
      <c r="T47" s="311" t="n">
        <v>0</v>
      </c>
      <c r="U47" s="312" t="n">
        <v>34.6</v>
      </c>
      <c r="V47" s="311" t="n">
        <v>0</v>
      </c>
      <c r="W47" s="312" t="n">
        <v>34.1</v>
      </c>
      <c r="X47" s="311" t="n">
        <v>0</v>
      </c>
      <c r="Y47" s="312" t="n">
        <v>34.1</v>
      </c>
      <c r="Z47" s="313" t="n">
        <v>0</v>
      </c>
      <c r="AA47" s="314" t="n">
        <v>34.1</v>
      </c>
      <c r="AB47" s="313" t="n">
        <v>0</v>
      </c>
      <c r="AC47" s="314" t="n">
        <v>34.1</v>
      </c>
      <c r="AD47" s="315"/>
      <c r="AE47" s="144" t="n">
        <v>72</v>
      </c>
      <c r="AF47" s="315"/>
      <c r="AG47" s="311" t="n">
        <v>0</v>
      </c>
      <c r="AH47" s="309" t="n">
        <v>0</v>
      </c>
      <c r="AI47" s="310"/>
      <c r="AJ47" s="311" t="n">
        <v>223</v>
      </c>
      <c r="AK47" s="309" t="n">
        <v>681.6</v>
      </c>
      <c r="AL47" s="311" t="n">
        <v>256</v>
      </c>
      <c r="AM47" s="309" t="n">
        <v>818.4</v>
      </c>
      <c r="AN47" s="311" t="n">
        <v>256</v>
      </c>
      <c r="AO47" s="309" t="n">
        <v>818.4</v>
      </c>
      <c r="AP47" s="310"/>
      <c r="AQ47" s="311" t="n">
        <v>244</v>
      </c>
      <c r="AR47" s="309" t="n">
        <v>830.4</v>
      </c>
      <c r="AS47" s="311" t="n">
        <v>256</v>
      </c>
      <c r="AT47" s="309" t="n">
        <v>818.4</v>
      </c>
      <c r="AU47" s="311" t="n">
        <v>256</v>
      </c>
      <c r="AV47" s="309" t="n">
        <v>818.4</v>
      </c>
      <c r="AW47" s="311" t="n">
        <v>256</v>
      </c>
      <c r="AX47" s="309" t="n">
        <v>818.4</v>
      </c>
      <c r="AY47" s="311" t="n">
        <v>256</v>
      </c>
      <c r="AZ47" s="309" t="n">
        <v>818.4</v>
      </c>
      <c r="BB47" s="144" t="n">
        <v>0</v>
      </c>
      <c r="BC47" s="315"/>
      <c r="BD47" s="311" t="n">
        <v>0</v>
      </c>
      <c r="BE47" s="316" t="n">
        <v>0</v>
      </c>
      <c r="BF47" s="310"/>
      <c r="BG47" s="317" t="n">
        <v>0</v>
      </c>
      <c r="BH47" s="318" t="n">
        <v>-1.4</v>
      </c>
      <c r="BI47" s="317" t="n">
        <v>0</v>
      </c>
      <c r="BJ47" s="318" t="n">
        <v>-1.7</v>
      </c>
      <c r="BK47" s="317" t="n">
        <v>0</v>
      </c>
      <c r="BL47" s="318" t="n">
        <v>-1.7</v>
      </c>
      <c r="BM47" s="310"/>
      <c r="BN47" s="317" t="n">
        <v>0</v>
      </c>
      <c r="BO47" s="318" t="n">
        <v>-1.4</v>
      </c>
      <c r="BP47" s="317" t="n">
        <v>0</v>
      </c>
      <c r="BQ47" s="318" t="n">
        <v>0</v>
      </c>
      <c r="BR47" s="317" t="n">
        <v>0</v>
      </c>
      <c r="BS47" s="318" t="n">
        <v>0</v>
      </c>
      <c r="BT47" s="317" t="n">
        <v>0</v>
      </c>
      <c r="BU47" s="318" t="n">
        <v>0</v>
      </c>
      <c r="BV47" s="317" t="n">
        <v>0</v>
      </c>
      <c r="BW47" s="318" t="n">
        <v>0</v>
      </c>
      <c r="BY47" s="143"/>
      <c r="BZ47" s="315"/>
      <c r="CA47" s="144" t="s">
        <v>12</v>
      </c>
      <c r="CB47" s="315"/>
      <c r="CC47" s="144" t="n">
        <v>-151.052892561984</v>
      </c>
      <c r="CD47" s="144" t="n">
        <v>-183.252892561983</v>
      </c>
      <c r="CE47" s="144" t="n">
        <v>-183.252892561983</v>
      </c>
      <c r="CF47" s="315"/>
      <c r="CG47" s="144" t="n">
        <v>-171.252892561983</v>
      </c>
      <c r="CH47" s="144" t="n">
        <v>-183.252892561983</v>
      </c>
      <c r="CI47" s="144" t="n">
        <v>-183.252892561983</v>
      </c>
      <c r="CJ47" s="144" t="n">
        <v>-183.252892561983</v>
      </c>
      <c r="CK47" s="144" t="n">
        <v>-183.252892561983</v>
      </c>
      <c r="CM47" s="144" t="n">
        <v>1007.43801652893</v>
      </c>
      <c r="CO47" s="319"/>
      <c r="CP47" s="320"/>
      <c r="CQ47" s="321" t="s">
        <v>12</v>
      </c>
      <c r="CR47" s="320"/>
      <c r="CS47" s="322" t="n">
        <v>-156.838016528926</v>
      </c>
      <c r="CT47" s="322" t="n">
        <v>-189.038016528926</v>
      </c>
      <c r="CU47" s="322" t="n">
        <v>-189.038016528926</v>
      </c>
      <c r="CV47" s="323"/>
      <c r="CW47" s="322" t="n">
        <v>-177.038016528926</v>
      </c>
      <c r="CX47" s="322" t="n">
        <v>-189.038016528926</v>
      </c>
      <c r="CY47" s="322" t="n">
        <v>-189.038016528926</v>
      </c>
      <c r="CZ47" s="322" t="n">
        <v>-189.038016528926</v>
      </c>
      <c r="DA47" s="322" t="n">
        <v>-189.038016528926</v>
      </c>
    </row>
    <row r="48" customFormat="false" ht="12.75" hidden="false" customHeight="false" outlineLevel="0" collapsed="false">
      <c r="B48" s="305" t="s">
        <v>112</v>
      </c>
      <c r="C48" s="305" t="s">
        <v>439</v>
      </c>
      <c r="D48" s="306" t="n">
        <v>1074</v>
      </c>
      <c r="E48" s="306" t="n">
        <v>3.25</v>
      </c>
      <c r="F48" s="324" t="s">
        <v>432</v>
      </c>
      <c r="G48" s="144" t="n">
        <v>48</v>
      </c>
      <c r="H48" s="325" t="n">
        <v>1001.65289256198</v>
      </c>
      <c r="I48" s="2"/>
      <c r="J48" s="144" t="s">
        <v>12</v>
      </c>
      <c r="K48" s="309" t="s">
        <v>12</v>
      </c>
      <c r="L48" s="310"/>
      <c r="M48" s="311" t="n">
        <v>169</v>
      </c>
      <c r="N48" s="312" t="n">
        <v>14.2</v>
      </c>
      <c r="O48" s="311" t="n">
        <v>0</v>
      </c>
      <c r="P48" s="312" t="n">
        <v>17.1</v>
      </c>
      <c r="Q48" s="310" t="n">
        <v>0</v>
      </c>
      <c r="R48" s="312" t="n">
        <v>17.1</v>
      </c>
      <c r="S48" s="310"/>
      <c r="T48" s="311" t="n">
        <v>0</v>
      </c>
      <c r="U48" s="312" t="n">
        <v>17.3</v>
      </c>
      <c r="V48" s="311" t="n">
        <v>0</v>
      </c>
      <c r="W48" s="312" t="n">
        <v>17.1</v>
      </c>
      <c r="X48" s="311" t="n">
        <v>0</v>
      </c>
      <c r="Y48" s="312" t="n">
        <v>17.1</v>
      </c>
      <c r="Z48" s="313" t="n">
        <v>0</v>
      </c>
      <c r="AA48" s="314" t="n">
        <v>17.1</v>
      </c>
      <c r="AB48" s="313" t="n">
        <v>0</v>
      </c>
      <c r="AC48" s="314" t="n">
        <v>17.1</v>
      </c>
      <c r="AD48" s="315"/>
      <c r="AE48" s="144" t="n">
        <v>72</v>
      </c>
      <c r="AF48" s="315"/>
      <c r="AG48" s="311" t="n">
        <v>0</v>
      </c>
      <c r="AH48" s="309" t="n">
        <v>0</v>
      </c>
      <c r="AI48" s="310"/>
      <c r="AJ48" s="311" t="n">
        <v>223</v>
      </c>
      <c r="AK48" s="309" t="n">
        <v>681.6</v>
      </c>
      <c r="AL48" s="311" t="n">
        <v>253</v>
      </c>
      <c r="AM48" s="309" t="n">
        <v>820.8</v>
      </c>
      <c r="AN48" s="310" t="n">
        <v>253</v>
      </c>
      <c r="AO48" s="309" t="n">
        <v>820.8</v>
      </c>
      <c r="AP48" s="310"/>
      <c r="AQ48" s="311" t="n">
        <v>244</v>
      </c>
      <c r="AR48" s="309" t="n">
        <v>830.4</v>
      </c>
      <c r="AS48" s="311" t="n">
        <v>253</v>
      </c>
      <c r="AT48" s="309" t="n">
        <v>820.8</v>
      </c>
      <c r="AU48" s="310" t="n">
        <v>253</v>
      </c>
      <c r="AV48" s="309" t="n">
        <v>820.8</v>
      </c>
      <c r="AW48" s="310" t="n">
        <v>253</v>
      </c>
      <c r="AX48" s="309" t="n">
        <v>820.8</v>
      </c>
      <c r="AY48" s="310" t="n">
        <v>253</v>
      </c>
      <c r="AZ48" s="309" t="n">
        <v>820.8</v>
      </c>
      <c r="BB48" s="144" t="n">
        <v>0</v>
      </c>
      <c r="BC48" s="315"/>
      <c r="BD48" s="311" t="n">
        <v>0</v>
      </c>
      <c r="BE48" s="316" t="n">
        <v>0</v>
      </c>
      <c r="BF48" s="310"/>
      <c r="BG48" s="317" t="n">
        <v>0</v>
      </c>
      <c r="BH48" s="318" t="n">
        <v>0</v>
      </c>
      <c r="BI48" s="317" t="n">
        <v>0</v>
      </c>
      <c r="BJ48" s="318" t="n">
        <v>0</v>
      </c>
      <c r="BK48" s="317" t="n">
        <v>0</v>
      </c>
      <c r="BL48" s="318" t="n">
        <v>0</v>
      </c>
      <c r="BM48" s="310"/>
      <c r="BN48" s="317" t="n">
        <v>0</v>
      </c>
      <c r="BO48" s="318" t="n">
        <v>0</v>
      </c>
      <c r="BP48" s="317" t="n">
        <v>0</v>
      </c>
      <c r="BQ48" s="318" t="n">
        <v>0</v>
      </c>
      <c r="BR48" s="317" t="n">
        <v>0</v>
      </c>
      <c r="BS48" s="318" t="n">
        <v>0</v>
      </c>
      <c r="BT48" s="317" t="n">
        <v>0</v>
      </c>
      <c r="BU48" s="318" t="n">
        <v>0</v>
      </c>
      <c r="BV48" s="317" t="n">
        <v>0</v>
      </c>
      <c r="BW48" s="318" t="n">
        <v>0</v>
      </c>
      <c r="BY48" s="143"/>
      <c r="BZ48" s="315"/>
      <c r="CA48" s="144" t="s">
        <v>12</v>
      </c>
      <c r="CB48" s="315"/>
      <c r="CC48" s="144" t="n">
        <v>-151.052892561984</v>
      </c>
      <c r="CD48" s="144" t="n">
        <v>-180.852892561984</v>
      </c>
      <c r="CE48" s="144" t="n">
        <v>-180.852892561984</v>
      </c>
      <c r="CF48" s="315"/>
      <c r="CG48" s="144" t="n">
        <v>-171.252892561983</v>
      </c>
      <c r="CH48" s="144" t="n">
        <v>-180.852892561984</v>
      </c>
      <c r="CI48" s="144" t="n">
        <v>-180.852892561984</v>
      </c>
      <c r="CJ48" s="144" t="n">
        <v>-180.852892561984</v>
      </c>
      <c r="CK48" s="144" t="n">
        <v>-180.852892561984</v>
      </c>
      <c r="CM48" s="144" t="n">
        <v>1007.43801652893</v>
      </c>
      <c r="CO48" s="319"/>
      <c r="CP48" s="320"/>
      <c r="CQ48" s="321" t="s">
        <v>12</v>
      </c>
      <c r="CR48" s="320"/>
      <c r="CS48" s="322" t="n">
        <v>-156.838016528926</v>
      </c>
      <c r="CT48" s="322" t="n">
        <v>-186.638016528926</v>
      </c>
      <c r="CU48" s="322" t="n">
        <v>-186.638016528926</v>
      </c>
      <c r="CV48" s="323"/>
      <c r="CW48" s="322" t="n">
        <v>-177.038016528926</v>
      </c>
      <c r="CX48" s="322" t="n">
        <v>-186.638016528926</v>
      </c>
      <c r="CY48" s="322" t="n">
        <v>-186.638016528926</v>
      </c>
      <c r="CZ48" s="322" t="n">
        <v>-186.638016528926</v>
      </c>
      <c r="DA48" s="322" t="n">
        <v>-186.638016528926</v>
      </c>
    </row>
    <row r="49" customFormat="false" ht="12.75" hidden="false" customHeight="false" outlineLevel="0" collapsed="false">
      <c r="B49" s="305" t="s">
        <v>112</v>
      </c>
      <c r="C49" s="305" t="s">
        <v>440</v>
      </c>
      <c r="D49" s="306" t="n">
        <v>1174</v>
      </c>
      <c r="E49" s="306" t="n">
        <v>3.25</v>
      </c>
      <c r="F49" s="306" t="s">
        <v>432</v>
      </c>
      <c r="G49" s="307" t="n">
        <v>24</v>
      </c>
      <c r="H49" s="308" t="n">
        <v>1101.65289256198</v>
      </c>
      <c r="I49" s="2"/>
      <c r="J49" s="144" t="s">
        <v>12</v>
      </c>
      <c r="K49" s="309" t="s">
        <v>12</v>
      </c>
      <c r="L49" s="310"/>
      <c r="M49" s="311" t="n">
        <v>169</v>
      </c>
      <c r="N49" s="312" t="n">
        <v>32.5</v>
      </c>
      <c r="O49" s="311" t="n">
        <v>0</v>
      </c>
      <c r="P49" s="312" t="n">
        <v>38.5</v>
      </c>
      <c r="Q49" s="310" t="n">
        <v>0</v>
      </c>
      <c r="R49" s="312" t="n">
        <v>38.5</v>
      </c>
      <c r="S49" s="310"/>
      <c r="T49" s="311" t="n">
        <v>0</v>
      </c>
      <c r="U49" s="312" t="n">
        <v>38.7</v>
      </c>
      <c r="V49" s="311" t="n">
        <v>0</v>
      </c>
      <c r="W49" s="312" t="n">
        <v>38.5</v>
      </c>
      <c r="X49" s="311" t="n">
        <v>0</v>
      </c>
      <c r="Y49" s="312" t="n">
        <v>38.5</v>
      </c>
      <c r="Z49" s="313" t="n">
        <v>0</v>
      </c>
      <c r="AA49" s="314" t="n">
        <v>38.4</v>
      </c>
      <c r="AB49" s="313" t="n">
        <v>0</v>
      </c>
      <c r="AC49" s="314" t="n">
        <v>38.4</v>
      </c>
      <c r="AD49" s="315"/>
      <c r="AE49" s="144" t="n">
        <v>72</v>
      </c>
      <c r="AF49" s="315"/>
      <c r="AG49" s="311" t="n">
        <v>0</v>
      </c>
      <c r="AH49" s="309" t="n">
        <v>0</v>
      </c>
      <c r="AI49" s="310"/>
      <c r="AJ49" s="311" t="n">
        <v>225</v>
      </c>
      <c r="AK49" s="309" t="n">
        <v>780</v>
      </c>
      <c r="AL49" s="311" t="n">
        <v>250</v>
      </c>
      <c r="AM49" s="309" t="n">
        <v>924</v>
      </c>
      <c r="AN49" s="311" t="n">
        <v>250</v>
      </c>
      <c r="AO49" s="309" t="n">
        <v>924</v>
      </c>
      <c r="AP49" s="310"/>
      <c r="AQ49" s="311" t="n">
        <v>245</v>
      </c>
      <c r="AR49" s="309" t="n">
        <v>928.8</v>
      </c>
      <c r="AS49" s="311" t="n">
        <v>250</v>
      </c>
      <c r="AT49" s="309" t="n">
        <v>924</v>
      </c>
      <c r="AU49" s="311" t="n">
        <v>250</v>
      </c>
      <c r="AV49" s="309" t="n">
        <v>924</v>
      </c>
      <c r="AW49" s="311" t="n">
        <v>252</v>
      </c>
      <c r="AX49" s="309" t="n">
        <v>921.6</v>
      </c>
      <c r="AY49" s="311" t="n">
        <v>252</v>
      </c>
      <c r="AZ49" s="309" t="n">
        <v>921.6</v>
      </c>
      <c r="BB49" s="144" t="n">
        <v>0</v>
      </c>
      <c r="BC49" s="315"/>
      <c r="BD49" s="311" t="n">
        <v>0</v>
      </c>
      <c r="BE49" s="316" t="n">
        <v>0</v>
      </c>
      <c r="BF49" s="310"/>
      <c r="BG49" s="317" t="n">
        <v>0</v>
      </c>
      <c r="BH49" s="318" t="n">
        <v>-1.4</v>
      </c>
      <c r="BI49" s="317" t="n">
        <v>0</v>
      </c>
      <c r="BJ49" s="318" t="n">
        <v>-1.40000000000001</v>
      </c>
      <c r="BK49" s="317" t="n">
        <v>0</v>
      </c>
      <c r="BL49" s="318" t="n">
        <v>-1.40000000000001</v>
      </c>
      <c r="BM49" s="310"/>
      <c r="BN49" s="317" t="n">
        <v>0</v>
      </c>
      <c r="BO49" s="318" t="n">
        <v>-1.4</v>
      </c>
      <c r="BP49" s="317" t="n">
        <v>0</v>
      </c>
      <c r="BQ49" s="318" t="n">
        <v>-1.40000000000001</v>
      </c>
      <c r="BR49" s="317" t="n">
        <v>0</v>
      </c>
      <c r="BS49" s="318" t="n">
        <v>-1.40000000000001</v>
      </c>
      <c r="BT49" s="317" t="n">
        <v>0</v>
      </c>
      <c r="BU49" s="318" t="n">
        <v>-1.5</v>
      </c>
      <c r="BV49" s="317" t="n">
        <v>0</v>
      </c>
      <c r="BW49" s="318" t="n">
        <v>-1.5</v>
      </c>
      <c r="BY49" s="143"/>
      <c r="BZ49" s="315"/>
      <c r="CA49" s="144" t="s">
        <v>12</v>
      </c>
      <c r="CB49" s="315"/>
      <c r="CC49" s="144" t="n">
        <v>-152.652892561983</v>
      </c>
      <c r="CD49" s="144" t="n">
        <v>-177.652892561983</v>
      </c>
      <c r="CE49" s="144" t="n">
        <v>-177.652892561983</v>
      </c>
      <c r="CF49" s="315"/>
      <c r="CG49" s="144" t="n">
        <v>-172.852892561983</v>
      </c>
      <c r="CH49" s="144" t="n">
        <v>-177.652892561983</v>
      </c>
      <c r="CI49" s="144" t="n">
        <v>-177.652892561983</v>
      </c>
      <c r="CJ49" s="144" t="n">
        <v>-180.052892561983</v>
      </c>
      <c r="CK49" s="144" t="n">
        <v>-180.052892561983</v>
      </c>
      <c r="CM49" s="144" t="n">
        <v>1114.87603305785</v>
      </c>
      <c r="CO49" s="319"/>
      <c r="CP49" s="320"/>
      <c r="CQ49" s="321" t="s">
        <v>12</v>
      </c>
      <c r="CR49" s="320"/>
      <c r="CS49" s="322" t="n">
        <v>-165.876033057851</v>
      </c>
      <c r="CT49" s="322" t="n">
        <v>-190.876033057851</v>
      </c>
      <c r="CU49" s="322" t="n">
        <v>-190.876033057851</v>
      </c>
      <c r="CV49" s="323"/>
      <c r="CW49" s="322" t="n">
        <v>-186.076033057851</v>
      </c>
      <c r="CX49" s="322" t="n">
        <v>-190.876033057851</v>
      </c>
      <c r="CY49" s="322" t="n">
        <v>-190.876033057851</v>
      </c>
      <c r="CZ49" s="322" t="n">
        <v>-193.276033057851</v>
      </c>
      <c r="DA49" s="322" t="n">
        <v>-193.276033057851</v>
      </c>
    </row>
    <row r="50" customFormat="false" ht="12.75" hidden="false" customHeight="false" outlineLevel="0" collapsed="false">
      <c r="B50" s="305" t="s">
        <v>112</v>
      </c>
      <c r="C50" s="305" t="s">
        <v>440</v>
      </c>
      <c r="D50" s="306" t="n">
        <v>1174</v>
      </c>
      <c r="E50" s="306" t="n">
        <v>3.25</v>
      </c>
      <c r="F50" s="324" t="s">
        <v>432</v>
      </c>
      <c r="G50" s="144" t="n">
        <v>48</v>
      </c>
      <c r="H50" s="325" t="n">
        <v>1101.65289256198</v>
      </c>
      <c r="I50" s="2"/>
      <c r="J50" s="144" t="s">
        <v>12</v>
      </c>
      <c r="K50" s="309" t="s">
        <v>12</v>
      </c>
      <c r="L50" s="310"/>
      <c r="M50" s="311" t="n">
        <v>169</v>
      </c>
      <c r="N50" s="312" t="n">
        <v>16.3</v>
      </c>
      <c r="O50" s="311" t="n">
        <v>0</v>
      </c>
      <c r="P50" s="312" t="n">
        <v>19.3</v>
      </c>
      <c r="Q50" s="310" t="n">
        <v>0</v>
      </c>
      <c r="R50" s="312" t="n">
        <v>19.3</v>
      </c>
      <c r="S50" s="310"/>
      <c r="T50" s="311" t="n">
        <v>0</v>
      </c>
      <c r="U50" s="312" t="n">
        <v>19.4</v>
      </c>
      <c r="V50" s="311" t="n">
        <v>0</v>
      </c>
      <c r="W50" s="312" t="n">
        <v>19.3</v>
      </c>
      <c r="X50" s="311" t="n">
        <v>0</v>
      </c>
      <c r="Y50" s="312" t="n">
        <v>19.3</v>
      </c>
      <c r="Z50" s="313" t="n">
        <v>0</v>
      </c>
      <c r="AA50" s="314" t="n">
        <v>19.2</v>
      </c>
      <c r="AB50" s="313" t="n">
        <v>0</v>
      </c>
      <c r="AC50" s="314" t="n">
        <v>19.2</v>
      </c>
      <c r="AD50" s="315"/>
      <c r="AE50" s="144" t="n">
        <v>72</v>
      </c>
      <c r="AF50" s="315"/>
      <c r="AG50" s="311" t="n">
        <v>0</v>
      </c>
      <c r="AH50" s="309" t="n">
        <v>0</v>
      </c>
      <c r="AI50" s="310"/>
      <c r="AJ50" s="311" t="n">
        <v>223</v>
      </c>
      <c r="AK50" s="309" t="n">
        <v>782.4</v>
      </c>
      <c r="AL50" s="311" t="n">
        <v>248</v>
      </c>
      <c r="AM50" s="309" t="n">
        <v>926.4</v>
      </c>
      <c r="AN50" s="310" t="n">
        <v>248</v>
      </c>
      <c r="AO50" s="309" t="n">
        <v>926.4</v>
      </c>
      <c r="AP50" s="310"/>
      <c r="AQ50" s="311" t="n">
        <v>243</v>
      </c>
      <c r="AR50" s="309" t="n">
        <v>931.2</v>
      </c>
      <c r="AS50" s="311" t="n">
        <v>248</v>
      </c>
      <c r="AT50" s="309" t="n">
        <v>926.4</v>
      </c>
      <c r="AU50" s="310" t="n">
        <v>248</v>
      </c>
      <c r="AV50" s="309" t="n">
        <v>926.4</v>
      </c>
      <c r="AW50" s="310" t="n">
        <v>252</v>
      </c>
      <c r="AX50" s="309" t="n">
        <v>921.6</v>
      </c>
      <c r="AY50" s="310" t="n">
        <v>252</v>
      </c>
      <c r="AZ50" s="309" t="n">
        <v>921.6</v>
      </c>
      <c r="BB50" s="144" t="n">
        <v>0</v>
      </c>
      <c r="BC50" s="315"/>
      <c r="BD50" s="311" t="n">
        <v>0</v>
      </c>
      <c r="BE50" s="316" t="n">
        <v>0</v>
      </c>
      <c r="BF50" s="310"/>
      <c r="BG50" s="317" t="n">
        <v>0</v>
      </c>
      <c r="BH50" s="318" t="n">
        <v>0</v>
      </c>
      <c r="BI50" s="317" t="n">
        <v>0</v>
      </c>
      <c r="BJ50" s="318" t="n">
        <v>0</v>
      </c>
      <c r="BK50" s="317" t="n">
        <v>0</v>
      </c>
      <c r="BL50" s="318" t="n">
        <v>0</v>
      </c>
      <c r="BM50" s="310"/>
      <c r="BN50" s="317" t="n">
        <v>0</v>
      </c>
      <c r="BO50" s="318" t="n">
        <v>0</v>
      </c>
      <c r="BP50" s="317" t="n">
        <v>0</v>
      </c>
      <c r="BQ50" s="318" t="n">
        <v>0</v>
      </c>
      <c r="BR50" s="317" t="n">
        <v>0</v>
      </c>
      <c r="BS50" s="318" t="n">
        <v>0</v>
      </c>
      <c r="BT50" s="317" t="n">
        <v>0</v>
      </c>
      <c r="BU50" s="318" t="n">
        <v>0</v>
      </c>
      <c r="BV50" s="317" t="n">
        <v>0</v>
      </c>
      <c r="BW50" s="318" t="n">
        <v>0</v>
      </c>
      <c r="BY50" s="143"/>
      <c r="BZ50" s="315"/>
      <c r="CA50" s="144" t="s">
        <v>12</v>
      </c>
      <c r="CB50" s="315"/>
      <c r="CC50" s="144" t="n">
        <v>-150.252892561983</v>
      </c>
      <c r="CD50" s="144" t="n">
        <v>-175.252892561983</v>
      </c>
      <c r="CE50" s="144" t="n">
        <v>-175.252892561983</v>
      </c>
      <c r="CF50" s="315"/>
      <c r="CG50" s="144" t="n">
        <v>-170.452892561983</v>
      </c>
      <c r="CH50" s="144" t="n">
        <v>-175.252892561983</v>
      </c>
      <c r="CI50" s="144" t="n">
        <v>-175.252892561983</v>
      </c>
      <c r="CJ50" s="144" t="n">
        <v>-180.052892561983</v>
      </c>
      <c r="CK50" s="144" t="n">
        <v>-180.052892561983</v>
      </c>
      <c r="CM50" s="144" t="n">
        <v>1114.87603305785</v>
      </c>
      <c r="CO50" s="319"/>
      <c r="CP50" s="320"/>
      <c r="CQ50" s="321" t="s">
        <v>12</v>
      </c>
      <c r="CR50" s="320"/>
      <c r="CS50" s="322" t="n">
        <v>-163.476033057851</v>
      </c>
      <c r="CT50" s="322" t="n">
        <v>-188.476033057851</v>
      </c>
      <c r="CU50" s="322" t="n">
        <v>-188.476033057851</v>
      </c>
      <c r="CV50" s="323"/>
      <c r="CW50" s="322" t="n">
        <v>-183.676033057851</v>
      </c>
      <c r="CX50" s="322" t="n">
        <v>-188.476033057851</v>
      </c>
      <c r="CY50" s="322" t="n">
        <v>-188.476033057851</v>
      </c>
      <c r="CZ50" s="322" t="n">
        <v>-193.276033057851</v>
      </c>
      <c r="DA50" s="322" t="n">
        <v>-193.276033057851</v>
      </c>
    </row>
    <row r="51" customFormat="false" ht="12.75" hidden="false" customHeight="false" outlineLevel="0" collapsed="false">
      <c r="B51" s="305" t="s">
        <v>112</v>
      </c>
      <c r="C51" s="305" t="s">
        <v>441</v>
      </c>
      <c r="D51" s="306" t="n">
        <v>1265</v>
      </c>
      <c r="E51" s="306" t="n">
        <v>3.25</v>
      </c>
      <c r="F51" s="306" t="s">
        <v>432</v>
      </c>
      <c r="G51" s="307" t="n">
        <v>24</v>
      </c>
      <c r="H51" s="308" t="n">
        <v>1192.56198347107</v>
      </c>
      <c r="I51" s="2"/>
      <c r="J51" s="144" t="s">
        <v>12</v>
      </c>
      <c r="K51" s="309" t="s">
        <v>12</v>
      </c>
      <c r="L51" s="310"/>
      <c r="M51" s="311" t="n">
        <v>169</v>
      </c>
      <c r="N51" s="312" t="n">
        <v>36.4</v>
      </c>
      <c r="O51" s="311" t="n">
        <v>0</v>
      </c>
      <c r="P51" s="312" t="n">
        <v>42.2</v>
      </c>
      <c r="Q51" s="310" t="n">
        <v>0</v>
      </c>
      <c r="R51" s="312" t="n">
        <v>42.2</v>
      </c>
      <c r="S51" s="310"/>
      <c r="T51" s="311" t="n">
        <v>0</v>
      </c>
      <c r="U51" s="312" t="n">
        <v>42.6</v>
      </c>
      <c r="V51" s="311" t="n">
        <v>0</v>
      </c>
      <c r="W51" s="312" t="n">
        <v>42.2</v>
      </c>
      <c r="X51" s="311" t="n">
        <v>0</v>
      </c>
      <c r="Y51" s="312" t="n">
        <v>42.1</v>
      </c>
      <c r="Z51" s="313" t="n">
        <v>0</v>
      </c>
      <c r="AA51" s="314" t="n">
        <v>42.1</v>
      </c>
      <c r="AB51" s="313" t="n">
        <v>0</v>
      </c>
      <c r="AC51" s="314" t="n">
        <v>42.1</v>
      </c>
      <c r="AD51" s="315"/>
      <c r="AE51" s="144" t="n">
        <v>72</v>
      </c>
      <c r="AF51" s="315"/>
      <c r="AG51" s="311" t="n">
        <v>0</v>
      </c>
      <c r="AH51" s="309" t="n">
        <v>0</v>
      </c>
      <c r="AI51" s="310"/>
      <c r="AJ51" s="311" t="n">
        <v>222</v>
      </c>
      <c r="AK51" s="309" t="n">
        <v>873.6</v>
      </c>
      <c r="AL51" s="311" t="n">
        <v>252</v>
      </c>
      <c r="AM51" s="309" t="n">
        <v>1012.8</v>
      </c>
      <c r="AN51" s="311" t="n">
        <v>252</v>
      </c>
      <c r="AO51" s="309" t="n">
        <v>1012.8</v>
      </c>
      <c r="AP51" s="310"/>
      <c r="AQ51" s="311" t="n">
        <v>243</v>
      </c>
      <c r="AR51" s="309" t="n">
        <v>1022.4</v>
      </c>
      <c r="AS51" s="311" t="n">
        <v>252</v>
      </c>
      <c r="AT51" s="309" t="n">
        <v>1012.8</v>
      </c>
      <c r="AU51" s="311" t="n">
        <v>255</v>
      </c>
      <c r="AV51" s="309" t="n">
        <v>1010.4</v>
      </c>
      <c r="AW51" s="311" t="n">
        <v>255</v>
      </c>
      <c r="AX51" s="309" t="n">
        <v>1010.4</v>
      </c>
      <c r="AY51" s="311" t="n">
        <v>255</v>
      </c>
      <c r="AZ51" s="309" t="n">
        <v>1010.4</v>
      </c>
      <c r="BB51" s="144" t="n">
        <v>0</v>
      </c>
      <c r="BC51" s="315"/>
      <c r="BD51" s="311" t="n">
        <v>0</v>
      </c>
      <c r="BE51" s="316" t="n">
        <v>0</v>
      </c>
      <c r="BF51" s="310"/>
      <c r="BG51" s="317" t="n">
        <v>0</v>
      </c>
      <c r="BH51" s="318" t="n">
        <v>-1.5</v>
      </c>
      <c r="BI51" s="317" t="n">
        <v>0</v>
      </c>
      <c r="BJ51" s="318" t="n">
        <v>-1.2</v>
      </c>
      <c r="BK51" s="317" t="n">
        <v>0</v>
      </c>
      <c r="BL51" s="318" t="n">
        <v>-1.2</v>
      </c>
      <c r="BM51" s="310"/>
      <c r="BN51" s="317" t="n">
        <v>0</v>
      </c>
      <c r="BO51" s="318" t="n">
        <v>-1.5</v>
      </c>
      <c r="BP51" s="317" t="n">
        <v>0</v>
      </c>
      <c r="BQ51" s="318" t="n">
        <v>-1.2</v>
      </c>
      <c r="BR51" s="317" t="n">
        <v>0</v>
      </c>
      <c r="BS51" s="318" t="n">
        <v>0.100000000000001</v>
      </c>
      <c r="BT51" s="317" t="n">
        <v>0</v>
      </c>
      <c r="BU51" s="318" t="n">
        <v>0.100000000000001</v>
      </c>
      <c r="BV51" s="317" t="n">
        <v>0</v>
      </c>
      <c r="BW51" s="318" t="n">
        <v>0.100000000000001</v>
      </c>
      <c r="BY51" s="143"/>
      <c r="BZ51" s="315"/>
      <c r="CA51" s="144" t="s">
        <v>12</v>
      </c>
      <c r="CB51" s="315"/>
      <c r="CC51" s="144" t="n">
        <v>-149.961983471075</v>
      </c>
      <c r="CD51" s="144" t="n">
        <v>-179.761983471074</v>
      </c>
      <c r="CE51" s="144" t="n">
        <v>-179.761983471074</v>
      </c>
      <c r="CF51" s="315"/>
      <c r="CG51" s="144" t="n">
        <v>-170.161983471074</v>
      </c>
      <c r="CH51" s="144" t="n">
        <v>-179.761983471074</v>
      </c>
      <c r="CI51" s="144" t="n">
        <v>-182.161983471074</v>
      </c>
      <c r="CJ51" s="144" t="n">
        <v>-182.161983471074</v>
      </c>
      <c r="CK51" s="144" t="n">
        <v>-182.161983471074</v>
      </c>
      <c r="CM51" s="144" t="n">
        <v>1214.04958677686</v>
      </c>
      <c r="CO51" s="319"/>
      <c r="CP51" s="320"/>
      <c r="CQ51" s="321" t="s">
        <v>12</v>
      </c>
      <c r="CR51" s="320"/>
      <c r="CS51" s="322" t="n">
        <v>-171.44958677686</v>
      </c>
      <c r="CT51" s="322" t="n">
        <v>-201.249586776859</v>
      </c>
      <c r="CU51" s="322" t="n">
        <v>-201.249586776859</v>
      </c>
      <c r="CV51" s="323"/>
      <c r="CW51" s="322" t="n">
        <v>-191.649586776859</v>
      </c>
      <c r="CX51" s="322" t="n">
        <v>-201.249586776859</v>
      </c>
      <c r="CY51" s="322" t="n">
        <v>-203.649586776859</v>
      </c>
      <c r="CZ51" s="322" t="n">
        <v>-203.649586776859</v>
      </c>
      <c r="DA51" s="322" t="n">
        <v>-203.649586776859</v>
      </c>
    </row>
    <row r="52" customFormat="false" ht="12.75" hidden="false" customHeight="false" outlineLevel="0" collapsed="false">
      <c r="B52" s="305" t="s">
        <v>112</v>
      </c>
      <c r="C52" s="305" t="s">
        <v>441</v>
      </c>
      <c r="D52" s="306" t="n">
        <v>1265</v>
      </c>
      <c r="E52" s="306" t="n">
        <v>3.25</v>
      </c>
      <c r="F52" s="324" t="s">
        <v>432</v>
      </c>
      <c r="G52" s="144" t="n">
        <v>48</v>
      </c>
      <c r="H52" s="325" t="n">
        <v>1192.56198347107</v>
      </c>
      <c r="I52" s="2"/>
      <c r="J52" s="144" t="s">
        <v>12</v>
      </c>
      <c r="K52" s="309" t="s">
        <v>12</v>
      </c>
      <c r="L52" s="310"/>
      <c r="M52" s="311" t="n">
        <v>169</v>
      </c>
      <c r="N52" s="312" t="n">
        <v>18.2</v>
      </c>
      <c r="O52" s="311" t="n">
        <v>0</v>
      </c>
      <c r="P52" s="312" t="n">
        <v>21.1</v>
      </c>
      <c r="Q52" s="310" t="n">
        <v>0</v>
      </c>
      <c r="R52" s="312" t="n">
        <v>21.1</v>
      </c>
      <c r="S52" s="310"/>
      <c r="T52" s="311" t="n">
        <v>0</v>
      </c>
      <c r="U52" s="312" t="n">
        <v>21.3</v>
      </c>
      <c r="V52" s="311" t="n">
        <v>0</v>
      </c>
      <c r="W52" s="312" t="n">
        <v>21.1</v>
      </c>
      <c r="X52" s="311" t="n">
        <v>0</v>
      </c>
      <c r="Y52" s="312" t="n">
        <v>21.1</v>
      </c>
      <c r="Z52" s="313" t="n">
        <v>0</v>
      </c>
      <c r="AA52" s="314" t="n">
        <v>21.1</v>
      </c>
      <c r="AB52" s="313" t="n">
        <v>0</v>
      </c>
      <c r="AC52" s="314" t="n">
        <v>21.1</v>
      </c>
      <c r="AD52" s="315"/>
      <c r="AE52" s="144" t="n">
        <v>72</v>
      </c>
      <c r="AF52" s="315"/>
      <c r="AG52" s="311" t="n">
        <v>0</v>
      </c>
      <c r="AH52" s="309" t="n">
        <v>0</v>
      </c>
      <c r="AI52" s="310"/>
      <c r="AJ52" s="311" t="n">
        <v>222</v>
      </c>
      <c r="AK52" s="309" t="n">
        <v>873.6</v>
      </c>
      <c r="AL52" s="311" t="n">
        <v>252</v>
      </c>
      <c r="AM52" s="309" t="n">
        <v>1012.8</v>
      </c>
      <c r="AN52" s="310" t="n">
        <v>252</v>
      </c>
      <c r="AO52" s="309" t="n">
        <v>1012.8</v>
      </c>
      <c r="AP52" s="310"/>
      <c r="AQ52" s="311" t="n">
        <v>243</v>
      </c>
      <c r="AR52" s="309" t="n">
        <v>1022.4</v>
      </c>
      <c r="AS52" s="311" t="n">
        <v>252</v>
      </c>
      <c r="AT52" s="309" t="n">
        <v>1012.8</v>
      </c>
      <c r="AU52" s="310" t="n">
        <v>252</v>
      </c>
      <c r="AV52" s="309" t="n">
        <v>1012.8</v>
      </c>
      <c r="AW52" s="310" t="n">
        <v>252</v>
      </c>
      <c r="AX52" s="309" t="n">
        <v>1012.8</v>
      </c>
      <c r="AY52" s="310" t="n">
        <v>252</v>
      </c>
      <c r="AZ52" s="309" t="n">
        <v>1012.8</v>
      </c>
      <c r="BB52" s="144" t="n">
        <v>0</v>
      </c>
      <c r="BC52" s="315"/>
      <c r="BD52" s="311" t="n">
        <v>0</v>
      </c>
      <c r="BE52" s="316" t="n">
        <v>0</v>
      </c>
      <c r="BF52" s="310"/>
      <c r="BG52" s="317" t="n">
        <v>0</v>
      </c>
      <c r="BH52" s="318" t="n">
        <v>0</v>
      </c>
      <c r="BI52" s="317" t="n">
        <v>0</v>
      </c>
      <c r="BJ52" s="318" t="n">
        <v>0</v>
      </c>
      <c r="BK52" s="317" t="n">
        <v>0</v>
      </c>
      <c r="BL52" s="318" t="n">
        <v>0</v>
      </c>
      <c r="BM52" s="310"/>
      <c r="BN52" s="317" t="n">
        <v>0</v>
      </c>
      <c r="BO52" s="318" t="n">
        <v>0</v>
      </c>
      <c r="BP52" s="317" t="n">
        <v>0</v>
      </c>
      <c r="BQ52" s="318" t="n">
        <v>0</v>
      </c>
      <c r="BR52" s="317" t="n">
        <v>0</v>
      </c>
      <c r="BS52" s="318" t="n">
        <v>0</v>
      </c>
      <c r="BT52" s="317" t="n">
        <v>0</v>
      </c>
      <c r="BU52" s="318" t="n">
        <v>0</v>
      </c>
      <c r="BV52" s="317" t="n">
        <v>0</v>
      </c>
      <c r="BW52" s="318" t="n">
        <v>0</v>
      </c>
      <c r="BY52" s="143"/>
      <c r="BZ52" s="315"/>
      <c r="CA52" s="144" t="s">
        <v>12</v>
      </c>
      <c r="CB52" s="315"/>
      <c r="CC52" s="144" t="n">
        <v>-149.961983471075</v>
      </c>
      <c r="CD52" s="144" t="n">
        <v>-179.761983471074</v>
      </c>
      <c r="CE52" s="144" t="n">
        <v>-179.761983471074</v>
      </c>
      <c r="CF52" s="315"/>
      <c r="CG52" s="144" t="n">
        <v>-170.161983471074</v>
      </c>
      <c r="CH52" s="144" t="n">
        <v>-179.761983471074</v>
      </c>
      <c r="CI52" s="144" t="n">
        <v>-179.761983471074</v>
      </c>
      <c r="CJ52" s="144" t="n">
        <v>-179.761983471074</v>
      </c>
      <c r="CK52" s="144" t="n">
        <v>-179.761983471074</v>
      </c>
      <c r="CM52" s="144" t="n">
        <v>1214.04958677686</v>
      </c>
      <c r="CO52" s="319"/>
      <c r="CP52" s="320"/>
      <c r="CQ52" s="321" t="s">
        <v>12</v>
      </c>
      <c r="CR52" s="320"/>
      <c r="CS52" s="322" t="n">
        <v>-171.44958677686</v>
      </c>
      <c r="CT52" s="322" t="n">
        <v>-201.249586776859</v>
      </c>
      <c r="CU52" s="322" t="n">
        <v>-201.249586776859</v>
      </c>
      <c r="CV52" s="323"/>
      <c r="CW52" s="322" t="n">
        <v>-191.649586776859</v>
      </c>
      <c r="CX52" s="322" t="n">
        <v>-201.249586776859</v>
      </c>
      <c r="CY52" s="322" t="n">
        <v>-201.249586776859</v>
      </c>
      <c r="CZ52" s="322" t="n">
        <v>-201.249586776859</v>
      </c>
      <c r="DA52" s="322" t="n">
        <v>-201.249586776859</v>
      </c>
    </row>
    <row r="53" customFormat="false" ht="12.75" hidden="false" customHeight="false" outlineLevel="0" collapsed="false">
      <c r="B53" s="305" t="s">
        <v>112</v>
      </c>
      <c r="C53" s="305" t="s">
        <v>442</v>
      </c>
      <c r="D53" s="306" t="n">
        <v>1456</v>
      </c>
      <c r="E53" s="306" t="n">
        <v>3.25</v>
      </c>
      <c r="F53" s="306" t="s">
        <v>432</v>
      </c>
      <c r="G53" s="307" t="n">
        <v>24</v>
      </c>
      <c r="H53" s="308" t="n">
        <v>1383.47107438017</v>
      </c>
      <c r="I53" s="2"/>
      <c r="J53" s="144" t="s">
        <v>12</v>
      </c>
      <c r="K53" s="309" t="s">
        <v>12</v>
      </c>
      <c r="L53" s="310"/>
      <c r="M53" s="311" t="n">
        <v>169</v>
      </c>
      <c r="N53" s="312" t="n">
        <v>44.3</v>
      </c>
      <c r="O53" s="311" t="n">
        <v>0</v>
      </c>
      <c r="P53" s="312" t="n">
        <v>50</v>
      </c>
      <c r="Q53" s="310" t="n">
        <v>0</v>
      </c>
      <c r="R53" s="312" t="n">
        <v>50</v>
      </c>
      <c r="S53" s="310"/>
      <c r="T53" s="311" t="n">
        <v>0</v>
      </c>
      <c r="U53" s="312" t="n">
        <v>50.5</v>
      </c>
      <c r="V53" s="311" t="n">
        <v>0</v>
      </c>
      <c r="W53" s="312" t="n">
        <v>50</v>
      </c>
      <c r="X53" s="311" t="n">
        <v>0</v>
      </c>
      <c r="Y53" s="312" t="n">
        <v>50</v>
      </c>
      <c r="Z53" s="313" t="n">
        <v>0</v>
      </c>
      <c r="AA53" s="314" t="n">
        <v>50</v>
      </c>
      <c r="AB53" s="313" t="n">
        <v>0</v>
      </c>
      <c r="AC53" s="314" t="n">
        <v>50</v>
      </c>
      <c r="AD53" s="315"/>
      <c r="AE53" s="144" t="n">
        <v>73</v>
      </c>
      <c r="AF53" s="315"/>
      <c r="AG53" s="311" t="n">
        <v>0</v>
      </c>
      <c r="AH53" s="309" t="n">
        <v>0</v>
      </c>
      <c r="AI53" s="310"/>
      <c r="AJ53" s="311" t="n">
        <v>224</v>
      </c>
      <c r="AK53" s="309" t="n">
        <v>1063.2</v>
      </c>
      <c r="AL53" s="311" t="n">
        <v>256</v>
      </c>
      <c r="AM53" s="309" t="n">
        <v>1200</v>
      </c>
      <c r="AN53" s="311" t="n">
        <v>256</v>
      </c>
      <c r="AO53" s="309" t="n">
        <v>1200</v>
      </c>
      <c r="AP53" s="310"/>
      <c r="AQ53" s="311" t="n">
        <v>244</v>
      </c>
      <c r="AR53" s="309" t="n">
        <v>1212</v>
      </c>
      <c r="AS53" s="311" t="n">
        <v>256</v>
      </c>
      <c r="AT53" s="309" t="n">
        <v>1200</v>
      </c>
      <c r="AU53" s="311" t="n">
        <v>256</v>
      </c>
      <c r="AV53" s="309" t="n">
        <v>1200</v>
      </c>
      <c r="AW53" s="311" t="n">
        <v>256</v>
      </c>
      <c r="AX53" s="309" t="n">
        <v>1200</v>
      </c>
      <c r="AY53" s="311" t="n">
        <v>256</v>
      </c>
      <c r="AZ53" s="309" t="n">
        <v>1200</v>
      </c>
      <c r="BB53" s="144" t="n">
        <v>0</v>
      </c>
      <c r="BC53" s="315"/>
      <c r="BD53" s="311" t="n">
        <v>0</v>
      </c>
      <c r="BE53" s="316" t="n">
        <v>0</v>
      </c>
      <c r="BF53" s="310"/>
      <c r="BG53" s="317" t="n">
        <v>0</v>
      </c>
      <c r="BH53" s="318" t="n">
        <v>-1.6</v>
      </c>
      <c r="BI53" s="317" t="n">
        <v>0</v>
      </c>
      <c r="BJ53" s="318" t="n">
        <v>-1.5</v>
      </c>
      <c r="BK53" s="317" t="n">
        <v>0</v>
      </c>
      <c r="BL53" s="318" t="n">
        <v>-1.5</v>
      </c>
      <c r="BM53" s="310"/>
      <c r="BN53" s="317" t="n">
        <v>0</v>
      </c>
      <c r="BO53" s="318" t="n">
        <v>-1.6</v>
      </c>
      <c r="BP53" s="317" t="n">
        <v>0</v>
      </c>
      <c r="BQ53" s="318" t="n">
        <v>-1.5</v>
      </c>
      <c r="BR53" s="317" t="n">
        <v>0</v>
      </c>
      <c r="BS53" s="318" t="n">
        <v>-1.5</v>
      </c>
      <c r="BT53" s="317" t="n">
        <v>0</v>
      </c>
      <c r="BU53" s="318" t="n">
        <v>-1.40000000000001</v>
      </c>
      <c r="BV53" s="317" t="n">
        <v>0</v>
      </c>
      <c r="BW53" s="318" t="n">
        <v>-1.40000000000001</v>
      </c>
      <c r="BY53" s="143"/>
      <c r="BZ53" s="315"/>
      <c r="CA53" s="144" t="s">
        <v>12</v>
      </c>
      <c r="CB53" s="315"/>
      <c r="CC53" s="144" t="n">
        <v>-151.271074380165</v>
      </c>
      <c r="CD53" s="144" t="n">
        <v>-183.471074380165</v>
      </c>
      <c r="CE53" s="144" t="n">
        <v>-183.471074380165</v>
      </c>
      <c r="CF53" s="315"/>
      <c r="CG53" s="144" t="n">
        <v>-171.471074380165</v>
      </c>
      <c r="CH53" s="144" t="n">
        <v>-183.471074380165</v>
      </c>
      <c r="CI53" s="144" t="n">
        <v>-183.471074380165</v>
      </c>
      <c r="CJ53" s="144" t="n">
        <v>-183.471074380165</v>
      </c>
      <c r="CK53" s="144" t="n">
        <v>-183.471074380165</v>
      </c>
      <c r="CM53" s="144" t="n">
        <v>1420.66115702479</v>
      </c>
      <c r="CO53" s="319"/>
      <c r="CP53" s="320"/>
      <c r="CQ53" s="321" t="s">
        <v>12</v>
      </c>
      <c r="CR53" s="320"/>
      <c r="CS53" s="322" t="n">
        <v>-188.461157024793</v>
      </c>
      <c r="CT53" s="322" t="n">
        <v>-220.661157024794</v>
      </c>
      <c r="CU53" s="322" t="n">
        <v>-220.661157024794</v>
      </c>
      <c r="CV53" s="323"/>
      <c r="CW53" s="322" t="n">
        <v>-208.661157024793</v>
      </c>
      <c r="CX53" s="322" t="n">
        <v>-220.661157024794</v>
      </c>
      <c r="CY53" s="322" t="n">
        <v>-220.661157024794</v>
      </c>
      <c r="CZ53" s="322" t="n">
        <v>-220.661157024794</v>
      </c>
      <c r="DA53" s="322" t="n">
        <v>-220.661157024794</v>
      </c>
    </row>
    <row r="54" customFormat="false" ht="12.75" hidden="false" customHeight="false" outlineLevel="0" collapsed="false">
      <c r="B54" s="305" t="s">
        <v>112</v>
      </c>
      <c r="C54" s="305" t="s">
        <v>442</v>
      </c>
      <c r="D54" s="306" t="n">
        <v>1456</v>
      </c>
      <c r="E54" s="306" t="n">
        <v>3.25</v>
      </c>
      <c r="F54" s="324" t="s">
        <v>432</v>
      </c>
      <c r="G54" s="144" t="n">
        <v>48</v>
      </c>
      <c r="H54" s="325" t="n">
        <v>1383.47107438017</v>
      </c>
      <c r="I54" s="2"/>
      <c r="J54" s="144" t="s">
        <v>12</v>
      </c>
      <c r="K54" s="309" t="s">
        <v>12</v>
      </c>
      <c r="L54" s="310"/>
      <c r="M54" s="311" t="n">
        <v>169</v>
      </c>
      <c r="N54" s="312" t="n">
        <v>22.2</v>
      </c>
      <c r="O54" s="311" t="n">
        <v>0</v>
      </c>
      <c r="P54" s="312" t="n">
        <v>25</v>
      </c>
      <c r="Q54" s="310" t="n">
        <v>0</v>
      </c>
      <c r="R54" s="312" t="n">
        <v>25</v>
      </c>
      <c r="S54" s="310"/>
      <c r="T54" s="311" t="n">
        <v>0</v>
      </c>
      <c r="U54" s="312" t="n">
        <v>25.3</v>
      </c>
      <c r="V54" s="311" t="n">
        <v>0</v>
      </c>
      <c r="W54" s="312" t="n">
        <v>25</v>
      </c>
      <c r="X54" s="311" t="n">
        <v>0</v>
      </c>
      <c r="Y54" s="312" t="n">
        <v>25</v>
      </c>
      <c r="Z54" s="313" t="n">
        <v>0</v>
      </c>
      <c r="AA54" s="314" t="n">
        <v>25</v>
      </c>
      <c r="AB54" s="313" t="n">
        <v>0</v>
      </c>
      <c r="AC54" s="314" t="n">
        <v>25</v>
      </c>
      <c r="AD54" s="315"/>
      <c r="AE54" s="144" t="n">
        <v>73</v>
      </c>
      <c r="AF54" s="315"/>
      <c r="AG54" s="311" t="n">
        <v>0</v>
      </c>
      <c r="AH54" s="309" t="n">
        <v>0</v>
      </c>
      <c r="AI54" s="310"/>
      <c r="AJ54" s="311" t="n">
        <v>221</v>
      </c>
      <c r="AK54" s="309" t="n">
        <v>1065.6</v>
      </c>
      <c r="AL54" s="311" t="n">
        <v>256</v>
      </c>
      <c r="AM54" s="309" t="n">
        <v>1200</v>
      </c>
      <c r="AN54" s="310" t="n">
        <v>256</v>
      </c>
      <c r="AO54" s="309" t="n">
        <v>1200</v>
      </c>
      <c r="AP54" s="310"/>
      <c r="AQ54" s="311" t="n">
        <v>242</v>
      </c>
      <c r="AR54" s="309" t="n">
        <v>1214.4</v>
      </c>
      <c r="AS54" s="311" t="n">
        <v>256</v>
      </c>
      <c r="AT54" s="309" t="n">
        <v>1200</v>
      </c>
      <c r="AU54" s="310" t="n">
        <v>256</v>
      </c>
      <c r="AV54" s="309" t="n">
        <v>1200</v>
      </c>
      <c r="AW54" s="310" t="n">
        <v>256</v>
      </c>
      <c r="AX54" s="309" t="n">
        <v>1200</v>
      </c>
      <c r="AY54" s="310" t="n">
        <v>256</v>
      </c>
      <c r="AZ54" s="309" t="n">
        <v>1200</v>
      </c>
      <c r="BB54" s="144" t="n">
        <v>0</v>
      </c>
      <c r="BC54" s="315"/>
      <c r="BD54" s="311" t="n">
        <v>0</v>
      </c>
      <c r="BE54" s="316" t="n">
        <v>0</v>
      </c>
      <c r="BF54" s="310"/>
      <c r="BG54" s="317" t="n">
        <v>0</v>
      </c>
      <c r="BH54" s="318" t="n">
        <v>0</v>
      </c>
      <c r="BI54" s="317" t="n">
        <v>0</v>
      </c>
      <c r="BJ54" s="318" t="n">
        <v>0</v>
      </c>
      <c r="BK54" s="317" t="n">
        <v>0</v>
      </c>
      <c r="BL54" s="318" t="n">
        <v>0</v>
      </c>
      <c r="BM54" s="310"/>
      <c r="BN54" s="317" t="n">
        <v>0</v>
      </c>
      <c r="BO54" s="318" t="n">
        <v>0</v>
      </c>
      <c r="BP54" s="317" t="n">
        <v>0</v>
      </c>
      <c r="BQ54" s="318" t="n">
        <v>0</v>
      </c>
      <c r="BR54" s="317" t="n">
        <v>0</v>
      </c>
      <c r="BS54" s="318" t="n">
        <v>0</v>
      </c>
      <c r="BT54" s="317" t="n">
        <v>0</v>
      </c>
      <c r="BU54" s="318" t="n">
        <v>0</v>
      </c>
      <c r="BV54" s="317" t="n">
        <v>0</v>
      </c>
      <c r="BW54" s="318" t="n">
        <v>0</v>
      </c>
      <c r="BY54" s="143"/>
      <c r="BZ54" s="315"/>
      <c r="CA54" s="144" t="s">
        <v>12</v>
      </c>
      <c r="CB54" s="315"/>
      <c r="CC54" s="144" t="n">
        <v>-148.871074380165</v>
      </c>
      <c r="CD54" s="144" t="n">
        <v>-183.471074380165</v>
      </c>
      <c r="CE54" s="144" t="n">
        <v>-183.471074380165</v>
      </c>
      <c r="CF54" s="315"/>
      <c r="CG54" s="144" t="n">
        <v>-169.071074380165</v>
      </c>
      <c r="CH54" s="144" t="n">
        <v>-183.471074380165</v>
      </c>
      <c r="CI54" s="144" t="n">
        <v>-183.471074380165</v>
      </c>
      <c r="CJ54" s="144" t="n">
        <v>-183.471074380165</v>
      </c>
      <c r="CK54" s="144" t="n">
        <v>-183.471074380165</v>
      </c>
      <c r="CM54" s="144" t="n">
        <v>1420.66115702479</v>
      </c>
      <c r="CO54" s="319"/>
      <c r="CP54" s="320"/>
      <c r="CQ54" s="321" t="s">
        <v>12</v>
      </c>
      <c r="CR54" s="320"/>
      <c r="CS54" s="322" t="n">
        <v>-186.061157024793</v>
      </c>
      <c r="CT54" s="322" t="n">
        <v>-220.661157024794</v>
      </c>
      <c r="CU54" s="322" t="n">
        <v>-220.661157024794</v>
      </c>
      <c r="CV54" s="323"/>
      <c r="CW54" s="322" t="n">
        <v>-206.261157024793</v>
      </c>
      <c r="CX54" s="322" t="n">
        <v>-220.661157024794</v>
      </c>
      <c r="CY54" s="322" t="n">
        <v>-220.661157024794</v>
      </c>
      <c r="CZ54" s="322" t="n">
        <v>-220.661157024794</v>
      </c>
      <c r="DA54" s="322" t="n">
        <v>-220.661157024794</v>
      </c>
    </row>
    <row r="55" customFormat="false" ht="12.75" hidden="false" customHeight="false" outlineLevel="0" collapsed="false">
      <c r="B55" s="305" t="s">
        <v>124</v>
      </c>
      <c r="C55" s="305" t="s">
        <v>443</v>
      </c>
      <c r="D55" s="306" t="n">
        <v>520</v>
      </c>
      <c r="E55" s="306" t="n">
        <v>3.25</v>
      </c>
      <c r="F55" s="306" t="s">
        <v>432</v>
      </c>
      <c r="G55" s="307" t="n">
        <v>24</v>
      </c>
      <c r="H55" s="308" t="n">
        <v>378.512396694215</v>
      </c>
      <c r="I55" s="2"/>
      <c r="J55" s="144" t="s">
        <v>12</v>
      </c>
      <c r="K55" s="309" t="s">
        <v>12</v>
      </c>
      <c r="L55" s="310"/>
      <c r="M55" s="311" t="n">
        <v>129</v>
      </c>
      <c r="N55" s="312" t="n">
        <v>7.9</v>
      </c>
      <c r="O55" s="311" t="n">
        <v>19</v>
      </c>
      <c r="P55" s="312" t="n">
        <v>10</v>
      </c>
      <c r="Q55" s="310" t="n">
        <v>19</v>
      </c>
      <c r="R55" s="312" t="n">
        <v>9.1</v>
      </c>
      <c r="S55" s="310"/>
      <c r="T55" s="311" t="n">
        <v>0</v>
      </c>
      <c r="U55" s="312" t="n">
        <v>13.1</v>
      </c>
      <c r="V55" s="311" t="n">
        <v>0</v>
      </c>
      <c r="W55" s="312" t="n">
        <v>10</v>
      </c>
      <c r="X55" s="311" t="n">
        <v>0</v>
      </c>
      <c r="Y55" s="312" t="n">
        <v>10</v>
      </c>
      <c r="Z55" s="313" t="n">
        <v>0</v>
      </c>
      <c r="AA55" s="314" t="n">
        <v>8</v>
      </c>
      <c r="AB55" s="313" t="n">
        <v>0</v>
      </c>
      <c r="AC55" s="314" t="n">
        <v>8</v>
      </c>
      <c r="AD55" s="315"/>
      <c r="AE55" s="144" t="n">
        <v>141</v>
      </c>
      <c r="AF55" s="315"/>
      <c r="AG55" s="311" t="n">
        <v>0</v>
      </c>
      <c r="AH55" s="309" t="n">
        <v>0</v>
      </c>
      <c r="AI55" s="310"/>
      <c r="AJ55" s="311" t="n">
        <v>201</v>
      </c>
      <c r="AK55" s="309" t="n">
        <v>189.6</v>
      </c>
      <c r="AL55" s="311" t="n">
        <v>261</v>
      </c>
      <c r="AM55" s="309" t="n">
        <v>240</v>
      </c>
      <c r="AN55" s="311" t="n">
        <v>283</v>
      </c>
      <c r="AO55" s="309" t="n">
        <v>218.4</v>
      </c>
      <c r="AP55" s="310"/>
      <c r="AQ55" s="311" t="n">
        <v>206</v>
      </c>
      <c r="AR55" s="309" t="n">
        <v>314.4</v>
      </c>
      <c r="AS55" s="311" t="n">
        <v>280</v>
      </c>
      <c r="AT55" s="309" t="n">
        <v>240</v>
      </c>
      <c r="AU55" s="311" t="n">
        <v>280</v>
      </c>
      <c r="AV55" s="309" t="n">
        <v>240</v>
      </c>
      <c r="AW55" s="311" t="n">
        <v>328</v>
      </c>
      <c r="AX55" s="309" t="n">
        <v>192</v>
      </c>
      <c r="AY55" s="311" t="n">
        <v>328</v>
      </c>
      <c r="AZ55" s="309" t="n">
        <v>192</v>
      </c>
      <c r="BB55" s="144" t="n">
        <v>0</v>
      </c>
      <c r="BC55" s="315"/>
      <c r="BD55" s="311" t="n">
        <v>0</v>
      </c>
      <c r="BE55" s="316" t="n">
        <v>0</v>
      </c>
      <c r="BF55" s="310"/>
      <c r="BG55" s="317" t="n">
        <v>0</v>
      </c>
      <c r="BH55" s="318" t="n">
        <v>0.2</v>
      </c>
      <c r="BI55" s="317" t="n">
        <v>0</v>
      </c>
      <c r="BJ55" s="318" t="n">
        <v>0.699999999999999</v>
      </c>
      <c r="BK55" s="317" t="n">
        <v>0</v>
      </c>
      <c r="BL55" s="318" t="n">
        <v>0.799999999999999</v>
      </c>
      <c r="BM55" s="310"/>
      <c r="BN55" s="317" t="n">
        <v>0</v>
      </c>
      <c r="BO55" s="318" t="n">
        <v>0</v>
      </c>
      <c r="BP55" s="317" t="n">
        <v>0</v>
      </c>
      <c r="BQ55" s="318" t="n">
        <v>3.8</v>
      </c>
      <c r="BR55" s="317" t="n">
        <v>0</v>
      </c>
      <c r="BS55" s="318" t="n">
        <v>3.8</v>
      </c>
      <c r="BT55" s="317" t="n">
        <v>0</v>
      </c>
      <c r="BU55" s="318" t="n">
        <v>1.8</v>
      </c>
      <c r="BV55" s="317" t="n">
        <v>0</v>
      </c>
      <c r="BW55" s="318" t="n">
        <v>1.8</v>
      </c>
      <c r="BY55" s="143"/>
      <c r="BZ55" s="315"/>
      <c r="CA55" s="144" t="s">
        <v>12</v>
      </c>
      <c r="CB55" s="315"/>
      <c r="CC55" s="144" t="n">
        <v>-59.9123966942149</v>
      </c>
      <c r="CD55" s="144" t="n">
        <v>-119.512396694215</v>
      </c>
      <c r="CE55" s="144" t="n">
        <v>-141.112396694215</v>
      </c>
      <c r="CF55" s="315"/>
      <c r="CG55" s="144" t="n">
        <v>-64.1123966942149</v>
      </c>
      <c r="CH55" s="144" t="n">
        <v>-138.512396694215</v>
      </c>
      <c r="CI55" s="144" t="n">
        <v>-138.512396694215</v>
      </c>
      <c r="CJ55" s="144" t="n">
        <v>-186.512396694215</v>
      </c>
      <c r="CK55" s="144" t="n">
        <v>-186.512396694215</v>
      </c>
      <c r="CM55" s="144" t="n">
        <v>453.719008264463</v>
      </c>
      <c r="CO55" s="319"/>
      <c r="CP55" s="320"/>
      <c r="CQ55" s="321" t="s">
        <v>12</v>
      </c>
      <c r="CR55" s="320"/>
      <c r="CS55" s="322" t="n">
        <v>-135.119008264463</v>
      </c>
      <c r="CT55" s="322" t="n">
        <v>-194.719008264463</v>
      </c>
      <c r="CU55" s="322" t="n">
        <v>-216.319008264463</v>
      </c>
      <c r="CV55" s="323"/>
      <c r="CW55" s="322" t="n">
        <v>-139.319008264463</v>
      </c>
      <c r="CX55" s="322" t="n">
        <v>-213.719008264463</v>
      </c>
      <c r="CY55" s="322" t="n">
        <v>-213.719008264463</v>
      </c>
      <c r="CZ55" s="322" t="n">
        <v>-261.719008264463</v>
      </c>
      <c r="DA55" s="322" t="n">
        <v>-261.719008264463</v>
      </c>
    </row>
    <row r="56" customFormat="false" ht="12.75" hidden="false" customHeight="false" outlineLevel="0" collapsed="false">
      <c r="B56" s="305" t="s">
        <v>124</v>
      </c>
      <c r="C56" s="305" t="s">
        <v>443</v>
      </c>
      <c r="D56" s="306" t="n">
        <v>520</v>
      </c>
      <c r="E56" s="306" t="n">
        <v>3.25</v>
      </c>
      <c r="F56" s="324" t="s">
        <v>432</v>
      </c>
      <c r="G56" s="144" t="n">
        <v>48</v>
      </c>
      <c r="H56" s="325" t="n">
        <v>378.512396694215</v>
      </c>
      <c r="I56" s="2"/>
      <c r="J56" s="144" t="s">
        <v>12</v>
      </c>
      <c r="K56" s="309" t="s">
        <v>12</v>
      </c>
      <c r="L56" s="310"/>
      <c r="M56" s="311" t="n">
        <v>129</v>
      </c>
      <c r="N56" s="312" t="n">
        <v>4</v>
      </c>
      <c r="O56" s="311" t="n">
        <v>19</v>
      </c>
      <c r="P56" s="312" t="n">
        <v>5</v>
      </c>
      <c r="Q56" s="310" t="n">
        <v>19</v>
      </c>
      <c r="R56" s="312" t="n">
        <v>4.6</v>
      </c>
      <c r="S56" s="310"/>
      <c r="T56" s="311" t="n">
        <v>0</v>
      </c>
      <c r="U56" s="312" t="n">
        <v>6.6</v>
      </c>
      <c r="V56" s="311" t="n">
        <v>0</v>
      </c>
      <c r="W56" s="312" t="n">
        <v>5</v>
      </c>
      <c r="X56" s="311" t="n">
        <v>0</v>
      </c>
      <c r="Y56" s="312" t="n">
        <v>5</v>
      </c>
      <c r="Z56" s="313" t="n">
        <v>0</v>
      </c>
      <c r="AA56" s="314" t="n">
        <v>4</v>
      </c>
      <c r="AB56" s="313" t="n">
        <v>0</v>
      </c>
      <c r="AC56" s="314" t="n">
        <v>4</v>
      </c>
      <c r="AD56" s="315"/>
      <c r="AE56" s="144" t="n">
        <v>141</v>
      </c>
      <c r="AF56" s="315"/>
      <c r="AG56" s="311" t="n">
        <v>0</v>
      </c>
      <c r="AH56" s="309" t="n">
        <v>0</v>
      </c>
      <c r="AI56" s="310"/>
      <c r="AJ56" s="311" t="n">
        <v>199</v>
      </c>
      <c r="AK56" s="309" t="n">
        <v>192</v>
      </c>
      <c r="AL56" s="311" t="n">
        <v>261</v>
      </c>
      <c r="AM56" s="309" t="n">
        <v>240</v>
      </c>
      <c r="AN56" s="310" t="n">
        <v>280</v>
      </c>
      <c r="AO56" s="309" t="n">
        <v>220.8</v>
      </c>
      <c r="AP56" s="310"/>
      <c r="AQ56" s="311" t="n">
        <v>203</v>
      </c>
      <c r="AR56" s="309" t="n">
        <v>316.8</v>
      </c>
      <c r="AS56" s="311" t="n">
        <v>280</v>
      </c>
      <c r="AT56" s="309" t="n">
        <v>240</v>
      </c>
      <c r="AU56" s="310" t="n">
        <v>280</v>
      </c>
      <c r="AV56" s="309" t="n">
        <v>240</v>
      </c>
      <c r="AW56" s="310" t="n">
        <v>328</v>
      </c>
      <c r="AX56" s="309" t="n">
        <v>192</v>
      </c>
      <c r="AY56" s="310" t="n">
        <v>328</v>
      </c>
      <c r="AZ56" s="309" t="n">
        <v>192</v>
      </c>
      <c r="BB56" s="144" t="n">
        <v>0</v>
      </c>
      <c r="BC56" s="315"/>
      <c r="BD56" s="311" t="n">
        <v>0</v>
      </c>
      <c r="BE56" s="316" t="n">
        <v>0</v>
      </c>
      <c r="BF56" s="310"/>
      <c r="BG56" s="317" t="n">
        <v>0</v>
      </c>
      <c r="BH56" s="318" t="n">
        <v>0</v>
      </c>
      <c r="BI56" s="317" t="n">
        <v>0</v>
      </c>
      <c r="BJ56" s="318" t="n">
        <v>0</v>
      </c>
      <c r="BK56" s="317" t="n">
        <v>0</v>
      </c>
      <c r="BL56" s="318" t="n">
        <v>0</v>
      </c>
      <c r="BM56" s="310"/>
      <c r="BN56" s="317" t="n">
        <v>0</v>
      </c>
      <c r="BO56" s="318" t="n">
        <v>0</v>
      </c>
      <c r="BP56" s="317" t="n">
        <v>0</v>
      </c>
      <c r="BQ56" s="318" t="n">
        <v>0</v>
      </c>
      <c r="BR56" s="317" t="n">
        <v>0</v>
      </c>
      <c r="BS56" s="318" t="n">
        <v>0</v>
      </c>
      <c r="BT56" s="317" t="n">
        <v>0</v>
      </c>
      <c r="BU56" s="318" t="n">
        <v>0</v>
      </c>
      <c r="BV56" s="317" t="n">
        <v>0</v>
      </c>
      <c r="BW56" s="318" t="n">
        <v>0</v>
      </c>
      <c r="BY56" s="143"/>
      <c r="BZ56" s="315"/>
      <c r="CA56" s="144" t="s">
        <v>12</v>
      </c>
      <c r="CB56" s="315"/>
      <c r="CC56" s="144" t="n">
        <v>-57.5123966942149</v>
      </c>
      <c r="CD56" s="144" t="n">
        <v>-119.512396694215</v>
      </c>
      <c r="CE56" s="144" t="n">
        <v>-138.712396694215</v>
      </c>
      <c r="CF56" s="315"/>
      <c r="CG56" s="144" t="n">
        <v>-61.7123966942149</v>
      </c>
      <c r="CH56" s="144" t="n">
        <v>-138.512396694215</v>
      </c>
      <c r="CI56" s="144" t="n">
        <v>-138.512396694215</v>
      </c>
      <c r="CJ56" s="144" t="n">
        <v>-186.512396694215</v>
      </c>
      <c r="CK56" s="144" t="n">
        <v>-186.512396694215</v>
      </c>
      <c r="CM56" s="144" t="n">
        <v>453.719008264463</v>
      </c>
      <c r="CO56" s="319"/>
      <c r="CP56" s="320"/>
      <c r="CQ56" s="321" t="s">
        <v>12</v>
      </c>
      <c r="CR56" s="320"/>
      <c r="CS56" s="322" t="n">
        <v>-132.719008264463</v>
      </c>
      <c r="CT56" s="322" t="n">
        <v>-194.719008264463</v>
      </c>
      <c r="CU56" s="322" t="n">
        <v>-213.919008264463</v>
      </c>
      <c r="CV56" s="323"/>
      <c r="CW56" s="322" t="n">
        <v>-136.919008264463</v>
      </c>
      <c r="CX56" s="322" t="n">
        <v>-213.719008264463</v>
      </c>
      <c r="CY56" s="322" t="n">
        <v>-213.719008264463</v>
      </c>
      <c r="CZ56" s="322" t="n">
        <v>-261.719008264463</v>
      </c>
      <c r="DA56" s="322" t="n">
        <v>-261.719008264463</v>
      </c>
    </row>
    <row r="57" customFormat="false" ht="12.75" hidden="false" customHeight="false" outlineLevel="0" collapsed="false">
      <c r="B57" s="305" t="s">
        <v>124</v>
      </c>
      <c r="C57" s="305" t="s">
        <v>444</v>
      </c>
      <c r="D57" s="306" t="n">
        <v>564</v>
      </c>
      <c r="E57" s="306" t="n">
        <v>3.25</v>
      </c>
      <c r="F57" s="306" t="s">
        <v>432</v>
      </c>
      <c r="G57" s="307" t="n">
        <v>24</v>
      </c>
      <c r="H57" s="308" t="n">
        <v>433.884297520661</v>
      </c>
      <c r="I57" s="2"/>
      <c r="J57" s="144" t="s">
        <v>12</v>
      </c>
      <c r="K57" s="309" t="s">
        <v>12</v>
      </c>
      <c r="L57" s="310"/>
      <c r="M57" s="311" t="n">
        <v>139</v>
      </c>
      <c r="N57" s="312" t="n">
        <v>9.1</v>
      </c>
      <c r="O57" s="311" t="n">
        <v>19</v>
      </c>
      <c r="P57" s="312" t="n">
        <v>11.8</v>
      </c>
      <c r="Q57" s="310" t="n">
        <v>19</v>
      </c>
      <c r="R57" s="312" t="n">
        <v>11</v>
      </c>
      <c r="S57" s="310"/>
      <c r="T57" s="311" t="n">
        <v>0</v>
      </c>
      <c r="U57" s="312" t="n">
        <v>14.9</v>
      </c>
      <c r="V57" s="311" t="n">
        <v>0</v>
      </c>
      <c r="W57" s="312" t="n">
        <v>10</v>
      </c>
      <c r="X57" s="311" t="n">
        <v>0</v>
      </c>
      <c r="Y57" s="312" t="n">
        <v>10</v>
      </c>
      <c r="Z57" s="313" t="n">
        <v>0</v>
      </c>
      <c r="AA57" s="314" t="n">
        <v>9.9</v>
      </c>
      <c r="AB57" s="313" t="n">
        <v>0</v>
      </c>
      <c r="AC57" s="314" t="n">
        <v>9.9</v>
      </c>
      <c r="AD57" s="315"/>
      <c r="AE57" s="144" t="n">
        <v>130</v>
      </c>
      <c r="AF57" s="315"/>
      <c r="AG57" s="311" t="n">
        <v>0</v>
      </c>
      <c r="AH57" s="309" t="n">
        <v>0</v>
      </c>
      <c r="AI57" s="310"/>
      <c r="AJ57" s="311" t="n">
        <v>207</v>
      </c>
      <c r="AK57" s="309" t="n">
        <v>218.4</v>
      </c>
      <c r="AL57" s="311" t="n">
        <v>262</v>
      </c>
      <c r="AM57" s="309" t="n">
        <v>283.2</v>
      </c>
      <c r="AN57" s="311" t="n">
        <v>281</v>
      </c>
      <c r="AO57" s="309" t="n">
        <v>264</v>
      </c>
      <c r="AP57" s="310"/>
      <c r="AQ57" s="311" t="n">
        <v>206</v>
      </c>
      <c r="AR57" s="309" t="n">
        <v>357.6</v>
      </c>
      <c r="AS57" s="311" t="n">
        <v>324</v>
      </c>
      <c r="AT57" s="309" t="n">
        <v>240</v>
      </c>
      <c r="AU57" s="311" t="n">
        <v>324</v>
      </c>
      <c r="AV57" s="309" t="n">
        <v>240</v>
      </c>
      <c r="AW57" s="311" t="n">
        <v>326</v>
      </c>
      <c r="AX57" s="309" t="n">
        <v>237.6</v>
      </c>
      <c r="AY57" s="311" t="n">
        <v>326</v>
      </c>
      <c r="AZ57" s="309" t="n">
        <v>237.6</v>
      </c>
      <c r="BB57" s="144" t="n">
        <v>0</v>
      </c>
      <c r="BC57" s="315"/>
      <c r="BD57" s="311" t="n">
        <v>0</v>
      </c>
      <c r="BE57" s="316" t="n">
        <v>0</v>
      </c>
      <c r="BF57" s="310"/>
      <c r="BG57" s="317" t="n">
        <v>-10</v>
      </c>
      <c r="BH57" s="318" t="n">
        <v>-0.200000000000001</v>
      </c>
      <c r="BI57" s="317" t="n">
        <v>0</v>
      </c>
      <c r="BJ57" s="318" t="n">
        <v>-0.199999999999999</v>
      </c>
      <c r="BK57" s="317" t="n">
        <v>0</v>
      </c>
      <c r="BL57" s="318" t="n">
        <v>-0.200000000000001</v>
      </c>
      <c r="BM57" s="310"/>
      <c r="BN57" s="317" t="n">
        <v>0</v>
      </c>
      <c r="BO57" s="318" t="n">
        <v>-1.1</v>
      </c>
      <c r="BP57" s="317" t="n">
        <v>0</v>
      </c>
      <c r="BQ57" s="318" t="n">
        <v>2.7</v>
      </c>
      <c r="BR57" s="317" t="n">
        <v>0</v>
      </c>
      <c r="BS57" s="318" t="n">
        <v>2.7</v>
      </c>
      <c r="BT57" s="317" t="n">
        <v>0</v>
      </c>
      <c r="BU57" s="318" t="n">
        <v>1.4</v>
      </c>
      <c r="BV57" s="317" t="n">
        <v>0</v>
      </c>
      <c r="BW57" s="318" t="n">
        <v>1.4</v>
      </c>
      <c r="BY57" s="143"/>
      <c r="BZ57" s="315"/>
      <c r="CA57" s="144" t="s">
        <v>12</v>
      </c>
      <c r="CB57" s="315"/>
      <c r="CC57" s="144" t="n">
        <v>-76.4842975206612</v>
      </c>
      <c r="CD57" s="144" t="n">
        <v>-131.684297520661</v>
      </c>
      <c r="CE57" s="144" t="n">
        <v>-150.884297520661</v>
      </c>
      <c r="CF57" s="315"/>
      <c r="CG57" s="144" t="n">
        <v>-76.2842975206611</v>
      </c>
      <c r="CH57" s="144" t="n">
        <v>-193.884297520661</v>
      </c>
      <c r="CI57" s="144" t="n">
        <v>-193.884297520661</v>
      </c>
      <c r="CJ57" s="144" t="n">
        <v>-196.284297520661</v>
      </c>
      <c r="CK57" s="144" t="n">
        <v>-196.284297520661</v>
      </c>
      <c r="CM57" s="144" t="n">
        <v>503.305785123967</v>
      </c>
      <c r="CO57" s="319"/>
      <c r="CP57" s="320"/>
      <c r="CQ57" s="321" t="s">
        <v>12</v>
      </c>
      <c r="CR57" s="320"/>
      <c r="CS57" s="322" t="n">
        <v>-145.905785123967</v>
      </c>
      <c r="CT57" s="322" t="n">
        <v>-201.105785123967</v>
      </c>
      <c r="CU57" s="322" t="n">
        <v>-220.305785123967</v>
      </c>
      <c r="CV57" s="323"/>
      <c r="CW57" s="322" t="n">
        <v>-145.705785123967</v>
      </c>
      <c r="CX57" s="322" t="n">
        <v>-263.305785123967</v>
      </c>
      <c r="CY57" s="322" t="n">
        <v>-263.305785123967</v>
      </c>
      <c r="CZ57" s="322" t="n">
        <v>-265.705785123967</v>
      </c>
      <c r="DA57" s="322" t="n">
        <v>-265.705785123967</v>
      </c>
    </row>
    <row r="58" customFormat="false" ht="12.75" hidden="false" customHeight="false" outlineLevel="0" collapsed="false">
      <c r="B58" s="305" t="s">
        <v>124</v>
      </c>
      <c r="C58" s="305" t="s">
        <v>444</v>
      </c>
      <c r="D58" s="306" t="n">
        <v>564</v>
      </c>
      <c r="E58" s="306" t="n">
        <v>3.25</v>
      </c>
      <c r="F58" s="324" t="s">
        <v>432</v>
      </c>
      <c r="G58" s="144" t="n">
        <v>48</v>
      </c>
      <c r="H58" s="325" t="n">
        <v>433.884297520661</v>
      </c>
      <c r="I58" s="2"/>
      <c r="J58" s="144" t="s">
        <v>12</v>
      </c>
      <c r="K58" s="309" t="s">
        <v>12</v>
      </c>
      <c r="L58" s="310"/>
      <c r="M58" s="311" t="n">
        <v>139</v>
      </c>
      <c r="N58" s="312" t="n">
        <v>4.6</v>
      </c>
      <c r="O58" s="311" t="n">
        <v>19</v>
      </c>
      <c r="P58" s="312" t="n">
        <v>5.9</v>
      </c>
      <c r="Q58" s="310" t="n">
        <v>19</v>
      </c>
      <c r="R58" s="312" t="n">
        <v>5.5</v>
      </c>
      <c r="S58" s="310"/>
      <c r="T58" s="311" t="n">
        <v>0</v>
      </c>
      <c r="U58" s="312" t="n">
        <v>7.5</v>
      </c>
      <c r="V58" s="311" t="n">
        <v>0</v>
      </c>
      <c r="W58" s="312" t="n">
        <v>5</v>
      </c>
      <c r="X58" s="311" t="n">
        <v>0</v>
      </c>
      <c r="Y58" s="312" t="n">
        <v>5</v>
      </c>
      <c r="Z58" s="313" t="n">
        <v>0</v>
      </c>
      <c r="AA58" s="314" t="n">
        <v>5</v>
      </c>
      <c r="AB58" s="313" t="n">
        <v>0</v>
      </c>
      <c r="AC58" s="314" t="n">
        <v>5</v>
      </c>
      <c r="AD58" s="315"/>
      <c r="AE58" s="144" t="n">
        <v>130</v>
      </c>
      <c r="AF58" s="315"/>
      <c r="AG58" s="311" t="n">
        <v>0</v>
      </c>
      <c r="AH58" s="309" t="n">
        <v>0</v>
      </c>
      <c r="AI58" s="310"/>
      <c r="AJ58" s="311" t="n">
        <v>204</v>
      </c>
      <c r="AK58" s="309" t="n">
        <v>220.8</v>
      </c>
      <c r="AL58" s="311" t="n">
        <v>262</v>
      </c>
      <c r="AM58" s="309" t="n">
        <v>283.2</v>
      </c>
      <c r="AN58" s="310" t="n">
        <v>281</v>
      </c>
      <c r="AO58" s="309" t="n">
        <v>264</v>
      </c>
      <c r="AP58" s="310"/>
      <c r="AQ58" s="311" t="n">
        <v>204</v>
      </c>
      <c r="AR58" s="309" t="n">
        <v>360</v>
      </c>
      <c r="AS58" s="311" t="n">
        <v>324</v>
      </c>
      <c r="AT58" s="309" t="n">
        <v>240</v>
      </c>
      <c r="AU58" s="310" t="n">
        <v>324</v>
      </c>
      <c r="AV58" s="309" t="n">
        <v>240</v>
      </c>
      <c r="AW58" s="310" t="n">
        <v>324</v>
      </c>
      <c r="AX58" s="309" t="n">
        <v>240</v>
      </c>
      <c r="AY58" s="310" t="n">
        <v>324</v>
      </c>
      <c r="AZ58" s="309" t="n">
        <v>240</v>
      </c>
      <c r="BB58" s="144" t="n">
        <v>0</v>
      </c>
      <c r="BC58" s="315"/>
      <c r="BD58" s="311" t="n">
        <v>0</v>
      </c>
      <c r="BE58" s="316" t="n">
        <v>0</v>
      </c>
      <c r="BF58" s="310"/>
      <c r="BG58" s="317" t="n">
        <v>0</v>
      </c>
      <c r="BH58" s="318" t="n">
        <v>0</v>
      </c>
      <c r="BI58" s="317" t="n">
        <v>0</v>
      </c>
      <c r="BJ58" s="318" t="n">
        <v>0</v>
      </c>
      <c r="BK58" s="317" t="n">
        <v>0</v>
      </c>
      <c r="BL58" s="318" t="n">
        <v>0</v>
      </c>
      <c r="BM58" s="310"/>
      <c r="BN58" s="317" t="n">
        <v>0</v>
      </c>
      <c r="BO58" s="318" t="n">
        <v>0</v>
      </c>
      <c r="BP58" s="317" t="n">
        <v>0</v>
      </c>
      <c r="BQ58" s="318" t="n">
        <v>0</v>
      </c>
      <c r="BR58" s="317" t="n">
        <v>0</v>
      </c>
      <c r="BS58" s="318" t="n">
        <v>0</v>
      </c>
      <c r="BT58" s="317" t="n">
        <v>0</v>
      </c>
      <c r="BU58" s="318" t="n">
        <v>0</v>
      </c>
      <c r="BV58" s="317" t="n">
        <v>0</v>
      </c>
      <c r="BW58" s="318" t="n">
        <v>0</v>
      </c>
      <c r="BY58" s="143"/>
      <c r="BZ58" s="315"/>
      <c r="CA58" s="144" t="s">
        <v>12</v>
      </c>
      <c r="CB58" s="315"/>
      <c r="CC58" s="144" t="n">
        <v>-74.0842975206612</v>
      </c>
      <c r="CD58" s="144" t="n">
        <v>-131.684297520661</v>
      </c>
      <c r="CE58" s="144" t="n">
        <v>-150.884297520661</v>
      </c>
      <c r="CF58" s="315"/>
      <c r="CG58" s="144" t="n">
        <v>-73.8842975206612</v>
      </c>
      <c r="CH58" s="144" t="n">
        <v>-193.884297520661</v>
      </c>
      <c r="CI58" s="144" t="n">
        <v>-193.884297520661</v>
      </c>
      <c r="CJ58" s="144" t="n">
        <v>-193.884297520661</v>
      </c>
      <c r="CK58" s="144" t="n">
        <v>-193.884297520661</v>
      </c>
      <c r="CM58" s="144" t="n">
        <v>503.305785123967</v>
      </c>
      <c r="CO58" s="319"/>
      <c r="CP58" s="320"/>
      <c r="CQ58" s="321" t="s">
        <v>12</v>
      </c>
      <c r="CR58" s="320"/>
      <c r="CS58" s="322" t="n">
        <v>-143.505785123967</v>
      </c>
      <c r="CT58" s="322" t="n">
        <v>-201.105785123967</v>
      </c>
      <c r="CU58" s="322" t="n">
        <v>-220.305785123967</v>
      </c>
      <c r="CV58" s="323"/>
      <c r="CW58" s="322" t="n">
        <v>-143.305785123967</v>
      </c>
      <c r="CX58" s="322" t="n">
        <v>-263.305785123967</v>
      </c>
      <c r="CY58" s="322" t="n">
        <v>-263.305785123967</v>
      </c>
      <c r="CZ58" s="322" t="n">
        <v>-263.305785123967</v>
      </c>
      <c r="DA58" s="322" t="n">
        <v>-263.305785123967</v>
      </c>
    </row>
    <row r="59" customFormat="false" ht="12.75" hidden="false" customHeight="false" outlineLevel="0" collapsed="false">
      <c r="B59" s="305" t="s">
        <v>124</v>
      </c>
      <c r="C59" s="305" t="s">
        <v>445</v>
      </c>
      <c r="D59" s="306" t="n">
        <v>823</v>
      </c>
      <c r="E59" s="306" t="n">
        <v>3.25</v>
      </c>
      <c r="F59" s="306" t="s">
        <v>432</v>
      </c>
      <c r="G59" s="307" t="n">
        <v>24</v>
      </c>
      <c r="H59" s="308" t="n">
        <v>657.02479338843</v>
      </c>
      <c r="I59" s="2"/>
      <c r="J59" s="144" t="s">
        <v>12</v>
      </c>
      <c r="K59" s="309" t="s">
        <v>12</v>
      </c>
      <c r="L59" s="310"/>
      <c r="M59" s="311" t="n">
        <v>289</v>
      </c>
      <c r="N59" s="312" t="n">
        <v>11.8</v>
      </c>
      <c r="O59" s="311" t="n">
        <v>179</v>
      </c>
      <c r="P59" s="312" t="n">
        <v>13.9</v>
      </c>
      <c r="Q59" s="310" t="n">
        <v>179</v>
      </c>
      <c r="R59" s="312" t="n">
        <v>13.1</v>
      </c>
      <c r="S59" s="310"/>
      <c r="T59" s="311" t="n">
        <v>0</v>
      </c>
      <c r="U59" s="312" t="n">
        <v>23.4</v>
      </c>
      <c r="V59" s="311" t="n">
        <v>0</v>
      </c>
      <c r="W59" s="312" t="n">
        <v>18.2</v>
      </c>
      <c r="X59" s="311" t="n">
        <v>0</v>
      </c>
      <c r="Y59" s="312" t="n">
        <v>18.2</v>
      </c>
      <c r="Z59" s="313" t="n">
        <v>0</v>
      </c>
      <c r="AA59" s="314" t="n">
        <v>18.2</v>
      </c>
      <c r="AB59" s="313" t="n">
        <v>0</v>
      </c>
      <c r="AC59" s="314" t="n">
        <v>18.2</v>
      </c>
      <c r="AD59" s="315"/>
      <c r="AE59" s="144" t="n">
        <v>166</v>
      </c>
      <c r="AF59" s="315"/>
      <c r="AG59" s="311" t="n">
        <v>0</v>
      </c>
      <c r="AH59" s="309" t="n">
        <v>0</v>
      </c>
      <c r="AI59" s="310"/>
      <c r="AJ59" s="311" t="n">
        <v>251</v>
      </c>
      <c r="AK59" s="309" t="n">
        <v>283.2</v>
      </c>
      <c r="AL59" s="311" t="n">
        <v>310</v>
      </c>
      <c r="AM59" s="309" t="n">
        <v>333.6</v>
      </c>
      <c r="AN59" s="311" t="n">
        <v>330</v>
      </c>
      <c r="AO59" s="309" t="n">
        <v>314.4</v>
      </c>
      <c r="AP59" s="310"/>
      <c r="AQ59" s="311" t="n">
        <v>261</v>
      </c>
      <c r="AR59" s="309" t="n">
        <v>561.6</v>
      </c>
      <c r="AS59" s="311" t="n">
        <v>386</v>
      </c>
      <c r="AT59" s="309" t="n">
        <v>436.8</v>
      </c>
      <c r="AU59" s="311" t="n">
        <v>386</v>
      </c>
      <c r="AV59" s="309" t="n">
        <v>436.8</v>
      </c>
      <c r="AW59" s="311" t="n">
        <v>386</v>
      </c>
      <c r="AX59" s="309" t="n">
        <v>436.8</v>
      </c>
      <c r="AY59" s="311" t="n">
        <v>386</v>
      </c>
      <c r="AZ59" s="309" t="n">
        <v>436.8</v>
      </c>
      <c r="BB59" s="144" t="n">
        <v>0</v>
      </c>
      <c r="BC59" s="315"/>
      <c r="BD59" s="311" t="n">
        <v>0</v>
      </c>
      <c r="BE59" s="316" t="n">
        <v>0</v>
      </c>
      <c r="BF59" s="310"/>
      <c r="BG59" s="317" t="n">
        <v>0</v>
      </c>
      <c r="BH59" s="318" t="n">
        <v>0.4</v>
      </c>
      <c r="BI59" s="317" t="n">
        <v>0</v>
      </c>
      <c r="BJ59" s="318" t="n">
        <v>0.799999999999999</v>
      </c>
      <c r="BK59" s="317" t="n">
        <v>0</v>
      </c>
      <c r="BL59" s="318" t="n">
        <v>0.9</v>
      </c>
      <c r="BM59" s="310"/>
      <c r="BN59" s="317" t="n">
        <v>0</v>
      </c>
      <c r="BO59" s="318" t="n">
        <v>0</v>
      </c>
      <c r="BP59" s="317" t="n">
        <v>0</v>
      </c>
      <c r="BQ59" s="318" t="n">
        <v>1.6</v>
      </c>
      <c r="BR59" s="317" t="n">
        <v>0</v>
      </c>
      <c r="BS59" s="318" t="n">
        <v>1.6</v>
      </c>
      <c r="BT59" s="317" t="n">
        <v>0</v>
      </c>
      <c r="BU59" s="318" t="n">
        <v>1.7</v>
      </c>
      <c r="BV59" s="317" t="n">
        <v>0</v>
      </c>
      <c r="BW59" s="318" t="n">
        <v>1.7</v>
      </c>
      <c r="BY59" s="143"/>
      <c r="BZ59" s="315"/>
      <c r="CA59" s="144" t="s">
        <v>12</v>
      </c>
      <c r="CB59" s="315"/>
      <c r="CC59" s="144" t="n">
        <v>-84.8247933884297</v>
      </c>
      <c r="CD59" s="144" t="n">
        <v>-144.42479338843</v>
      </c>
      <c r="CE59" s="144" t="n">
        <v>-163.62479338843</v>
      </c>
      <c r="CF59" s="315"/>
      <c r="CG59" s="144" t="n">
        <v>-95.4247933884298</v>
      </c>
      <c r="CH59" s="144" t="n">
        <v>-220.22479338843</v>
      </c>
      <c r="CI59" s="144" t="n">
        <v>-220.22479338843</v>
      </c>
      <c r="CJ59" s="144" t="n">
        <v>-220.22479338843</v>
      </c>
      <c r="CK59" s="144" t="n">
        <v>-220.22479338843</v>
      </c>
      <c r="CM59" s="144" t="n">
        <v>742.97520661157</v>
      </c>
      <c r="CO59" s="319"/>
      <c r="CP59" s="320"/>
      <c r="CQ59" s="321" t="s">
        <v>12</v>
      </c>
      <c r="CR59" s="320"/>
      <c r="CS59" s="322" t="n">
        <v>-170.77520661157</v>
      </c>
      <c r="CT59" s="322" t="n">
        <v>-230.37520661157</v>
      </c>
      <c r="CU59" s="322" t="n">
        <v>-249.57520661157</v>
      </c>
      <c r="CV59" s="323"/>
      <c r="CW59" s="322" t="n">
        <v>-181.37520661157</v>
      </c>
      <c r="CX59" s="322" t="n">
        <v>-306.17520661157</v>
      </c>
      <c r="CY59" s="322" t="n">
        <v>-306.17520661157</v>
      </c>
      <c r="CZ59" s="322" t="n">
        <v>-306.17520661157</v>
      </c>
      <c r="DA59" s="322" t="n">
        <v>-306.17520661157</v>
      </c>
    </row>
    <row r="60" customFormat="false" ht="12.75" hidden="false" customHeight="false" outlineLevel="0" collapsed="false">
      <c r="B60" s="305" t="s">
        <v>124</v>
      </c>
      <c r="C60" s="305" t="s">
        <v>445</v>
      </c>
      <c r="D60" s="306" t="n">
        <v>823</v>
      </c>
      <c r="E60" s="306" t="n">
        <v>3.25</v>
      </c>
      <c r="F60" s="324" t="s">
        <v>432</v>
      </c>
      <c r="G60" s="144" t="n">
        <v>48</v>
      </c>
      <c r="H60" s="325" t="n">
        <v>657.02479338843</v>
      </c>
      <c r="I60" s="2"/>
      <c r="J60" s="144" t="s">
        <v>12</v>
      </c>
      <c r="K60" s="309" t="s">
        <v>12</v>
      </c>
      <c r="L60" s="310"/>
      <c r="M60" s="311" t="n">
        <v>289</v>
      </c>
      <c r="N60" s="312" t="n">
        <v>5.9</v>
      </c>
      <c r="O60" s="311" t="n">
        <v>179</v>
      </c>
      <c r="P60" s="312" t="n">
        <v>7</v>
      </c>
      <c r="Q60" s="310" t="n">
        <v>179</v>
      </c>
      <c r="R60" s="312" t="n">
        <v>6.6</v>
      </c>
      <c r="S60" s="310"/>
      <c r="T60" s="311" t="n">
        <v>0</v>
      </c>
      <c r="U60" s="312" t="n">
        <v>11.7</v>
      </c>
      <c r="V60" s="311" t="n">
        <v>0</v>
      </c>
      <c r="W60" s="312" t="n">
        <v>9.1</v>
      </c>
      <c r="X60" s="311" t="n">
        <v>0</v>
      </c>
      <c r="Y60" s="312" t="n">
        <v>9.1</v>
      </c>
      <c r="Z60" s="313" t="n">
        <v>0</v>
      </c>
      <c r="AA60" s="314" t="n">
        <v>9.1</v>
      </c>
      <c r="AB60" s="313" t="n">
        <v>0</v>
      </c>
      <c r="AC60" s="314" t="n">
        <v>9.1</v>
      </c>
      <c r="AD60" s="315"/>
      <c r="AE60" s="144" t="n">
        <v>166</v>
      </c>
      <c r="AF60" s="315"/>
      <c r="AG60" s="311" t="n">
        <v>0</v>
      </c>
      <c r="AH60" s="309" t="n">
        <v>0</v>
      </c>
      <c r="AI60" s="310"/>
      <c r="AJ60" s="311" t="n">
        <v>251</v>
      </c>
      <c r="AK60" s="309" t="n">
        <v>283.2</v>
      </c>
      <c r="AL60" s="311" t="n">
        <v>308</v>
      </c>
      <c r="AM60" s="309" t="n">
        <v>336</v>
      </c>
      <c r="AN60" s="310" t="n">
        <v>327</v>
      </c>
      <c r="AO60" s="309" t="n">
        <v>316.8</v>
      </c>
      <c r="AP60" s="310"/>
      <c r="AQ60" s="311" t="n">
        <v>261</v>
      </c>
      <c r="AR60" s="309" t="n">
        <v>561.6</v>
      </c>
      <c r="AS60" s="311" t="n">
        <v>386</v>
      </c>
      <c r="AT60" s="309" t="n">
        <v>436.8</v>
      </c>
      <c r="AU60" s="310" t="n">
        <v>386</v>
      </c>
      <c r="AV60" s="309" t="n">
        <v>436.8</v>
      </c>
      <c r="AW60" s="310" t="n">
        <v>386</v>
      </c>
      <c r="AX60" s="309" t="n">
        <v>436.8</v>
      </c>
      <c r="AY60" s="310" t="n">
        <v>386</v>
      </c>
      <c r="AZ60" s="309" t="n">
        <v>436.8</v>
      </c>
      <c r="BB60" s="144" t="n">
        <v>0</v>
      </c>
      <c r="BC60" s="315"/>
      <c r="BD60" s="311" t="n">
        <v>0</v>
      </c>
      <c r="BE60" s="316" t="n">
        <v>0</v>
      </c>
      <c r="BF60" s="310"/>
      <c r="BG60" s="317" t="n">
        <v>0</v>
      </c>
      <c r="BH60" s="318" t="n">
        <v>0</v>
      </c>
      <c r="BI60" s="317" t="n">
        <v>0</v>
      </c>
      <c r="BJ60" s="318" t="n">
        <v>0</v>
      </c>
      <c r="BK60" s="317" t="n">
        <v>0</v>
      </c>
      <c r="BL60" s="318" t="n">
        <v>0</v>
      </c>
      <c r="BM60" s="310"/>
      <c r="BN60" s="317" t="n">
        <v>0</v>
      </c>
      <c r="BO60" s="318" t="n">
        <v>0</v>
      </c>
      <c r="BP60" s="317" t="n">
        <v>0</v>
      </c>
      <c r="BQ60" s="318" t="n">
        <v>0</v>
      </c>
      <c r="BR60" s="317" t="n">
        <v>0</v>
      </c>
      <c r="BS60" s="318" t="n">
        <v>0</v>
      </c>
      <c r="BT60" s="317" t="n">
        <v>0</v>
      </c>
      <c r="BU60" s="318" t="n">
        <v>0</v>
      </c>
      <c r="BV60" s="317" t="n">
        <v>0</v>
      </c>
      <c r="BW60" s="318" t="n">
        <v>0</v>
      </c>
      <c r="BY60" s="143"/>
      <c r="BZ60" s="315"/>
      <c r="CA60" s="144" t="s">
        <v>12</v>
      </c>
      <c r="CB60" s="315"/>
      <c r="CC60" s="144" t="n">
        <v>-84.8247933884297</v>
      </c>
      <c r="CD60" s="144" t="n">
        <v>-142.02479338843</v>
      </c>
      <c r="CE60" s="144" t="n">
        <v>-161.22479338843</v>
      </c>
      <c r="CF60" s="315"/>
      <c r="CG60" s="144" t="n">
        <v>-95.4247933884298</v>
      </c>
      <c r="CH60" s="144" t="n">
        <v>-220.22479338843</v>
      </c>
      <c r="CI60" s="144" t="n">
        <v>-220.22479338843</v>
      </c>
      <c r="CJ60" s="144" t="n">
        <v>-220.22479338843</v>
      </c>
      <c r="CK60" s="144" t="n">
        <v>-220.22479338843</v>
      </c>
      <c r="CM60" s="144" t="n">
        <v>742.97520661157</v>
      </c>
      <c r="CO60" s="319"/>
      <c r="CP60" s="320"/>
      <c r="CQ60" s="321" t="s">
        <v>12</v>
      </c>
      <c r="CR60" s="320"/>
      <c r="CS60" s="322" t="n">
        <v>-170.77520661157</v>
      </c>
      <c r="CT60" s="322" t="n">
        <v>-227.97520661157</v>
      </c>
      <c r="CU60" s="322" t="n">
        <v>-247.17520661157</v>
      </c>
      <c r="CV60" s="323"/>
      <c r="CW60" s="322" t="n">
        <v>-181.37520661157</v>
      </c>
      <c r="CX60" s="322" t="n">
        <v>-306.17520661157</v>
      </c>
      <c r="CY60" s="322" t="n">
        <v>-306.17520661157</v>
      </c>
      <c r="CZ60" s="322" t="n">
        <v>-306.17520661157</v>
      </c>
      <c r="DA60" s="322" t="n">
        <v>-306.17520661157</v>
      </c>
    </row>
    <row r="61" customFormat="false" ht="12.75" hidden="false" customHeight="false" outlineLevel="0" collapsed="false">
      <c r="B61" s="305" t="s">
        <v>124</v>
      </c>
      <c r="C61" s="305" t="s">
        <v>446</v>
      </c>
      <c r="D61" s="306" t="n">
        <v>520</v>
      </c>
      <c r="E61" s="306" t="n">
        <v>3.25</v>
      </c>
      <c r="F61" s="306" t="s">
        <v>432</v>
      </c>
      <c r="G61" s="307" t="n">
        <v>24</v>
      </c>
      <c r="H61" s="308" t="n">
        <v>409.090909090909</v>
      </c>
      <c r="I61" s="2"/>
      <c r="J61" s="144" t="s">
        <v>12</v>
      </c>
      <c r="K61" s="309" t="s">
        <v>12</v>
      </c>
      <c r="L61" s="310"/>
      <c r="M61" s="311" t="n">
        <v>139</v>
      </c>
      <c r="N61" s="312" t="n">
        <v>8.5</v>
      </c>
      <c r="O61" s="311" t="n">
        <v>19</v>
      </c>
      <c r="P61" s="312" t="n">
        <v>10.8</v>
      </c>
      <c r="Q61" s="310" t="n">
        <v>19</v>
      </c>
      <c r="R61" s="312" t="n">
        <v>10</v>
      </c>
      <c r="S61" s="310"/>
      <c r="T61" s="311" t="n">
        <v>0</v>
      </c>
      <c r="U61" s="312" t="n">
        <v>13.9</v>
      </c>
      <c r="V61" s="311" t="n">
        <v>0</v>
      </c>
      <c r="W61" s="312" t="n">
        <v>9.1</v>
      </c>
      <c r="X61" s="311" t="n">
        <v>0</v>
      </c>
      <c r="Y61" s="312" t="n">
        <v>9.1</v>
      </c>
      <c r="Z61" s="313" t="n">
        <v>0</v>
      </c>
      <c r="AA61" s="314" t="n">
        <v>9.1</v>
      </c>
      <c r="AB61" s="313" t="n">
        <v>0</v>
      </c>
      <c r="AC61" s="314" t="n">
        <v>9.1</v>
      </c>
      <c r="AD61" s="315"/>
      <c r="AE61" s="144" t="n">
        <v>111</v>
      </c>
      <c r="AF61" s="315"/>
      <c r="AG61" s="311" t="n">
        <v>0</v>
      </c>
      <c r="AH61" s="309" t="n">
        <v>0</v>
      </c>
      <c r="AI61" s="310"/>
      <c r="AJ61" s="311" t="n">
        <v>177</v>
      </c>
      <c r="AK61" s="309" t="n">
        <v>204</v>
      </c>
      <c r="AL61" s="311" t="n">
        <v>242</v>
      </c>
      <c r="AM61" s="309" t="n">
        <v>259.2</v>
      </c>
      <c r="AN61" s="311" t="n">
        <v>261</v>
      </c>
      <c r="AO61" s="309" t="n">
        <v>240</v>
      </c>
      <c r="AP61" s="310"/>
      <c r="AQ61" s="311" t="n">
        <v>186</v>
      </c>
      <c r="AR61" s="309" t="n">
        <v>333.6</v>
      </c>
      <c r="AS61" s="311" t="n">
        <v>302</v>
      </c>
      <c r="AT61" s="309" t="n">
        <v>218.4</v>
      </c>
      <c r="AU61" s="311" t="n">
        <v>302</v>
      </c>
      <c r="AV61" s="309" t="n">
        <v>218.4</v>
      </c>
      <c r="AW61" s="311" t="n">
        <v>302</v>
      </c>
      <c r="AX61" s="309" t="n">
        <v>218.4</v>
      </c>
      <c r="AY61" s="311" t="n">
        <v>302</v>
      </c>
      <c r="AZ61" s="309" t="n">
        <v>218.4</v>
      </c>
      <c r="BB61" s="144" t="n">
        <v>0</v>
      </c>
      <c r="BC61" s="315"/>
      <c r="BD61" s="311" t="n">
        <v>0</v>
      </c>
      <c r="BE61" s="316" t="n">
        <v>0</v>
      </c>
      <c r="BF61" s="310"/>
      <c r="BG61" s="317" t="n">
        <v>0</v>
      </c>
      <c r="BH61" s="318" t="n">
        <v>0</v>
      </c>
      <c r="BI61" s="317" t="n">
        <v>0</v>
      </c>
      <c r="BJ61" s="318" t="n">
        <v>0</v>
      </c>
      <c r="BK61" s="317" t="n">
        <v>0</v>
      </c>
      <c r="BL61" s="318" t="n">
        <v>0</v>
      </c>
      <c r="BM61" s="310"/>
      <c r="BN61" s="317" t="n">
        <v>0</v>
      </c>
      <c r="BO61" s="318" t="n">
        <v>0</v>
      </c>
      <c r="BP61" s="317" t="n">
        <v>0</v>
      </c>
      <c r="BQ61" s="318" t="n">
        <v>0</v>
      </c>
      <c r="BR61" s="317" t="n">
        <v>0</v>
      </c>
      <c r="BS61" s="318" t="n">
        <v>0</v>
      </c>
      <c r="BT61" s="317" t="n">
        <v>0</v>
      </c>
      <c r="BU61" s="318" t="n">
        <v>0</v>
      </c>
      <c r="BV61" s="317" t="n">
        <v>0</v>
      </c>
      <c r="BW61" s="318" t="n">
        <v>0</v>
      </c>
      <c r="BY61" s="143"/>
      <c r="BZ61" s="315"/>
      <c r="CA61" s="144" t="s">
        <v>12</v>
      </c>
      <c r="CB61" s="315"/>
      <c r="CC61" s="144" t="n">
        <v>-66.0909090909091</v>
      </c>
      <c r="CD61" s="144" t="n">
        <v>-130.890909090909</v>
      </c>
      <c r="CE61" s="144" t="n">
        <v>-150.090909090909</v>
      </c>
      <c r="CF61" s="315"/>
      <c r="CG61" s="144" t="n">
        <v>-75.4909090909091</v>
      </c>
      <c r="CH61" s="144" t="n">
        <v>-190.690909090909</v>
      </c>
      <c r="CI61" s="144" t="n">
        <v>-190.690909090909</v>
      </c>
      <c r="CJ61" s="144" t="n">
        <v>-190.690909090909</v>
      </c>
      <c r="CK61" s="144" t="n">
        <v>-190.690909090909</v>
      </c>
      <c r="CM61" s="144" t="n">
        <v>453.719008264463</v>
      </c>
      <c r="CO61" s="319"/>
      <c r="CP61" s="320"/>
      <c r="CQ61" s="321" t="s">
        <v>12</v>
      </c>
      <c r="CR61" s="320"/>
      <c r="CS61" s="322" t="n">
        <v>-110.719008264463</v>
      </c>
      <c r="CT61" s="322" t="n">
        <v>-175.519008264463</v>
      </c>
      <c r="CU61" s="322" t="n">
        <v>-194.719008264463</v>
      </c>
      <c r="CV61" s="323"/>
      <c r="CW61" s="322" t="n">
        <v>-120.119008264463</v>
      </c>
      <c r="CX61" s="322" t="n">
        <v>-235.319008264463</v>
      </c>
      <c r="CY61" s="322" t="n">
        <v>-235.319008264463</v>
      </c>
      <c r="CZ61" s="322" t="n">
        <v>-235.319008264463</v>
      </c>
      <c r="DA61" s="322" t="n">
        <v>-235.319008264463</v>
      </c>
    </row>
    <row r="62" customFormat="false" ht="12.75" hidden="false" customHeight="false" outlineLevel="0" collapsed="false">
      <c r="B62" s="305" t="s">
        <v>124</v>
      </c>
      <c r="C62" s="305" t="s">
        <v>446</v>
      </c>
      <c r="D62" s="306" t="n">
        <v>520</v>
      </c>
      <c r="E62" s="306" t="n">
        <v>3.25</v>
      </c>
      <c r="F62" s="324" t="s">
        <v>432</v>
      </c>
      <c r="G62" s="144" t="n">
        <v>48</v>
      </c>
      <c r="H62" s="325" t="n">
        <v>409.090909090909</v>
      </c>
      <c r="I62" s="2"/>
      <c r="J62" s="144" t="s">
        <v>12</v>
      </c>
      <c r="K62" s="309" t="s">
        <v>12</v>
      </c>
      <c r="L62" s="310"/>
      <c r="M62" s="311" t="n">
        <v>139</v>
      </c>
      <c r="N62" s="312" t="n">
        <v>4.3</v>
      </c>
      <c r="O62" s="311" t="n">
        <v>19</v>
      </c>
      <c r="P62" s="312" t="n">
        <v>5.4</v>
      </c>
      <c r="Q62" s="310" t="n">
        <v>19</v>
      </c>
      <c r="R62" s="312" t="n">
        <v>5</v>
      </c>
      <c r="S62" s="310"/>
      <c r="T62" s="311" t="n">
        <v>0</v>
      </c>
      <c r="U62" s="312" t="n">
        <v>7</v>
      </c>
      <c r="V62" s="311" t="n">
        <v>0</v>
      </c>
      <c r="W62" s="312" t="n">
        <v>4.6</v>
      </c>
      <c r="X62" s="311" t="n">
        <v>0</v>
      </c>
      <c r="Y62" s="312" t="n">
        <v>4.6</v>
      </c>
      <c r="Z62" s="313" t="n">
        <v>0</v>
      </c>
      <c r="AA62" s="314" t="n">
        <v>4.5</v>
      </c>
      <c r="AB62" s="313" t="n">
        <v>0</v>
      </c>
      <c r="AC62" s="314" t="n">
        <v>4.5</v>
      </c>
      <c r="AD62" s="315"/>
      <c r="AE62" s="144" t="n">
        <v>111</v>
      </c>
      <c r="AF62" s="315"/>
      <c r="AG62" s="311" t="n">
        <v>0</v>
      </c>
      <c r="AH62" s="309" t="n">
        <v>0</v>
      </c>
      <c r="AI62" s="310"/>
      <c r="AJ62" s="311" t="n">
        <v>175</v>
      </c>
      <c r="AK62" s="309" t="n">
        <v>206.4</v>
      </c>
      <c r="AL62" s="311" t="n">
        <v>242</v>
      </c>
      <c r="AM62" s="309" t="n">
        <v>259.2</v>
      </c>
      <c r="AN62" s="310" t="n">
        <v>261</v>
      </c>
      <c r="AO62" s="309" t="n">
        <v>240</v>
      </c>
      <c r="AP62" s="310"/>
      <c r="AQ62" s="311" t="n">
        <v>184</v>
      </c>
      <c r="AR62" s="309" t="n">
        <v>336</v>
      </c>
      <c r="AS62" s="311" t="n">
        <v>299</v>
      </c>
      <c r="AT62" s="309" t="n">
        <v>220.8</v>
      </c>
      <c r="AU62" s="310" t="n">
        <v>299</v>
      </c>
      <c r="AV62" s="309" t="n">
        <v>220.8</v>
      </c>
      <c r="AW62" s="310" t="n">
        <v>304</v>
      </c>
      <c r="AX62" s="309" t="n">
        <v>216</v>
      </c>
      <c r="AY62" s="310" t="n">
        <v>304</v>
      </c>
      <c r="AZ62" s="309" t="n">
        <v>216</v>
      </c>
      <c r="BB62" s="144" t="n">
        <v>0</v>
      </c>
      <c r="BC62" s="315"/>
      <c r="BD62" s="311" t="n">
        <v>0</v>
      </c>
      <c r="BE62" s="316" t="n">
        <v>0</v>
      </c>
      <c r="BF62" s="310"/>
      <c r="BG62" s="317" t="n">
        <v>0</v>
      </c>
      <c r="BH62" s="318" t="n">
        <v>0</v>
      </c>
      <c r="BI62" s="317" t="n">
        <v>0</v>
      </c>
      <c r="BJ62" s="318" t="n">
        <v>0</v>
      </c>
      <c r="BK62" s="317" t="n">
        <v>0</v>
      </c>
      <c r="BL62" s="318" t="n">
        <v>0</v>
      </c>
      <c r="BM62" s="310"/>
      <c r="BN62" s="317" t="n">
        <v>0</v>
      </c>
      <c r="BO62" s="318" t="n">
        <v>0</v>
      </c>
      <c r="BP62" s="317" t="n">
        <v>0</v>
      </c>
      <c r="BQ62" s="318" t="n">
        <v>0</v>
      </c>
      <c r="BR62" s="317" t="n">
        <v>0</v>
      </c>
      <c r="BS62" s="318" t="n">
        <v>0</v>
      </c>
      <c r="BT62" s="317" t="n">
        <v>0</v>
      </c>
      <c r="BU62" s="318" t="n">
        <v>0</v>
      </c>
      <c r="BV62" s="317" t="n">
        <v>0</v>
      </c>
      <c r="BW62" s="318" t="n">
        <v>0</v>
      </c>
      <c r="BY62" s="143"/>
      <c r="BZ62" s="315"/>
      <c r="CA62" s="144" t="s">
        <v>12</v>
      </c>
      <c r="CB62" s="315"/>
      <c r="CC62" s="144" t="n">
        <v>-63.6909090909091</v>
      </c>
      <c r="CD62" s="144" t="n">
        <v>-130.890909090909</v>
      </c>
      <c r="CE62" s="144" t="n">
        <v>-150.090909090909</v>
      </c>
      <c r="CF62" s="315"/>
      <c r="CG62" s="144" t="n">
        <v>-73.0909090909091</v>
      </c>
      <c r="CH62" s="144" t="n">
        <v>-188.290909090909</v>
      </c>
      <c r="CI62" s="144" t="n">
        <v>-188.290909090909</v>
      </c>
      <c r="CJ62" s="144" t="n">
        <v>-193.090909090909</v>
      </c>
      <c r="CK62" s="144" t="n">
        <v>-193.090909090909</v>
      </c>
      <c r="CM62" s="144" t="n">
        <v>453.719008264463</v>
      </c>
      <c r="CO62" s="319"/>
      <c r="CP62" s="320"/>
      <c r="CQ62" s="321" t="s">
        <v>12</v>
      </c>
      <c r="CR62" s="320"/>
      <c r="CS62" s="322" t="n">
        <v>-108.319008264463</v>
      </c>
      <c r="CT62" s="322" t="n">
        <v>-175.519008264463</v>
      </c>
      <c r="CU62" s="322" t="n">
        <v>-194.719008264463</v>
      </c>
      <c r="CV62" s="323"/>
      <c r="CW62" s="322" t="n">
        <v>-117.719008264463</v>
      </c>
      <c r="CX62" s="322" t="n">
        <v>-232.919008264463</v>
      </c>
      <c r="CY62" s="322" t="n">
        <v>-232.919008264463</v>
      </c>
      <c r="CZ62" s="322" t="n">
        <v>-237.719008264463</v>
      </c>
      <c r="DA62" s="322" t="n">
        <v>-237.719008264463</v>
      </c>
    </row>
    <row r="63" customFormat="false" ht="12.75" hidden="false" customHeight="false" outlineLevel="0" collapsed="false">
      <c r="B63" s="305" t="s">
        <v>124</v>
      </c>
      <c r="C63" s="305" t="s">
        <v>447</v>
      </c>
      <c r="D63" s="306" t="n">
        <v>595</v>
      </c>
      <c r="E63" s="306" t="n">
        <v>3.25</v>
      </c>
      <c r="F63" s="306" t="s">
        <v>432</v>
      </c>
      <c r="G63" s="307" t="n">
        <v>24</v>
      </c>
      <c r="H63" s="308" t="n">
        <v>463.636363636364</v>
      </c>
      <c r="I63" s="2"/>
      <c r="J63" s="144" t="s">
        <v>12</v>
      </c>
      <c r="K63" s="309" t="s">
        <v>12</v>
      </c>
      <c r="L63" s="310"/>
      <c r="M63" s="311" t="n">
        <v>159</v>
      </c>
      <c r="N63" s="312" t="n">
        <v>9.8</v>
      </c>
      <c r="O63" s="311" t="n">
        <v>19</v>
      </c>
      <c r="P63" s="312" t="n">
        <v>13.1</v>
      </c>
      <c r="Q63" s="310" t="n">
        <v>19</v>
      </c>
      <c r="R63" s="312" t="n">
        <v>12.2</v>
      </c>
      <c r="S63" s="310"/>
      <c r="T63" s="311" t="n">
        <v>0</v>
      </c>
      <c r="U63" s="312" t="n">
        <v>16.2</v>
      </c>
      <c r="V63" s="311" t="n">
        <v>0</v>
      </c>
      <c r="W63" s="312" t="n">
        <v>11.6</v>
      </c>
      <c r="X63" s="311" t="n">
        <v>0</v>
      </c>
      <c r="Y63" s="312" t="n">
        <v>11.6</v>
      </c>
      <c r="Z63" s="313" t="n">
        <v>0</v>
      </c>
      <c r="AA63" s="314" t="n">
        <v>11.6</v>
      </c>
      <c r="AB63" s="313" t="n">
        <v>0</v>
      </c>
      <c r="AC63" s="314" t="n">
        <v>11.6</v>
      </c>
      <c r="AD63" s="315"/>
      <c r="AE63" s="144" t="n">
        <v>131</v>
      </c>
      <c r="AF63" s="315"/>
      <c r="AG63" s="311" t="n">
        <v>0</v>
      </c>
      <c r="AH63" s="309" t="n">
        <v>0</v>
      </c>
      <c r="AI63" s="310"/>
      <c r="AJ63" s="311" t="n">
        <v>201</v>
      </c>
      <c r="AK63" s="309" t="n">
        <v>235.2</v>
      </c>
      <c r="AL63" s="311" t="n">
        <v>262</v>
      </c>
      <c r="AM63" s="309" t="n">
        <v>314.4</v>
      </c>
      <c r="AN63" s="311" t="n">
        <v>283</v>
      </c>
      <c r="AO63" s="309" t="n">
        <v>292.8</v>
      </c>
      <c r="AP63" s="310"/>
      <c r="AQ63" s="311" t="n">
        <v>206</v>
      </c>
      <c r="AR63" s="309" t="n">
        <v>388.8</v>
      </c>
      <c r="AS63" s="311" t="n">
        <v>317</v>
      </c>
      <c r="AT63" s="309" t="n">
        <v>278.4</v>
      </c>
      <c r="AU63" s="311" t="n">
        <v>317</v>
      </c>
      <c r="AV63" s="309" t="n">
        <v>278.4</v>
      </c>
      <c r="AW63" s="311" t="n">
        <v>317</v>
      </c>
      <c r="AX63" s="309" t="n">
        <v>278.4</v>
      </c>
      <c r="AY63" s="311" t="n">
        <v>317</v>
      </c>
      <c r="AZ63" s="309" t="n">
        <v>278.4</v>
      </c>
      <c r="BB63" s="144" t="n">
        <v>0</v>
      </c>
      <c r="BC63" s="315"/>
      <c r="BD63" s="311" t="n">
        <v>0</v>
      </c>
      <c r="BE63" s="316" t="n">
        <v>0</v>
      </c>
      <c r="BF63" s="310"/>
      <c r="BG63" s="317" t="n">
        <v>0</v>
      </c>
      <c r="BH63" s="318" t="n">
        <v>0</v>
      </c>
      <c r="BI63" s="317" t="n">
        <v>0</v>
      </c>
      <c r="BJ63" s="318" t="n">
        <v>0</v>
      </c>
      <c r="BK63" s="317" t="n">
        <v>0</v>
      </c>
      <c r="BL63" s="318" t="n">
        <v>0</v>
      </c>
      <c r="BM63" s="310"/>
      <c r="BN63" s="317" t="n">
        <v>0</v>
      </c>
      <c r="BO63" s="318" t="n">
        <v>0</v>
      </c>
      <c r="BP63" s="317" t="n">
        <v>0</v>
      </c>
      <c r="BQ63" s="318" t="n">
        <v>0</v>
      </c>
      <c r="BR63" s="317" t="n">
        <v>0</v>
      </c>
      <c r="BS63" s="318" t="n">
        <v>0</v>
      </c>
      <c r="BT63" s="317" t="n">
        <v>0</v>
      </c>
      <c r="BU63" s="318" t="n">
        <v>0</v>
      </c>
      <c r="BV63" s="317" t="n">
        <v>0</v>
      </c>
      <c r="BW63" s="318" t="n">
        <v>0</v>
      </c>
      <c r="BY63" s="143"/>
      <c r="BZ63" s="315"/>
      <c r="CA63" s="144" t="s">
        <v>12</v>
      </c>
      <c r="CB63" s="315"/>
      <c r="CC63" s="144" t="n">
        <v>-69.4363636363636</v>
      </c>
      <c r="CD63" s="144" t="n">
        <v>-130.236363636364</v>
      </c>
      <c r="CE63" s="144" t="n">
        <v>-151.836363636364</v>
      </c>
      <c r="CF63" s="315"/>
      <c r="CG63" s="144" t="n">
        <v>-74.8363636363637</v>
      </c>
      <c r="CH63" s="144" t="n">
        <v>-185.236363636364</v>
      </c>
      <c r="CI63" s="144" t="n">
        <v>-185.236363636364</v>
      </c>
      <c r="CJ63" s="144" t="n">
        <v>-185.236363636364</v>
      </c>
      <c r="CK63" s="144" t="n">
        <v>-185.236363636364</v>
      </c>
      <c r="CM63" s="144" t="n">
        <v>536.363636363636</v>
      </c>
      <c r="CO63" s="319"/>
      <c r="CP63" s="320"/>
      <c r="CQ63" s="321" t="s">
        <v>12</v>
      </c>
      <c r="CR63" s="320"/>
      <c r="CS63" s="322" t="n">
        <v>-142.163636363636</v>
      </c>
      <c r="CT63" s="322" t="n">
        <v>-202.963636363636</v>
      </c>
      <c r="CU63" s="322" t="n">
        <v>-224.563636363636</v>
      </c>
      <c r="CV63" s="323"/>
      <c r="CW63" s="322" t="n">
        <v>-147.563636363636</v>
      </c>
      <c r="CX63" s="322" t="n">
        <v>-257.963636363636</v>
      </c>
      <c r="CY63" s="322" t="n">
        <v>-257.963636363636</v>
      </c>
      <c r="CZ63" s="322" t="n">
        <v>-257.963636363636</v>
      </c>
      <c r="DA63" s="322" t="n">
        <v>-257.963636363636</v>
      </c>
    </row>
    <row r="64" customFormat="false" ht="12.75" hidden="false" customHeight="false" outlineLevel="0" collapsed="false">
      <c r="B64" s="305" t="s">
        <v>124</v>
      </c>
      <c r="C64" s="305" t="s">
        <v>447</v>
      </c>
      <c r="D64" s="306" t="n">
        <v>595</v>
      </c>
      <c r="E64" s="306" t="n">
        <v>3.25</v>
      </c>
      <c r="F64" s="324" t="s">
        <v>432</v>
      </c>
      <c r="G64" s="144" t="n">
        <v>48</v>
      </c>
      <c r="H64" s="325" t="n">
        <v>463.636363636364</v>
      </c>
      <c r="I64" s="2"/>
      <c r="J64" s="144" t="s">
        <v>12</v>
      </c>
      <c r="K64" s="309" t="s">
        <v>12</v>
      </c>
      <c r="L64" s="310"/>
      <c r="M64" s="311" t="n">
        <v>159</v>
      </c>
      <c r="N64" s="312" t="n">
        <v>4.9</v>
      </c>
      <c r="O64" s="311" t="n">
        <v>19</v>
      </c>
      <c r="P64" s="312" t="n">
        <v>6.6</v>
      </c>
      <c r="Q64" s="310" t="n">
        <v>19</v>
      </c>
      <c r="R64" s="312" t="n">
        <v>6.1</v>
      </c>
      <c r="S64" s="310"/>
      <c r="T64" s="311" t="n">
        <v>0</v>
      </c>
      <c r="U64" s="312" t="n">
        <v>8.1</v>
      </c>
      <c r="V64" s="311" t="n">
        <v>0</v>
      </c>
      <c r="W64" s="312" t="n">
        <v>5.8</v>
      </c>
      <c r="X64" s="311" t="n">
        <v>0</v>
      </c>
      <c r="Y64" s="312" t="n">
        <v>5.8</v>
      </c>
      <c r="Z64" s="313" t="n">
        <v>0</v>
      </c>
      <c r="AA64" s="314" t="n">
        <v>5.8</v>
      </c>
      <c r="AB64" s="313" t="n">
        <v>0</v>
      </c>
      <c r="AC64" s="314" t="n">
        <v>5.8</v>
      </c>
      <c r="AD64" s="315"/>
      <c r="AE64" s="144" t="n">
        <v>131</v>
      </c>
      <c r="AF64" s="315"/>
      <c r="AG64" s="311" t="n">
        <v>0</v>
      </c>
      <c r="AH64" s="309" t="n">
        <v>0</v>
      </c>
      <c r="AI64" s="310"/>
      <c r="AJ64" s="311" t="n">
        <v>201</v>
      </c>
      <c r="AK64" s="309" t="n">
        <v>235.2</v>
      </c>
      <c r="AL64" s="311" t="n">
        <v>259</v>
      </c>
      <c r="AM64" s="309" t="n">
        <v>316.8</v>
      </c>
      <c r="AN64" s="310" t="n">
        <v>283</v>
      </c>
      <c r="AO64" s="309" t="n">
        <v>292.8</v>
      </c>
      <c r="AP64" s="310"/>
      <c r="AQ64" s="311" t="n">
        <v>206</v>
      </c>
      <c r="AR64" s="309" t="n">
        <v>388.8</v>
      </c>
      <c r="AS64" s="311" t="n">
        <v>317</v>
      </c>
      <c r="AT64" s="309" t="n">
        <v>278.4</v>
      </c>
      <c r="AU64" s="310" t="n">
        <v>317</v>
      </c>
      <c r="AV64" s="309" t="n">
        <v>278.4</v>
      </c>
      <c r="AW64" s="310" t="n">
        <v>317</v>
      </c>
      <c r="AX64" s="309" t="n">
        <v>278.4</v>
      </c>
      <c r="AY64" s="310" t="n">
        <v>317</v>
      </c>
      <c r="AZ64" s="309" t="n">
        <v>278.4</v>
      </c>
      <c r="BB64" s="144" t="n">
        <v>0</v>
      </c>
      <c r="BC64" s="315"/>
      <c r="BD64" s="311" t="n">
        <v>0</v>
      </c>
      <c r="BE64" s="316" t="n">
        <v>0</v>
      </c>
      <c r="BF64" s="310"/>
      <c r="BG64" s="317" t="n">
        <v>0</v>
      </c>
      <c r="BH64" s="318" t="n">
        <v>0</v>
      </c>
      <c r="BI64" s="317" t="n">
        <v>0</v>
      </c>
      <c r="BJ64" s="318" t="n">
        <v>0</v>
      </c>
      <c r="BK64" s="317" t="n">
        <v>0</v>
      </c>
      <c r="BL64" s="318" t="n">
        <v>0</v>
      </c>
      <c r="BM64" s="310"/>
      <c r="BN64" s="317" t="n">
        <v>0</v>
      </c>
      <c r="BO64" s="318" t="n">
        <v>0</v>
      </c>
      <c r="BP64" s="317" t="n">
        <v>0</v>
      </c>
      <c r="BQ64" s="318" t="n">
        <v>0</v>
      </c>
      <c r="BR64" s="317" t="n">
        <v>0</v>
      </c>
      <c r="BS64" s="318" t="n">
        <v>0</v>
      </c>
      <c r="BT64" s="317" t="n">
        <v>0</v>
      </c>
      <c r="BU64" s="318" t="n">
        <v>0</v>
      </c>
      <c r="BV64" s="317" t="n">
        <v>0</v>
      </c>
      <c r="BW64" s="318" t="n">
        <v>0</v>
      </c>
      <c r="BY64" s="143"/>
      <c r="BZ64" s="315"/>
      <c r="CA64" s="144" t="s">
        <v>12</v>
      </c>
      <c r="CB64" s="315"/>
      <c r="CC64" s="144" t="n">
        <v>-69.4363636363636</v>
      </c>
      <c r="CD64" s="144" t="n">
        <v>-127.836363636364</v>
      </c>
      <c r="CE64" s="144" t="n">
        <v>-151.836363636364</v>
      </c>
      <c r="CF64" s="315"/>
      <c r="CG64" s="144" t="n">
        <v>-74.8363636363637</v>
      </c>
      <c r="CH64" s="144" t="n">
        <v>-185.236363636364</v>
      </c>
      <c r="CI64" s="144" t="n">
        <v>-185.236363636364</v>
      </c>
      <c r="CJ64" s="144" t="n">
        <v>-185.236363636364</v>
      </c>
      <c r="CK64" s="144" t="n">
        <v>-185.236363636364</v>
      </c>
      <c r="CM64" s="144" t="n">
        <v>536.363636363636</v>
      </c>
      <c r="CO64" s="319"/>
      <c r="CP64" s="320"/>
      <c r="CQ64" s="321" t="s">
        <v>12</v>
      </c>
      <c r="CR64" s="320"/>
      <c r="CS64" s="322" t="n">
        <v>-142.163636363636</v>
      </c>
      <c r="CT64" s="322" t="n">
        <v>-200.563636363636</v>
      </c>
      <c r="CU64" s="322" t="n">
        <v>-224.563636363636</v>
      </c>
      <c r="CV64" s="323"/>
      <c r="CW64" s="322" t="n">
        <v>-147.563636363636</v>
      </c>
      <c r="CX64" s="322" t="n">
        <v>-257.963636363636</v>
      </c>
      <c r="CY64" s="322" t="n">
        <v>-257.963636363636</v>
      </c>
      <c r="CZ64" s="322" t="n">
        <v>-257.963636363636</v>
      </c>
      <c r="DA64" s="322" t="n">
        <v>-257.963636363636</v>
      </c>
    </row>
    <row r="65" customFormat="false" ht="12.75" hidden="false" customHeight="false" outlineLevel="0" collapsed="false">
      <c r="B65" s="305" t="s">
        <v>124</v>
      </c>
      <c r="C65" s="305" t="s">
        <v>448</v>
      </c>
      <c r="D65" s="306" t="n">
        <v>1062</v>
      </c>
      <c r="E65" s="306" t="n">
        <v>3.25</v>
      </c>
      <c r="F65" s="306" t="s">
        <v>432</v>
      </c>
      <c r="G65" s="307" t="n">
        <v>24</v>
      </c>
      <c r="H65" s="308" t="n">
        <v>876.03305785124</v>
      </c>
      <c r="I65" s="2"/>
      <c r="J65" s="144" t="s">
        <v>12</v>
      </c>
      <c r="K65" s="309" t="s">
        <v>12</v>
      </c>
      <c r="L65" s="310"/>
      <c r="M65" s="311" t="n">
        <v>369</v>
      </c>
      <c r="N65" s="312" t="n">
        <v>15.1</v>
      </c>
      <c r="O65" s="311" t="n">
        <v>229</v>
      </c>
      <c r="P65" s="312" t="n">
        <v>18.6</v>
      </c>
      <c r="Q65" s="310" t="n">
        <v>229</v>
      </c>
      <c r="R65" s="312" t="n">
        <v>17.8</v>
      </c>
      <c r="S65" s="310"/>
      <c r="T65" s="311" t="n">
        <v>0</v>
      </c>
      <c r="U65" s="312" t="n">
        <v>30.2</v>
      </c>
      <c r="V65" s="311" t="n">
        <v>0</v>
      </c>
      <c r="W65" s="312" t="n">
        <v>25.7</v>
      </c>
      <c r="X65" s="311" t="n">
        <v>0</v>
      </c>
      <c r="Y65" s="312" t="n">
        <v>25.7</v>
      </c>
      <c r="Z65" s="313" t="n">
        <v>0</v>
      </c>
      <c r="AA65" s="314" t="n">
        <v>25.6</v>
      </c>
      <c r="AB65" s="313" t="n">
        <v>0</v>
      </c>
      <c r="AC65" s="314" t="n">
        <v>25.6</v>
      </c>
      <c r="AD65" s="315"/>
      <c r="AE65" s="144" t="n">
        <v>186</v>
      </c>
      <c r="AF65" s="315"/>
      <c r="AG65" s="311" t="n">
        <v>0</v>
      </c>
      <c r="AH65" s="309" t="n">
        <v>0</v>
      </c>
      <c r="AI65" s="310"/>
      <c r="AJ65" s="311" t="n">
        <v>331</v>
      </c>
      <c r="AK65" s="309" t="n">
        <v>362.4</v>
      </c>
      <c r="AL65" s="311" t="n">
        <v>387</v>
      </c>
      <c r="AM65" s="309" t="n">
        <v>446.4</v>
      </c>
      <c r="AN65" s="311" t="n">
        <v>406</v>
      </c>
      <c r="AO65" s="309" t="n">
        <v>427.2</v>
      </c>
      <c r="AP65" s="310"/>
      <c r="AQ65" s="311" t="n">
        <v>337</v>
      </c>
      <c r="AR65" s="309" t="n">
        <v>724.8</v>
      </c>
      <c r="AS65" s="311" t="n">
        <v>445</v>
      </c>
      <c r="AT65" s="309" t="n">
        <v>616.8</v>
      </c>
      <c r="AU65" s="311" t="n">
        <v>445</v>
      </c>
      <c r="AV65" s="309" t="n">
        <v>616.8</v>
      </c>
      <c r="AW65" s="311" t="n">
        <v>448</v>
      </c>
      <c r="AX65" s="309" t="n">
        <v>614.4</v>
      </c>
      <c r="AY65" s="311" t="n">
        <v>448</v>
      </c>
      <c r="AZ65" s="309" t="n">
        <v>614.4</v>
      </c>
      <c r="BB65" s="144" t="n">
        <v>0</v>
      </c>
      <c r="BC65" s="315"/>
      <c r="BD65" s="311" t="n">
        <v>0</v>
      </c>
      <c r="BE65" s="316" t="n">
        <v>0</v>
      </c>
      <c r="BF65" s="310"/>
      <c r="BG65" s="317" t="n">
        <v>0</v>
      </c>
      <c r="BH65" s="318" t="n">
        <v>0</v>
      </c>
      <c r="BI65" s="317" t="n">
        <v>0</v>
      </c>
      <c r="BJ65" s="318" t="n">
        <v>0.600000000000001</v>
      </c>
      <c r="BK65" s="317" t="n">
        <v>0</v>
      </c>
      <c r="BL65" s="318" t="n">
        <v>0.600000000000001</v>
      </c>
      <c r="BM65" s="310"/>
      <c r="BN65" s="317" t="n">
        <v>0</v>
      </c>
      <c r="BO65" s="318" t="n">
        <v>-0.199999999999999</v>
      </c>
      <c r="BP65" s="317" t="n">
        <v>0</v>
      </c>
      <c r="BQ65" s="318" t="n">
        <v>1.9</v>
      </c>
      <c r="BR65" s="317" t="n">
        <v>0</v>
      </c>
      <c r="BS65" s="318" t="n">
        <v>1.9</v>
      </c>
      <c r="BT65" s="317" t="n">
        <v>0</v>
      </c>
      <c r="BU65" s="318" t="n">
        <v>1.8</v>
      </c>
      <c r="BV65" s="317" t="n">
        <v>0</v>
      </c>
      <c r="BW65" s="318" t="n">
        <v>1.8</v>
      </c>
      <c r="BY65" s="143"/>
      <c r="BZ65" s="315"/>
      <c r="CA65" s="144" t="s">
        <v>12</v>
      </c>
      <c r="CB65" s="315"/>
      <c r="CC65" s="144" t="n">
        <v>-144.63305785124</v>
      </c>
      <c r="CD65" s="144" t="n">
        <v>-200.63305785124</v>
      </c>
      <c r="CE65" s="144" t="n">
        <v>-219.83305785124</v>
      </c>
      <c r="CF65" s="315"/>
      <c r="CG65" s="144" t="n">
        <v>-151.23305785124</v>
      </c>
      <c r="CH65" s="144" t="n">
        <v>-259.23305785124</v>
      </c>
      <c r="CI65" s="144" t="n">
        <v>-259.23305785124</v>
      </c>
      <c r="CJ65" s="144" t="n">
        <v>-261.63305785124</v>
      </c>
      <c r="CK65" s="144" t="n">
        <v>-261.63305785124</v>
      </c>
      <c r="CM65" s="144" t="n">
        <v>990.909090909091</v>
      </c>
      <c r="CO65" s="319"/>
      <c r="CP65" s="320"/>
      <c r="CQ65" s="321" t="s">
        <v>12</v>
      </c>
      <c r="CR65" s="320"/>
      <c r="CS65" s="322" t="n">
        <v>-259.509090909091</v>
      </c>
      <c r="CT65" s="322" t="n">
        <v>-315.509090909091</v>
      </c>
      <c r="CU65" s="322" t="n">
        <v>-334.709090909091</v>
      </c>
      <c r="CV65" s="323"/>
      <c r="CW65" s="322" t="n">
        <v>-266.109090909091</v>
      </c>
      <c r="CX65" s="322" t="n">
        <v>-374.109090909091</v>
      </c>
      <c r="CY65" s="322" t="n">
        <v>-374.109090909091</v>
      </c>
      <c r="CZ65" s="322" t="n">
        <v>-376.509090909091</v>
      </c>
      <c r="DA65" s="322" t="n">
        <v>-376.509090909091</v>
      </c>
    </row>
    <row r="66" customFormat="false" ht="12.75" hidden="false" customHeight="false" outlineLevel="0" collapsed="false">
      <c r="B66" s="305" t="s">
        <v>124</v>
      </c>
      <c r="C66" s="305" t="s">
        <v>448</v>
      </c>
      <c r="D66" s="306" t="n">
        <v>1062</v>
      </c>
      <c r="E66" s="306" t="n">
        <v>3.25</v>
      </c>
      <c r="F66" s="324" t="s">
        <v>432</v>
      </c>
      <c r="G66" s="144" t="n">
        <v>48</v>
      </c>
      <c r="H66" s="325" t="n">
        <v>876.03305785124</v>
      </c>
      <c r="I66" s="2"/>
      <c r="J66" s="144" t="s">
        <v>12</v>
      </c>
      <c r="K66" s="309" t="s">
        <v>12</v>
      </c>
      <c r="L66" s="310"/>
      <c r="M66" s="311" t="n">
        <v>369</v>
      </c>
      <c r="N66" s="312" t="n">
        <v>7.6</v>
      </c>
      <c r="O66" s="311" t="n">
        <v>229</v>
      </c>
      <c r="P66" s="312" t="n">
        <v>9.3</v>
      </c>
      <c r="Q66" s="310" t="n">
        <v>229</v>
      </c>
      <c r="R66" s="312" t="n">
        <v>8.9</v>
      </c>
      <c r="S66" s="310"/>
      <c r="T66" s="311" t="n">
        <v>0</v>
      </c>
      <c r="U66" s="312" t="n">
        <v>15.1</v>
      </c>
      <c r="V66" s="311" t="n">
        <v>0</v>
      </c>
      <c r="W66" s="312" t="n">
        <v>12.9</v>
      </c>
      <c r="X66" s="311" t="n">
        <v>0</v>
      </c>
      <c r="Y66" s="312" t="n">
        <v>12.9</v>
      </c>
      <c r="Z66" s="313" t="n">
        <v>0</v>
      </c>
      <c r="AA66" s="314" t="n">
        <v>12.8</v>
      </c>
      <c r="AB66" s="313" t="n">
        <v>0</v>
      </c>
      <c r="AC66" s="314" t="n">
        <v>12.8</v>
      </c>
      <c r="AD66" s="315"/>
      <c r="AE66" s="144" t="n">
        <v>186</v>
      </c>
      <c r="AF66" s="315"/>
      <c r="AG66" s="311" t="n">
        <v>0</v>
      </c>
      <c r="AH66" s="309" t="n">
        <v>0</v>
      </c>
      <c r="AI66" s="310"/>
      <c r="AJ66" s="311" t="n">
        <v>328</v>
      </c>
      <c r="AK66" s="309" t="n">
        <v>364.8</v>
      </c>
      <c r="AL66" s="311" t="n">
        <v>387</v>
      </c>
      <c r="AM66" s="309" t="n">
        <v>446.4</v>
      </c>
      <c r="AN66" s="310" t="n">
        <v>406</v>
      </c>
      <c r="AO66" s="309" t="n">
        <v>427.2</v>
      </c>
      <c r="AP66" s="310"/>
      <c r="AQ66" s="311" t="n">
        <v>337</v>
      </c>
      <c r="AR66" s="309" t="n">
        <v>724.8</v>
      </c>
      <c r="AS66" s="311" t="n">
        <v>443</v>
      </c>
      <c r="AT66" s="309" t="n">
        <v>619.2</v>
      </c>
      <c r="AU66" s="310" t="n">
        <v>443</v>
      </c>
      <c r="AV66" s="309" t="n">
        <v>619.2</v>
      </c>
      <c r="AW66" s="310" t="n">
        <v>448</v>
      </c>
      <c r="AX66" s="309" t="n">
        <v>614.4</v>
      </c>
      <c r="AY66" s="310" t="n">
        <v>448</v>
      </c>
      <c r="AZ66" s="309" t="n">
        <v>614.4</v>
      </c>
      <c r="BB66" s="144" t="n">
        <v>0</v>
      </c>
      <c r="BC66" s="315"/>
      <c r="BD66" s="311" t="n">
        <v>0</v>
      </c>
      <c r="BE66" s="316" t="n">
        <v>0</v>
      </c>
      <c r="BF66" s="310"/>
      <c r="BG66" s="317" t="n">
        <v>0</v>
      </c>
      <c r="BH66" s="318" t="n">
        <v>0</v>
      </c>
      <c r="BI66" s="317" t="n">
        <v>0</v>
      </c>
      <c r="BJ66" s="318" t="n">
        <v>0</v>
      </c>
      <c r="BK66" s="317" t="n">
        <v>0</v>
      </c>
      <c r="BL66" s="318" t="n">
        <v>0</v>
      </c>
      <c r="BM66" s="310"/>
      <c r="BN66" s="317" t="n">
        <v>0</v>
      </c>
      <c r="BO66" s="318" t="n">
        <v>0</v>
      </c>
      <c r="BP66" s="317" t="n">
        <v>0</v>
      </c>
      <c r="BQ66" s="318" t="n">
        <v>0</v>
      </c>
      <c r="BR66" s="317" t="n">
        <v>0</v>
      </c>
      <c r="BS66" s="318" t="n">
        <v>0</v>
      </c>
      <c r="BT66" s="317" t="n">
        <v>0</v>
      </c>
      <c r="BU66" s="318" t="n">
        <v>0</v>
      </c>
      <c r="BV66" s="317" t="n">
        <v>0</v>
      </c>
      <c r="BW66" s="318" t="n">
        <v>0</v>
      </c>
      <c r="BY66" s="143"/>
      <c r="BZ66" s="315"/>
      <c r="CA66" s="144" t="s">
        <v>12</v>
      </c>
      <c r="CB66" s="315"/>
      <c r="CC66" s="144" t="n">
        <v>-142.23305785124</v>
      </c>
      <c r="CD66" s="144" t="n">
        <v>-200.63305785124</v>
      </c>
      <c r="CE66" s="144" t="n">
        <v>-219.83305785124</v>
      </c>
      <c r="CF66" s="315"/>
      <c r="CG66" s="144" t="n">
        <v>-151.23305785124</v>
      </c>
      <c r="CH66" s="144" t="n">
        <v>-256.83305785124</v>
      </c>
      <c r="CI66" s="144" t="n">
        <v>-256.83305785124</v>
      </c>
      <c r="CJ66" s="144" t="n">
        <v>-261.63305785124</v>
      </c>
      <c r="CK66" s="144" t="n">
        <v>-261.63305785124</v>
      </c>
      <c r="CM66" s="144" t="n">
        <v>990.909090909091</v>
      </c>
      <c r="CO66" s="319"/>
      <c r="CP66" s="320"/>
      <c r="CQ66" s="321" t="s">
        <v>12</v>
      </c>
      <c r="CR66" s="320"/>
      <c r="CS66" s="322" t="n">
        <v>-257.109090909091</v>
      </c>
      <c r="CT66" s="322" t="n">
        <v>-315.509090909091</v>
      </c>
      <c r="CU66" s="322" t="n">
        <v>-334.709090909091</v>
      </c>
      <c r="CV66" s="323"/>
      <c r="CW66" s="322" t="n">
        <v>-266.109090909091</v>
      </c>
      <c r="CX66" s="322" t="n">
        <v>-371.709090909091</v>
      </c>
      <c r="CY66" s="322" t="n">
        <v>-371.709090909091</v>
      </c>
      <c r="CZ66" s="322" t="n">
        <v>-376.509090909091</v>
      </c>
      <c r="DA66" s="322" t="n">
        <v>-376.509090909091</v>
      </c>
    </row>
    <row r="67" customFormat="false" ht="12.75" hidden="false" customHeight="false" outlineLevel="0" collapsed="false">
      <c r="B67" s="305" t="s">
        <v>124</v>
      </c>
      <c r="C67" s="305" t="s">
        <v>449</v>
      </c>
      <c r="D67" s="306" t="n">
        <v>1234</v>
      </c>
      <c r="E67" s="306" t="n">
        <v>3.25</v>
      </c>
      <c r="F67" s="306" t="s">
        <v>432</v>
      </c>
      <c r="G67" s="307" t="n">
        <v>24</v>
      </c>
      <c r="H67" s="308" t="n">
        <v>1019.00826446281</v>
      </c>
      <c r="I67" s="2"/>
      <c r="J67" s="144" t="s">
        <v>12</v>
      </c>
      <c r="K67" s="309" t="s">
        <v>12</v>
      </c>
      <c r="L67" s="310"/>
      <c r="M67" s="311" t="n">
        <v>439</v>
      </c>
      <c r="N67" s="312" t="n">
        <v>18</v>
      </c>
      <c r="O67" s="311" t="n">
        <v>269</v>
      </c>
      <c r="P67" s="312" t="n">
        <v>23</v>
      </c>
      <c r="Q67" s="310" t="n">
        <v>269</v>
      </c>
      <c r="R67" s="312" t="n">
        <v>22.2</v>
      </c>
      <c r="S67" s="310"/>
      <c r="T67" s="311" t="n">
        <v>0</v>
      </c>
      <c r="U67" s="312" t="n">
        <v>36.2</v>
      </c>
      <c r="V67" s="311" t="n">
        <v>0</v>
      </c>
      <c r="W67" s="312" t="n">
        <v>31</v>
      </c>
      <c r="X67" s="311" t="n">
        <v>0</v>
      </c>
      <c r="Y67" s="312" t="n">
        <v>31</v>
      </c>
      <c r="Z67" s="313" t="n">
        <v>0</v>
      </c>
      <c r="AA67" s="314" t="n">
        <v>31</v>
      </c>
      <c r="AB67" s="313" t="n">
        <v>0</v>
      </c>
      <c r="AC67" s="314" t="n">
        <v>31</v>
      </c>
      <c r="AD67" s="315"/>
      <c r="AE67" s="144" t="n">
        <v>215</v>
      </c>
      <c r="AF67" s="315"/>
      <c r="AG67" s="311" t="n">
        <v>0</v>
      </c>
      <c r="AH67" s="309" t="n">
        <v>0</v>
      </c>
      <c r="AI67" s="310"/>
      <c r="AJ67" s="311" t="n">
        <v>363</v>
      </c>
      <c r="AK67" s="309" t="n">
        <v>432</v>
      </c>
      <c r="AL67" s="311" t="n">
        <v>413</v>
      </c>
      <c r="AM67" s="309" t="n">
        <v>552</v>
      </c>
      <c r="AN67" s="311" t="n">
        <v>432</v>
      </c>
      <c r="AO67" s="309" t="n">
        <v>532.8</v>
      </c>
      <c r="AP67" s="310"/>
      <c r="AQ67" s="311" t="n">
        <v>365</v>
      </c>
      <c r="AR67" s="309" t="n">
        <v>868.8</v>
      </c>
      <c r="AS67" s="311" t="n">
        <v>490</v>
      </c>
      <c r="AT67" s="309" t="n">
        <v>744</v>
      </c>
      <c r="AU67" s="311" t="n">
        <v>490</v>
      </c>
      <c r="AV67" s="309" t="n">
        <v>744</v>
      </c>
      <c r="AW67" s="311" t="n">
        <v>490</v>
      </c>
      <c r="AX67" s="309" t="n">
        <v>744</v>
      </c>
      <c r="AY67" s="311" t="n">
        <v>490</v>
      </c>
      <c r="AZ67" s="309" t="n">
        <v>744</v>
      </c>
      <c r="BB67" s="144" t="n">
        <v>0</v>
      </c>
      <c r="BC67" s="315"/>
      <c r="BD67" s="311" t="n">
        <v>0</v>
      </c>
      <c r="BE67" s="316" t="n">
        <v>0</v>
      </c>
      <c r="BF67" s="310"/>
      <c r="BG67" s="317" t="n">
        <v>0</v>
      </c>
      <c r="BH67" s="318" t="n">
        <v>0</v>
      </c>
      <c r="BI67" s="317" t="n">
        <v>0</v>
      </c>
      <c r="BJ67" s="318" t="n">
        <v>0.799999999999997</v>
      </c>
      <c r="BK67" s="317" t="n">
        <v>0</v>
      </c>
      <c r="BL67" s="318" t="n">
        <v>0.900000000000002</v>
      </c>
      <c r="BM67" s="310"/>
      <c r="BN67" s="317" t="n">
        <v>0</v>
      </c>
      <c r="BO67" s="318" t="n">
        <v>0</v>
      </c>
      <c r="BP67" s="317" t="n">
        <v>0</v>
      </c>
      <c r="BQ67" s="318" t="n">
        <v>1</v>
      </c>
      <c r="BR67" s="317" t="n">
        <v>0</v>
      </c>
      <c r="BS67" s="318" t="n">
        <v>1</v>
      </c>
      <c r="BT67" s="317" t="n">
        <v>0</v>
      </c>
      <c r="BU67" s="318" t="n">
        <v>1</v>
      </c>
      <c r="BV67" s="317" t="n">
        <v>0</v>
      </c>
      <c r="BW67" s="318" t="n">
        <v>1</v>
      </c>
      <c r="BY67" s="143"/>
      <c r="BZ67" s="315"/>
      <c r="CA67" s="144" t="s">
        <v>12</v>
      </c>
      <c r="CB67" s="315"/>
      <c r="CC67" s="144" t="n">
        <v>-148.00826446281</v>
      </c>
      <c r="CD67" s="144" t="n">
        <v>-198.00826446281</v>
      </c>
      <c r="CE67" s="144" t="n">
        <v>-217.20826446281</v>
      </c>
      <c r="CF67" s="315"/>
      <c r="CG67" s="144" t="n">
        <v>-150.20826446281</v>
      </c>
      <c r="CH67" s="144" t="n">
        <v>-275.00826446281</v>
      </c>
      <c r="CI67" s="144" t="n">
        <v>-275.00826446281</v>
      </c>
      <c r="CJ67" s="144" t="n">
        <v>-275.00826446281</v>
      </c>
      <c r="CK67" s="144" t="n">
        <v>-275.00826446281</v>
      </c>
      <c r="CM67" s="144" t="n">
        <v>1180.99173553719</v>
      </c>
      <c r="CO67" s="319"/>
      <c r="CP67" s="320"/>
      <c r="CQ67" s="321" t="s">
        <v>12</v>
      </c>
      <c r="CR67" s="320"/>
      <c r="CS67" s="322" t="n">
        <v>-309.99173553719</v>
      </c>
      <c r="CT67" s="322" t="n">
        <v>-359.99173553719</v>
      </c>
      <c r="CU67" s="322" t="n">
        <v>-379.19173553719</v>
      </c>
      <c r="CV67" s="323"/>
      <c r="CW67" s="322" t="n">
        <v>-312.19173553719</v>
      </c>
      <c r="CX67" s="322" t="n">
        <v>-436.99173553719</v>
      </c>
      <c r="CY67" s="322" t="n">
        <v>-436.99173553719</v>
      </c>
      <c r="CZ67" s="322" t="n">
        <v>-436.99173553719</v>
      </c>
      <c r="DA67" s="322" t="n">
        <v>-436.99173553719</v>
      </c>
    </row>
    <row r="68" customFormat="false" ht="12.75" hidden="false" customHeight="false" outlineLevel="0" collapsed="false">
      <c r="B68" s="305" t="s">
        <v>124</v>
      </c>
      <c r="C68" s="305" t="s">
        <v>449</v>
      </c>
      <c r="D68" s="306" t="n">
        <v>1234</v>
      </c>
      <c r="E68" s="306" t="n">
        <v>3.25</v>
      </c>
      <c r="F68" s="324" t="s">
        <v>432</v>
      </c>
      <c r="G68" s="144" t="n">
        <v>48</v>
      </c>
      <c r="H68" s="325" t="n">
        <v>1019.00826446281</v>
      </c>
      <c r="I68" s="2"/>
      <c r="J68" s="144" t="s">
        <v>12</v>
      </c>
      <c r="K68" s="309" t="s">
        <v>12</v>
      </c>
      <c r="L68" s="310"/>
      <c r="M68" s="311" t="n">
        <v>439</v>
      </c>
      <c r="N68" s="312" t="n">
        <v>9</v>
      </c>
      <c r="O68" s="311" t="n">
        <v>269</v>
      </c>
      <c r="P68" s="312" t="n">
        <v>11.5</v>
      </c>
      <c r="Q68" s="310" t="n">
        <v>269</v>
      </c>
      <c r="R68" s="312" t="n">
        <v>11.1</v>
      </c>
      <c r="S68" s="310"/>
      <c r="T68" s="311" t="n">
        <v>0</v>
      </c>
      <c r="U68" s="312" t="n">
        <v>18.1</v>
      </c>
      <c r="V68" s="311" t="n">
        <v>0</v>
      </c>
      <c r="W68" s="312" t="n">
        <v>15.5</v>
      </c>
      <c r="X68" s="311" t="n">
        <v>0</v>
      </c>
      <c r="Y68" s="312" t="n">
        <v>15.5</v>
      </c>
      <c r="Z68" s="313" t="n">
        <v>0</v>
      </c>
      <c r="AA68" s="314" t="n">
        <v>15.5</v>
      </c>
      <c r="AB68" s="313" t="n">
        <v>0</v>
      </c>
      <c r="AC68" s="314" t="n">
        <v>15.5</v>
      </c>
      <c r="AD68" s="315"/>
      <c r="AE68" s="144" t="n">
        <v>215</v>
      </c>
      <c r="AF68" s="315"/>
      <c r="AG68" s="311" t="n">
        <v>0</v>
      </c>
      <c r="AH68" s="309" t="n">
        <v>0</v>
      </c>
      <c r="AI68" s="310"/>
      <c r="AJ68" s="311" t="n">
        <v>363</v>
      </c>
      <c r="AK68" s="309" t="n">
        <v>432</v>
      </c>
      <c r="AL68" s="311" t="n">
        <v>413</v>
      </c>
      <c r="AM68" s="309" t="n">
        <v>552</v>
      </c>
      <c r="AN68" s="310" t="n">
        <v>432</v>
      </c>
      <c r="AO68" s="309" t="n">
        <v>532.8</v>
      </c>
      <c r="AP68" s="310"/>
      <c r="AQ68" s="311" t="n">
        <v>365</v>
      </c>
      <c r="AR68" s="309" t="n">
        <v>868.8</v>
      </c>
      <c r="AS68" s="311" t="n">
        <v>490</v>
      </c>
      <c r="AT68" s="309" t="n">
        <v>744</v>
      </c>
      <c r="AU68" s="310" t="n">
        <v>490</v>
      </c>
      <c r="AV68" s="309" t="n">
        <v>744</v>
      </c>
      <c r="AW68" s="310" t="n">
        <v>490</v>
      </c>
      <c r="AX68" s="309" t="n">
        <v>744</v>
      </c>
      <c r="AY68" s="310" t="n">
        <v>490</v>
      </c>
      <c r="AZ68" s="309" t="n">
        <v>744</v>
      </c>
      <c r="BB68" s="144" t="n">
        <v>0</v>
      </c>
      <c r="BC68" s="315"/>
      <c r="BD68" s="311" t="n">
        <v>0</v>
      </c>
      <c r="BE68" s="316" t="n">
        <v>0</v>
      </c>
      <c r="BF68" s="310"/>
      <c r="BG68" s="317" t="n">
        <v>0</v>
      </c>
      <c r="BH68" s="318" t="n">
        <v>0</v>
      </c>
      <c r="BI68" s="317" t="n">
        <v>0</v>
      </c>
      <c r="BJ68" s="318" t="n">
        <v>0</v>
      </c>
      <c r="BK68" s="317" t="n">
        <v>0</v>
      </c>
      <c r="BL68" s="318" t="n">
        <v>0</v>
      </c>
      <c r="BM68" s="310"/>
      <c r="BN68" s="317" t="n">
        <v>0</v>
      </c>
      <c r="BO68" s="318" t="n">
        <v>0</v>
      </c>
      <c r="BP68" s="317" t="n">
        <v>0</v>
      </c>
      <c r="BQ68" s="318" t="n">
        <v>0</v>
      </c>
      <c r="BR68" s="317" t="n">
        <v>0</v>
      </c>
      <c r="BS68" s="318" t="n">
        <v>0</v>
      </c>
      <c r="BT68" s="317" t="n">
        <v>0</v>
      </c>
      <c r="BU68" s="318" t="n">
        <v>0</v>
      </c>
      <c r="BV68" s="317" t="n">
        <v>0</v>
      </c>
      <c r="BW68" s="318" t="n">
        <v>0</v>
      </c>
      <c r="BY68" s="143"/>
      <c r="BZ68" s="315"/>
      <c r="CA68" s="144" t="s">
        <v>12</v>
      </c>
      <c r="CB68" s="315"/>
      <c r="CC68" s="144" t="n">
        <v>-148.00826446281</v>
      </c>
      <c r="CD68" s="144" t="n">
        <v>-198.00826446281</v>
      </c>
      <c r="CE68" s="144" t="n">
        <v>-217.20826446281</v>
      </c>
      <c r="CF68" s="315"/>
      <c r="CG68" s="144" t="n">
        <v>-150.20826446281</v>
      </c>
      <c r="CH68" s="144" t="n">
        <v>-275.00826446281</v>
      </c>
      <c r="CI68" s="144" t="n">
        <v>-275.00826446281</v>
      </c>
      <c r="CJ68" s="144" t="n">
        <v>-275.00826446281</v>
      </c>
      <c r="CK68" s="144" t="n">
        <v>-275.00826446281</v>
      </c>
      <c r="CM68" s="144" t="n">
        <v>1180.99173553719</v>
      </c>
      <c r="CO68" s="319"/>
      <c r="CP68" s="320"/>
      <c r="CQ68" s="321" t="s">
        <v>12</v>
      </c>
      <c r="CR68" s="320"/>
      <c r="CS68" s="322" t="n">
        <v>-309.99173553719</v>
      </c>
      <c r="CT68" s="322" t="n">
        <v>-359.99173553719</v>
      </c>
      <c r="CU68" s="322" t="n">
        <v>-379.19173553719</v>
      </c>
      <c r="CV68" s="323"/>
      <c r="CW68" s="322" t="n">
        <v>-312.19173553719</v>
      </c>
      <c r="CX68" s="322" t="n">
        <v>-436.99173553719</v>
      </c>
      <c r="CY68" s="322" t="n">
        <v>-436.99173553719</v>
      </c>
      <c r="CZ68" s="322" t="n">
        <v>-436.99173553719</v>
      </c>
      <c r="DA68" s="322" t="n">
        <v>-436.99173553719</v>
      </c>
    </row>
    <row r="69" customFormat="false" ht="12.75" hidden="false" customHeight="false" outlineLevel="0" collapsed="false">
      <c r="B69" s="305" t="s">
        <v>450</v>
      </c>
      <c r="C69" s="305" t="s">
        <v>451</v>
      </c>
      <c r="D69" s="306" t="n">
        <v>539</v>
      </c>
      <c r="E69" s="306" t="n">
        <v>3.25</v>
      </c>
      <c r="F69" s="306" t="s">
        <v>432</v>
      </c>
      <c r="G69" s="307" t="n">
        <v>24</v>
      </c>
      <c r="H69" s="308" t="n">
        <v>428.099173553719</v>
      </c>
      <c r="I69" s="2"/>
      <c r="J69" s="144" t="s">
        <v>12</v>
      </c>
      <c r="K69" s="309" t="s">
        <v>12</v>
      </c>
      <c r="L69" s="310"/>
      <c r="M69" s="311" t="n">
        <v>139</v>
      </c>
      <c r="N69" s="312" t="n">
        <v>6</v>
      </c>
      <c r="O69" s="311" t="n">
        <v>19</v>
      </c>
      <c r="P69" s="312" t="n">
        <v>9</v>
      </c>
      <c r="Q69" s="310" t="n">
        <v>19</v>
      </c>
      <c r="R69" s="312" t="n">
        <v>8</v>
      </c>
      <c r="S69" s="310"/>
      <c r="T69" s="311" t="n">
        <v>0</v>
      </c>
      <c r="U69" s="312" t="n">
        <v>14.7</v>
      </c>
      <c r="V69" s="311" t="n">
        <v>0</v>
      </c>
      <c r="W69" s="312" t="n">
        <v>10</v>
      </c>
      <c r="X69" s="311" t="n">
        <v>0</v>
      </c>
      <c r="Y69" s="312" t="n">
        <v>9.9</v>
      </c>
      <c r="Z69" s="313" t="n">
        <v>0</v>
      </c>
      <c r="AA69" s="314" t="n">
        <v>9.9</v>
      </c>
      <c r="AB69" s="313" t="n">
        <v>0</v>
      </c>
      <c r="AC69" s="314" t="n">
        <v>9.9</v>
      </c>
      <c r="AD69" s="315"/>
      <c r="AE69" s="144" t="n">
        <v>111</v>
      </c>
      <c r="AF69" s="315"/>
      <c r="AG69" s="311" t="n">
        <v>0</v>
      </c>
      <c r="AH69" s="309" t="n">
        <v>0</v>
      </c>
      <c r="AI69" s="310"/>
      <c r="AJ69" s="311" t="n">
        <v>256</v>
      </c>
      <c r="AK69" s="309" t="n">
        <v>144</v>
      </c>
      <c r="AL69" s="311" t="n">
        <v>304</v>
      </c>
      <c r="AM69" s="309" t="n">
        <v>216</v>
      </c>
      <c r="AN69" s="311" t="n">
        <v>328</v>
      </c>
      <c r="AO69" s="309" t="n">
        <v>192</v>
      </c>
      <c r="AP69" s="310"/>
      <c r="AQ69" s="311" t="n">
        <v>186</v>
      </c>
      <c r="AR69" s="309" t="n">
        <v>352.8</v>
      </c>
      <c r="AS69" s="311" t="n">
        <v>299</v>
      </c>
      <c r="AT69" s="309" t="n">
        <v>240</v>
      </c>
      <c r="AU69" s="311" t="n">
        <v>301</v>
      </c>
      <c r="AV69" s="309" t="n">
        <v>237.6</v>
      </c>
      <c r="AW69" s="311" t="n">
        <v>301</v>
      </c>
      <c r="AX69" s="309" t="n">
        <v>237.6</v>
      </c>
      <c r="AY69" s="311" t="n">
        <v>301</v>
      </c>
      <c r="AZ69" s="309" t="n">
        <v>237.6</v>
      </c>
      <c r="BB69" s="144" t="n">
        <v>0</v>
      </c>
      <c r="BC69" s="315"/>
      <c r="BD69" s="311" t="n">
        <v>0</v>
      </c>
      <c r="BE69" s="316" t="n">
        <v>0</v>
      </c>
      <c r="BF69" s="310"/>
      <c r="BG69" s="317" t="n">
        <v>0</v>
      </c>
      <c r="BH69" s="318" t="n">
        <v>0</v>
      </c>
      <c r="BI69" s="317" t="n">
        <v>0</v>
      </c>
      <c r="BJ69" s="318" t="n">
        <v>0</v>
      </c>
      <c r="BK69" s="317" t="n">
        <v>0</v>
      </c>
      <c r="BL69" s="318" t="n">
        <v>0</v>
      </c>
      <c r="BM69" s="310"/>
      <c r="BN69" s="317" t="n">
        <v>0</v>
      </c>
      <c r="BO69" s="318" t="n">
        <v>-0.199999999999999</v>
      </c>
      <c r="BP69" s="317" t="n">
        <v>0</v>
      </c>
      <c r="BQ69" s="318" t="n">
        <v>2.7</v>
      </c>
      <c r="BR69" s="317" t="n">
        <v>0</v>
      </c>
      <c r="BS69" s="318" t="n">
        <v>2.7</v>
      </c>
      <c r="BT69" s="317" t="n">
        <v>0</v>
      </c>
      <c r="BU69" s="318" t="n">
        <v>2.7</v>
      </c>
      <c r="BV69" s="317" t="n">
        <v>0</v>
      </c>
      <c r="BW69" s="318" t="n">
        <v>2.7</v>
      </c>
      <c r="BY69" s="143"/>
      <c r="BZ69" s="315"/>
      <c r="CA69" s="144" t="s">
        <v>12</v>
      </c>
      <c r="CB69" s="315"/>
      <c r="CC69" s="144" t="n">
        <v>-145.099173553719</v>
      </c>
      <c r="CD69" s="144" t="n">
        <v>-193.099173553719</v>
      </c>
      <c r="CE69" s="144" t="n">
        <v>-217.099173553719</v>
      </c>
      <c r="CF69" s="315"/>
      <c r="CG69" s="144" t="n">
        <v>-75.299173553719</v>
      </c>
      <c r="CH69" s="144" t="n">
        <v>-188.099173553719</v>
      </c>
      <c r="CI69" s="144" t="n">
        <v>-190.499173553719</v>
      </c>
      <c r="CJ69" s="144" t="n">
        <v>-190.499173553719</v>
      </c>
      <c r="CK69" s="144" t="n">
        <v>-190.499173553719</v>
      </c>
      <c r="CM69" s="144" t="n">
        <v>536.363636363636</v>
      </c>
      <c r="CO69" s="319"/>
      <c r="CP69" s="320"/>
      <c r="CQ69" s="321" t="s">
        <v>12</v>
      </c>
      <c r="CR69" s="320"/>
      <c r="CS69" s="322" t="n">
        <v>-253.363636363636</v>
      </c>
      <c r="CT69" s="322" t="n">
        <v>-301.363636363636</v>
      </c>
      <c r="CU69" s="322" t="n">
        <v>-325.363636363636</v>
      </c>
      <c r="CV69" s="323"/>
      <c r="CW69" s="322" t="n">
        <v>-183.563636363636</v>
      </c>
      <c r="CX69" s="322" t="n">
        <v>-296.363636363636</v>
      </c>
      <c r="CY69" s="322" t="n">
        <v>-298.763636363636</v>
      </c>
      <c r="CZ69" s="322" t="n">
        <v>-298.763636363636</v>
      </c>
      <c r="DA69" s="322" t="n">
        <v>-298.763636363636</v>
      </c>
    </row>
    <row r="70" customFormat="false" ht="12.75" hidden="false" customHeight="false" outlineLevel="0" collapsed="false">
      <c r="B70" s="305" t="s">
        <v>450</v>
      </c>
      <c r="C70" s="305" t="s">
        <v>451</v>
      </c>
      <c r="D70" s="306" t="n">
        <v>539</v>
      </c>
      <c r="E70" s="306" t="n">
        <v>3.25</v>
      </c>
      <c r="F70" s="324" t="s">
        <v>432</v>
      </c>
      <c r="G70" s="144" t="n">
        <v>48</v>
      </c>
      <c r="H70" s="325" t="n">
        <v>428.099173553719</v>
      </c>
      <c r="I70" s="2"/>
      <c r="J70" s="144" t="s">
        <v>12</v>
      </c>
      <c r="K70" s="309" t="s">
        <v>12</v>
      </c>
      <c r="L70" s="310"/>
      <c r="M70" s="311" t="n">
        <v>139</v>
      </c>
      <c r="N70" s="312" t="n">
        <v>3</v>
      </c>
      <c r="O70" s="311" t="n">
        <v>19</v>
      </c>
      <c r="P70" s="312" t="n">
        <v>4.5</v>
      </c>
      <c r="Q70" s="310" t="n">
        <v>19</v>
      </c>
      <c r="R70" s="312" t="n">
        <v>4</v>
      </c>
      <c r="S70" s="310"/>
      <c r="T70" s="311" t="n">
        <v>0</v>
      </c>
      <c r="U70" s="312" t="n">
        <v>7.4</v>
      </c>
      <c r="V70" s="311" t="n">
        <v>0</v>
      </c>
      <c r="W70" s="312" t="n">
        <v>5</v>
      </c>
      <c r="X70" s="311" t="n">
        <v>0</v>
      </c>
      <c r="Y70" s="312" t="n">
        <v>5</v>
      </c>
      <c r="Z70" s="313" t="n">
        <v>0</v>
      </c>
      <c r="AA70" s="314" t="n">
        <v>5</v>
      </c>
      <c r="AB70" s="313" t="n">
        <v>0</v>
      </c>
      <c r="AC70" s="314" t="n">
        <v>5</v>
      </c>
      <c r="AD70" s="315"/>
      <c r="AE70" s="144" t="n">
        <v>111</v>
      </c>
      <c r="AF70" s="315"/>
      <c r="AG70" s="311" t="n">
        <v>0</v>
      </c>
      <c r="AH70" s="309" t="n">
        <v>0</v>
      </c>
      <c r="AI70" s="310"/>
      <c r="AJ70" s="311" t="n">
        <v>256</v>
      </c>
      <c r="AK70" s="309" t="n">
        <v>144</v>
      </c>
      <c r="AL70" s="311" t="n">
        <v>304</v>
      </c>
      <c r="AM70" s="309" t="n">
        <v>216</v>
      </c>
      <c r="AN70" s="310" t="n">
        <v>328</v>
      </c>
      <c r="AO70" s="309" t="n">
        <v>192</v>
      </c>
      <c r="AP70" s="310"/>
      <c r="AQ70" s="311" t="n">
        <v>184</v>
      </c>
      <c r="AR70" s="309" t="n">
        <v>355.2</v>
      </c>
      <c r="AS70" s="311" t="n">
        <v>299</v>
      </c>
      <c r="AT70" s="309" t="n">
        <v>240</v>
      </c>
      <c r="AU70" s="310" t="n">
        <v>299</v>
      </c>
      <c r="AV70" s="309" t="n">
        <v>240</v>
      </c>
      <c r="AW70" s="310" t="n">
        <v>299</v>
      </c>
      <c r="AX70" s="309" t="n">
        <v>240</v>
      </c>
      <c r="AY70" s="310" t="n">
        <v>299</v>
      </c>
      <c r="AZ70" s="309" t="n">
        <v>240</v>
      </c>
      <c r="BB70" s="144" t="n">
        <v>0</v>
      </c>
      <c r="BC70" s="315"/>
      <c r="BD70" s="311" t="n">
        <v>0</v>
      </c>
      <c r="BE70" s="316" t="n">
        <v>0</v>
      </c>
      <c r="BF70" s="310"/>
      <c r="BG70" s="317" t="n">
        <v>0</v>
      </c>
      <c r="BH70" s="318" t="n">
        <v>0</v>
      </c>
      <c r="BI70" s="317" t="n">
        <v>0</v>
      </c>
      <c r="BJ70" s="318" t="n">
        <v>0</v>
      </c>
      <c r="BK70" s="317" t="n">
        <v>0</v>
      </c>
      <c r="BL70" s="318" t="n">
        <v>0</v>
      </c>
      <c r="BM70" s="310"/>
      <c r="BN70" s="317" t="n">
        <v>0</v>
      </c>
      <c r="BO70" s="318" t="n">
        <v>0</v>
      </c>
      <c r="BP70" s="317" t="n">
        <v>0</v>
      </c>
      <c r="BQ70" s="318" t="n">
        <v>0</v>
      </c>
      <c r="BR70" s="317" t="n">
        <v>0</v>
      </c>
      <c r="BS70" s="318" t="n">
        <v>0</v>
      </c>
      <c r="BT70" s="317" t="n">
        <v>0</v>
      </c>
      <c r="BU70" s="318" t="n">
        <v>0</v>
      </c>
      <c r="BV70" s="317" t="n">
        <v>0</v>
      </c>
      <c r="BW70" s="318" t="n">
        <v>0</v>
      </c>
      <c r="BY70" s="143"/>
      <c r="BZ70" s="315"/>
      <c r="CA70" s="144" t="s">
        <v>12</v>
      </c>
      <c r="CB70" s="315"/>
      <c r="CC70" s="144" t="n">
        <v>-145.099173553719</v>
      </c>
      <c r="CD70" s="144" t="n">
        <v>-193.099173553719</v>
      </c>
      <c r="CE70" s="144" t="n">
        <v>-217.099173553719</v>
      </c>
      <c r="CF70" s="315"/>
      <c r="CG70" s="144" t="n">
        <v>-72.899173553719</v>
      </c>
      <c r="CH70" s="144" t="n">
        <v>-188.099173553719</v>
      </c>
      <c r="CI70" s="144" t="n">
        <v>-188.099173553719</v>
      </c>
      <c r="CJ70" s="144" t="n">
        <v>-188.099173553719</v>
      </c>
      <c r="CK70" s="144" t="n">
        <v>-188.099173553719</v>
      </c>
      <c r="CM70" s="144" t="n">
        <v>536.363636363636</v>
      </c>
      <c r="CO70" s="319"/>
      <c r="CP70" s="320"/>
      <c r="CQ70" s="321" t="s">
        <v>12</v>
      </c>
      <c r="CR70" s="320"/>
      <c r="CS70" s="322" t="n">
        <v>-253.363636363636</v>
      </c>
      <c r="CT70" s="322" t="n">
        <v>-301.363636363636</v>
      </c>
      <c r="CU70" s="322" t="n">
        <v>-325.363636363636</v>
      </c>
      <c r="CV70" s="323"/>
      <c r="CW70" s="322" t="n">
        <v>-181.163636363636</v>
      </c>
      <c r="CX70" s="322" t="n">
        <v>-296.363636363636</v>
      </c>
      <c r="CY70" s="322" t="n">
        <v>-296.363636363636</v>
      </c>
      <c r="CZ70" s="322" t="n">
        <v>-296.363636363636</v>
      </c>
      <c r="DA70" s="322" t="n">
        <v>-296.363636363636</v>
      </c>
    </row>
    <row r="71" customFormat="false" ht="12.75" hidden="false" customHeight="false" outlineLevel="0" collapsed="false">
      <c r="B71" s="305" t="s">
        <v>450</v>
      </c>
      <c r="C71" s="305" t="s">
        <v>452</v>
      </c>
      <c r="D71" s="306" t="n">
        <v>309</v>
      </c>
      <c r="E71" s="306" t="n">
        <v>3.25</v>
      </c>
      <c r="F71" s="306" t="s">
        <v>432</v>
      </c>
      <c r="G71" s="307" t="n">
        <v>24</v>
      </c>
      <c r="H71" s="308" t="n">
        <v>240.495867768595</v>
      </c>
      <c r="I71" s="2"/>
      <c r="J71" s="144" t="s">
        <v>12</v>
      </c>
      <c r="K71" s="309" t="s">
        <v>12</v>
      </c>
      <c r="L71" s="310"/>
      <c r="M71" s="311" t="n">
        <v>39</v>
      </c>
      <c r="N71" s="312" t="n">
        <v>2</v>
      </c>
      <c r="O71" s="311" t="n">
        <v>0</v>
      </c>
      <c r="P71" s="312" t="n">
        <v>3</v>
      </c>
      <c r="Q71" s="310" t="n">
        <v>0</v>
      </c>
      <c r="R71" s="312" t="n">
        <v>2</v>
      </c>
      <c r="S71" s="310"/>
      <c r="T71" s="311" t="n">
        <v>0</v>
      </c>
      <c r="U71" s="312" t="n">
        <v>8.1</v>
      </c>
      <c r="V71" s="311" t="n">
        <v>0</v>
      </c>
      <c r="W71" s="312" t="n">
        <v>5</v>
      </c>
      <c r="X71" s="311" t="n">
        <v>0</v>
      </c>
      <c r="Y71" s="312" t="n">
        <v>1.5</v>
      </c>
      <c r="Z71" s="313" t="n">
        <v>0</v>
      </c>
      <c r="AA71" s="314" t="n">
        <v>1.5</v>
      </c>
      <c r="AB71" s="313" t="n">
        <v>0</v>
      </c>
      <c r="AC71" s="314" t="n">
        <v>1.5</v>
      </c>
      <c r="AD71" s="315"/>
      <c r="AE71" s="144" t="n">
        <v>69</v>
      </c>
      <c r="AF71" s="315"/>
      <c r="AG71" s="311" t="n">
        <v>0</v>
      </c>
      <c r="AH71" s="309" t="n">
        <v>0</v>
      </c>
      <c r="AI71" s="310"/>
      <c r="AJ71" s="311" t="n">
        <v>222</v>
      </c>
      <c r="AK71" s="309" t="n">
        <v>48</v>
      </c>
      <c r="AL71" s="311" t="n">
        <v>237</v>
      </c>
      <c r="AM71" s="309" t="n">
        <v>72</v>
      </c>
      <c r="AN71" s="311" t="n">
        <v>261</v>
      </c>
      <c r="AO71" s="309" t="n">
        <v>48</v>
      </c>
      <c r="AP71" s="310"/>
      <c r="AQ71" s="311" t="n">
        <v>115</v>
      </c>
      <c r="AR71" s="309" t="n">
        <v>194.4</v>
      </c>
      <c r="AS71" s="311" t="n">
        <v>189</v>
      </c>
      <c r="AT71" s="309" t="n">
        <v>120</v>
      </c>
      <c r="AU71" s="311" t="n">
        <v>273</v>
      </c>
      <c r="AV71" s="309" t="n">
        <v>36</v>
      </c>
      <c r="AW71" s="311" t="n">
        <v>273</v>
      </c>
      <c r="AX71" s="309" t="n">
        <v>36</v>
      </c>
      <c r="AY71" s="311" t="n">
        <v>273</v>
      </c>
      <c r="AZ71" s="309" t="n">
        <v>36</v>
      </c>
      <c r="BB71" s="144" t="n">
        <v>0</v>
      </c>
      <c r="BC71" s="315"/>
      <c r="BD71" s="311" t="n">
        <v>0</v>
      </c>
      <c r="BE71" s="316" t="n">
        <v>0</v>
      </c>
      <c r="BF71" s="310"/>
      <c r="BG71" s="317" t="n">
        <v>0</v>
      </c>
      <c r="BH71" s="318" t="n">
        <v>0</v>
      </c>
      <c r="BI71" s="317" t="n">
        <v>0</v>
      </c>
      <c r="BJ71" s="318" t="n">
        <v>0</v>
      </c>
      <c r="BK71" s="317" t="n">
        <v>0</v>
      </c>
      <c r="BL71" s="318" t="n">
        <v>0</v>
      </c>
      <c r="BM71" s="310"/>
      <c r="BN71" s="317" t="n">
        <v>0</v>
      </c>
      <c r="BO71" s="318" t="n">
        <v>0</v>
      </c>
      <c r="BP71" s="317" t="n">
        <v>0</v>
      </c>
      <c r="BQ71" s="318" t="n">
        <v>0.8</v>
      </c>
      <c r="BR71" s="317" t="n">
        <v>0</v>
      </c>
      <c r="BS71" s="318" t="n">
        <v>0</v>
      </c>
      <c r="BT71" s="317" t="n">
        <v>0</v>
      </c>
      <c r="BU71" s="318" t="n">
        <v>0</v>
      </c>
      <c r="BV71" s="317" t="n">
        <v>0</v>
      </c>
      <c r="BW71" s="318" t="n">
        <v>0</v>
      </c>
      <c r="BY71" s="143"/>
      <c r="BZ71" s="315"/>
      <c r="CA71" s="144" t="s">
        <v>12</v>
      </c>
      <c r="CB71" s="315"/>
      <c r="CC71" s="144" t="n">
        <v>-153.495867768595</v>
      </c>
      <c r="CD71" s="144" t="n">
        <v>-168.495867768595</v>
      </c>
      <c r="CE71" s="144" t="n">
        <v>-192.495867768595</v>
      </c>
      <c r="CF71" s="315"/>
      <c r="CG71" s="144" t="n">
        <v>-46.0958677685951</v>
      </c>
      <c r="CH71" s="144" t="n">
        <v>-120.495867768595</v>
      </c>
      <c r="CI71" s="144" t="n">
        <v>-204.495867768595</v>
      </c>
      <c r="CJ71" s="144" t="n">
        <v>-204.495867768595</v>
      </c>
      <c r="CK71" s="144" t="n">
        <v>-204.495867768595</v>
      </c>
      <c r="CM71" s="144" t="n">
        <v>271.900826446281</v>
      </c>
      <c r="CO71" s="319"/>
      <c r="CP71" s="320"/>
      <c r="CQ71" s="321" t="s">
        <v>12</v>
      </c>
      <c r="CR71" s="320"/>
      <c r="CS71" s="322" t="n">
        <v>-184.900826446281</v>
      </c>
      <c r="CT71" s="322" t="n">
        <v>-199.900826446281</v>
      </c>
      <c r="CU71" s="322" t="n">
        <v>-223.900826446281</v>
      </c>
      <c r="CV71" s="323"/>
      <c r="CW71" s="322" t="n">
        <v>-77.500826446281</v>
      </c>
      <c r="CX71" s="322" t="n">
        <v>-151.900826446281</v>
      </c>
      <c r="CY71" s="322" t="n">
        <v>-235.900826446281</v>
      </c>
      <c r="CZ71" s="322" t="n">
        <v>-235.900826446281</v>
      </c>
      <c r="DA71" s="322" t="n">
        <v>-235.900826446281</v>
      </c>
    </row>
    <row r="72" customFormat="false" ht="12.75" hidden="false" customHeight="false" outlineLevel="0" collapsed="false">
      <c r="B72" s="305" t="s">
        <v>450</v>
      </c>
      <c r="C72" s="305" t="s">
        <v>452</v>
      </c>
      <c r="D72" s="306" t="n">
        <v>309</v>
      </c>
      <c r="E72" s="306" t="n">
        <v>3.25</v>
      </c>
      <c r="F72" s="324" t="s">
        <v>432</v>
      </c>
      <c r="G72" s="144" t="n">
        <v>48</v>
      </c>
      <c r="H72" s="325" t="n">
        <v>240.495867768595</v>
      </c>
      <c r="I72" s="2"/>
      <c r="J72" s="144" t="s">
        <v>12</v>
      </c>
      <c r="K72" s="309" t="s">
        <v>12</v>
      </c>
      <c r="L72" s="310"/>
      <c r="M72" s="311" t="n">
        <v>39</v>
      </c>
      <c r="N72" s="312" t="n">
        <v>1</v>
      </c>
      <c r="O72" s="311" t="n">
        <v>0</v>
      </c>
      <c r="P72" s="312" t="n">
        <v>1.5</v>
      </c>
      <c r="Q72" s="310" t="n">
        <v>0</v>
      </c>
      <c r="R72" s="312" t="n">
        <v>1</v>
      </c>
      <c r="S72" s="310"/>
      <c r="T72" s="311" t="n">
        <v>0</v>
      </c>
      <c r="U72" s="312" t="n">
        <v>4.1</v>
      </c>
      <c r="V72" s="311" t="n">
        <v>0</v>
      </c>
      <c r="W72" s="312" t="n">
        <v>2.5</v>
      </c>
      <c r="X72" s="311" t="n">
        <v>0</v>
      </c>
      <c r="Y72" s="312" t="n">
        <v>0.8</v>
      </c>
      <c r="Z72" s="313" t="n">
        <v>0</v>
      </c>
      <c r="AA72" s="314" t="n">
        <v>0.8</v>
      </c>
      <c r="AB72" s="313" t="n">
        <v>0</v>
      </c>
      <c r="AC72" s="314" t="n">
        <v>0.8</v>
      </c>
      <c r="AD72" s="315"/>
      <c r="AE72" s="144" t="n">
        <v>69</v>
      </c>
      <c r="AF72" s="315"/>
      <c r="AG72" s="311" t="n">
        <v>0</v>
      </c>
      <c r="AH72" s="309" t="n">
        <v>0</v>
      </c>
      <c r="AI72" s="310"/>
      <c r="AJ72" s="311" t="n">
        <v>222</v>
      </c>
      <c r="AK72" s="309" t="n">
        <v>48</v>
      </c>
      <c r="AL72" s="311" t="n">
        <v>237</v>
      </c>
      <c r="AM72" s="309" t="n">
        <v>72</v>
      </c>
      <c r="AN72" s="310" t="n">
        <v>261</v>
      </c>
      <c r="AO72" s="309" t="n">
        <v>48</v>
      </c>
      <c r="AP72" s="310"/>
      <c r="AQ72" s="311" t="n">
        <v>112</v>
      </c>
      <c r="AR72" s="309" t="n">
        <v>196.8</v>
      </c>
      <c r="AS72" s="311" t="n">
        <v>189</v>
      </c>
      <c r="AT72" s="309" t="n">
        <v>120</v>
      </c>
      <c r="AU72" s="310" t="n">
        <v>271</v>
      </c>
      <c r="AV72" s="309" t="n">
        <v>38.4</v>
      </c>
      <c r="AW72" s="310" t="n">
        <v>271</v>
      </c>
      <c r="AX72" s="309" t="n">
        <v>38.4</v>
      </c>
      <c r="AY72" s="310" t="n">
        <v>271</v>
      </c>
      <c r="AZ72" s="309" t="n">
        <v>38.4</v>
      </c>
      <c r="BB72" s="144" t="n">
        <v>0</v>
      </c>
      <c r="BC72" s="315"/>
      <c r="BD72" s="311" t="n">
        <v>0</v>
      </c>
      <c r="BE72" s="316" t="n">
        <v>0</v>
      </c>
      <c r="BF72" s="310"/>
      <c r="BG72" s="317" t="n">
        <v>0</v>
      </c>
      <c r="BH72" s="318" t="n">
        <v>0</v>
      </c>
      <c r="BI72" s="317" t="n">
        <v>0</v>
      </c>
      <c r="BJ72" s="318" t="n">
        <v>0</v>
      </c>
      <c r="BK72" s="317" t="n">
        <v>0</v>
      </c>
      <c r="BL72" s="318" t="n">
        <v>0</v>
      </c>
      <c r="BM72" s="310"/>
      <c r="BN72" s="317" t="n">
        <v>0</v>
      </c>
      <c r="BO72" s="318" t="n">
        <v>0</v>
      </c>
      <c r="BP72" s="317" t="n">
        <v>0</v>
      </c>
      <c r="BQ72" s="318" t="n">
        <v>0</v>
      </c>
      <c r="BR72" s="317" t="n">
        <v>0</v>
      </c>
      <c r="BS72" s="318" t="n">
        <v>0</v>
      </c>
      <c r="BT72" s="317" t="n">
        <v>0</v>
      </c>
      <c r="BU72" s="318" t="n">
        <v>0</v>
      </c>
      <c r="BV72" s="317" t="n">
        <v>0</v>
      </c>
      <c r="BW72" s="318" t="n">
        <v>0</v>
      </c>
      <c r="BY72" s="143"/>
      <c r="BZ72" s="315"/>
      <c r="CA72" s="144" t="s">
        <v>12</v>
      </c>
      <c r="CB72" s="315"/>
      <c r="CC72" s="144" t="n">
        <v>-153.495867768595</v>
      </c>
      <c r="CD72" s="144" t="n">
        <v>-168.495867768595</v>
      </c>
      <c r="CE72" s="144" t="n">
        <v>-192.495867768595</v>
      </c>
      <c r="CF72" s="315"/>
      <c r="CG72" s="144" t="n">
        <v>-43.695867768595</v>
      </c>
      <c r="CH72" s="144" t="n">
        <v>-120.495867768595</v>
      </c>
      <c r="CI72" s="144" t="n">
        <v>-202.095867768595</v>
      </c>
      <c r="CJ72" s="144" t="n">
        <v>-202.095867768595</v>
      </c>
      <c r="CK72" s="144" t="n">
        <v>-202.095867768595</v>
      </c>
      <c r="CM72" s="144" t="n">
        <v>271.900826446281</v>
      </c>
      <c r="CO72" s="319"/>
      <c r="CP72" s="320"/>
      <c r="CQ72" s="321" t="s">
        <v>12</v>
      </c>
      <c r="CR72" s="320"/>
      <c r="CS72" s="322" t="n">
        <v>-184.900826446281</v>
      </c>
      <c r="CT72" s="322" t="n">
        <v>-199.900826446281</v>
      </c>
      <c r="CU72" s="322" t="n">
        <v>-223.900826446281</v>
      </c>
      <c r="CV72" s="323"/>
      <c r="CW72" s="322" t="n">
        <v>-75.100826446281</v>
      </c>
      <c r="CX72" s="322" t="n">
        <v>-151.900826446281</v>
      </c>
      <c r="CY72" s="322" t="n">
        <v>-233.500826446281</v>
      </c>
      <c r="CZ72" s="322" t="n">
        <v>-233.500826446281</v>
      </c>
      <c r="DA72" s="322" t="n">
        <v>-233.500826446281</v>
      </c>
    </row>
    <row r="73" customFormat="false" ht="12.75" hidden="false" customHeight="false" outlineLevel="0" collapsed="false">
      <c r="B73" s="305" t="s">
        <v>450</v>
      </c>
      <c r="C73" s="305" t="s">
        <v>453</v>
      </c>
      <c r="D73" s="306" t="n">
        <v>661</v>
      </c>
      <c r="E73" s="306" t="n">
        <v>3.25</v>
      </c>
      <c r="F73" s="306" t="s">
        <v>432</v>
      </c>
      <c r="G73" s="307" t="n">
        <v>24</v>
      </c>
      <c r="H73" s="308" t="n">
        <v>547.933884297521</v>
      </c>
      <c r="I73" s="2"/>
      <c r="J73" s="144" t="s">
        <v>12</v>
      </c>
      <c r="K73" s="309" t="s">
        <v>12</v>
      </c>
      <c r="L73" s="310"/>
      <c r="M73" s="311" t="n">
        <v>229</v>
      </c>
      <c r="N73" s="312" t="n">
        <v>5</v>
      </c>
      <c r="O73" s="311" t="n">
        <v>139</v>
      </c>
      <c r="P73" s="312" t="n">
        <v>7</v>
      </c>
      <c r="Q73" s="310" t="n">
        <v>139</v>
      </c>
      <c r="R73" s="312" t="n">
        <v>6</v>
      </c>
      <c r="S73" s="310"/>
      <c r="T73" s="311" t="n">
        <v>0</v>
      </c>
      <c r="U73" s="312" t="n">
        <v>18.9</v>
      </c>
      <c r="V73" s="311" t="n">
        <v>0</v>
      </c>
      <c r="W73" s="312" t="n">
        <v>14.1</v>
      </c>
      <c r="X73" s="311" t="n">
        <v>0</v>
      </c>
      <c r="Y73" s="312" t="n">
        <v>11</v>
      </c>
      <c r="Z73" s="313" t="n">
        <v>0</v>
      </c>
      <c r="AA73" s="314" t="n">
        <v>11</v>
      </c>
      <c r="AB73" s="313" t="n">
        <v>0</v>
      </c>
      <c r="AC73" s="314" t="n">
        <v>11</v>
      </c>
      <c r="AD73" s="315"/>
      <c r="AE73" s="144" t="n">
        <v>113</v>
      </c>
      <c r="AF73" s="315"/>
      <c r="AG73" s="311" t="n">
        <v>0</v>
      </c>
      <c r="AH73" s="309" t="n">
        <v>0</v>
      </c>
      <c r="AI73" s="310"/>
      <c r="AJ73" s="311" t="n">
        <v>312</v>
      </c>
      <c r="AK73" s="309" t="n">
        <v>120</v>
      </c>
      <c r="AL73" s="311" t="n">
        <v>354</v>
      </c>
      <c r="AM73" s="309" t="n">
        <v>168</v>
      </c>
      <c r="AN73" s="311" t="n">
        <v>378</v>
      </c>
      <c r="AO73" s="309" t="n">
        <v>144</v>
      </c>
      <c r="AP73" s="310"/>
      <c r="AQ73" s="311" t="n">
        <v>207</v>
      </c>
      <c r="AR73" s="309" t="n">
        <v>453.6</v>
      </c>
      <c r="AS73" s="311" t="n">
        <v>323</v>
      </c>
      <c r="AT73" s="309" t="n">
        <v>338.4</v>
      </c>
      <c r="AU73" s="311" t="n">
        <v>397</v>
      </c>
      <c r="AV73" s="309" t="n">
        <v>264</v>
      </c>
      <c r="AW73" s="311" t="n">
        <v>397</v>
      </c>
      <c r="AX73" s="309" t="n">
        <v>264</v>
      </c>
      <c r="AY73" s="311" t="n">
        <v>397</v>
      </c>
      <c r="AZ73" s="309" t="n">
        <v>264</v>
      </c>
      <c r="BB73" s="144" t="n">
        <v>0</v>
      </c>
      <c r="BC73" s="315"/>
      <c r="BD73" s="311" t="n">
        <v>0</v>
      </c>
      <c r="BE73" s="316" t="n">
        <v>0</v>
      </c>
      <c r="BF73" s="310"/>
      <c r="BG73" s="317" t="n">
        <v>0</v>
      </c>
      <c r="BH73" s="318" t="n">
        <v>0</v>
      </c>
      <c r="BI73" s="317" t="n">
        <v>0</v>
      </c>
      <c r="BJ73" s="318" t="n">
        <v>0</v>
      </c>
      <c r="BK73" s="317" t="n">
        <v>0</v>
      </c>
      <c r="BL73" s="318" t="n">
        <v>0</v>
      </c>
      <c r="BM73" s="310"/>
      <c r="BN73" s="317" t="n">
        <v>0</v>
      </c>
      <c r="BO73" s="318" t="n">
        <v>-0.199999999999999</v>
      </c>
      <c r="BP73" s="317" t="n">
        <v>0</v>
      </c>
      <c r="BQ73" s="318" t="n">
        <v>-0.399999999999999</v>
      </c>
      <c r="BR73" s="317" t="n">
        <v>0</v>
      </c>
      <c r="BS73" s="318" t="n">
        <v>0.699999999999999</v>
      </c>
      <c r="BT73" s="317" t="n">
        <v>0</v>
      </c>
      <c r="BU73" s="318" t="n">
        <v>0.699999999999999</v>
      </c>
      <c r="BV73" s="317" t="n">
        <v>0</v>
      </c>
      <c r="BW73" s="318" t="n">
        <v>0.699999999999999</v>
      </c>
      <c r="BY73" s="143"/>
      <c r="BZ73" s="315"/>
      <c r="CA73" s="144" t="s">
        <v>12</v>
      </c>
      <c r="CB73" s="315"/>
      <c r="CC73" s="144" t="n">
        <v>-198.933884297521</v>
      </c>
      <c r="CD73" s="144" t="n">
        <v>-240.933884297521</v>
      </c>
      <c r="CE73" s="144" t="n">
        <v>-264.933884297521</v>
      </c>
      <c r="CF73" s="315"/>
      <c r="CG73" s="144" t="n">
        <v>-94.3338842975206</v>
      </c>
      <c r="CH73" s="144" t="n">
        <v>-209.533884297521</v>
      </c>
      <c r="CI73" s="144" t="n">
        <v>-283.933884297521</v>
      </c>
      <c r="CJ73" s="144" t="n">
        <v>-283.933884297521</v>
      </c>
      <c r="CK73" s="144" t="n">
        <v>-283.933884297521</v>
      </c>
      <c r="CM73" s="144" t="n">
        <v>660.330578512397</v>
      </c>
      <c r="CO73" s="319"/>
      <c r="CP73" s="320"/>
      <c r="CQ73" s="321" t="s">
        <v>12</v>
      </c>
      <c r="CR73" s="320"/>
      <c r="CS73" s="322" t="n">
        <v>-311.330578512397</v>
      </c>
      <c r="CT73" s="322" t="n">
        <v>-353.330578512397</v>
      </c>
      <c r="CU73" s="322" t="n">
        <v>-377.330578512397</v>
      </c>
      <c r="CV73" s="323"/>
      <c r="CW73" s="322" t="n">
        <v>-206.730578512397</v>
      </c>
      <c r="CX73" s="322" t="n">
        <v>-321.930578512397</v>
      </c>
      <c r="CY73" s="322" t="n">
        <v>-396.330578512397</v>
      </c>
      <c r="CZ73" s="322" t="n">
        <v>-396.330578512397</v>
      </c>
      <c r="DA73" s="322" t="n">
        <v>-396.330578512397</v>
      </c>
    </row>
    <row r="74" customFormat="false" ht="12.75" hidden="false" customHeight="false" outlineLevel="0" collapsed="false">
      <c r="B74" s="305" t="s">
        <v>450</v>
      </c>
      <c r="C74" s="305" t="s">
        <v>453</v>
      </c>
      <c r="D74" s="306" t="n">
        <v>661</v>
      </c>
      <c r="E74" s="306" t="n">
        <v>3.25</v>
      </c>
      <c r="F74" s="324" t="s">
        <v>432</v>
      </c>
      <c r="G74" s="144" t="n">
        <v>48</v>
      </c>
      <c r="H74" s="325" t="n">
        <v>547.933884297521</v>
      </c>
      <c r="I74" s="2"/>
      <c r="J74" s="144" t="s">
        <v>12</v>
      </c>
      <c r="K74" s="309" t="s">
        <v>12</v>
      </c>
      <c r="L74" s="310"/>
      <c r="M74" s="311" t="n">
        <v>229</v>
      </c>
      <c r="N74" s="312" t="n">
        <v>2.5</v>
      </c>
      <c r="O74" s="311" t="n">
        <v>139</v>
      </c>
      <c r="P74" s="312" t="n">
        <v>3.5</v>
      </c>
      <c r="Q74" s="310" t="n">
        <v>139</v>
      </c>
      <c r="R74" s="312" t="n">
        <v>3</v>
      </c>
      <c r="S74" s="310"/>
      <c r="T74" s="311" t="n">
        <v>0</v>
      </c>
      <c r="U74" s="312" t="n">
        <v>9.5</v>
      </c>
      <c r="V74" s="311" t="n">
        <v>0</v>
      </c>
      <c r="W74" s="312" t="n">
        <v>7.1</v>
      </c>
      <c r="X74" s="311" t="n">
        <v>0</v>
      </c>
      <c r="Y74" s="312" t="n">
        <v>5.5</v>
      </c>
      <c r="Z74" s="313" t="n">
        <v>0</v>
      </c>
      <c r="AA74" s="314" t="n">
        <v>5.5</v>
      </c>
      <c r="AB74" s="313" t="n">
        <v>0</v>
      </c>
      <c r="AC74" s="314" t="n">
        <v>5.5</v>
      </c>
      <c r="AD74" s="315"/>
      <c r="AE74" s="144" t="n">
        <v>113</v>
      </c>
      <c r="AF74" s="315"/>
      <c r="AG74" s="311" t="n">
        <v>0</v>
      </c>
      <c r="AH74" s="309" t="n">
        <v>0</v>
      </c>
      <c r="AI74" s="310"/>
      <c r="AJ74" s="311" t="n">
        <v>312</v>
      </c>
      <c r="AK74" s="309" t="n">
        <v>120</v>
      </c>
      <c r="AL74" s="311" t="n">
        <v>354</v>
      </c>
      <c r="AM74" s="309" t="n">
        <v>168</v>
      </c>
      <c r="AN74" s="310" t="n">
        <v>378</v>
      </c>
      <c r="AO74" s="309" t="n">
        <v>144</v>
      </c>
      <c r="AP74" s="310"/>
      <c r="AQ74" s="311" t="n">
        <v>205</v>
      </c>
      <c r="AR74" s="309" t="n">
        <v>456</v>
      </c>
      <c r="AS74" s="311" t="n">
        <v>320</v>
      </c>
      <c r="AT74" s="309" t="n">
        <v>340.8</v>
      </c>
      <c r="AU74" s="310" t="n">
        <v>397</v>
      </c>
      <c r="AV74" s="309" t="n">
        <v>264</v>
      </c>
      <c r="AW74" s="310" t="n">
        <v>397</v>
      </c>
      <c r="AX74" s="309" t="n">
        <v>264</v>
      </c>
      <c r="AY74" s="310" t="n">
        <v>397</v>
      </c>
      <c r="AZ74" s="309" t="n">
        <v>264</v>
      </c>
      <c r="BB74" s="144" t="n">
        <v>0</v>
      </c>
      <c r="BC74" s="315"/>
      <c r="BD74" s="311" t="n">
        <v>0</v>
      </c>
      <c r="BE74" s="316" t="n">
        <v>0</v>
      </c>
      <c r="BF74" s="310"/>
      <c r="BG74" s="317" t="n">
        <v>0</v>
      </c>
      <c r="BH74" s="318" t="n">
        <v>0</v>
      </c>
      <c r="BI74" s="317" t="n">
        <v>0</v>
      </c>
      <c r="BJ74" s="318" t="n">
        <v>0</v>
      </c>
      <c r="BK74" s="317" t="n">
        <v>0</v>
      </c>
      <c r="BL74" s="318" t="n">
        <v>0</v>
      </c>
      <c r="BM74" s="310"/>
      <c r="BN74" s="317" t="n">
        <v>0</v>
      </c>
      <c r="BO74" s="318" t="n">
        <v>0</v>
      </c>
      <c r="BP74" s="317" t="n">
        <v>0</v>
      </c>
      <c r="BQ74" s="318" t="n">
        <v>0</v>
      </c>
      <c r="BR74" s="317" t="n">
        <v>0</v>
      </c>
      <c r="BS74" s="318" t="n">
        <v>0</v>
      </c>
      <c r="BT74" s="317" t="n">
        <v>0</v>
      </c>
      <c r="BU74" s="318" t="n">
        <v>0</v>
      </c>
      <c r="BV74" s="317" t="n">
        <v>0</v>
      </c>
      <c r="BW74" s="318" t="n">
        <v>0</v>
      </c>
      <c r="BY74" s="143"/>
      <c r="BZ74" s="315"/>
      <c r="CA74" s="144" t="s">
        <v>12</v>
      </c>
      <c r="CB74" s="315"/>
      <c r="CC74" s="144" t="n">
        <v>-198.933884297521</v>
      </c>
      <c r="CD74" s="144" t="n">
        <v>-240.933884297521</v>
      </c>
      <c r="CE74" s="144" t="n">
        <v>-264.933884297521</v>
      </c>
      <c r="CF74" s="315"/>
      <c r="CG74" s="144" t="n">
        <v>-91.9338842975207</v>
      </c>
      <c r="CH74" s="144" t="n">
        <v>-207.133884297521</v>
      </c>
      <c r="CI74" s="144" t="n">
        <v>-283.933884297521</v>
      </c>
      <c r="CJ74" s="144" t="n">
        <v>-283.933884297521</v>
      </c>
      <c r="CK74" s="144" t="n">
        <v>-283.933884297521</v>
      </c>
      <c r="CM74" s="144" t="n">
        <v>660.330578512397</v>
      </c>
      <c r="CO74" s="319"/>
      <c r="CP74" s="320"/>
      <c r="CQ74" s="321" t="s">
        <v>12</v>
      </c>
      <c r="CR74" s="320"/>
      <c r="CS74" s="322" t="n">
        <v>-311.330578512397</v>
      </c>
      <c r="CT74" s="322" t="n">
        <v>-353.330578512397</v>
      </c>
      <c r="CU74" s="322" t="n">
        <v>-377.330578512397</v>
      </c>
      <c r="CV74" s="323"/>
      <c r="CW74" s="322" t="n">
        <v>-204.330578512397</v>
      </c>
      <c r="CX74" s="322" t="n">
        <v>-319.530578512397</v>
      </c>
      <c r="CY74" s="322" t="n">
        <v>-396.330578512397</v>
      </c>
      <c r="CZ74" s="322" t="n">
        <v>-396.330578512397</v>
      </c>
      <c r="DA74" s="322" t="n">
        <v>-396.330578512397</v>
      </c>
    </row>
    <row r="75" customFormat="false" ht="12.75" hidden="false" customHeight="false" outlineLevel="0" collapsed="false">
      <c r="B75" s="305" t="s">
        <v>450</v>
      </c>
      <c r="C75" s="305" t="s">
        <v>454</v>
      </c>
      <c r="D75" s="306" t="n">
        <v>181</v>
      </c>
      <c r="E75" s="306" t="n">
        <v>3.25</v>
      </c>
      <c r="F75" s="306" t="s">
        <v>432</v>
      </c>
      <c r="G75" s="307" t="n">
        <v>24</v>
      </c>
      <c r="H75" s="308" t="n">
        <v>135.537190082645</v>
      </c>
      <c r="I75" s="2"/>
      <c r="J75" s="144" t="s">
        <v>12</v>
      </c>
      <c r="K75" s="309" t="s">
        <v>12</v>
      </c>
      <c r="L75" s="310"/>
      <c r="M75" s="311" t="n">
        <v>19</v>
      </c>
      <c r="N75" s="312" t="n">
        <v>1.5</v>
      </c>
      <c r="O75" s="311" t="n">
        <v>0</v>
      </c>
      <c r="P75" s="312" t="n">
        <v>1.5</v>
      </c>
      <c r="Q75" s="310" t="n">
        <v>0</v>
      </c>
      <c r="R75" s="312" t="n">
        <v>1</v>
      </c>
      <c r="S75" s="310"/>
      <c r="T75" s="311" t="n">
        <v>0</v>
      </c>
      <c r="U75" s="312" t="n">
        <v>3.1</v>
      </c>
      <c r="V75" s="311" t="n">
        <v>0</v>
      </c>
      <c r="W75" s="312" t="n">
        <v>1.7</v>
      </c>
      <c r="X75" s="311" t="n">
        <v>0</v>
      </c>
      <c r="Y75" s="312" t="n">
        <v>0.7</v>
      </c>
      <c r="Z75" s="313" t="n">
        <v>0</v>
      </c>
      <c r="AA75" s="314" t="n">
        <v>0.7</v>
      </c>
      <c r="AB75" s="313" t="n">
        <v>0</v>
      </c>
      <c r="AC75" s="314" t="n">
        <v>0.7</v>
      </c>
      <c r="AD75" s="315"/>
      <c r="AE75" s="144" t="n">
        <v>45</v>
      </c>
      <c r="AF75" s="315"/>
      <c r="AG75" s="311" t="n">
        <v>0</v>
      </c>
      <c r="AH75" s="309" t="n">
        <v>0</v>
      </c>
      <c r="AI75" s="310"/>
      <c r="AJ75" s="311" t="n">
        <v>126</v>
      </c>
      <c r="AK75" s="309" t="n">
        <v>36</v>
      </c>
      <c r="AL75" s="311" t="n">
        <v>145</v>
      </c>
      <c r="AM75" s="309" t="n">
        <v>36</v>
      </c>
      <c r="AN75" s="311" t="n">
        <v>157</v>
      </c>
      <c r="AO75" s="309" t="n">
        <v>24</v>
      </c>
      <c r="AP75" s="310"/>
      <c r="AQ75" s="311" t="n">
        <v>107</v>
      </c>
      <c r="AR75" s="309" t="n">
        <v>74.4</v>
      </c>
      <c r="AS75" s="311" t="n">
        <v>140</v>
      </c>
      <c r="AT75" s="309" t="n">
        <v>40.8</v>
      </c>
      <c r="AU75" s="311" t="n">
        <v>164</v>
      </c>
      <c r="AV75" s="309" t="n">
        <v>16.8</v>
      </c>
      <c r="AW75" s="311" t="n">
        <v>164</v>
      </c>
      <c r="AX75" s="309" t="n">
        <v>16.8</v>
      </c>
      <c r="AY75" s="311" t="n">
        <v>164</v>
      </c>
      <c r="AZ75" s="309" t="n">
        <v>16.8</v>
      </c>
      <c r="BB75" s="144" t="n">
        <v>0</v>
      </c>
      <c r="BC75" s="315"/>
      <c r="BD75" s="311" t="n">
        <v>0</v>
      </c>
      <c r="BE75" s="316" t="n">
        <v>0</v>
      </c>
      <c r="BF75" s="310"/>
      <c r="BG75" s="317" t="n">
        <v>0</v>
      </c>
      <c r="BH75" s="318" t="n">
        <v>0</v>
      </c>
      <c r="BI75" s="317" t="n">
        <v>0</v>
      </c>
      <c r="BJ75" s="318" t="n">
        <v>0</v>
      </c>
      <c r="BK75" s="317" t="n">
        <v>0</v>
      </c>
      <c r="BL75" s="318" t="n">
        <v>0</v>
      </c>
      <c r="BM75" s="310"/>
      <c r="BN75" s="317" t="n">
        <v>0</v>
      </c>
      <c r="BO75" s="318" t="n">
        <v>0</v>
      </c>
      <c r="BP75" s="317" t="n">
        <v>0</v>
      </c>
      <c r="BQ75" s="318" t="n">
        <v>0.6</v>
      </c>
      <c r="BR75" s="317" t="n">
        <v>0</v>
      </c>
      <c r="BS75" s="318" t="n">
        <v>0</v>
      </c>
      <c r="BT75" s="317" t="n">
        <v>0</v>
      </c>
      <c r="BU75" s="318" t="n">
        <v>0</v>
      </c>
      <c r="BV75" s="317" t="n">
        <v>0</v>
      </c>
      <c r="BW75" s="318" t="n">
        <v>0</v>
      </c>
      <c r="BY75" s="143"/>
      <c r="BZ75" s="315"/>
      <c r="CA75" s="144" t="s">
        <v>12</v>
      </c>
      <c r="CB75" s="315"/>
      <c r="CC75" s="144" t="n">
        <v>-80.5371900826446</v>
      </c>
      <c r="CD75" s="144" t="n">
        <v>-99.5371900826446</v>
      </c>
      <c r="CE75" s="144" t="n">
        <v>-111.537190082645</v>
      </c>
      <c r="CF75" s="315"/>
      <c r="CG75" s="144" t="n">
        <v>-61.1371900826446</v>
      </c>
      <c r="CH75" s="144" t="n">
        <v>-94.7371900826446</v>
      </c>
      <c r="CI75" s="144" t="n">
        <v>-118.737190082645</v>
      </c>
      <c r="CJ75" s="144" t="n">
        <v>-118.737190082645</v>
      </c>
      <c r="CK75" s="144" t="n">
        <v>-118.737190082645</v>
      </c>
      <c r="CM75" s="144" t="n">
        <v>164.462809917355</v>
      </c>
      <c r="CO75" s="319"/>
      <c r="CP75" s="320"/>
      <c r="CQ75" s="321" t="s">
        <v>12</v>
      </c>
      <c r="CR75" s="320"/>
      <c r="CS75" s="322" t="n">
        <v>-109.462809917355</v>
      </c>
      <c r="CT75" s="322" t="n">
        <v>-128.462809917355</v>
      </c>
      <c r="CU75" s="322" t="n">
        <v>-140.462809917355</v>
      </c>
      <c r="CV75" s="323"/>
      <c r="CW75" s="322" t="n">
        <v>-90.0628099173554</v>
      </c>
      <c r="CX75" s="322" t="n">
        <v>-123.662809917355</v>
      </c>
      <c r="CY75" s="322" t="n">
        <v>-147.662809917355</v>
      </c>
      <c r="CZ75" s="322" t="n">
        <v>-147.662809917355</v>
      </c>
      <c r="DA75" s="322" t="n">
        <v>-147.662809917355</v>
      </c>
    </row>
    <row r="76" customFormat="false" ht="12.75" hidden="false" customHeight="false" outlineLevel="0" collapsed="false">
      <c r="B76" s="305" t="s">
        <v>450</v>
      </c>
      <c r="C76" s="305" t="s">
        <v>454</v>
      </c>
      <c r="D76" s="306" t="n">
        <v>181</v>
      </c>
      <c r="E76" s="306" t="n">
        <v>3.25</v>
      </c>
      <c r="F76" s="324" t="s">
        <v>432</v>
      </c>
      <c r="G76" s="144" t="n">
        <v>48</v>
      </c>
      <c r="H76" s="325" t="n">
        <v>135.537190082645</v>
      </c>
      <c r="I76" s="2"/>
      <c r="J76" s="144" t="s">
        <v>12</v>
      </c>
      <c r="K76" s="309" t="s">
        <v>12</v>
      </c>
      <c r="L76" s="310"/>
      <c r="M76" s="311" t="n">
        <v>19</v>
      </c>
      <c r="N76" s="312" t="n">
        <v>0.8</v>
      </c>
      <c r="O76" s="311" t="n">
        <v>0</v>
      </c>
      <c r="P76" s="312" t="n">
        <v>0.8</v>
      </c>
      <c r="Q76" s="310" t="n">
        <v>0</v>
      </c>
      <c r="R76" s="312" t="n">
        <v>0.5</v>
      </c>
      <c r="S76" s="310"/>
      <c r="T76" s="311" t="n">
        <v>0</v>
      </c>
      <c r="U76" s="312" t="n">
        <v>1.6</v>
      </c>
      <c r="V76" s="311" t="n">
        <v>0</v>
      </c>
      <c r="W76" s="312" t="n">
        <v>0.9</v>
      </c>
      <c r="X76" s="311" t="n">
        <v>0</v>
      </c>
      <c r="Y76" s="312" t="n">
        <v>0.4</v>
      </c>
      <c r="Z76" s="313" t="n">
        <v>0</v>
      </c>
      <c r="AA76" s="314" t="n">
        <v>0.4</v>
      </c>
      <c r="AB76" s="313" t="n">
        <v>0</v>
      </c>
      <c r="AC76" s="314" t="n">
        <v>0.4</v>
      </c>
      <c r="AD76" s="315"/>
      <c r="AE76" s="144" t="n">
        <v>45</v>
      </c>
      <c r="AF76" s="315"/>
      <c r="AG76" s="311" t="n">
        <v>0</v>
      </c>
      <c r="AH76" s="309" t="n">
        <v>0</v>
      </c>
      <c r="AI76" s="310"/>
      <c r="AJ76" s="311" t="n">
        <v>124</v>
      </c>
      <c r="AK76" s="309" t="n">
        <v>38.4</v>
      </c>
      <c r="AL76" s="311" t="n">
        <v>143</v>
      </c>
      <c r="AM76" s="309" t="n">
        <v>38.4</v>
      </c>
      <c r="AN76" s="310" t="n">
        <v>157</v>
      </c>
      <c r="AO76" s="309" t="n">
        <v>24</v>
      </c>
      <c r="AP76" s="310"/>
      <c r="AQ76" s="311" t="n">
        <v>104</v>
      </c>
      <c r="AR76" s="309" t="n">
        <v>76.8</v>
      </c>
      <c r="AS76" s="311" t="n">
        <v>138</v>
      </c>
      <c r="AT76" s="309" t="n">
        <v>43.2</v>
      </c>
      <c r="AU76" s="310" t="n">
        <v>162</v>
      </c>
      <c r="AV76" s="309" t="n">
        <v>19.2</v>
      </c>
      <c r="AW76" s="310" t="n">
        <v>162</v>
      </c>
      <c r="AX76" s="309" t="n">
        <v>19.2</v>
      </c>
      <c r="AY76" s="310" t="n">
        <v>162</v>
      </c>
      <c r="AZ76" s="309" t="n">
        <v>19.2</v>
      </c>
      <c r="BB76" s="144" t="n">
        <v>0</v>
      </c>
      <c r="BC76" s="315"/>
      <c r="BD76" s="311" t="n">
        <v>0</v>
      </c>
      <c r="BE76" s="316" t="n">
        <v>0</v>
      </c>
      <c r="BF76" s="310"/>
      <c r="BG76" s="317" t="n">
        <v>0</v>
      </c>
      <c r="BH76" s="318" t="n">
        <v>0</v>
      </c>
      <c r="BI76" s="317" t="n">
        <v>0</v>
      </c>
      <c r="BJ76" s="318" t="n">
        <v>0</v>
      </c>
      <c r="BK76" s="317" t="n">
        <v>0</v>
      </c>
      <c r="BL76" s="318" t="n">
        <v>0</v>
      </c>
      <c r="BM76" s="310"/>
      <c r="BN76" s="317" t="n">
        <v>0</v>
      </c>
      <c r="BO76" s="318" t="n">
        <v>0</v>
      </c>
      <c r="BP76" s="317" t="n">
        <v>0</v>
      </c>
      <c r="BQ76" s="318" t="n">
        <v>0</v>
      </c>
      <c r="BR76" s="317" t="n">
        <v>0</v>
      </c>
      <c r="BS76" s="318" t="n">
        <v>0</v>
      </c>
      <c r="BT76" s="317" t="n">
        <v>0</v>
      </c>
      <c r="BU76" s="318" t="n">
        <v>0</v>
      </c>
      <c r="BV76" s="317" t="n">
        <v>0</v>
      </c>
      <c r="BW76" s="318" t="n">
        <v>0</v>
      </c>
      <c r="BY76" s="143"/>
      <c r="BZ76" s="315"/>
      <c r="CA76" s="144" t="s">
        <v>12</v>
      </c>
      <c r="CB76" s="315"/>
      <c r="CC76" s="144" t="n">
        <v>-78.1371900826446</v>
      </c>
      <c r="CD76" s="144" t="n">
        <v>-97.1371900826446</v>
      </c>
      <c r="CE76" s="144" t="n">
        <v>-111.537190082645</v>
      </c>
      <c r="CF76" s="315"/>
      <c r="CG76" s="144" t="n">
        <v>-58.7371900826446</v>
      </c>
      <c r="CH76" s="144" t="n">
        <v>-92.3371900826446</v>
      </c>
      <c r="CI76" s="144" t="n">
        <v>-116.337190082645</v>
      </c>
      <c r="CJ76" s="144" t="n">
        <v>-116.337190082645</v>
      </c>
      <c r="CK76" s="144" t="n">
        <v>-116.337190082645</v>
      </c>
      <c r="CM76" s="144" t="n">
        <v>164.462809917355</v>
      </c>
      <c r="CO76" s="319"/>
      <c r="CP76" s="320"/>
      <c r="CQ76" s="321" t="s">
        <v>12</v>
      </c>
      <c r="CR76" s="320"/>
      <c r="CS76" s="322" t="n">
        <v>-107.062809917355</v>
      </c>
      <c r="CT76" s="322" t="n">
        <v>-126.062809917355</v>
      </c>
      <c r="CU76" s="322" t="n">
        <v>-140.462809917355</v>
      </c>
      <c r="CV76" s="323"/>
      <c r="CW76" s="322" t="n">
        <v>-87.6628099173554</v>
      </c>
      <c r="CX76" s="322" t="n">
        <v>-121.262809917355</v>
      </c>
      <c r="CY76" s="322" t="n">
        <v>-145.262809917355</v>
      </c>
      <c r="CZ76" s="322" t="n">
        <v>-145.262809917355</v>
      </c>
      <c r="DA76" s="322" t="n">
        <v>-145.262809917355</v>
      </c>
    </row>
    <row r="77" customFormat="false" ht="12.75" hidden="false" customHeight="false" outlineLevel="0" collapsed="false">
      <c r="B77" s="305" t="s">
        <v>450</v>
      </c>
      <c r="C77" s="305" t="s">
        <v>455</v>
      </c>
      <c r="D77" s="306" t="n">
        <v>1653</v>
      </c>
      <c r="E77" s="306" t="n">
        <v>3.25</v>
      </c>
      <c r="F77" s="306" t="s">
        <v>432</v>
      </c>
      <c r="G77" s="307" t="n">
        <v>24</v>
      </c>
      <c r="H77" s="308" t="n">
        <v>1282.64462809917</v>
      </c>
      <c r="I77" s="2"/>
      <c r="J77" s="144" t="s">
        <v>12</v>
      </c>
      <c r="K77" s="309" t="s">
        <v>12</v>
      </c>
      <c r="L77" s="310"/>
      <c r="M77" s="311" t="n">
        <v>569</v>
      </c>
      <c r="N77" s="312" t="n">
        <v>23.8</v>
      </c>
      <c r="O77" s="311" t="n">
        <v>339</v>
      </c>
      <c r="P77" s="312" t="n">
        <v>30.8</v>
      </c>
      <c r="Q77" s="310" t="n">
        <v>339</v>
      </c>
      <c r="R77" s="312" t="n">
        <v>30</v>
      </c>
      <c r="S77" s="310"/>
      <c r="T77" s="311" t="n">
        <v>0</v>
      </c>
      <c r="U77" s="312" t="n">
        <v>47.2</v>
      </c>
      <c r="V77" s="311" t="n">
        <v>0</v>
      </c>
      <c r="W77" s="312" t="n">
        <v>42.2</v>
      </c>
      <c r="X77" s="311" t="n">
        <v>0</v>
      </c>
      <c r="Y77" s="312" t="n">
        <v>41</v>
      </c>
      <c r="Z77" s="313" t="n">
        <v>0</v>
      </c>
      <c r="AA77" s="314" t="n">
        <v>41</v>
      </c>
      <c r="AB77" s="313" t="n">
        <v>0</v>
      </c>
      <c r="AC77" s="314" t="n">
        <v>41</v>
      </c>
      <c r="AD77" s="315"/>
      <c r="AE77" s="144" t="n">
        <v>370</v>
      </c>
      <c r="AF77" s="315"/>
      <c r="AG77" s="311" t="n">
        <v>0</v>
      </c>
      <c r="AH77" s="309" t="n">
        <v>0</v>
      </c>
      <c r="AI77" s="310"/>
      <c r="AJ77" s="311" t="n">
        <v>513</v>
      </c>
      <c r="AK77" s="309" t="n">
        <v>571.2</v>
      </c>
      <c r="AL77" s="311" t="n">
        <v>575</v>
      </c>
      <c r="AM77" s="309" t="n">
        <v>739.2</v>
      </c>
      <c r="AN77" s="311" t="n">
        <v>594</v>
      </c>
      <c r="AO77" s="309" t="n">
        <v>720</v>
      </c>
      <c r="AP77" s="310"/>
      <c r="AQ77" s="311" t="n">
        <v>520</v>
      </c>
      <c r="AR77" s="309" t="n">
        <v>1132.8</v>
      </c>
      <c r="AS77" s="311" t="n">
        <v>640</v>
      </c>
      <c r="AT77" s="309" t="n">
        <v>1012.8</v>
      </c>
      <c r="AU77" s="311" t="n">
        <v>669</v>
      </c>
      <c r="AV77" s="309" t="n">
        <v>984</v>
      </c>
      <c r="AW77" s="311" t="n">
        <v>669</v>
      </c>
      <c r="AX77" s="309" t="n">
        <v>984</v>
      </c>
      <c r="AY77" s="311" t="n">
        <v>669</v>
      </c>
      <c r="AZ77" s="309" t="n">
        <v>984</v>
      </c>
      <c r="BB77" s="144" t="n">
        <v>0</v>
      </c>
      <c r="BC77" s="315"/>
      <c r="BD77" s="311" t="n">
        <v>0</v>
      </c>
      <c r="BE77" s="316" t="n">
        <v>0</v>
      </c>
      <c r="BF77" s="310"/>
      <c r="BG77" s="317" t="n">
        <v>0</v>
      </c>
      <c r="BH77" s="318" t="n">
        <v>0.199999999999999</v>
      </c>
      <c r="BI77" s="317" t="n">
        <v>0</v>
      </c>
      <c r="BJ77" s="318" t="n">
        <v>0.800000000000001</v>
      </c>
      <c r="BK77" s="317" t="n">
        <v>0</v>
      </c>
      <c r="BL77" s="318" t="n">
        <v>0.599999999999998</v>
      </c>
      <c r="BM77" s="310"/>
      <c r="BN77" s="317" t="n">
        <v>0</v>
      </c>
      <c r="BO77" s="318" t="n">
        <v>-0.200000000000003</v>
      </c>
      <c r="BP77" s="317" t="n">
        <v>0</v>
      </c>
      <c r="BQ77" s="318" t="n">
        <v>-0.200000000000003</v>
      </c>
      <c r="BR77" s="317" t="n">
        <v>0</v>
      </c>
      <c r="BS77" s="318" t="n">
        <v>1</v>
      </c>
      <c r="BT77" s="317" t="n">
        <v>0</v>
      </c>
      <c r="BU77" s="318" t="n">
        <v>1</v>
      </c>
      <c r="BV77" s="317" t="n">
        <v>0</v>
      </c>
      <c r="BW77" s="318" t="n">
        <v>1</v>
      </c>
      <c r="BY77" s="143"/>
      <c r="BZ77" s="315"/>
      <c r="CA77" s="144" t="s">
        <v>12</v>
      </c>
      <c r="CB77" s="315"/>
      <c r="CC77" s="144" t="n">
        <v>-142.444628099174</v>
      </c>
      <c r="CD77" s="144" t="n">
        <v>-204.444628099174</v>
      </c>
      <c r="CE77" s="144" t="n">
        <v>-223.644628099174</v>
      </c>
      <c r="CF77" s="315"/>
      <c r="CG77" s="144" t="n">
        <v>-149.844628099173</v>
      </c>
      <c r="CH77" s="144" t="n">
        <v>-269.844628099174</v>
      </c>
      <c r="CI77" s="144" t="n">
        <v>-298.644628099174</v>
      </c>
      <c r="CJ77" s="144" t="n">
        <v>-298.644628099174</v>
      </c>
      <c r="CK77" s="144" t="n">
        <v>-298.644628099174</v>
      </c>
      <c r="CM77" s="144" t="n">
        <v>1652.06611570248</v>
      </c>
      <c r="CO77" s="319"/>
      <c r="CP77" s="320"/>
      <c r="CQ77" s="321" t="s">
        <v>12</v>
      </c>
      <c r="CR77" s="320"/>
      <c r="CS77" s="322" t="n">
        <v>-511.866115702479</v>
      </c>
      <c r="CT77" s="322" t="n">
        <v>-573.866115702479</v>
      </c>
      <c r="CU77" s="322" t="n">
        <v>-593.06611570248</v>
      </c>
      <c r="CV77" s="323"/>
      <c r="CW77" s="322" t="n">
        <v>-519.266115702479</v>
      </c>
      <c r="CX77" s="322" t="n">
        <v>-639.266115702479</v>
      </c>
      <c r="CY77" s="322" t="n">
        <v>-668.06611570248</v>
      </c>
      <c r="CZ77" s="322" t="n">
        <v>-668.06611570248</v>
      </c>
      <c r="DA77" s="322" t="n">
        <v>-668.06611570248</v>
      </c>
    </row>
    <row r="78" customFormat="false" ht="12.75" hidden="false" customHeight="false" outlineLevel="0" collapsed="false">
      <c r="B78" s="305" t="s">
        <v>450</v>
      </c>
      <c r="C78" s="305" t="s">
        <v>455</v>
      </c>
      <c r="D78" s="306" t="n">
        <v>1653</v>
      </c>
      <c r="E78" s="306" t="n">
        <v>3.25</v>
      </c>
      <c r="F78" s="324" t="s">
        <v>432</v>
      </c>
      <c r="G78" s="144" t="n">
        <v>48</v>
      </c>
      <c r="H78" s="325" t="n">
        <v>1282.64462809917</v>
      </c>
      <c r="I78" s="2"/>
      <c r="J78" s="144" t="s">
        <v>12</v>
      </c>
      <c r="K78" s="309" t="s">
        <v>12</v>
      </c>
      <c r="L78" s="310"/>
      <c r="M78" s="311" t="n">
        <v>569</v>
      </c>
      <c r="N78" s="312" t="n">
        <v>11.9</v>
      </c>
      <c r="O78" s="311" t="n">
        <v>339</v>
      </c>
      <c r="P78" s="312" t="n">
        <v>15.4</v>
      </c>
      <c r="Q78" s="310" t="n">
        <v>339</v>
      </c>
      <c r="R78" s="312" t="n">
        <v>15</v>
      </c>
      <c r="S78" s="310"/>
      <c r="T78" s="311" t="n">
        <v>0</v>
      </c>
      <c r="U78" s="312" t="n">
        <v>23.6</v>
      </c>
      <c r="V78" s="311" t="n">
        <v>0</v>
      </c>
      <c r="W78" s="312" t="n">
        <v>21.1</v>
      </c>
      <c r="X78" s="311" t="n">
        <v>0</v>
      </c>
      <c r="Y78" s="312" t="n">
        <v>20.5</v>
      </c>
      <c r="Z78" s="313" t="n">
        <v>0</v>
      </c>
      <c r="AA78" s="314" t="n">
        <v>20.5</v>
      </c>
      <c r="AB78" s="313" t="n">
        <v>0</v>
      </c>
      <c r="AC78" s="314" t="n">
        <v>20.5</v>
      </c>
      <c r="AD78" s="315"/>
      <c r="AE78" s="144" t="n">
        <v>370</v>
      </c>
      <c r="AF78" s="315"/>
      <c r="AG78" s="311" t="n">
        <v>0</v>
      </c>
      <c r="AH78" s="309" t="n">
        <v>0</v>
      </c>
      <c r="AI78" s="310"/>
      <c r="AJ78" s="311" t="n">
        <v>513</v>
      </c>
      <c r="AK78" s="309" t="n">
        <v>571.2</v>
      </c>
      <c r="AL78" s="311" t="n">
        <v>575</v>
      </c>
      <c r="AM78" s="309" t="n">
        <v>739.2</v>
      </c>
      <c r="AN78" s="310" t="n">
        <v>594</v>
      </c>
      <c r="AO78" s="309" t="n">
        <v>720</v>
      </c>
      <c r="AP78" s="310"/>
      <c r="AQ78" s="311" t="n">
        <v>520</v>
      </c>
      <c r="AR78" s="309" t="n">
        <v>1132.8</v>
      </c>
      <c r="AS78" s="311" t="n">
        <v>640</v>
      </c>
      <c r="AT78" s="309" t="n">
        <v>1012.8</v>
      </c>
      <c r="AU78" s="310" t="n">
        <v>669</v>
      </c>
      <c r="AV78" s="309" t="n">
        <v>984</v>
      </c>
      <c r="AW78" s="310" t="n">
        <v>669</v>
      </c>
      <c r="AX78" s="309" t="n">
        <v>984</v>
      </c>
      <c r="AY78" s="310" t="n">
        <v>669</v>
      </c>
      <c r="AZ78" s="309" t="n">
        <v>984</v>
      </c>
      <c r="BB78" s="144" t="n">
        <v>0</v>
      </c>
      <c r="BC78" s="315"/>
      <c r="BD78" s="311" t="n">
        <v>0</v>
      </c>
      <c r="BE78" s="316" t="n">
        <v>0</v>
      </c>
      <c r="BF78" s="310"/>
      <c r="BG78" s="317" t="n">
        <v>0</v>
      </c>
      <c r="BH78" s="318" t="n">
        <v>0</v>
      </c>
      <c r="BI78" s="317" t="n">
        <v>0</v>
      </c>
      <c r="BJ78" s="318" t="n">
        <v>0</v>
      </c>
      <c r="BK78" s="317" t="n">
        <v>0</v>
      </c>
      <c r="BL78" s="318" t="n">
        <v>0</v>
      </c>
      <c r="BM78" s="310"/>
      <c r="BN78" s="317" t="n">
        <v>0</v>
      </c>
      <c r="BO78" s="318" t="n">
        <v>0</v>
      </c>
      <c r="BP78" s="317" t="n">
        <v>0</v>
      </c>
      <c r="BQ78" s="318" t="n">
        <v>0</v>
      </c>
      <c r="BR78" s="317" t="n">
        <v>0</v>
      </c>
      <c r="BS78" s="318" t="n">
        <v>0</v>
      </c>
      <c r="BT78" s="317" t="n">
        <v>0</v>
      </c>
      <c r="BU78" s="318" t="n">
        <v>0</v>
      </c>
      <c r="BV78" s="317" t="n">
        <v>0</v>
      </c>
      <c r="BW78" s="318" t="n">
        <v>0</v>
      </c>
      <c r="BY78" s="143"/>
      <c r="BZ78" s="315"/>
      <c r="CA78" s="144" t="s">
        <v>12</v>
      </c>
      <c r="CB78" s="315"/>
      <c r="CC78" s="144" t="n">
        <v>-142.444628099174</v>
      </c>
      <c r="CD78" s="144" t="n">
        <v>-204.444628099174</v>
      </c>
      <c r="CE78" s="144" t="n">
        <v>-223.644628099174</v>
      </c>
      <c r="CF78" s="315"/>
      <c r="CG78" s="144" t="n">
        <v>-149.844628099173</v>
      </c>
      <c r="CH78" s="144" t="n">
        <v>-269.844628099174</v>
      </c>
      <c r="CI78" s="144" t="n">
        <v>-298.644628099174</v>
      </c>
      <c r="CJ78" s="144" t="n">
        <v>-298.644628099174</v>
      </c>
      <c r="CK78" s="144" t="n">
        <v>-298.644628099174</v>
      </c>
      <c r="CM78" s="144" t="n">
        <v>1652.06611570248</v>
      </c>
      <c r="CO78" s="319"/>
      <c r="CP78" s="320"/>
      <c r="CQ78" s="321" t="s">
        <v>12</v>
      </c>
      <c r="CR78" s="320"/>
      <c r="CS78" s="322" t="n">
        <v>-511.866115702479</v>
      </c>
      <c r="CT78" s="322" t="n">
        <v>-573.866115702479</v>
      </c>
      <c r="CU78" s="322" t="n">
        <v>-593.06611570248</v>
      </c>
      <c r="CV78" s="323"/>
      <c r="CW78" s="322" t="n">
        <v>-519.266115702479</v>
      </c>
      <c r="CX78" s="322" t="n">
        <v>-639.266115702479</v>
      </c>
      <c r="CY78" s="322" t="n">
        <v>-668.06611570248</v>
      </c>
      <c r="CZ78" s="322" t="n">
        <v>-668.06611570248</v>
      </c>
      <c r="DA78" s="322" t="n">
        <v>-668.06611570248</v>
      </c>
    </row>
    <row r="79" customFormat="false" ht="12.75" hidden="false" customHeight="false" outlineLevel="0" collapsed="false">
      <c r="B79" s="305" t="s">
        <v>450</v>
      </c>
      <c r="C79" s="305" t="s">
        <v>456</v>
      </c>
      <c r="D79" s="306" t="n">
        <v>405</v>
      </c>
      <c r="E79" s="306" t="n">
        <v>3.25</v>
      </c>
      <c r="F79" s="306" t="s">
        <v>432</v>
      </c>
      <c r="G79" s="307" t="n">
        <v>24</v>
      </c>
      <c r="H79" s="308" t="n">
        <v>338.842975206612</v>
      </c>
      <c r="I79" s="2"/>
      <c r="J79" s="144" t="s">
        <v>12</v>
      </c>
      <c r="K79" s="309" t="s">
        <v>12</v>
      </c>
      <c r="L79" s="310"/>
      <c r="M79" s="311" t="n">
        <v>109</v>
      </c>
      <c r="N79" s="312" t="n">
        <v>7.1</v>
      </c>
      <c r="O79" s="311" t="n">
        <v>19</v>
      </c>
      <c r="P79" s="312" t="n">
        <v>8.3</v>
      </c>
      <c r="Q79" s="310" t="n">
        <v>19</v>
      </c>
      <c r="R79" s="312" t="n">
        <v>7.5</v>
      </c>
      <c r="S79" s="310"/>
      <c r="T79" s="311" t="n">
        <v>0</v>
      </c>
      <c r="U79" s="312" t="n">
        <v>11.4</v>
      </c>
      <c r="V79" s="311" t="n">
        <v>0</v>
      </c>
      <c r="W79" s="312" t="n">
        <v>7.5</v>
      </c>
      <c r="X79" s="311" t="n">
        <v>0</v>
      </c>
      <c r="Y79" s="312" t="n">
        <v>7.5</v>
      </c>
      <c r="Z79" s="313" t="n">
        <v>0</v>
      </c>
      <c r="AA79" s="314" t="n">
        <v>7.5</v>
      </c>
      <c r="AB79" s="313" t="n">
        <v>0</v>
      </c>
      <c r="AC79" s="314" t="n">
        <v>7.5</v>
      </c>
      <c r="AD79" s="315"/>
      <c r="AE79" s="144" t="n">
        <v>66</v>
      </c>
      <c r="AF79" s="315"/>
      <c r="AG79" s="311" t="n">
        <v>0</v>
      </c>
      <c r="AH79" s="309" t="n">
        <v>0</v>
      </c>
      <c r="AI79" s="310"/>
      <c r="AJ79" s="311" t="n">
        <v>126</v>
      </c>
      <c r="AK79" s="309" t="n">
        <v>170.4</v>
      </c>
      <c r="AL79" s="311" t="n">
        <v>187</v>
      </c>
      <c r="AM79" s="309" t="n">
        <v>199.2</v>
      </c>
      <c r="AN79" s="311" t="n">
        <v>206</v>
      </c>
      <c r="AO79" s="309" t="n">
        <v>180</v>
      </c>
      <c r="AP79" s="310"/>
      <c r="AQ79" s="311" t="n">
        <v>131</v>
      </c>
      <c r="AR79" s="309" t="n">
        <v>273.6</v>
      </c>
      <c r="AS79" s="311" t="n">
        <v>225</v>
      </c>
      <c r="AT79" s="309" t="n">
        <v>180</v>
      </c>
      <c r="AU79" s="311" t="n">
        <v>225</v>
      </c>
      <c r="AV79" s="309" t="n">
        <v>180</v>
      </c>
      <c r="AW79" s="311" t="n">
        <v>225</v>
      </c>
      <c r="AX79" s="309" t="n">
        <v>180</v>
      </c>
      <c r="AY79" s="311" t="n">
        <v>225</v>
      </c>
      <c r="AZ79" s="309" t="n">
        <v>180</v>
      </c>
      <c r="BB79" s="144" t="n">
        <v>0</v>
      </c>
      <c r="BC79" s="315"/>
      <c r="BD79" s="311" t="n">
        <v>0</v>
      </c>
      <c r="BE79" s="316" t="n">
        <v>0</v>
      </c>
      <c r="BF79" s="310"/>
      <c r="BG79" s="317" t="n">
        <v>-20</v>
      </c>
      <c r="BH79" s="318" t="n">
        <v>-0.6</v>
      </c>
      <c r="BI79" s="317" t="n">
        <v>0</v>
      </c>
      <c r="BJ79" s="318" t="n">
        <v>-0.799999999999999</v>
      </c>
      <c r="BK79" s="317" t="n">
        <v>0</v>
      </c>
      <c r="BL79" s="318" t="n">
        <v>-0.800000000000001</v>
      </c>
      <c r="BM79" s="310"/>
      <c r="BN79" s="317" t="n">
        <v>0</v>
      </c>
      <c r="BO79" s="318" t="n">
        <v>-1.7</v>
      </c>
      <c r="BP79" s="317" t="n">
        <v>0</v>
      </c>
      <c r="BQ79" s="318" t="n">
        <v>-0.800000000000001</v>
      </c>
      <c r="BR79" s="317" t="n">
        <v>0</v>
      </c>
      <c r="BS79" s="318" t="n">
        <v>-0.800000000000001</v>
      </c>
      <c r="BT79" s="317" t="n">
        <v>0</v>
      </c>
      <c r="BU79" s="318" t="n">
        <v>-0.800000000000001</v>
      </c>
      <c r="BV79" s="317" t="n">
        <v>0</v>
      </c>
      <c r="BW79" s="318" t="n">
        <v>-0.800000000000001</v>
      </c>
      <c r="BY79" s="143"/>
      <c r="BZ79" s="315"/>
      <c r="CA79" s="144" t="s">
        <v>12</v>
      </c>
      <c r="CB79" s="315"/>
      <c r="CC79" s="144" t="n">
        <v>-59.4429752066116</v>
      </c>
      <c r="CD79" s="144" t="n">
        <v>-120.642975206612</v>
      </c>
      <c r="CE79" s="144" t="n">
        <v>-139.842975206612</v>
      </c>
      <c r="CF79" s="315"/>
      <c r="CG79" s="144" t="n">
        <v>-65.2429752066116</v>
      </c>
      <c r="CH79" s="144" t="n">
        <v>-158.842975206612</v>
      </c>
      <c r="CI79" s="144" t="n">
        <v>-158.842975206612</v>
      </c>
      <c r="CJ79" s="144" t="n">
        <v>-158.842975206612</v>
      </c>
      <c r="CK79" s="144" t="n">
        <v>-158.842975206612</v>
      </c>
      <c r="CM79" s="144" t="n">
        <v>329.752066115702</v>
      </c>
      <c r="CO79" s="319"/>
      <c r="CP79" s="320"/>
      <c r="CQ79" s="321" t="s">
        <v>12</v>
      </c>
      <c r="CR79" s="320"/>
      <c r="CS79" s="322" t="n">
        <v>-50.3520661157025</v>
      </c>
      <c r="CT79" s="322" t="n">
        <v>-111.552066115702</v>
      </c>
      <c r="CU79" s="322" t="n">
        <v>-130.752066115702</v>
      </c>
      <c r="CV79" s="323"/>
      <c r="CW79" s="322" t="n">
        <v>-56.1520661157024</v>
      </c>
      <c r="CX79" s="322" t="n">
        <v>-149.752066115702</v>
      </c>
      <c r="CY79" s="322" t="n">
        <v>-149.752066115702</v>
      </c>
      <c r="CZ79" s="322" t="n">
        <v>-149.752066115702</v>
      </c>
      <c r="DA79" s="322" t="n">
        <v>-149.752066115702</v>
      </c>
    </row>
    <row r="80" customFormat="false" ht="12.75" hidden="false" customHeight="false" outlineLevel="0" collapsed="false">
      <c r="B80" s="305" t="s">
        <v>450</v>
      </c>
      <c r="C80" s="305" t="s">
        <v>456</v>
      </c>
      <c r="D80" s="306" t="n">
        <v>405</v>
      </c>
      <c r="E80" s="306" t="n">
        <v>3.25</v>
      </c>
      <c r="F80" s="324" t="s">
        <v>432</v>
      </c>
      <c r="G80" s="144" t="n">
        <v>48</v>
      </c>
      <c r="H80" s="325" t="n">
        <v>338.842975206612</v>
      </c>
      <c r="I80" s="2"/>
      <c r="J80" s="144" t="s">
        <v>12</v>
      </c>
      <c r="K80" s="309" t="s">
        <v>12</v>
      </c>
      <c r="L80" s="310"/>
      <c r="M80" s="311" t="n">
        <v>109</v>
      </c>
      <c r="N80" s="312" t="n">
        <v>3.6</v>
      </c>
      <c r="O80" s="311" t="n">
        <v>19</v>
      </c>
      <c r="P80" s="312" t="n">
        <v>4.2</v>
      </c>
      <c r="Q80" s="310" t="n">
        <v>19</v>
      </c>
      <c r="R80" s="312" t="n">
        <v>3.8</v>
      </c>
      <c r="S80" s="310"/>
      <c r="T80" s="311" t="n">
        <v>0</v>
      </c>
      <c r="U80" s="312" t="n">
        <v>5.7</v>
      </c>
      <c r="V80" s="311" t="n">
        <v>0</v>
      </c>
      <c r="W80" s="312" t="n">
        <v>3.8</v>
      </c>
      <c r="X80" s="311" t="n">
        <v>0</v>
      </c>
      <c r="Y80" s="312" t="n">
        <v>3.8</v>
      </c>
      <c r="Z80" s="313" t="n">
        <v>0</v>
      </c>
      <c r="AA80" s="314" t="n">
        <v>3.8</v>
      </c>
      <c r="AB80" s="313" t="n">
        <v>0</v>
      </c>
      <c r="AC80" s="314" t="n">
        <v>3.8</v>
      </c>
      <c r="AD80" s="315"/>
      <c r="AE80" s="144" t="n">
        <v>66</v>
      </c>
      <c r="AF80" s="315"/>
      <c r="AG80" s="311" t="n">
        <v>0</v>
      </c>
      <c r="AH80" s="309" t="n">
        <v>0</v>
      </c>
      <c r="AI80" s="310"/>
      <c r="AJ80" s="311" t="n">
        <v>123</v>
      </c>
      <c r="AK80" s="309" t="n">
        <v>172.8</v>
      </c>
      <c r="AL80" s="311" t="n">
        <v>184</v>
      </c>
      <c r="AM80" s="309" t="n">
        <v>201.6</v>
      </c>
      <c r="AN80" s="310" t="n">
        <v>204</v>
      </c>
      <c r="AO80" s="309" t="n">
        <v>182.4</v>
      </c>
      <c r="AP80" s="310"/>
      <c r="AQ80" s="311" t="n">
        <v>131</v>
      </c>
      <c r="AR80" s="309" t="n">
        <v>273.6</v>
      </c>
      <c r="AS80" s="311" t="n">
        <v>223</v>
      </c>
      <c r="AT80" s="309" t="n">
        <v>182.4</v>
      </c>
      <c r="AU80" s="310" t="n">
        <v>223</v>
      </c>
      <c r="AV80" s="309" t="n">
        <v>182.4</v>
      </c>
      <c r="AW80" s="310" t="n">
        <v>223</v>
      </c>
      <c r="AX80" s="309" t="n">
        <v>182.4</v>
      </c>
      <c r="AY80" s="310" t="n">
        <v>223</v>
      </c>
      <c r="AZ80" s="309" t="n">
        <v>182.4</v>
      </c>
      <c r="BB80" s="144" t="n">
        <v>0</v>
      </c>
      <c r="BC80" s="315"/>
      <c r="BD80" s="311" t="n">
        <v>0</v>
      </c>
      <c r="BE80" s="316" t="n">
        <v>0</v>
      </c>
      <c r="BF80" s="310"/>
      <c r="BG80" s="317" t="n">
        <v>0</v>
      </c>
      <c r="BH80" s="318" t="n">
        <v>0</v>
      </c>
      <c r="BI80" s="317" t="n">
        <v>0</v>
      </c>
      <c r="BJ80" s="318" t="n">
        <v>0</v>
      </c>
      <c r="BK80" s="317" t="n">
        <v>0</v>
      </c>
      <c r="BL80" s="318" t="n">
        <v>0</v>
      </c>
      <c r="BM80" s="310"/>
      <c r="BN80" s="317" t="n">
        <v>0</v>
      </c>
      <c r="BO80" s="318" t="n">
        <v>0</v>
      </c>
      <c r="BP80" s="317" t="n">
        <v>0</v>
      </c>
      <c r="BQ80" s="318" t="n">
        <v>0</v>
      </c>
      <c r="BR80" s="317" t="n">
        <v>0</v>
      </c>
      <c r="BS80" s="318" t="n">
        <v>0</v>
      </c>
      <c r="BT80" s="317" t="n">
        <v>0</v>
      </c>
      <c r="BU80" s="318" t="n">
        <v>0</v>
      </c>
      <c r="BV80" s="317" t="n">
        <v>0</v>
      </c>
      <c r="BW80" s="318" t="n">
        <v>0</v>
      </c>
      <c r="BY80" s="143"/>
      <c r="BZ80" s="315"/>
      <c r="CA80" s="144" t="s">
        <v>12</v>
      </c>
      <c r="CB80" s="315"/>
      <c r="CC80" s="144" t="n">
        <v>-57.0429752066116</v>
      </c>
      <c r="CD80" s="144" t="n">
        <v>-118.242975206612</v>
      </c>
      <c r="CE80" s="144" t="n">
        <v>-137.442975206612</v>
      </c>
      <c r="CF80" s="315"/>
      <c r="CG80" s="144" t="n">
        <v>-65.2429752066116</v>
      </c>
      <c r="CH80" s="144" t="n">
        <v>-156.442975206612</v>
      </c>
      <c r="CI80" s="144" t="n">
        <v>-156.442975206612</v>
      </c>
      <c r="CJ80" s="144" t="n">
        <v>-156.442975206612</v>
      </c>
      <c r="CK80" s="144" t="n">
        <v>-156.442975206612</v>
      </c>
      <c r="CM80" s="144" t="n">
        <v>329.752066115702</v>
      </c>
      <c r="CO80" s="319"/>
      <c r="CP80" s="320"/>
      <c r="CQ80" s="321" t="s">
        <v>12</v>
      </c>
      <c r="CR80" s="320"/>
      <c r="CS80" s="322" t="n">
        <v>-47.9520661157025</v>
      </c>
      <c r="CT80" s="322" t="n">
        <v>-109.152066115702</v>
      </c>
      <c r="CU80" s="322" t="n">
        <v>-128.352066115702</v>
      </c>
      <c r="CV80" s="323"/>
      <c r="CW80" s="322" t="n">
        <v>-56.1520661157024</v>
      </c>
      <c r="CX80" s="322" t="n">
        <v>-147.352066115702</v>
      </c>
      <c r="CY80" s="322" t="n">
        <v>-147.352066115702</v>
      </c>
      <c r="CZ80" s="322" t="n">
        <v>-147.352066115702</v>
      </c>
      <c r="DA80" s="322" t="n">
        <v>-147.352066115702</v>
      </c>
    </row>
    <row r="81" customFormat="false" ht="12.75" hidden="false" customHeight="false" outlineLevel="0" collapsed="false">
      <c r="B81" s="305" t="s">
        <v>450</v>
      </c>
      <c r="C81" s="305" t="s">
        <v>457</v>
      </c>
      <c r="D81" s="306" t="n">
        <v>1074</v>
      </c>
      <c r="E81" s="306" t="n">
        <v>3.25</v>
      </c>
      <c r="F81" s="306" t="s">
        <v>432</v>
      </c>
      <c r="G81" s="307" t="n">
        <v>24</v>
      </c>
      <c r="H81" s="308" t="n">
        <v>961.98347107438</v>
      </c>
      <c r="I81" s="2"/>
      <c r="J81" s="144" t="s">
        <v>12</v>
      </c>
      <c r="K81" s="309" t="s">
        <v>12</v>
      </c>
      <c r="L81" s="310"/>
      <c r="M81" s="311" t="n">
        <v>409</v>
      </c>
      <c r="N81" s="312" t="n">
        <v>17</v>
      </c>
      <c r="O81" s="311" t="n">
        <v>249</v>
      </c>
      <c r="P81" s="312" t="n">
        <v>21.1</v>
      </c>
      <c r="Q81" s="310" t="n">
        <v>249</v>
      </c>
      <c r="R81" s="312" t="n">
        <v>20.3</v>
      </c>
      <c r="S81" s="310"/>
      <c r="T81" s="311" t="n">
        <v>0</v>
      </c>
      <c r="U81" s="312" t="n">
        <v>33.9</v>
      </c>
      <c r="V81" s="311" t="n">
        <v>0</v>
      </c>
      <c r="W81" s="312" t="n">
        <v>29</v>
      </c>
      <c r="X81" s="311" t="n">
        <v>0</v>
      </c>
      <c r="Y81" s="312" t="n">
        <v>29</v>
      </c>
      <c r="Z81" s="313" t="n">
        <v>0</v>
      </c>
      <c r="AA81" s="314" t="n">
        <v>28.9</v>
      </c>
      <c r="AB81" s="313" t="n">
        <v>0</v>
      </c>
      <c r="AC81" s="314" t="n">
        <v>28.9</v>
      </c>
      <c r="AD81" s="315"/>
      <c r="AE81" s="144" t="n">
        <v>112</v>
      </c>
      <c r="AF81" s="315"/>
      <c r="AG81" s="311" t="n">
        <v>0</v>
      </c>
      <c r="AH81" s="309" t="n">
        <v>0</v>
      </c>
      <c r="AI81" s="310"/>
      <c r="AJ81" s="311" t="n">
        <v>257</v>
      </c>
      <c r="AK81" s="309" t="n">
        <v>408</v>
      </c>
      <c r="AL81" s="311" t="n">
        <v>319</v>
      </c>
      <c r="AM81" s="309" t="n">
        <v>506.4</v>
      </c>
      <c r="AN81" s="311" t="n">
        <v>338</v>
      </c>
      <c r="AO81" s="309" t="n">
        <v>487.2</v>
      </c>
      <c r="AP81" s="310"/>
      <c r="AQ81" s="311" t="n">
        <v>260</v>
      </c>
      <c r="AR81" s="309" t="n">
        <v>813.6</v>
      </c>
      <c r="AS81" s="311" t="n">
        <v>378</v>
      </c>
      <c r="AT81" s="309" t="n">
        <v>696</v>
      </c>
      <c r="AU81" s="311" t="n">
        <v>378</v>
      </c>
      <c r="AV81" s="309" t="n">
        <v>696</v>
      </c>
      <c r="AW81" s="311" t="n">
        <v>380</v>
      </c>
      <c r="AX81" s="309" t="n">
        <v>693.6</v>
      </c>
      <c r="AY81" s="311" t="n">
        <v>380</v>
      </c>
      <c r="AZ81" s="309" t="n">
        <v>693.6</v>
      </c>
      <c r="BB81" s="144" t="n">
        <v>0</v>
      </c>
      <c r="BC81" s="315"/>
      <c r="BD81" s="311" t="n">
        <v>0</v>
      </c>
      <c r="BE81" s="316" t="n">
        <v>0</v>
      </c>
      <c r="BF81" s="310"/>
      <c r="BG81" s="317" t="n">
        <v>0</v>
      </c>
      <c r="BH81" s="318" t="n">
        <v>0</v>
      </c>
      <c r="BI81" s="317" t="n">
        <v>0</v>
      </c>
      <c r="BJ81" s="318" t="n">
        <v>0.600000000000001</v>
      </c>
      <c r="BK81" s="317" t="n">
        <v>0</v>
      </c>
      <c r="BL81" s="318" t="n">
        <v>0.599999999999998</v>
      </c>
      <c r="BM81" s="310"/>
      <c r="BN81" s="317" t="n">
        <v>0</v>
      </c>
      <c r="BO81" s="318" t="n">
        <v>0</v>
      </c>
      <c r="BP81" s="317" t="n">
        <v>0</v>
      </c>
      <c r="BQ81" s="318" t="n">
        <v>0</v>
      </c>
      <c r="BR81" s="317" t="n">
        <v>0</v>
      </c>
      <c r="BS81" s="318" t="n">
        <v>0</v>
      </c>
      <c r="BT81" s="317" t="n">
        <v>0</v>
      </c>
      <c r="BU81" s="318" t="n">
        <v>1.9</v>
      </c>
      <c r="BV81" s="317" t="n">
        <v>0</v>
      </c>
      <c r="BW81" s="318" t="n">
        <v>1.9</v>
      </c>
      <c r="BY81" s="143"/>
      <c r="BZ81" s="315"/>
      <c r="CA81" s="144" t="s">
        <v>12</v>
      </c>
      <c r="CB81" s="315"/>
      <c r="CC81" s="144" t="n">
        <v>-144.98347107438</v>
      </c>
      <c r="CD81" s="144" t="n">
        <v>-206.58347107438</v>
      </c>
      <c r="CE81" s="144" t="n">
        <v>-225.78347107438</v>
      </c>
      <c r="CF81" s="315"/>
      <c r="CG81" s="144" t="n">
        <v>-148.38347107438</v>
      </c>
      <c r="CH81" s="144" t="n">
        <v>-265.98347107438</v>
      </c>
      <c r="CI81" s="144" t="n">
        <v>-265.98347107438</v>
      </c>
      <c r="CJ81" s="144" t="n">
        <v>-268.38347107438</v>
      </c>
      <c r="CK81" s="144" t="n">
        <v>-268.38347107438</v>
      </c>
      <c r="CM81" s="144" t="n">
        <v>1073.55371900826</v>
      </c>
      <c r="CO81" s="319"/>
      <c r="CP81" s="320"/>
      <c r="CQ81" s="321" t="s">
        <v>12</v>
      </c>
      <c r="CR81" s="320"/>
      <c r="CS81" s="322" t="n">
        <v>-256.553719008265</v>
      </c>
      <c r="CT81" s="322" t="n">
        <v>-318.153719008264</v>
      </c>
      <c r="CU81" s="322" t="n">
        <v>-337.353719008265</v>
      </c>
      <c r="CV81" s="323"/>
      <c r="CW81" s="322" t="n">
        <v>-259.953719008265</v>
      </c>
      <c r="CX81" s="322" t="n">
        <v>-377.553719008265</v>
      </c>
      <c r="CY81" s="322" t="n">
        <v>-377.553719008265</v>
      </c>
      <c r="CZ81" s="322" t="n">
        <v>-379.953719008265</v>
      </c>
      <c r="DA81" s="322" t="n">
        <v>-379.953719008265</v>
      </c>
    </row>
    <row r="82" customFormat="false" ht="12.75" hidden="false" customHeight="false" outlineLevel="0" collapsed="false">
      <c r="B82" s="305" t="s">
        <v>450</v>
      </c>
      <c r="C82" s="305" t="s">
        <v>457</v>
      </c>
      <c r="D82" s="306" t="n">
        <v>1074</v>
      </c>
      <c r="E82" s="306" t="n">
        <v>3.25</v>
      </c>
      <c r="F82" s="324" t="s">
        <v>432</v>
      </c>
      <c r="G82" s="144" t="n">
        <v>48</v>
      </c>
      <c r="H82" s="325" t="n">
        <v>961.98347107438</v>
      </c>
      <c r="I82" s="2"/>
      <c r="J82" s="144" t="s">
        <v>12</v>
      </c>
      <c r="K82" s="309" t="s">
        <v>12</v>
      </c>
      <c r="L82" s="310"/>
      <c r="M82" s="311" t="n">
        <v>409</v>
      </c>
      <c r="N82" s="312" t="n">
        <v>8.5</v>
      </c>
      <c r="O82" s="311" t="n">
        <v>249</v>
      </c>
      <c r="P82" s="312" t="n">
        <v>10.6</v>
      </c>
      <c r="Q82" s="310" t="n">
        <v>249</v>
      </c>
      <c r="R82" s="312" t="n">
        <v>10.2</v>
      </c>
      <c r="S82" s="310"/>
      <c r="T82" s="311" t="n">
        <v>0</v>
      </c>
      <c r="U82" s="312" t="n">
        <v>17</v>
      </c>
      <c r="V82" s="311" t="n">
        <v>0</v>
      </c>
      <c r="W82" s="312" t="n">
        <v>14.5</v>
      </c>
      <c r="X82" s="311" t="n">
        <v>0</v>
      </c>
      <c r="Y82" s="312" t="n">
        <v>14.5</v>
      </c>
      <c r="Z82" s="313" t="n">
        <v>0</v>
      </c>
      <c r="AA82" s="314" t="n">
        <v>14.5</v>
      </c>
      <c r="AB82" s="313" t="n">
        <v>0</v>
      </c>
      <c r="AC82" s="314" t="n">
        <v>14.5</v>
      </c>
      <c r="AD82" s="315"/>
      <c r="AE82" s="144" t="n">
        <v>112</v>
      </c>
      <c r="AF82" s="315"/>
      <c r="AG82" s="311" t="n">
        <v>0</v>
      </c>
      <c r="AH82" s="309" t="n">
        <v>0</v>
      </c>
      <c r="AI82" s="310"/>
      <c r="AJ82" s="311" t="n">
        <v>257</v>
      </c>
      <c r="AK82" s="309" t="n">
        <v>408</v>
      </c>
      <c r="AL82" s="311" t="n">
        <v>316</v>
      </c>
      <c r="AM82" s="309" t="n">
        <v>508.8</v>
      </c>
      <c r="AN82" s="310" t="n">
        <v>335</v>
      </c>
      <c r="AO82" s="309" t="n">
        <v>489.6</v>
      </c>
      <c r="AP82" s="310"/>
      <c r="AQ82" s="311" t="n">
        <v>258</v>
      </c>
      <c r="AR82" s="309" t="n">
        <v>816</v>
      </c>
      <c r="AS82" s="311" t="n">
        <v>378</v>
      </c>
      <c r="AT82" s="309" t="n">
        <v>696</v>
      </c>
      <c r="AU82" s="310" t="n">
        <v>378</v>
      </c>
      <c r="AV82" s="309" t="n">
        <v>696</v>
      </c>
      <c r="AW82" s="310" t="n">
        <v>378</v>
      </c>
      <c r="AX82" s="309" t="n">
        <v>696</v>
      </c>
      <c r="AY82" s="310" t="n">
        <v>378</v>
      </c>
      <c r="AZ82" s="309" t="n">
        <v>696</v>
      </c>
      <c r="BB82" s="144" t="n">
        <v>0</v>
      </c>
      <c r="BC82" s="315"/>
      <c r="BD82" s="311" t="n">
        <v>0</v>
      </c>
      <c r="BE82" s="316" t="n">
        <v>0</v>
      </c>
      <c r="BF82" s="310"/>
      <c r="BG82" s="317" t="n">
        <v>0</v>
      </c>
      <c r="BH82" s="318" t="n">
        <v>0</v>
      </c>
      <c r="BI82" s="317" t="n">
        <v>0</v>
      </c>
      <c r="BJ82" s="318" t="n">
        <v>0</v>
      </c>
      <c r="BK82" s="317" t="n">
        <v>0</v>
      </c>
      <c r="BL82" s="318" t="n">
        <v>0</v>
      </c>
      <c r="BM82" s="310"/>
      <c r="BN82" s="317" t="n">
        <v>0</v>
      </c>
      <c r="BO82" s="318" t="n">
        <v>0</v>
      </c>
      <c r="BP82" s="317" t="n">
        <v>0</v>
      </c>
      <c r="BQ82" s="318" t="n">
        <v>0</v>
      </c>
      <c r="BR82" s="317" t="n">
        <v>0</v>
      </c>
      <c r="BS82" s="318" t="n">
        <v>0</v>
      </c>
      <c r="BT82" s="317" t="n">
        <v>0</v>
      </c>
      <c r="BU82" s="318" t="n">
        <v>0</v>
      </c>
      <c r="BV82" s="317" t="n">
        <v>0</v>
      </c>
      <c r="BW82" s="318" t="n">
        <v>0</v>
      </c>
      <c r="BY82" s="143"/>
      <c r="BZ82" s="315"/>
      <c r="CA82" s="144" t="s">
        <v>12</v>
      </c>
      <c r="CB82" s="315"/>
      <c r="CC82" s="144" t="n">
        <v>-144.98347107438</v>
      </c>
      <c r="CD82" s="144" t="n">
        <v>-204.18347107438</v>
      </c>
      <c r="CE82" s="144" t="n">
        <v>-223.38347107438</v>
      </c>
      <c r="CF82" s="315"/>
      <c r="CG82" s="144" t="n">
        <v>-145.98347107438</v>
      </c>
      <c r="CH82" s="144" t="n">
        <v>-265.98347107438</v>
      </c>
      <c r="CI82" s="144" t="n">
        <v>-265.98347107438</v>
      </c>
      <c r="CJ82" s="144" t="n">
        <v>-265.98347107438</v>
      </c>
      <c r="CK82" s="144" t="n">
        <v>-265.98347107438</v>
      </c>
      <c r="CM82" s="144" t="n">
        <v>1073.55371900826</v>
      </c>
      <c r="CO82" s="319"/>
      <c r="CP82" s="320"/>
      <c r="CQ82" s="321" t="s">
        <v>12</v>
      </c>
      <c r="CR82" s="320"/>
      <c r="CS82" s="322" t="n">
        <v>-256.553719008265</v>
      </c>
      <c r="CT82" s="322" t="n">
        <v>-315.753719008265</v>
      </c>
      <c r="CU82" s="322" t="n">
        <v>-334.953719008265</v>
      </c>
      <c r="CV82" s="323"/>
      <c r="CW82" s="322" t="n">
        <v>-257.553719008265</v>
      </c>
      <c r="CX82" s="322" t="n">
        <v>-377.553719008265</v>
      </c>
      <c r="CY82" s="322" t="n">
        <v>-377.553719008265</v>
      </c>
      <c r="CZ82" s="322" t="n">
        <v>-377.553719008265</v>
      </c>
      <c r="DA82" s="322" t="n">
        <v>-377.553719008265</v>
      </c>
    </row>
    <row r="83" customFormat="false" ht="12.75" hidden="false" customHeight="false" outlineLevel="0" collapsed="false">
      <c r="B83" s="305" t="s">
        <v>211</v>
      </c>
      <c r="C83" s="305" t="s">
        <v>458</v>
      </c>
      <c r="D83" s="306" t="n">
        <v>481</v>
      </c>
      <c r="E83" s="306" t="n">
        <v>3.25</v>
      </c>
      <c r="F83" s="306" t="s">
        <v>432</v>
      </c>
      <c r="G83" s="307" t="n">
        <v>24</v>
      </c>
      <c r="H83" s="308" t="n">
        <v>420.661157024793</v>
      </c>
      <c r="I83" s="2"/>
      <c r="J83" s="144" t="s">
        <v>12</v>
      </c>
      <c r="K83" s="309" t="s">
        <v>12</v>
      </c>
      <c r="L83" s="310"/>
      <c r="M83" s="311" t="n">
        <v>139</v>
      </c>
      <c r="N83" s="312" t="n">
        <v>5</v>
      </c>
      <c r="O83" s="311" t="n">
        <v>19</v>
      </c>
      <c r="P83" s="312" t="n">
        <v>9</v>
      </c>
      <c r="Q83" s="310" t="n">
        <v>19</v>
      </c>
      <c r="R83" s="312" t="n">
        <v>8</v>
      </c>
      <c r="S83" s="310"/>
      <c r="T83" s="311" t="n">
        <v>0</v>
      </c>
      <c r="U83" s="312" t="n">
        <v>14.3</v>
      </c>
      <c r="V83" s="311" t="n">
        <v>0</v>
      </c>
      <c r="W83" s="312" t="n">
        <v>9.1</v>
      </c>
      <c r="X83" s="311" t="n">
        <v>0</v>
      </c>
      <c r="Y83" s="312" t="n">
        <v>9.1</v>
      </c>
      <c r="Z83" s="313" t="n">
        <v>0</v>
      </c>
      <c r="AA83" s="314" t="n">
        <v>4</v>
      </c>
      <c r="AB83" s="313" t="n">
        <v>0</v>
      </c>
      <c r="AC83" s="314" t="n">
        <v>4</v>
      </c>
      <c r="AD83" s="315"/>
      <c r="AE83" s="144" t="n">
        <v>60</v>
      </c>
      <c r="AF83" s="315"/>
      <c r="AG83" s="311" t="n">
        <v>0</v>
      </c>
      <c r="AH83" s="309" t="n">
        <v>0</v>
      </c>
      <c r="AI83" s="310"/>
      <c r="AJ83" s="311" t="n">
        <v>222</v>
      </c>
      <c r="AK83" s="309" t="n">
        <v>120</v>
      </c>
      <c r="AL83" s="311" t="n">
        <v>246</v>
      </c>
      <c r="AM83" s="309" t="n">
        <v>216</v>
      </c>
      <c r="AN83" s="311" t="n">
        <v>270</v>
      </c>
      <c r="AO83" s="309" t="n">
        <v>192</v>
      </c>
      <c r="AP83" s="310"/>
      <c r="AQ83" s="311" t="n">
        <v>138</v>
      </c>
      <c r="AR83" s="309" t="n">
        <v>343.2</v>
      </c>
      <c r="AS83" s="311" t="n">
        <v>263</v>
      </c>
      <c r="AT83" s="309" t="n">
        <v>218.4</v>
      </c>
      <c r="AU83" s="311" t="n">
        <v>263</v>
      </c>
      <c r="AV83" s="309" t="n">
        <v>218.4</v>
      </c>
      <c r="AW83" s="311" t="n">
        <v>385</v>
      </c>
      <c r="AX83" s="309" t="n">
        <v>96</v>
      </c>
      <c r="AY83" s="311" t="n">
        <v>385</v>
      </c>
      <c r="AZ83" s="309" t="n">
        <v>96</v>
      </c>
      <c r="BB83" s="144" t="n">
        <v>0</v>
      </c>
      <c r="BC83" s="315"/>
      <c r="BD83" s="311" t="n">
        <v>0</v>
      </c>
      <c r="BE83" s="316" t="n">
        <v>0</v>
      </c>
      <c r="BF83" s="310"/>
      <c r="BG83" s="317" t="n">
        <v>0</v>
      </c>
      <c r="BH83" s="318" t="n">
        <v>0</v>
      </c>
      <c r="BI83" s="317" t="n">
        <v>0</v>
      </c>
      <c r="BJ83" s="318" t="n">
        <v>0</v>
      </c>
      <c r="BK83" s="317" t="n">
        <v>0</v>
      </c>
      <c r="BL83" s="318" t="n">
        <v>0</v>
      </c>
      <c r="BM83" s="310"/>
      <c r="BN83" s="317" t="n">
        <v>0</v>
      </c>
      <c r="BO83" s="318" t="n">
        <v>-0.199999999999999</v>
      </c>
      <c r="BP83" s="317" t="n">
        <v>0</v>
      </c>
      <c r="BQ83" s="318" t="n">
        <v>1.8</v>
      </c>
      <c r="BR83" s="317" t="n">
        <v>0</v>
      </c>
      <c r="BS83" s="318" t="n">
        <v>1.8</v>
      </c>
      <c r="BT83" s="317" t="n">
        <v>0</v>
      </c>
      <c r="BU83" s="318" t="n">
        <v>-0.5</v>
      </c>
      <c r="BV83" s="317" t="n">
        <v>0</v>
      </c>
      <c r="BW83" s="318" t="n">
        <v>-0.5</v>
      </c>
      <c r="BY83" s="143"/>
      <c r="BZ83" s="315"/>
      <c r="CA83" s="144" t="s">
        <v>12</v>
      </c>
      <c r="CB83" s="315"/>
      <c r="CC83" s="144" t="n">
        <v>-161.661157024793</v>
      </c>
      <c r="CD83" s="144" t="n">
        <v>-185.661157024793</v>
      </c>
      <c r="CE83" s="144" t="n">
        <v>-209.661157024793</v>
      </c>
      <c r="CF83" s="315"/>
      <c r="CG83" s="144" t="n">
        <v>-77.4611570247934</v>
      </c>
      <c r="CH83" s="144" t="n">
        <v>-202.261157024793</v>
      </c>
      <c r="CI83" s="144" t="n">
        <v>-202.261157024793</v>
      </c>
      <c r="CJ83" s="144" t="n">
        <v>-324.661157024793</v>
      </c>
      <c r="CK83" s="144" t="n">
        <v>-324.661157024793</v>
      </c>
      <c r="CM83" s="144" t="n">
        <v>412.396694214876</v>
      </c>
      <c r="CO83" s="319"/>
      <c r="CP83" s="320"/>
      <c r="CQ83" s="321" t="s">
        <v>12</v>
      </c>
      <c r="CR83" s="320"/>
      <c r="CS83" s="322" t="n">
        <v>-153.396694214876</v>
      </c>
      <c r="CT83" s="322" t="n">
        <v>-177.396694214876</v>
      </c>
      <c r="CU83" s="322" t="n">
        <v>-201.396694214876</v>
      </c>
      <c r="CV83" s="323"/>
      <c r="CW83" s="322" t="n">
        <v>-69.196694214876</v>
      </c>
      <c r="CX83" s="322" t="n">
        <v>-193.996694214876</v>
      </c>
      <c r="CY83" s="322" t="n">
        <v>-193.996694214876</v>
      </c>
      <c r="CZ83" s="322" t="n">
        <v>-316.396694214876</v>
      </c>
      <c r="DA83" s="322" t="n">
        <v>-316.396694214876</v>
      </c>
    </row>
    <row r="84" customFormat="false" ht="12.75" hidden="false" customHeight="false" outlineLevel="0" collapsed="false">
      <c r="B84" s="305" t="s">
        <v>211</v>
      </c>
      <c r="C84" s="305" t="s">
        <v>458</v>
      </c>
      <c r="D84" s="306" t="n">
        <v>481</v>
      </c>
      <c r="E84" s="306" t="n">
        <v>3.25</v>
      </c>
      <c r="F84" s="324" t="s">
        <v>432</v>
      </c>
      <c r="G84" s="144" t="n">
        <v>48</v>
      </c>
      <c r="H84" s="325" t="n">
        <v>420.661157024793</v>
      </c>
      <c r="I84" s="2"/>
      <c r="J84" s="144" t="s">
        <v>12</v>
      </c>
      <c r="K84" s="309" t="s">
        <v>12</v>
      </c>
      <c r="L84" s="310"/>
      <c r="M84" s="311" t="n">
        <v>139</v>
      </c>
      <c r="N84" s="312" t="n">
        <v>2.5</v>
      </c>
      <c r="O84" s="311" t="n">
        <v>19</v>
      </c>
      <c r="P84" s="312" t="n">
        <v>4.5</v>
      </c>
      <c r="Q84" s="310" t="n">
        <v>19</v>
      </c>
      <c r="R84" s="312" t="n">
        <v>4</v>
      </c>
      <c r="S84" s="310"/>
      <c r="T84" s="311" t="n">
        <v>0</v>
      </c>
      <c r="U84" s="312" t="n">
        <v>7.2</v>
      </c>
      <c r="V84" s="311" t="n">
        <v>0</v>
      </c>
      <c r="W84" s="312" t="n">
        <v>4.6</v>
      </c>
      <c r="X84" s="311" t="n">
        <v>0</v>
      </c>
      <c r="Y84" s="312" t="n">
        <v>4.6</v>
      </c>
      <c r="Z84" s="313" t="n">
        <v>0</v>
      </c>
      <c r="AA84" s="314" t="n">
        <v>2</v>
      </c>
      <c r="AB84" s="313" t="n">
        <v>0</v>
      </c>
      <c r="AC84" s="314" t="n">
        <v>2</v>
      </c>
      <c r="AD84" s="315"/>
      <c r="AE84" s="144" t="n">
        <v>60</v>
      </c>
      <c r="AF84" s="315"/>
      <c r="AG84" s="311" t="n">
        <v>0</v>
      </c>
      <c r="AH84" s="309" t="n">
        <v>0</v>
      </c>
      <c r="AI84" s="310"/>
      <c r="AJ84" s="311" t="n">
        <v>222</v>
      </c>
      <c r="AK84" s="309" t="n">
        <v>120</v>
      </c>
      <c r="AL84" s="311" t="n">
        <v>246</v>
      </c>
      <c r="AM84" s="309" t="n">
        <v>216</v>
      </c>
      <c r="AN84" s="310" t="n">
        <v>270</v>
      </c>
      <c r="AO84" s="309" t="n">
        <v>192</v>
      </c>
      <c r="AP84" s="310"/>
      <c r="AQ84" s="311" t="n">
        <v>135</v>
      </c>
      <c r="AR84" s="309" t="n">
        <v>345.6</v>
      </c>
      <c r="AS84" s="311" t="n">
        <v>260</v>
      </c>
      <c r="AT84" s="309" t="n">
        <v>220.8</v>
      </c>
      <c r="AU84" s="310" t="n">
        <v>260</v>
      </c>
      <c r="AV84" s="309" t="n">
        <v>220.8</v>
      </c>
      <c r="AW84" s="310" t="n">
        <v>385</v>
      </c>
      <c r="AX84" s="309" t="n">
        <v>96</v>
      </c>
      <c r="AY84" s="310" t="n">
        <v>385</v>
      </c>
      <c r="AZ84" s="309" t="n">
        <v>96</v>
      </c>
      <c r="BB84" s="144" t="n">
        <v>0</v>
      </c>
      <c r="BC84" s="315"/>
      <c r="BD84" s="311" t="n">
        <v>0</v>
      </c>
      <c r="BE84" s="316" t="n">
        <v>0</v>
      </c>
      <c r="BF84" s="310"/>
      <c r="BG84" s="317" t="n">
        <v>0</v>
      </c>
      <c r="BH84" s="318" t="n">
        <v>0</v>
      </c>
      <c r="BI84" s="317" t="n">
        <v>0</v>
      </c>
      <c r="BJ84" s="318" t="n">
        <v>0</v>
      </c>
      <c r="BK84" s="317" t="n">
        <v>0</v>
      </c>
      <c r="BL84" s="318" t="n">
        <v>0</v>
      </c>
      <c r="BM84" s="310"/>
      <c r="BN84" s="317" t="n">
        <v>0</v>
      </c>
      <c r="BO84" s="318" t="n">
        <v>0</v>
      </c>
      <c r="BP84" s="317" t="n">
        <v>0</v>
      </c>
      <c r="BQ84" s="318" t="n">
        <v>0</v>
      </c>
      <c r="BR84" s="317" t="n">
        <v>0</v>
      </c>
      <c r="BS84" s="318" t="n">
        <v>0</v>
      </c>
      <c r="BT84" s="317" t="n">
        <v>0</v>
      </c>
      <c r="BU84" s="318" t="n">
        <v>0</v>
      </c>
      <c r="BV84" s="317" t="n">
        <v>0</v>
      </c>
      <c r="BW84" s="318" t="n">
        <v>0</v>
      </c>
      <c r="BY84" s="143"/>
      <c r="BZ84" s="315"/>
      <c r="CA84" s="144" t="s">
        <v>12</v>
      </c>
      <c r="CB84" s="315"/>
      <c r="CC84" s="144" t="n">
        <v>-161.661157024793</v>
      </c>
      <c r="CD84" s="144" t="n">
        <v>-185.661157024793</v>
      </c>
      <c r="CE84" s="144" t="n">
        <v>-209.661157024793</v>
      </c>
      <c r="CF84" s="315"/>
      <c r="CG84" s="144" t="n">
        <v>-75.0611570247934</v>
      </c>
      <c r="CH84" s="144" t="n">
        <v>-199.861157024793</v>
      </c>
      <c r="CI84" s="144" t="n">
        <v>-199.861157024793</v>
      </c>
      <c r="CJ84" s="144" t="n">
        <v>-324.661157024793</v>
      </c>
      <c r="CK84" s="144" t="n">
        <v>-324.661157024793</v>
      </c>
      <c r="CM84" s="144" t="n">
        <v>412.396694214876</v>
      </c>
      <c r="CO84" s="319"/>
      <c r="CP84" s="320"/>
      <c r="CQ84" s="321" t="s">
        <v>12</v>
      </c>
      <c r="CR84" s="320"/>
      <c r="CS84" s="322" t="n">
        <v>-153.396694214876</v>
      </c>
      <c r="CT84" s="322" t="n">
        <v>-177.396694214876</v>
      </c>
      <c r="CU84" s="322" t="n">
        <v>-201.396694214876</v>
      </c>
      <c r="CV84" s="323"/>
      <c r="CW84" s="322" t="n">
        <v>-66.796694214876</v>
      </c>
      <c r="CX84" s="322" t="n">
        <v>-191.596694214876</v>
      </c>
      <c r="CY84" s="322" t="n">
        <v>-191.596694214876</v>
      </c>
      <c r="CZ84" s="322" t="n">
        <v>-316.396694214876</v>
      </c>
      <c r="DA84" s="322" t="n">
        <v>-316.396694214876</v>
      </c>
    </row>
    <row r="85" customFormat="false" ht="12.75" hidden="false" customHeight="false" outlineLevel="0" collapsed="false">
      <c r="B85" s="305" t="s">
        <v>211</v>
      </c>
      <c r="C85" s="305" t="s">
        <v>459</v>
      </c>
      <c r="D85" s="306" t="n">
        <v>658</v>
      </c>
      <c r="E85" s="306" t="n">
        <v>3.25</v>
      </c>
      <c r="F85" s="306" t="s">
        <v>432</v>
      </c>
      <c r="G85" s="307" t="n">
        <v>24</v>
      </c>
      <c r="H85" s="308" t="n">
        <v>429.752066115703</v>
      </c>
      <c r="I85" s="2"/>
      <c r="J85" s="144" t="s">
        <v>12</v>
      </c>
      <c r="K85" s="309" t="s">
        <v>12</v>
      </c>
      <c r="L85" s="310"/>
      <c r="M85" s="311" t="n">
        <v>139</v>
      </c>
      <c r="N85" s="312" t="n">
        <v>8.9</v>
      </c>
      <c r="O85" s="311" t="n">
        <v>19</v>
      </c>
      <c r="P85" s="312" t="n">
        <v>11.8</v>
      </c>
      <c r="Q85" s="310" t="n">
        <v>19</v>
      </c>
      <c r="R85" s="312" t="n">
        <v>11</v>
      </c>
      <c r="S85" s="310"/>
      <c r="T85" s="311" t="n">
        <v>0</v>
      </c>
      <c r="U85" s="312" t="n">
        <v>14.7</v>
      </c>
      <c r="V85" s="311" t="n">
        <v>0</v>
      </c>
      <c r="W85" s="312" t="n">
        <v>10</v>
      </c>
      <c r="X85" s="311" t="n">
        <v>0</v>
      </c>
      <c r="Y85" s="312" t="n">
        <v>10</v>
      </c>
      <c r="Z85" s="313" t="n">
        <v>0</v>
      </c>
      <c r="AA85" s="314" t="n">
        <v>9.9</v>
      </c>
      <c r="AB85" s="313" t="n">
        <v>0</v>
      </c>
      <c r="AC85" s="314" t="n">
        <v>9.9</v>
      </c>
      <c r="AD85" s="315"/>
      <c r="AE85" s="144" t="n">
        <v>228</v>
      </c>
      <c r="AF85" s="315"/>
      <c r="AG85" s="311" t="n">
        <v>0</v>
      </c>
      <c r="AH85" s="309" t="n">
        <v>0</v>
      </c>
      <c r="AI85" s="310"/>
      <c r="AJ85" s="311" t="n">
        <v>305</v>
      </c>
      <c r="AK85" s="309" t="n">
        <v>213.6</v>
      </c>
      <c r="AL85" s="311" t="n">
        <v>356</v>
      </c>
      <c r="AM85" s="309" t="n">
        <v>283.2</v>
      </c>
      <c r="AN85" s="311" t="n">
        <v>375</v>
      </c>
      <c r="AO85" s="309" t="n">
        <v>264</v>
      </c>
      <c r="AP85" s="310"/>
      <c r="AQ85" s="311" t="n">
        <v>305</v>
      </c>
      <c r="AR85" s="309" t="n">
        <v>352.8</v>
      </c>
      <c r="AS85" s="311" t="n">
        <v>418</v>
      </c>
      <c r="AT85" s="309" t="n">
        <v>240</v>
      </c>
      <c r="AU85" s="311" t="n">
        <v>418</v>
      </c>
      <c r="AV85" s="309" t="n">
        <v>240</v>
      </c>
      <c r="AW85" s="311" t="n">
        <v>420</v>
      </c>
      <c r="AX85" s="309" t="n">
        <v>237.6</v>
      </c>
      <c r="AY85" s="311" t="n">
        <v>420</v>
      </c>
      <c r="AZ85" s="309" t="n">
        <v>237.6</v>
      </c>
      <c r="BB85" s="144" t="n">
        <v>0</v>
      </c>
      <c r="BC85" s="315"/>
      <c r="BD85" s="311" t="n">
        <v>0</v>
      </c>
      <c r="BE85" s="316" t="n">
        <v>0</v>
      </c>
      <c r="BF85" s="310"/>
      <c r="BG85" s="317" t="n">
        <v>0</v>
      </c>
      <c r="BH85" s="318" t="n">
        <v>0.199999999999999</v>
      </c>
      <c r="BI85" s="317" t="n">
        <v>0</v>
      </c>
      <c r="BJ85" s="318" t="n">
        <v>0.800000000000001</v>
      </c>
      <c r="BK85" s="317" t="n">
        <v>0</v>
      </c>
      <c r="BL85" s="318" t="n">
        <v>0.799999999999999</v>
      </c>
      <c r="BM85" s="310"/>
      <c r="BN85" s="317" t="n">
        <v>0</v>
      </c>
      <c r="BO85" s="318" t="n">
        <v>-0.199999999999999</v>
      </c>
      <c r="BP85" s="317" t="n">
        <v>0</v>
      </c>
      <c r="BQ85" s="318" t="n">
        <v>2.7</v>
      </c>
      <c r="BR85" s="317" t="n">
        <v>0</v>
      </c>
      <c r="BS85" s="318" t="n">
        <v>2.7</v>
      </c>
      <c r="BT85" s="317" t="n">
        <v>0</v>
      </c>
      <c r="BU85" s="318" t="n">
        <v>2.7</v>
      </c>
      <c r="BV85" s="317" t="n">
        <v>0</v>
      </c>
      <c r="BW85" s="318" t="n">
        <v>2.7</v>
      </c>
      <c r="BY85" s="143"/>
      <c r="BZ85" s="315"/>
      <c r="CA85" s="144" t="s">
        <v>12</v>
      </c>
      <c r="CB85" s="315"/>
      <c r="CC85" s="144" t="n">
        <v>-77.1520661157025</v>
      </c>
      <c r="CD85" s="144" t="n">
        <v>-127.552066115702</v>
      </c>
      <c r="CE85" s="144" t="n">
        <v>-146.752066115703</v>
      </c>
      <c r="CF85" s="315"/>
      <c r="CG85" s="144" t="n">
        <v>-76.9520661157025</v>
      </c>
      <c r="CH85" s="144" t="n">
        <v>-189.752066115703</v>
      </c>
      <c r="CI85" s="144" t="n">
        <v>-189.752066115703</v>
      </c>
      <c r="CJ85" s="144" t="n">
        <v>-192.152066115703</v>
      </c>
      <c r="CK85" s="144" t="n">
        <v>-192.152066115703</v>
      </c>
      <c r="CM85" s="144" t="n">
        <v>577.685950413223</v>
      </c>
      <c r="CO85" s="319"/>
      <c r="CP85" s="320"/>
      <c r="CQ85" s="321" t="s">
        <v>12</v>
      </c>
      <c r="CR85" s="320"/>
      <c r="CS85" s="322" t="n">
        <v>-225.085950413223</v>
      </c>
      <c r="CT85" s="322" t="n">
        <v>-275.485950413223</v>
      </c>
      <c r="CU85" s="322" t="n">
        <v>-294.685950413223</v>
      </c>
      <c r="CV85" s="323"/>
      <c r="CW85" s="322" t="n">
        <v>-224.885950413223</v>
      </c>
      <c r="CX85" s="322" t="n">
        <v>-337.685950413223</v>
      </c>
      <c r="CY85" s="322" t="n">
        <v>-337.685950413223</v>
      </c>
      <c r="CZ85" s="322" t="n">
        <v>-340.085950413223</v>
      </c>
      <c r="DA85" s="322" t="n">
        <v>-340.085950413223</v>
      </c>
    </row>
    <row r="86" customFormat="false" ht="12.75" hidden="false" customHeight="false" outlineLevel="0" collapsed="false">
      <c r="B86" s="305" t="s">
        <v>211</v>
      </c>
      <c r="C86" s="305" t="s">
        <v>459</v>
      </c>
      <c r="D86" s="306" t="n">
        <v>658</v>
      </c>
      <c r="E86" s="306" t="n">
        <v>3.25</v>
      </c>
      <c r="F86" s="324" t="s">
        <v>432</v>
      </c>
      <c r="G86" s="144" t="n">
        <v>48</v>
      </c>
      <c r="H86" s="325" t="n">
        <v>429.752066115703</v>
      </c>
      <c r="I86" s="2"/>
      <c r="J86" s="144" t="s">
        <v>12</v>
      </c>
      <c r="K86" s="309" t="s">
        <v>12</v>
      </c>
      <c r="L86" s="310"/>
      <c r="M86" s="311" t="n">
        <v>139</v>
      </c>
      <c r="N86" s="312" t="n">
        <v>4.5</v>
      </c>
      <c r="O86" s="311" t="n">
        <v>19</v>
      </c>
      <c r="P86" s="312" t="n">
        <v>5.9</v>
      </c>
      <c r="Q86" s="310" t="n">
        <v>19</v>
      </c>
      <c r="R86" s="312" t="n">
        <v>5.5</v>
      </c>
      <c r="S86" s="310"/>
      <c r="T86" s="311" t="n">
        <v>0</v>
      </c>
      <c r="U86" s="312" t="n">
        <v>7.4</v>
      </c>
      <c r="V86" s="311" t="n">
        <v>0</v>
      </c>
      <c r="W86" s="312" t="n">
        <v>5</v>
      </c>
      <c r="X86" s="311" t="n">
        <v>0</v>
      </c>
      <c r="Y86" s="312" t="n">
        <v>5</v>
      </c>
      <c r="Z86" s="313" t="n">
        <v>0</v>
      </c>
      <c r="AA86" s="314" t="n">
        <v>5</v>
      </c>
      <c r="AB86" s="313" t="n">
        <v>0</v>
      </c>
      <c r="AC86" s="314" t="n">
        <v>5</v>
      </c>
      <c r="AD86" s="315"/>
      <c r="AE86" s="144" t="n">
        <v>228</v>
      </c>
      <c r="AF86" s="315"/>
      <c r="AG86" s="311" t="n">
        <v>0</v>
      </c>
      <c r="AH86" s="309" t="n">
        <v>0</v>
      </c>
      <c r="AI86" s="310"/>
      <c r="AJ86" s="311" t="n">
        <v>303</v>
      </c>
      <c r="AK86" s="309" t="n">
        <v>216</v>
      </c>
      <c r="AL86" s="311" t="n">
        <v>356</v>
      </c>
      <c r="AM86" s="309" t="n">
        <v>283.2</v>
      </c>
      <c r="AN86" s="310" t="n">
        <v>375</v>
      </c>
      <c r="AO86" s="309" t="n">
        <v>264</v>
      </c>
      <c r="AP86" s="310"/>
      <c r="AQ86" s="311" t="n">
        <v>303</v>
      </c>
      <c r="AR86" s="309" t="n">
        <v>355.2</v>
      </c>
      <c r="AS86" s="311" t="n">
        <v>418</v>
      </c>
      <c r="AT86" s="309" t="n">
        <v>240</v>
      </c>
      <c r="AU86" s="310" t="n">
        <v>418</v>
      </c>
      <c r="AV86" s="309" t="n">
        <v>240</v>
      </c>
      <c r="AW86" s="310" t="n">
        <v>418</v>
      </c>
      <c r="AX86" s="309" t="n">
        <v>240</v>
      </c>
      <c r="AY86" s="310" t="n">
        <v>418</v>
      </c>
      <c r="AZ86" s="309" t="n">
        <v>240</v>
      </c>
      <c r="BB86" s="144" t="n">
        <v>0</v>
      </c>
      <c r="BC86" s="315"/>
      <c r="BD86" s="311" t="n">
        <v>0</v>
      </c>
      <c r="BE86" s="316" t="n">
        <v>0</v>
      </c>
      <c r="BF86" s="310"/>
      <c r="BG86" s="317" t="n">
        <v>0</v>
      </c>
      <c r="BH86" s="318" t="n">
        <v>0</v>
      </c>
      <c r="BI86" s="317" t="n">
        <v>0</v>
      </c>
      <c r="BJ86" s="318" t="n">
        <v>0</v>
      </c>
      <c r="BK86" s="317" t="n">
        <v>0</v>
      </c>
      <c r="BL86" s="318" t="n">
        <v>0</v>
      </c>
      <c r="BM86" s="310"/>
      <c r="BN86" s="317" t="n">
        <v>0</v>
      </c>
      <c r="BO86" s="318" t="n">
        <v>0</v>
      </c>
      <c r="BP86" s="317" t="n">
        <v>0</v>
      </c>
      <c r="BQ86" s="318" t="n">
        <v>0</v>
      </c>
      <c r="BR86" s="317" t="n">
        <v>0</v>
      </c>
      <c r="BS86" s="318" t="n">
        <v>0</v>
      </c>
      <c r="BT86" s="317" t="n">
        <v>0</v>
      </c>
      <c r="BU86" s="318" t="n">
        <v>0</v>
      </c>
      <c r="BV86" s="317" t="n">
        <v>0</v>
      </c>
      <c r="BW86" s="318" t="n">
        <v>0</v>
      </c>
      <c r="BY86" s="143"/>
      <c r="BZ86" s="315"/>
      <c r="CA86" s="144" t="s">
        <v>12</v>
      </c>
      <c r="CB86" s="315"/>
      <c r="CC86" s="144" t="n">
        <v>-74.7520661157025</v>
      </c>
      <c r="CD86" s="144" t="n">
        <v>-127.552066115702</v>
      </c>
      <c r="CE86" s="144" t="n">
        <v>-146.752066115703</v>
      </c>
      <c r="CF86" s="315"/>
      <c r="CG86" s="144" t="n">
        <v>-74.5520661157025</v>
      </c>
      <c r="CH86" s="144" t="n">
        <v>-189.752066115703</v>
      </c>
      <c r="CI86" s="144" t="n">
        <v>-189.752066115703</v>
      </c>
      <c r="CJ86" s="144" t="n">
        <v>-189.752066115703</v>
      </c>
      <c r="CK86" s="144" t="n">
        <v>-189.752066115703</v>
      </c>
      <c r="CM86" s="144" t="n">
        <v>577.685950413223</v>
      </c>
      <c r="CO86" s="319"/>
      <c r="CP86" s="320"/>
      <c r="CQ86" s="321" t="s">
        <v>12</v>
      </c>
      <c r="CR86" s="320"/>
      <c r="CS86" s="322" t="n">
        <v>-222.685950413223</v>
      </c>
      <c r="CT86" s="322" t="n">
        <v>-275.485950413223</v>
      </c>
      <c r="CU86" s="322" t="n">
        <v>-294.685950413223</v>
      </c>
      <c r="CV86" s="323"/>
      <c r="CW86" s="322" t="n">
        <v>-222.485950413223</v>
      </c>
      <c r="CX86" s="322" t="n">
        <v>-337.685950413223</v>
      </c>
      <c r="CY86" s="322" t="n">
        <v>-337.685950413223</v>
      </c>
      <c r="CZ86" s="322" t="n">
        <v>-337.685950413223</v>
      </c>
      <c r="DA86" s="322" t="n">
        <v>-337.685950413223</v>
      </c>
    </row>
    <row r="87" customFormat="false" ht="12.75" hidden="false" customHeight="false" outlineLevel="0" collapsed="false">
      <c r="B87" s="305" t="s">
        <v>211</v>
      </c>
      <c r="C87" s="305" t="s">
        <v>460</v>
      </c>
      <c r="D87" s="306" t="n">
        <v>183</v>
      </c>
      <c r="E87" s="306" t="n">
        <v>3.25</v>
      </c>
      <c r="F87" s="306" t="s">
        <v>432</v>
      </c>
      <c r="G87" s="307" t="n">
        <v>24</v>
      </c>
      <c r="H87" s="308" t="n">
        <v>132.231404958678</v>
      </c>
      <c r="I87" s="2"/>
      <c r="J87" s="144" t="s">
        <v>12</v>
      </c>
      <c r="K87" s="309" t="s">
        <v>12</v>
      </c>
      <c r="L87" s="310"/>
      <c r="M87" s="311" t="n">
        <v>19</v>
      </c>
      <c r="N87" s="312" t="n">
        <v>4.2</v>
      </c>
      <c r="O87" s="311" t="n">
        <v>0</v>
      </c>
      <c r="P87" s="312" t="n">
        <v>2.3</v>
      </c>
      <c r="Q87" s="310" t="n">
        <v>0</v>
      </c>
      <c r="R87" s="312" t="n">
        <v>1.5</v>
      </c>
      <c r="S87" s="310"/>
      <c r="T87" s="311" t="n">
        <v>0</v>
      </c>
      <c r="U87" s="312" t="n">
        <v>3.1</v>
      </c>
      <c r="V87" s="311" t="n">
        <v>0</v>
      </c>
      <c r="W87" s="312" t="n">
        <v>1.7</v>
      </c>
      <c r="X87" s="311" t="n">
        <v>0</v>
      </c>
      <c r="Y87" s="312" t="n">
        <v>0.2</v>
      </c>
      <c r="Z87" s="313" t="n">
        <v>0</v>
      </c>
      <c r="AA87" s="314" t="n">
        <v>0.2</v>
      </c>
      <c r="AB87" s="313" t="n">
        <v>0</v>
      </c>
      <c r="AC87" s="314" t="n">
        <v>0.2</v>
      </c>
      <c r="AD87" s="315"/>
      <c r="AE87" s="144" t="n">
        <v>51</v>
      </c>
      <c r="AF87" s="315"/>
      <c r="AG87" s="311" t="n">
        <v>0</v>
      </c>
      <c r="AH87" s="309" t="n">
        <v>0</v>
      </c>
      <c r="AI87" s="310"/>
      <c r="AJ87" s="311" t="n">
        <v>63</v>
      </c>
      <c r="AK87" s="309" t="n">
        <v>100.8</v>
      </c>
      <c r="AL87" s="311" t="n">
        <v>128</v>
      </c>
      <c r="AM87" s="309" t="n">
        <v>55.2</v>
      </c>
      <c r="AN87" s="311" t="n">
        <v>147</v>
      </c>
      <c r="AO87" s="309" t="n">
        <v>36</v>
      </c>
      <c r="AP87" s="310"/>
      <c r="AQ87" s="311" t="n">
        <v>109</v>
      </c>
      <c r="AR87" s="309" t="n">
        <v>74.4</v>
      </c>
      <c r="AS87" s="311" t="n">
        <v>142</v>
      </c>
      <c r="AT87" s="309" t="n">
        <v>40.8</v>
      </c>
      <c r="AU87" s="311" t="n">
        <v>178</v>
      </c>
      <c r="AV87" s="309" t="n">
        <v>4.8</v>
      </c>
      <c r="AW87" s="311" t="n">
        <v>178</v>
      </c>
      <c r="AX87" s="309" t="n">
        <v>4.8</v>
      </c>
      <c r="AY87" s="311" t="n">
        <v>178</v>
      </c>
      <c r="AZ87" s="309" t="n">
        <v>4.8</v>
      </c>
      <c r="BB87" s="144" t="n">
        <v>0</v>
      </c>
      <c r="BC87" s="315"/>
      <c r="BD87" s="311" t="n">
        <v>0</v>
      </c>
      <c r="BE87" s="316" t="n">
        <v>0</v>
      </c>
      <c r="BF87" s="310"/>
      <c r="BG87" s="317" t="n">
        <v>0</v>
      </c>
      <c r="BH87" s="318" t="n">
        <v>0.2</v>
      </c>
      <c r="BI87" s="317" t="n">
        <v>0</v>
      </c>
      <c r="BJ87" s="318" t="n">
        <v>0.6</v>
      </c>
      <c r="BK87" s="317" t="n">
        <v>0</v>
      </c>
      <c r="BL87" s="318" t="n">
        <v>0.6</v>
      </c>
      <c r="BM87" s="310"/>
      <c r="BN87" s="317" t="n">
        <v>0</v>
      </c>
      <c r="BO87" s="318" t="n">
        <v>0</v>
      </c>
      <c r="BP87" s="317" t="n">
        <v>0</v>
      </c>
      <c r="BQ87" s="318" t="n">
        <v>0.6</v>
      </c>
      <c r="BR87" s="317" t="n">
        <v>0</v>
      </c>
      <c r="BS87" s="318" t="n">
        <v>-0.3</v>
      </c>
      <c r="BT87" s="317" t="n">
        <v>0</v>
      </c>
      <c r="BU87" s="318" t="n">
        <v>-0.3</v>
      </c>
      <c r="BV87" s="317" t="n">
        <v>0</v>
      </c>
      <c r="BW87" s="318" t="n">
        <v>-0.3</v>
      </c>
      <c r="BY87" s="143"/>
      <c r="BZ87" s="315"/>
      <c r="CA87" s="144" t="s">
        <v>12</v>
      </c>
      <c r="CB87" s="315"/>
      <c r="CC87" s="144" t="n">
        <v>-12.4314049586777</v>
      </c>
      <c r="CD87" s="144" t="n">
        <v>-77.0314049586777</v>
      </c>
      <c r="CE87" s="144" t="n">
        <v>-96.2314049586777</v>
      </c>
      <c r="CF87" s="315"/>
      <c r="CG87" s="144" t="n">
        <v>-57.8314049586777</v>
      </c>
      <c r="CH87" s="144" t="n">
        <v>-91.4314049586777</v>
      </c>
      <c r="CI87" s="144" t="n">
        <v>-127.431404958678</v>
      </c>
      <c r="CJ87" s="144" t="n">
        <v>-127.431404958678</v>
      </c>
      <c r="CK87" s="144" t="n">
        <v>-127.431404958678</v>
      </c>
      <c r="CM87" s="144" t="n">
        <v>147.933884297521</v>
      </c>
      <c r="CO87" s="319"/>
      <c r="CP87" s="320"/>
      <c r="CQ87" s="321" t="s">
        <v>12</v>
      </c>
      <c r="CR87" s="320"/>
      <c r="CS87" s="322" t="n">
        <v>-28.1338842975207</v>
      </c>
      <c r="CT87" s="322" t="n">
        <v>-92.7338842975207</v>
      </c>
      <c r="CU87" s="322" t="n">
        <v>-111.933884297521</v>
      </c>
      <c r="CV87" s="323"/>
      <c r="CW87" s="322" t="n">
        <v>-73.5338842975207</v>
      </c>
      <c r="CX87" s="322" t="n">
        <v>-107.133884297521</v>
      </c>
      <c r="CY87" s="322" t="n">
        <v>-143.133884297521</v>
      </c>
      <c r="CZ87" s="322" t="n">
        <v>-143.133884297521</v>
      </c>
      <c r="DA87" s="322" t="n">
        <v>-143.133884297521</v>
      </c>
    </row>
    <row r="88" customFormat="false" ht="12.75" hidden="false" customHeight="false" outlineLevel="0" collapsed="false">
      <c r="B88" s="305" t="s">
        <v>211</v>
      </c>
      <c r="C88" s="305" t="s">
        <v>460</v>
      </c>
      <c r="D88" s="306" t="n">
        <v>183</v>
      </c>
      <c r="E88" s="306" t="n">
        <v>3.25</v>
      </c>
      <c r="F88" s="324" t="s">
        <v>432</v>
      </c>
      <c r="G88" s="144" t="n">
        <v>48</v>
      </c>
      <c r="H88" s="325" t="n">
        <v>132.231404958678</v>
      </c>
      <c r="I88" s="2"/>
      <c r="J88" s="144" t="s">
        <v>12</v>
      </c>
      <c r="K88" s="309" t="s">
        <v>12</v>
      </c>
      <c r="L88" s="310"/>
      <c r="M88" s="311" t="n">
        <v>19</v>
      </c>
      <c r="N88" s="312" t="n">
        <v>2.1</v>
      </c>
      <c r="O88" s="311" t="n">
        <v>0</v>
      </c>
      <c r="P88" s="312" t="n">
        <v>1.2</v>
      </c>
      <c r="Q88" s="310" t="n">
        <v>0</v>
      </c>
      <c r="R88" s="312" t="n">
        <v>0.8</v>
      </c>
      <c r="S88" s="310"/>
      <c r="T88" s="311" t="n">
        <v>0</v>
      </c>
      <c r="U88" s="312" t="n">
        <v>1.6</v>
      </c>
      <c r="V88" s="311" t="n">
        <v>0</v>
      </c>
      <c r="W88" s="312" t="n">
        <v>0.9</v>
      </c>
      <c r="X88" s="311" t="n">
        <v>0</v>
      </c>
      <c r="Y88" s="312" t="n">
        <v>0.1</v>
      </c>
      <c r="Z88" s="313" t="n">
        <v>0</v>
      </c>
      <c r="AA88" s="314" t="n">
        <v>0.1</v>
      </c>
      <c r="AB88" s="313" t="n">
        <v>0</v>
      </c>
      <c r="AC88" s="314" t="n">
        <v>0.1</v>
      </c>
      <c r="AD88" s="315"/>
      <c r="AE88" s="144" t="n">
        <v>51</v>
      </c>
      <c r="AF88" s="315"/>
      <c r="AG88" s="311" t="n">
        <v>0</v>
      </c>
      <c r="AH88" s="309" t="n">
        <v>0</v>
      </c>
      <c r="AI88" s="310"/>
      <c r="AJ88" s="311" t="n">
        <v>63</v>
      </c>
      <c r="AK88" s="309" t="n">
        <v>100.8</v>
      </c>
      <c r="AL88" s="311" t="n">
        <v>125</v>
      </c>
      <c r="AM88" s="309" t="n">
        <v>57.6</v>
      </c>
      <c r="AN88" s="310" t="n">
        <v>145</v>
      </c>
      <c r="AO88" s="309" t="n">
        <v>38.4</v>
      </c>
      <c r="AP88" s="310"/>
      <c r="AQ88" s="311" t="n">
        <v>106</v>
      </c>
      <c r="AR88" s="309" t="n">
        <v>76.8</v>
      </c>
      <c r="AS88" s="311" t="n">
        <v>140</v>
      </c>
      <c r="AT88" s="309" t="n">
        <v>43.2</v>
      </c>
      <c r="AU88" s="310" t="n">
        <v>178</v>
      </c>
      <c r="AV88" s="309" t="n">
        <v>4.8</v>
      </c>
      <c r="AW88" s="310" t="n">
        <v>178</v>
      </c>
      <c r="AX88" s="309" t="n">
        <v>4.8</v>
      </c>
      <c r="AY88" s="310" t="n">
        <v>178</v>
      </c>
      <c r="AZ88" s="309" t="n">
        <v>4.8</v>
      </c>
      <c r="BB88" s="144" t="n">
        <v>0</v>
      </c>
      <c r="BC88" s="315"/>
      <c r="BD88" s="311" t="n">
        <v>0</v>
      </c>
      <c r="BE88" s="316" t="n">
        <v>0</v>
      </c>
      <c r="BF88" s="310"/>
      <c r="BG88" s="317" t="n">
        <v>0</v>
      </c>
      <c r="BH88" s="318" t="n">
        <v>0</v>
      </c>
      <c r="BI88" s="317" t="n">
        <v>0</v>
      </c>
      <c r="BJ88" s="318" t="n">
        <v>0</v>
      </c>
      <c r="BK88" s="317" t="n">
        <v>0</v>
      </c>
      <c r="BL88" s="318" t="n">
        <v>0</v>
      </c>
      <c r="BM88" s="310"/>
      <c r="BN88" s="317" t="n">
        <v>0</v>
      </c>
      <c r="BO88" s="318" t="n">
        <v>0</v>
      </c>
      <c r="BP88" s="317" t="n">
        <v>0</v>
      </c>
      <c r="BQ88" s="318" t="n">
        <v>0</v>
      </c>
      <c r="BR88" s="317" t="n">
        <v>0</v>
      </c>
      <c r="BS88" s="318" t="n">
        <v>0</v>
      </c>
      <c r="BT88" s="317" t="n">
        <v>0</v>
      </c>
      <c r="BU88" s="318" t="n">
        <v>0</v>
      </c>
      <c r="BV88" s="317" t="n">
        <v>0</v>
      </c>
      <c r="BW88" s="318" t="n">
        <v>0</v>
      </c>
      <c r="BY88" s="143"/>
      <c r="BZ88" s="315"/>
      <c r="CA88" s="144" t="s">
        <v>12</v>
      </c>
      <c r="CB88" s="315"/>
      <c r="CC88" s="144" t="n">
        <v>-12.4314049586777</v>
      </c>
      <c r="CD88" s="144" t="n">
        <v>-74.6314049586777</v>
      </c>
      <c r="CE88" s="144" t="n">
        <v>-93.8314049586777</v>
      </c>
      <c r="CF88" s="315"/>
      <c r="CG88" s="144" t="n">
        <v>-55.4314049586777</v>
      </c>
      <c r="CH88" s="144" t="n">
        <v>-89.0314049586777</v>
      </c>
      <c r="CI88" s="144" t="n">
        <v>-127.431404958678</v>
      </c>
      <c r="CJ88" s="144" t="n">
        <v>-127.431404958678</v>
      </c>
      <c r="CK88" s="144" t="n">
        <v>-127.431404958678</v>
      </c>
      <c r="CM88" s="144" t="n">
        <v>147.933884297521</v>
      </c>
      <c r="CO88" s="319"/>
      <c r="CP88" s="320"/>
      <c r="CQ88" s="321" t="s">
        <v>12</v>
      </c>
      <c r="CR88" s="320"/>
      <c r="CS88" s="322" t="n">
        <v>-28.1338842975207</v>
      </c>
      <c r="CT88" s="322" t="n">
        <v>-90.3338842975207</v>
      </c>
      <c r="CU88" s="322" t="n">
        <v>-109.533884297521</v>
      </c>
      <c r="CV88" s="323"/>
      <c r="CW88" s="322" t="n">
        <v>-71.1338842975207</v>
      </c>
      <c r="CX88" s="322" t="n">
        <v>-104.733884297521</v>
      </c>
      <c r="CY88" s="322" t="n">
        <v>-143.133884297521</v>
      </c>
      <c r="CZ88" s="322" t="n">
        <v>-143.133884297521</v>
      </c>
      <c r="DA88" s="322" t="n">
        <v>-143.133884297521</v>
      </c>
    </row>
    <row r="89" customFormat="false" ht="12.75" hidden="false" customHeight="false" outlineLevel="0" collapsed="false">
      <c r="B89" s="305" t="s">
        <v>211</v>
      </c>
      <c r="C89" s="305" t="s">
        <v>461</v>
      </c>
      <c r="D89" s="306" t="n">
        <v>255</v>
      </c>
      <c r="E89" s="306" t="n">
        <v>3.25</v>
      </c>
      <c r="F89" s="306" t="s">
        <v>432</v>
      </c>
      <c r="G89" s="307" t="n">
        <v>24</v>
      </c>
      <c r="H89" s="308" t="n">
        <v>177.685950413223</v>
      </c>
      <c r="I89" s="2"/>
      <c r="J89" s="144" t="s">
        <v>12</v>
      </c>
      <c r="K89" s="309" t="s">
        <v>12</v>
      </c>
      <c r="L89" s="310"/>
      <c r="M89" s="311" t="n">
        <v>29</v>
      </c>
      <c r="N89" s="312" t="n">
        <v>5.2</v>
      </c>
      <c r="O89" s="311" t="n">
        <v>0</v>
      </c>
      <c r="P89" s="312" t="n">
        <v>3.8</v>
      </c>
      <c r="Q89" s="310" t="n">
        <v>0</v>
      </c>
      <c r="R89" s="312" t="n">
        <v>2.9</v>
      </c>
      <c r="S89" s="310"/>
      <c r="T89" s="311" t="n">
        <v>0</v>
      </c>
      <c r="U89" s="312" t="n">
        <v>6.2</v>
      </c>
      <c r="V89" s="311" t="n">
        <v>0</v>
      </c>
      <c r="W89" s="312" t="n">
        <v>3.4</v>
      </c>
      <c r="X89" s="311" t="n">
        <v>0</v>
      </c>
      <c r="Y89" s="312" t="n">
        <v>1</v>
      </c>
      <c r="Z89" s="313" t="n">
        <v>0</v>
      </c>
      <c r="AA89" s="314" t="n">
        <v>1</v>
      </c>
      <c r="AB89" s="313" t="n">
        <v>0</v>
      </c>
      <c r="AC89" s="314" t="n">
        <v>1</v>
      </c>
      <c r="AD89" s="315"/>
      <c r="AE89" s="144" t="n">
        <v>77</v>
      </c>
      <c r="AF89" s="315"/>
      <c r="AG89" s="311" t="n">
        <v>0</v>
      </c>
      <c r="AH89" s="309" t="n">
        <v>0</v>
      </c>
      <c r="AI89" s="310"/>
      <c r="AJ89" s="311" t="n">
        <v>101</v>
      </c>
      <c r="AK89" s="309" t="n">
        <v>124.8</v>
      </c>
      <c r="AL89" s="311" t="n">
        <v>164</v>
      </c>
      <c r="AM89" s="309" t="n">
        <v>91.2</v>
      </c>
      <c r="AN89" s="311" t="n">
        <v>185</v>
      </c>
      <c r="AO89" s="309" t="n">
        <v>69.6</v>
      </c>
      <c r="AP89" s="310"/>
      <c r="AQ89" s="311" t="n">
        <v>106</v>
      </c>
      <c r="AR89" s="309" t="n">
        <v>148.8</v>
      </c>
      <c r="AS89" s="311" t="n">
        <v>173</v>
      </c>
      <c r="AT89" s="309" t="n">
        <v>81.6</v>
      </c>
      <c r="AU89" s="311" t="n">
        <v>231</v>
      </c>
      <c r="AV89" s="309" t="n">
        <v>24</v>
      </c>
      <c r="AW89" s="311" t="n">
        <v>231</v>
      </c>
      <c r="AX89" s="309" t="n">
        <v>24</v>
      </c>
      <c r="AY89" s="311" t="n">
        <v>231</v>
      </c>
      <c r="AZ89" s="309" t="n">
        <v>24</v>
      </c>
      <c r="BB89" s="144" t="n">
        <v>0</v>
      </c>
      <c r="BC89" s="315"/>
      <c r="BD89" s="311" t="n">
        <v>0</v>
      </c>
      <c r="BE89" s="316" t="n">
        <v>0</v>
      </c>
      <c r="BF89" s="310"/>
      <c r="BG89" s="317" t="n">
        <v>0</v>
      </c>
      <c r="BH89" s="318" t="n">
        <v>0.2</v>
      </c>
      <c r="BI89" s="317" t="n">
        <v>0</v>
      </c>
      <c r="BJ89" s="318" t="n">
        <v>0.7</v>
      </c>
      <c r="BK89" s="317" t="n">
        <v>0</v>
      </c>
      <c r="BL89" s="318" t="n">
        <v>0.8</v>
      </c>
      <c r="BM89" s="310"/>
      <c r="BN89" s="317" t="n">
        <v>0</v>
      </c>
      <c r="BO89" s="318" t="n">
        <v>0</v>
      </c>
      <c r="BP89" s="317" t="n">
        <v>0</v>
      </c>
      <c r="BQ89" s="318" t="n">
        <v>1.7</v>
      </c>
      <c r="BR89" s="317" t="n">
        <v>0</v>
      </c>
      <c r="BS89" s="318" t="n">
        <v>0</v>
      </c>
      <c r="BT89" s="317" t="n">
        <v>0</v>
      </c>
      <c r="BU89" s="318" t="n">
        <v>0</v>
      </c>
      <c r="BV89" s="317" t="n">
        <v>0</v>
      </c>
      <c r="BW89" s="318" t="n">
        <v>0</v>
      </c>
      <c r="BY89" s="143"/>
      <c r="BZ89" s="315"/>
      <c r="CA89" s="144" t="s">
        <v>12</v>
      </c>
      <c r="CB89" s="315"/>
      <c r="CC89" s="144" t="n">
        <v>-23.8859504132231</v>
      </c>
      <c r="CD89" s="144" t="n">
        <v>-86.4859504132231</v>
      </c>
      <c r="CE89" s="144" t="n">
        <v>-108.085950413223</v>
      </c>
      <c r="CF89" s="315"/>
      <c r="CG89" s="144" t="n">
        <v>-28.8859504132231</v>
      </c>
      <c r="CH89" s="144" t="n">
        <v>-96.0859504132231</v>
      </c>
      <c r="CI89" s="144" t="n">
        <v>-153.685950413223</v>
      </c>
      <c r="CJ89" s="144" t="n">
        <v>-153.685950413223</v>
      </c>
      <c r="CK89" s="144" t="n">
        <v>-153.685950413223</v>
      </c>
      <c r="CM89" s="144" t="n">
        <v>205.785123966942</v>
      </c>
      <c r="CO89" s="319"/>
      <c r="CP89" s="320"/>
      <c r="CQ89" s="321" t="s">
        <v>12</v>
      </c>
      <c r="CR89" s="320"/>
      <c r="CS89" s="322" t="n">
        <v>-51.9851239669422</v>
      </c>
      <c r="CT89" s="322" t="n">
        <v>-114.585123966942</v>
      </c>
      <c r="CU89" s="322" t="n">
        <v>-136.185123966942</v>
      </c>
      <c r="CV89" s="323"/>
      <c r="CW89" s="322" t="n">
        <v>-56.9851239669422</v>
      </c>
      <c r="CX89" s="322" t="n">
        <v>-124.185123966942</v>
      </c>
      <c r="CY89" s="322" t="n">
        <v>-181.785123966942</v>
      </c>
      <c r="CZ89" s="322" t="n">
        <v>-181.785123966942</v>
      </c>
      <c r="DA89" s="322" t="n">
        <v>-181.785123966942</v>
      </c>
    </row>
    <row r="90" customFormat="false" ht="12.75" hidden="false" customHeight="false" outlineLevel="0" collapsed="false">
      <c r="B90" s="305" t="s">
        <v>211</v>
      </c>
      <c r="C90" s="305" t="s">
        <v>461</v>
      </c>
      <c r="D90" s="306" t="n">
        <v>255</v>
      </c>
      <c r="E90" s="306" t="n">
        <v>3.25</v>
      </c>
      <c r="F90" s="324" t="s">
        <v>432</v>
      </c>
      <c r="G90" s="144" t="n">
        <v>48</v>
      </c>
      <c r="H90" s="325" t="n">
        <v>177.685950413223</v>
      </c>
      <c r="I90" s="2"/>
      <c r="J90" s="144" t="s">
        <v>12</v>
      </c>
      <c r="K90" s="309" t="s">
        <v>12</v>
      </c>
      <c r="L90" s="310"/>
      <c r="M90" s="311" t="n">
        <v>29</v>
      </c>
      <c r="N90" s="312" t="n">
        <v>2.6</v>
      </c>
      <c r="O90" s="311" t="n">
        <v>0</v>
      </c>
      <c r="P90" s="312" t="n">
        <v>1.9</v>
      </c>
      <c r="Q90" s="310" t="n">
        <v>0</v>
      </c>
      <c r="R90" s="312" t="n">
        <v>1.5</v>
      </c>
      <c r="S90" s="310"/>
      <c r="T90" s="311" t="n">
        <v>0</v>
      </c>
      <c r="U90" s="312" t="n">
        <v>3.1</v>
      </c>
      <c r="V90" s="311" t="n">
        <v>0</v>
      </c>
      <c r="W90" s="312" t="n">
        <v>1.7</v>
      </c>
      <c r="X90" s="311" t="n">
        <v>0</v>
      </c>
      <c r="Y90" s="312" t="n">
        <v>0.5</v>
      </c>
      <c r="Z90" s="313" t="n">
        <v>0</v>
      </c>
      <c r="AA90" s="314" t="n">
        <v>0.5</v>
      </c>
      <c r="AB90" s="313" t="n">
        <v>0</v>
      </c>
      <c r="AC90" s="314" t="n">
        <v>0.5</v>
      </c>
      <c r="AD90" s="315"/>
      <c r="AE90" s="144" t="n">
        <v>77</v>
      </c>
      <c r="AF90" s="315"/>
      <c r="AG90" s="311" t="n">
        <v>0</v>
      </c>
      <c r="AH90" s="309" t="n">
        <v>0</v>
      </c>
      <c r="AI90" s="310"/>
      <c r="AJ90" s="311" t="n">
        <v>101</v>
      </c>
      <c r="AK90" s="309" t="n">
        <v>124.8</v>
      </c>
      <c r="AL90" s="311" t="n">
        <v>164</v>
      </c>
      <c r="AM90" s="309" t="n">
        <v>91.2</v>
      </c>
      <c r="AN90" s="310" t="n">
        <v>183</v>
      </c>
      <c r="AO90" s="309" t="n">
        <v>72</v>
      </c>
      <c r="AP90" s="310"/>
      <c r="AQ90" s="311" t="n">
        <v>106</v>
      </c>
      <c r="AR90" s="309" t="n">
        <v>148.8</v>
      </c>
      <c r="AS90" s="311" t="n">
        <v>173</v>
      </c>
      <c r="AT90" s="309" t="n">
        <v>81.6</v>
      </c>
      <c r="AU90" s="310" t="n">
        <v>231</v>
      </c>
      <c r="AV90" s="309" t="n">
        <v>24</v>
      </c>
      <c r="AW90" s="310" t="n">
        <v>231</v>
      </c>
      <c r="AX90" s="309" t="n">
        <v>24</v>
      </c>
      <c r="AY90" s="310" t="n">
        <v>231</v>
      </c>
      <c r="AZ90" s="309" t="n">
        <v>24</v>
      </c>
      <c r="BB90" s="144" t="n">
        <v>0</v>
      </c>
      <c r="BC90" s="315"/>
      <c r="BD90" s="311" t="n">
        <v>0</v>
      </c>
      <c r="BE90" s="316" t="n">
        <v>0</v>
      </c>
      <c r="BF90" s="310"/>
      <c r="BG90" s="317" t="n">
        <v>0</v>
      </c>
      <c r="BH90" s="318" t="n">
        <v>0</v>
      </c>
      <c r="BI90" s="317" t="n">
        <v>0</v>
      </c>
      <c r="BJ90" s="318" t="n">
        <v>0</v>
      </c>
      <c r="BK90" s="317" t="n">
        <v>0</v>
      </c>
      <c r="BL90" s="318" t="n">
        <v>0</v>
      </c>
      <c r="BM90" s="310"/>
      <c r="BN90" s="317" t="n">
        <v>0</v>
      </c>
      <c r="BO90" s="318" t="n">
        <v>0</v>
      </c>
      <c r="BP90" s="317" t="n">
        <v>0</v>
      </c>
      <c r="BQ90" s="318" t="n">
        <v>0</v>
      </c>
      <c r="BR90" s="317" t="n">
        <v>0</v>
      </c>
      <c r="BS90" s="318" t="n">
        <v>0</v>
      </c>
      <c r="BT90" s="317" t="n">
        <v>0</v>
      </c>
      <c r="BU90" s="318" t="n">
        <v>0</v>
      </c>
      <c r="BV90" s="317" t="n">
        <v>0</v>
      </c>
      <c r="BW90" s="318" t="n">
        <v>0</v>
      </c>
      <c r="BY90" s="143"/>
      <c r="BZ90" s="315"/>
      <c r="CA90" s="144" t="s">
        <v>12</v>
      </c>
      <c r="CB90" s="315"/>
      <c r="CC90" s="144" t="n">
        <v>-23.8859504132231</v>
      </c>
      <c r="CD90" s="144" t="n">
        <v>-86.4859504132231</v>
      </c>
      <c r="CE90" s="144" t="n">
        <v>-105.685950413223</v>
      </c>
      <c r="CF90" s="315"/>
      <c r="CG90" s="144" t="n">
        <v>-28.8859504132231</v>
      </c>
      <c r="CH90" s="144" t="n">
        <v>-96.0859504132231</v>
      </c>
      <c r="CI90" s="144" t="n">
        <v>-153.685950413223</v>
      </c>
      <c r="CJ90" s="144" t="n">
        <v>-153.685950413223</v>
      </c>
      <c r="CK90" s="144" t="n">
        <v>-153.685950413223</v>
      </c>
      <c r="CM90" s="144" t="n">
        <v>205.785123966942</v>
      </c>
      <c r="CO90" s="319"/>
      <c r="CP90" s="320"/>
      <c r="CQ90" s="321" t="s">
        <v>12</v>
      </c>
      <c r="CR90" s="320"/>
      <c r="CS90" s="322" t="n">
        <v>-51.9851239669422</v>
      </c>
      <c r="CT90" s="322" t="n">
        <v>-114.585123966942</v>
      </c>
      <c r="CU90" s="322" t="n">
        <v>-133.785123966942</v>
      </c>
      <c r="CV90" s="323"/>
      <c r="CW90" s="322" t="n">
        <v>-56.9851239669422</v>
      </c>
      <c r="CX90" s="322" t="n">
        <v>-124.185123966942</v>
      </c>
      <c r="CY90" s="322" t="n">
        <v>-181.785123966942</v>
      </c>
      <c r="CZ90" s="322" t="n">
        <v>-181.785123966942</v>
      </c>
      <c r="DA90" s="322" t="n">
        <v>-181.785123966942</v>
      </c>
    </row>
    <row r="91" customFormat="false" ht="12.75" hidden="false" customHeight="false" outlineLevel="0" collapsed="false">
      <c r="B91" s="305" t="s">
        <v>211</v>
      </c>
      <c r="C91" s="305" t="s">
        <v>462</v>
      </c>
      <c r="D91" s="306" t="n">
        <v>353</v>
      </c>
      <c r="E91" s="306" t="n">
        <v>3.25</v>
      </c>
      <c r="F91" s="306" t="s">
        <v>432</v>
      </c>
      <c r="G91" s="307" t="n">
        <v>24</v>
      </c>
      <c r="H91" s="308" t="n">
        <v>312.396694214876</v>
      </c>
      <c r="I91" s="2"/>
      <c r="J91" s="144" t="s">
        <v>12</v>
      </c>
      <c r="K91" s="309" t="s">
        <v>12</v>
      </c>
      <c r="L91" s="310"/>
      <c r="M91" s="311" t="n">
        <v>99</v>
      </c>
      <c r="N91" s="312" t="n">
        <v>6.2</v>
      </c>
      <c r="O91" s="311" t="n">
        <v>19</v>
      </c>
      <c r="P91" s="312" t="n">
        <v>7.3</v>
      </c>
      <c r="Q91" s="310" t="n">
        <v>19</v>
      </c>
      <c r="R91" s="312" t="n">
        <v>6.5</v>
      </c>
      <c r="S91" s="310"/>
      <c r="T91" s="311" t="n">
        <v>0</v>
      </c>
      <c r="U91" s="312" t="n">
        <v>10.4</v>
      </c>
      <c r="V91" s="311" t="n">
        <v>0</v>
      </c>
      <c r="W91" s="312" t="n">
        <v>6.7</v>
      </c>
      <c r="X91" s="311" t="n">
        <v>0</v>
      </c>
      <c r="Y91" s="312" t="n">
        <v>2</v>
      </c>
      <c r="Z91" s="313" t="n">
        <v>0</v>
      </c>
      <c r="AA91" s="314" t="n">
        <v>2</v>
      </c>
      <c r="AB91" s="313" t="n">
        <v>0</v>
      </c>
      <c r="AC91" s="314" t="n">
        <v>2</v>
      </c>
      <c r="AD91" s="315"/>
      <c r="AE91" s="144" t="n">
        <v>41</v>
      </c>
      <c r="AF91" s="315"/>
      <c r="AG91" s="311" t="n">
        <v>0</v>
      </c>
      <c r="AH91" s="309" t="n">
        <v>0</v>
      </c>
      <c r="AI91" s="310"/>
      <c r="AJ91" s="311" t="n">
        <v>105</v>
      </c>
      <c r="AK91" s="309" t="n">
        <v>148.8</v>
      </c>
      <c r="AL91" s="311" t="n">
        <v>159</v>
      </c>
      <c r="AM91" s="309" t="n">
        <v>175.2</v>
      </c>
      <c r="AN91" s="311" t="n">
        <v>178</v>
      </c>
      <c r="AO91" s="309" t="n">
        <v>156</v>
      </c>
      <c r="AP91" s="310"/>
      <c r="AQ91" s="311" t="n">
        <v>103</v>
      </c>
      <c r="AR91" s="309" t="n">
        <v>249.6</v>
      </c>
      <c r="AS91" s="311" t="n">
        <v>192</v>
      </c>
      <c r="AT91" s="309" t="n">
        <v>160.8</v>
      </c>
      <c r="AU91" s="311" t="n">
        <v>305</v>
      </c>
      <c r="AV91" s="309" t="n">
        <v>48</v>
      </c>
      <c r="AW91" s="311" t="n">
        <v>305</v>
      </c>
      <c r="AX91" s="309" t="n">
        <v>48</v>
      </c>
      <c r="AY91" s="311" t="n">
        <v>305</v>
      </c>
      <c r="AZ91" s="309" t="n">
        <v>48</v>
      </c>
      <c r="BB91" s="144" t="n">
        <v>0</v>
      </c>
      <c r="BC91" s="315"/>
      <c r="BD91" s="311" t="n">
        <v>0</v>
      </c>
      <c r="BE91" s="316" t="n">
        <v>0</v>
      </c>
      <c r="BF91" s="310"/>
      <c r="BG91" s="317" t="n">
        <v>0</v>
      </c>
      <c r="BH91" s="318" t="n">
        <v>0.2</v>
      </c>
      <c r="BI91" s="317" t="n">
        <v>0</v>
      </c>
      <c r="BJ91" s="318" t="n">
        <v>0.600000000000001</v>
      </c>
      <c r="BK91" s="317" t="n">
        <v>0</v>
      </c>
      <c r="BL91" s="318" t="n">
        <v>0.699999999999999</v>
      </c>
      <c r="BM91" s="310"/>
      <c r="BN91" s="317" t="n">
        <v>0</v>
      </c>
      <c r="BO91" s="318" t="n">
        <v>0</v>
      </c>
      <c r="BP91" s="317" t="n">
        <v>0</v>
      </c>
      <c r="BQ91" s="318" t="n">
        <v>1.5</v>
      </c>
      <c r="BR91" s="317" t="n">
        <v>0</v>
      </c>
      <c r="BS91" s="318" t="n">
        <v>0</v>
      </c>
      <c r="BT91" s="317" t="n">
        <v>0</v>
      </c>
      <c r="BU91" s="318" t="n">
        <v>0</v>
      </c>
      <c r="BV91" s="317" t="n">
        <v>0</v>
      </c>
      <c r="BW91" s="318" t="n">
        <v>0</v>
      </c>
      <c r="BY91" s="143"/>
      <c r="BZ91" s="315"/>
      <c r="CA91" s="144" t="s">
        <v>12</v>
      </c>
      <c r="CB91" s="315"/>
      <c r="CC91" s="144" t="n">
        <v>-64.596694214876</v>
      </c>
      <c r="CD91" s="144" t="n">
        <v>-118.196694214876</v>
      </c>
      <c r="CE91" s="144" t="n">
        <v>-137.396694214876</v>
      </c>
      <c r="CF91" s="315"/>
      <c r="CG91" s="144" t="n">
        <v>-62.796694214876</v>
      </c>
      <c r="CH91" s="144" t="n">
        <v>-151.596694214876</v>
      </c>
      <c r="CI91" s="144" t="n">
        <v>-264.396694214876</v>
      </c>
      <c r="CJ91" s="144" t="n">
        <v>-264.396694214876</v>
      </c>
      <c r="CK91" s="144" t="n">
        <v>-264.396694214876</v>
      </c>
      <c r="CM91" s="144" t="n">
        <v>288.429752066116</v>
      </c>
      <c r="CO91" s="319"/>
      <c r="CP91" s="320"/>
      <c r="CQ91" s="321" t="s">
        <v>12</v>
      </c>
      <c r="CR91" s="320"/>
      <c r="CS91" s="322" t="n">
        <v>-40.6297520661157</v>
      </c>
      <c r="CT91" s="322" t="n">
        <v>-94.2297520661157</v>
      </c>
      <c r="CU91" s="322" t="n">
        <v>-113.429752066116</v>
      </c>
      <c r="CV91" s="323"/>
      <c r="CW91" s="322" t="n">
        <v>-38.8297520661157</v>
      </c>
      <c r="CX91" s="322" t="n">
        <v>-127.629752066116</v>
      </c>
      <c r="CY91" s="322" t="n">
        <v>-240.429752066116</v>
      </c>
      <c r="CZ91" s="322" t="n">
        <v>-240.429752066116</v>
      </c>
      <c r="DA91" s="322" t="n">
        <v>-240.429752066116</v>
      </c>
    </row>
    <row r="92" customFormat="false" ht="12.75" hidden="false" customHeight="false" outlineLevel="0" collapsed="false">
      <c r="B92" s="305" t="s">
        <v>211</v>
      </c>
      <c r="C92" s="305" t="s">
        <v>462</v>
      </c>
      <c r="D92" s="306" t="n">
        <v>353</v>
      </c>
      <c r="E92" s="306" t="n">
        <v>3.25</v>
      </c>
      <c r="F92" s="324" t="s">
        <v>432</v>
      </c>
      <c r="G92" s="144" t="n">
        <v>48</v>
      </c>
      <c r="H92" s="325" t="n">
        <v>312.396694214876</v>
      </c>
      <c r="I92" s="2"/>
      <c r="J92" s="144" t="s">
        <v>12</v>
      </c>
      <c r="K92" s="309" t="s">
        <v>12</v>
      </c>
      <c r="L92" s="310"/>
      <c r="M92" s="311" t="n">
        <v>99</v>
      </c>
      <c r="N92" s="312" t="n">
        <v>3.1</v>
      </c>
      <c r="O92" s="311" t="n">
        <v>19</v>
      </c>
      <c r="P92" s="312" t="n">
        <v>3.7</v>
      </c>
      <c r="Q92" s="310" t="n">
        <v>19</v>
      </c>
      <c r="R92" s="312" t="n">
        <v>3.3</v>
      </c>
      <c r="S92" s="310"/>
      <c r="T92" s="311" t="n">
        <v>0</v>
      </c>
      <c r="U92" s="312" t="n">
        <v>5.2</v>
      </c>
      <c r="V92" s="311" t="n">
        <v>0</v>
      </c>
      <c r="W92" s="312" t="n">
        <v>3.4</v>
      </c>
      <c r="X92" s="311" t="n">
        <v>0</v>
      </c>
      <c r="Y92" s="312" t="n">
        <v>1</v>
      </c>
      <c r="Z92" s="313" t="n">
        <v>0</v>
      </c>
      <c r="AA92" s="314" t="n">
        <v>1</v>
      </c>
      <c r="AB92" s="313" t="n">
        <v>0</v>
      </c>
      <c r="AC92" s="314" t="n">
        <v>1</v>
      </c>
      <c r="AD92" s="315"/>
      <c r="AE92" s="144" t="n">
        <v>41</v>
      </c>
      <c r="AF92" s="315"/>
      <c r="AG92" s="311" t="n">
        <v>0</v>
      </c>
      <c r="AH92" s="309" t="n">
        <v>0</v>
      </c>
      <c r="AI92" s="310"/>
      <c r="AJ92" s="311" t="n">
        <v>105</v>
      </c>
      <c r="AK92" s="309" t="n">
        <v>148.8</v>
      </c>
      <c r="AL92" s="311" t="n">
        <v>156</v>
      </c>
      <c r="AM92" s="309" t="n">
        <v>177.6</v>
      </c>
      <c r="AN92" s="310" t="n">
        <v>176</v>
      </c>
      <c r="AO92" s="309" t="n">
        <v>158.4</v>
      </c>
      <c r="AP92" s="310"/>
      <c r="AQ92" s="311" t="n">
        <v>103</v>
      </c>
      <c r="AR92" s="309" t="n">
        <v>249.6</v>
      </c>
      <c r="AS92" s="311" t="n">
        <v>190</v>
      </c>
      <c r="AT92" s="309" t="n">
        <v>163.2</v>
      </c>
      <c r="AU92" s="310" t="n">
        <v>305</v>
      </c>
      <c r="AV92" s="309" t="n">
        <v>48</v>
      </c>
      <c r="AW92" s="310" t="n">
        <v>305</v>
      </c>
      <c r="AX92" s="309" t="n">
        <v>48</v>
      </c>
      <c r="AY92" s="310" t="n">
        <v>305</v>
      </c>
      <c r="AZ92" s="309" t="n">
        <v>48</v>
      </c>
      <c r="BB92" s="144" t="n">
        <v>0</v>
      </c>
      <c r="BC92" s="315"/>
      <c r="BD92" s="311" t="n">
        <v>0</v>
      </c>
      <c r="BE92" s="316" t="n">
        <v>0</v>
      </c>
      <c r="BF92" s="310"/>
      <c r="BG92" s="317" t="n">
        <v>0</v>
      </c>
      <c r="BH92" s="318" t="n">
        <v>0</v>
      </c>
      <c r="BI92" s="317" t="n">
        <v>0</v>
      </c>
      <c r="BJ92" s="318" t="n">
        <v>0</v>
      </c>
      <c r="BK92" s="317" t="n">
        <v>0</v>
      </c>
      <c r="BL92" s="318" t="n">
        <v>0</v>
      </c>
      <c r="BM92" s="310"/>
      <c r="BN92" s="317" t="n">
        <v>0</v>
      </c>
      <c r="BO92" s="318" t="n">
        <v>0</v>
      </c>
      <c r="BP92" s="317" t="n">
        <v>0</v>
      </c>
      <c r="BQ92" s="318" t="n">
        <v>0</v>
      </c>
      <c r="BR92" s="317" t="n">
        <v>0</v>
      </c>
      <c r="BS92" s="318" t="n">
        <v>0</v>
      </c>
      <c r="BT92" s="317" t="n">
        <v>0</v>
      </c>
      <c r="BU92" s="318" t="n">
        <v>0</v>
      </c>
      <c r="BV92" s="317" t="n">
        <v>0</v>
      </c>
      <c r="BW92" s="318" t="n">
        <v>0</v>
      </c>
      <c r="BY92" s="143"/>
      <c r="BZ92" s="315"/>
      <c r="CA92" s="144" t="s">
        <v>12</v>
      </c>
      <c r="CB92" s="315"/>
      <c r="CC92" s="144" t="n">
        <v>-64.596694214876</v>
      </c>
      <c r="CD92" s="144" t="n">
        <v>-115.796694214876</v>
      </c>
      <c r="CE92" s="144" t="n">
        <v>-134.996694214876</v>
      </c>
      <c r="CF92" s="315"/>
      <c r="CG92" s="144" t="n">
        <v>-62.796694214876</v>
      </c>
      <c r="CH92" s="144" t="n">
        <v>-149.196694214876</v>
      </c>
      <c r="CI92" s="144" t="n">
        <v>-264.396694214876</v>
      </c>
      <c r="CJ92" s="144" t="n">
        <v>-264.396694214876</v>
      </c>
      <c r="CK92" s="144" t="n">
        <v>-264.396694214876</v>
      </c>
      <c r="CM92" s="144" t="n">
        <v>288.429752066116</v>
      </c>
      <c r="CO92" s="319"/>
      <c r="CP92" s="320"/>
      <c r="CQ92" s="321" t="s">
        <v>12</v>
      </c>
      <c r="CR92" s="320"/>
      <c r="CS92" s="322" t="n">
        <v>-40.6297520661157</v>
      </c>
      <c r="CT92" s="322" t="n">
        <v>-91.8297520661157</v>
      </c>
      <c r="CU92" s="322" t="n">
        <v>-111.029752066116</v>
      </c>
      <c r="CV92" s="323"/>
      <c r="CW92" s="322" t="n">
        <v>-38.8297520661157</v>
      </c>
      <c r="CX92" s="322" t="n">
        <v>-125.229752066116</v>
      </c>
      <c r="CY92" s="322" t="n">
        <v>-240.429752066116</v>
      </c>
      <c r="CZ92" s="322" t="n">
        <v>-240.429752066116</v>
      </c>
      <c r="DA92" s="322" t="n">
        <v>-240.429752066116</v>
      </c>
    </row>
    <row r="93" customFormat="false" ht="12.75" hidden="false" customHeight="false" outlineLevel="0" collapsed="false">
      <c r="B93" s="305" t="s">
        <v>211</v>
      </c>
      <c r="C93" s="305" t="s">
        <v>463</v>
      </c>
      <c r="D93" s="306" t="n">
        <v>869</v>
      </c>
      <c r="E93" s="306" t="n">
        <v>3.25</v>
      </c>
      <c r="F93" s="306" t="s">
        <v>432</v>
      </c>
      <c r="G93" s="307" t="n">
        <v>24</v>
      </c>
      <c r="H93" s="308" t="n">
        <v>655.371900826446</v>
      </c>
      <c r="I93" s="2"/>
      <c r="J93" s="144" t="s">
        <v>12</v>
      </c>
      <c r="K93" s="309" t="s">
        <v>12</v>
      </c>
      <c r="L93" s="310"/>
      <c r="M93" s="311" t="n">
        <v>289</v>
      </c>
      <c r="N93" s="312" t="n">
        <v>11.6</v>
      </c>
      <c r="O93" s="311" t="n">
        <v>169</v>
      </c>
      <c r="P93" s="312" t="n">
        <v>14.1</v>
      </c>
      <c r="Q93" s="310" t="n">
        <v>169</v>
      </c>
      <c r="R93" s="312" t="n">
        <v>13.3</v>
      </c>
      <c r="S93" s="310"/>
      <c r="T93" s="311" t="n">
        <v>0</v>
      </c>
      <c r="U93" s="312" t="n">
        <v>23.4</v>
      </c>
      <c r="V93" s="311" t="n">
        <v>0</v>
      </c>
      <c r="W93" s="312" t="n">
        <v>18.2</v>
      </c>
      <c r="X93" s="311" t="n">
        <v>0</v>
      </c>
      <c r="Y93" s="312" t="n">
        <v>17</v>
      </c>
      <c r="Z93" s="313" t="n">
        <v>0</v>
      </c>
      <c r="AA93" s="314" t="n">
        <v>17</v>
      </c>
      <c r="AB93" s="313" t="n">
        <v>0</v>
      </c>
      <c r="AC93" s="314" t="n">
        <v>17</v>
      </c>
      <c r="AD93" s="315"/>
      <c r="AE93" s="144" t="n">
        <v>214</v>
      </c>
      <c r="AF93" s="315"/>
      <c r="AG93" s="311" t="n">
        <v>0</v>
      </c>
      <c r="AH93" s="309" t="n">
        <v>0</v>
      </c>
      <c r="AI93" s="310"/>
      <c r="AJ93" s="311" t="n">
        <v>302</v>
      </c>
      <c r="AK93" s="309" t="n">
        <v>278.4</v>
      </c>
      <c r="AL93" s="311" t="n">
        <v>362</v>
      </c>
      <c r="AM93" s="309" t="n">
        <v>338.4</v>
      </c>
      <c r="AN93" s="311" t="n">
        <v>381</v>
      </c>
      <c r="AO93" s="309" t="n">
        <v>319.2</v>
      </c>
      <c r="AP93" s="310"/>
      <c r="AQ93" s="311" t="n">
        <v>307</v>
      </c>
      <c r="AR93" s="309" t="n">
        <v>561.6</v>
      </c>
      <c r="AS93" s="311" t="n">
        <v>432</v>
      </c>
      <c r="AT93" s="309" t="n">
        <v>436.8</v>
      </c>
      <c r="AU93" s="311" t="n">
        <v>461</v>
      </c>
      <c r="AV93" s="309" t="n">
        <v>408</v>
      </c>
      <c r="AW93" s="311" t="n">
        <v>461</v>
      </c>
      <c r="AX93" s="309" t="n">
        <v>408</v>
      </c>
      <c r="AY93" s="311" t="n">
        <v>461</v>
      </c>
      <c r="AZ93" s="309" t="n">
        <v>408</v>
      </c>
      <c r="BB93" s="144" t="n">
        <v>0</v>
      </c>
      <c r="BC93" s="315"/>
      <c r="BD93" s="311" t="n">
        <v>0</v>
      </c>
      <c r="BE93" s="316" t="n">
        <v>0</v>
      </c>
      <c r="BF93" s="310"/>
      <c r="BG93" s="317" t="n">
        <v>0</v>
      </c>
      <c r="BH93" s="318" t="n">
        <v>0.200000000000001</v>
      </c>
      <c r="BI93" s="317" t="n">
        <v>0</v>
      </c>
      <c r="BJ93" s="318" t="n">
        <v>0.800000000000001</v>
      </c>
      <c r="BK93" s="317" t="n">
        <v>0</v>
      </c>
      <c r="BL93" s="318" t="n">
        <v>0.9</v>
      </c>
      <c r="BM93" s="310"/>
      <c r="BN93" s="317" t="n">
        <v>0</v>
      </c>
      <c r="BO93" s="318" t="n">
        <v>0</v>
      </c>
      <c r="BP93" s="317" t="n">
        <v>0</v>
      </c>
      <c r="BQ93" s="318" t="n">
        <v>1.6</v>
      </c>
      <c r="BR93" s="317" t="n">
        <v>0</v>
      </c>
      <c r="BS93" s="318" t="n">
        <v>0.399999999999999</v>
      </c>
      <c r="BT93" s="317" t="n">
        <v>0</v>
      </c>
      <c r="BU93" s="318" t="n">
        <v>0.5</v>
      </c>
      <c r="BV93" s="317" t="n">
        <v>0</v>
      </c>
      <c r="BW93" s="318" t="n">
        <v>0.5</v>
      </c>
      <c r="BY93" s="143"/>
      <c r="BZ93" s="315"/>
      <c r="CA93" s="144" t="s">
        <v>12</v>
      </c>
      <c r="CB93" s="315"/>
      <c r="CC93" s="144" t="n">
        <v>-87.9719008264462</v>
      </c>
      <c r="CD93" s="144" t="n">
        <v>-147.971900826446</v>
      </c>
      <c r="CE93" s="144" t="n">
        <v>-167.171900826446</v>
      </c>
      <c r="CF93" s="315"/>
      <c r="CG93" s="144" t="n">
        <v>-93.7719008264463</v>
      </c>
      <c r="CH93" s="144" t="n">
        <v>-218.571900826446</v>
      </c>
      <c r="CI93" s="144" t="n">
        <v>-247.371900826446</v>
      </c>
      <c r="CJ93" s="144" t="n">
        <v>-247.371900826446</v>
      </c>
      <c r="CK93" s="144" t="n">
        <v>-247.371900826446</v>
      </c>
      <c r="CM93" s="144" t="n">
        <v>742.97520661157</v>
      </c>
      <c r="CO93" s="319"/>
      <c r="CP93" s="320"/>
      <c r="CQ93" s="321" t="s">
        <v>12</v>
      </c>
      <c r="CR93" s="320"/>
      <c r="CS93" s="322" t="n">
        <v>-175.57520661157</v>
      </c>
      <c r="CT93" s="322" t="n">
        <v>-235.57520661157</v>
      </c>
      <c r="CU93" s="322" t="n">
        <v>-254.77520661157</v>
      </c>
      <c r="CV93" s="323"/>
      <c r="CW93" s="322" t="n">
        <v>-181.37520661157</v>
      </c>
      <c r="CX93" s="322" t="n">
        <v>-306.17520661157</v>
      </c>
      <c r="CY93" s="322" t="n">
        <v>-334.97520661157</v>
      </c>
      <c r="CZ93" s="322" t="n">
        <v>-334.97520661157</v>
      </c>
      <c r="DA93" s="322" t="n">
        <v>-334.97520661157</v>
      </c>
    </row>
    <row r="94" customFormat="false" ht="12.75" hidden="false" customHeight="false" outlineLevel="0" collapsed="false">
      <c r="B94" s="305" t="s">
        <v>211</v>
      </c>
      <c r="C94" s="305" t="s">
        <v>463</v>
      </c>
      <c r="D94" s="306" t="n">
        <v>869</v>
      </c>
      <c r="E94" s="306" t="n">
        <v>3.25</v>
      </c>
      <c r="F94" s="324" t="s">
        <v>432</v>
      </c>
      <c r="G94" s="144" t="n">
        <v>48</v>
      </c>
      <c r="H94" s="325" t="n">
        <v>655.371900826446</v>
      </c>
      <c r="I94" s="2"/>
      <c r="J94" s="144" t="s">
        <v>12</v>
      </c>
      <c r="K94" s="309" t="s">
        <v>12</v>
      </c>
      <c r="L94" s="310"/>
      <c r="M94" s="311" t="n">
        <v>289</v>
      </c>
      <c r="N94" s="312" t="n">
        <v>5.8</v>
      </c>
      <c r="O94" s="311" t="n">
        <v>169</v>
      </c>
      <c r="P94" s="312" t="n">
        <v>7.1</v>
      </c>
      <c r="Q94" s="310" t="n">
        <v>169</v>
      </c>
      <c r="R94" s="312" t="n">
        <v>6.7</v>
      </c>
      <c r="S94" s="310"/>
      <c r="T94" s="311" t="n">
        <v>0</v>
      </c>
      <c r="U94" s="312" t="n">
        <v>11.7</v>
      </c>
      <c r="V94" s="311" t="n">
        <v>0</v>
      </c>
      <c r="W94" s="312" t="n">
        <v>9.1</v>
      </c>
      <c r="X94" s="311" t="n">
        <v>0</v>
      </c>
      <c r="Y94" s="312" t="n">
        <v>8.5</v>
      </c>
      <c r="Z94" s="313" t="n">
        <v>0</v>
      </c>
      <c r="AA94" s="314" t="n">
        <v>8.5</v>
      </c>
      <c r="AB94" s="313" t="n">
        <v>0</v>
      </c>
      <c r="AC94" s="314" t="n">
        <v>8.5</v>
      </c>
      <c r="AD94" s="315"/>
      <c r="AE94" s="144" t="n">
        <v>214</v>
      </c>
      <c r="AF94" s="315"/>
      <c r="AG94" s="311" t="n">
        <v>0</v>
      </c>
      <c r="AH94" s="309" t="n">
        <v>0</v>
      </c>
      <c r="AI94" s="310"/>
      <c r="AJ94" s="311" t="n">
        <v>302</v>
      </c>
      <c r="AK94" s="309" t="n">
        <v>278.4</v>
      </c>
      <c r="AL94" s="311" t="n">
        <v>359</v>
      </c>
      <c r="AM94" s="309" t="n">
        <v>340.8</v>
      </c>
      <c r="AN94" s="310" t="n">
        <v>378</v>
      </c>
      <c r="AO94" s="309" t="n">
        <v>321.6</v>
      </c>
      <c r="AP94" s="310"/>
      <c r="AQ94" s="311" t="n">
        <v>307</v>
      </c>
      <c r="AR94" s="309" t="n">
        <v>561.6</v>
      </c>
      <c r="AS94" s="311" t="n">
        <v>432</v>
      </c>
      <c r="AT94" s="309" t="n">
        <v>436.8</v>
      </c>
      <c r="AU94" s="310" t="n">
        <v>461</v>
      </c>
      <c r="AV94" s="309" t="n">
        <v>408</v>
      </c>
      <c r="AW94" s="310" t="n">
        <v>461</v>
      </c>
      <c r="AX94" s="309" t="n">
        <v>408</v>
      </c>
      <c r="AY94" s="310" t="n">
        <v>461</v>
      </c>
      <c r="AZ94" s="309" t="n">
        <v>408</v>
      </c>
      <c r="BB94" s="144" t="n">
        <v>0</v>
      </c>
      <c r="BC94" s="315"/>
      <c r="BD94" s="311" t="n">
        <v>0</v>
      </c>
      <c r="BE94" s="316" t="n">
        <v>0</v>
      </c>
      <c r="BF94" s="310"/>
      <c r="BG94" s="317" t="n">
        <v>0</v>
      </c>
      <c r="BH94" s="318" t="n">
        <v>0</v>
      </c>
      <c r="BI94" s="317" t="n">
        <v>0</v>
      </c>
      <c r="BJ94" s="318" t="n">
        <v>0</v>
      </c>
      <c r="BK94" s="317" t="n">
        <v>0</v>
      </c>
      <c r="BL94" s="318" t="n">
        <v>0</v>
      </c>
      <c r="BM94" s="310"/>
      <c r="BN94" s="317" t="n">
        <v>0</v>
      </c>
      <c r="BO94" s="318" t="n">
        <v>0</v>
      </c>
      <c r="BP94" s="317" t="n">
        <v>0</v>
      </c>
      <c r="BQ94" s="318" t="n">
        <v>0</v>
      </c>
      <c r="BR94" s="317" t="n">
        <v>0</v>
      </c>
      <c r="BS94" s="318" t="n">
        <v>0</v>
      </c>
      <c r="BT94" s="317" t="n">
        <v>0</v>
      </c>
      <c r="BU94" s="318" t="n">
        <v>0</v>
      </c>
      <c r="BV94" s="317" t="n">
        <v>0</v>
      </c>
      <c r="BW94" s="318" t="n">
        <v>0</v>
      </c>
      <c r="BY94" s="143"/>
      <c r="BZ94" s="315"/>
      <c r="CA94" s="144" t="s">
        <v>12</v>
      </c>
      <c r="CB94" s="315"/>
      <c r="CC94" s="144" t="n">
        <v>-87.9719008264462</v>
      </c>
      <c r="CD94" s="144" t="n">
        <v>-145.571900826446</v>
      </c>
      <c r="CE94" s="144" t="n">
        <v>-164.771900826446</v>
      </c>
      <c r="CF94" s="315"/>
      <c r="CG94" s="144" t="n">
        <v>-93.7719008264463</v>
      </c>
      <c r="CH94" s="144" t="n">
        <v>-218.571900826446</v>
      </c>
      <c r="CI94" s="144" t="n">
        <v>-247.371900826446</v>
      </c>
      <c r="CJ94" s="144" t="n">
        <v>-247.371900826446</v>
      </c>
      <c r="CK94" s="144" t="n">
        <v>-247.371900826446</v>
      </c>
      <c r="CM94" s="144" t="n">
        <v>742.97520661157</v>
      </c>
      <c r="CO94" s="319"/>
      <c r="CP94" s="320"/>
      <c r="CQ94" s="321" t="s">
        <v>12</v>
      </c>
      <c r="CR94" s="320"/>
      <c r="CS94" s="322" t="n">
        <v>-175.57520661157</v>
      </c>
      <c r="CT94" s="322" t="n">
        <v>-233.17520661157</v>
      </c>
      <c r="CU94" s="322" t="n">
        <v>-252.37520661157</v>
      </c>
      <c r="CV94" s="323"/>
      <c r="CW94" s="322" t="n">
        <v>-181.37520661157</v>
      </c>
      <c r="CX94" s="322" t="n">
        <v>-306.17520661157</v>
      </c>
      <c r="CY94" s="322" t="n">
        <v>-334.97520661157</v>
      </c>
      <c r="CZ94" s="322" t="n">
        <v>-334.97520661157</v>
      </c>
      <c r="DA94" s="322" t="n">
        <v>-334.97520661157</v>
      </c>
    </row>
    <row r="95" customFormat="false" ht="12.75" hidden="false" customHeight="false" outlineLevel="0" collapsed="false">
      <c r="B95" s="305" t="s">
        <v>211</v>
      </c>
      <c r="C95" s="326" t="s">
        <v>464</v>
      </c>
      <c r="D95" s="306" t="n">
        <v>481</v>
      </c>
      <c r="E95" s="306" t="n">
        <v>3.25</v>
      </c>
      <c r="F95" s="306" t="s">
        <v>432</v>
      </c>
      <c r="G95" s="307" t="n">
        <v>24</v>
      </c>
      <c r="H95" s="308" t="n">
        <v>350.413223140496</v>
      </c>
      <c r="I95" s="2"/>
      <c r="J95" s="144" t="s">
        <v>12</v>
      </c>
      <c r="K95" s="309" t="s">
        <v>12</v>
      </c>
      <c r="L95" s="310"/>
      <c r="M95" s="311" t="n">
        <v>99</v>
      </c>
      <c r="N95" s="312" t="n">
        <v>10</v>
      </c>
      <c r="O95" s="311" t="n">
        <v>19</v>
      </c>
      <c r="P95" s="312" t="n">
        <v>11</v>
      </c>
      <c r="Q95" s="310" t="n">
        <v>19</v>
      </c>
      <c r="R95" s="312" t="n">
        <v>11</v>
      </c>
      <c r="S95" s="310"/>
      <c r="T95" s="311" t="n">
        <v>0</v>
      </c>
      <c r="U95" s="312" t="n">
        <v>16.8</v>
      </c>
      <c r="V95" s="311" t="n">
        <v>0</v>
      </c>
      <c r="W95" s="312" t="n">
        <v>16</v>
      </c>
      <c r="X95" s="311" t="n">
        <v>0</v>
      </c>
      <c r="Y95" s="312" t="n">
        <v>3.5</v>
      </c>
      <c r="Z95" s="313" t="n">
        <v>0</v>
      </c>
      <c r="AA95" s="314" t="n">
        <v>3.5</v>
      </c>
      <c r="AB95" s="313" t="n">
        <v>0</v>
      </c>
      <c r="AC95" s="314" t="n">
        <v>3.5</v>
      </c>
      <c r="AD95" s="315"/>
      <c r="AE95" s="144" t="n">
        <v>131</v>
      </c>
      <c r="AF95" s="315"/>
      <c r="AG95" s="311" t="n">
        <v>0</v>
      </c>
      <c r="AH95" s="309" t="n">
        <v>0</v>
      </c>
      <c r="AI95" s="310"/>
      <c r="AJ95" s="311" t="n">
        <v>142</v>
      </c>
      <c r="AK95" s="309" t="n">
        <v>240</v>
      </c>
      <c r="AL95" s="311" t="n">
        <v>198</v>
      </c>
      <c r="AM95" s="309" t="n">
        <v>264</v>
      </c>
      <c r="AN95" s="311" t="n">
        <v>198</v>
      </c>
      <c r="AO95" s="309" t="n">
        <v>264</v>
      </c>
      <c r="AP95" s="310"/>
      <c r="AQ95" s="311" t="n">
        <v>78</v>
      </c>
      <c r="AR95" s="309" t="n">
        <v>403.2</v>
      </c>
      <c r="AS95" s="311" t="n">
        <v>97</v>
      </c>
      <c r="AT95" s="309" t="n">
        <v>384</v>
      </c>
      <c r="AU95" s="311" t="n">
        <v>397</v>
      </c>
      <c r="AV95" s="309" t="n">
        <v>84</v>
      </c>
      <c r="AW95" s="311" t="n">
        <v>397</v>
      </c>
      <c r="AX95" s="309" t="n">
        <v>84</v>
      </c>
      <c r="AY95" s="311" t="n">
        <v>397</v>
      </c>
      <c r="AZ95" s="309" t="n">
        <v>84</v>
      </c>
      <c r="BB95" s="144" t="n">
        <v>0</v>
      </c>
      <c r="BC95" s="315"/>
      <c r="BD95" s="311" t="n">
        <v>0</v>
      </c>
      <c r="BE95" s="316" t="n">
        <v>0</v>
      </c>
      <c r="BF95" s="310"/>
      <c r="BG95" s="317" t="n">
        <v>0</v>
      </c>
      <c r="BH95" s="318" t="n">
        <v>0</v>
      </c>
      <c r="BI95" s="317" t="n">
        <v>0</v>
      </c>
      <c r="BJ95" s="318" t="n">
        <v>0</v>
      </c>
      <c r="BK95" s="317" t="n">
        <v>0</v>
      </c>
      <c r="BL95" s="318" t="n">
        <v>0</v>
      </c>
      <c r="BM95" s="310"/>
      <c r="BN95" s="317" t="n">
        <v>0</v>
      </c>
      <c r="BO95" s="318" t="n">
        <v>0</v>
      </c>
      <c r="BP95" s="317" t="n">
        <v>0</v>
      </c>
      <c r="BQ95" s="318" t="n">
        <v>0</v>
      </c>
      <c r="BR95" s="317" t="n">
        <v>0</v>
      </c>
      <c r="BS95" s="318" t="n">
        <v>0</v>
      </c>
      <c r="BT95" s="317" t="n">
        <v>0</v>
      </c>
      <c r="BU95" s="318" t="n">
        <v>0</v>
      </c>
      <c r="BV95" s="317" t="n">
        <v>0</v>
      </c>
      <c r="BW95" s="318" t="n">
        <v>0</v>
      </c>
      <c r="BY95" s="143"/>
      <c r="BZ95" s="315"/>
      <c r="CA95" s="144"/>
      <c r="CB95" s="315"/>
      <c r="CC95" s="144" t="n">
        <v>-11.4132231404959</v>
      </c>
      <c r="CD95" s="144" t="n">
        <v>-67.4132231404959</v>
      </c>
      <c r="CE95" s="144" t="n">
        <v>-67.4132231404959</v>
      </c>
      <c r="CF95" s="315"/>
      <c r="CG95" s="144" t="n">
        <v>52.7867768595042</v>
      </c>
      <c r="CH95" s="144" t="n">
        <v>33.5867768595041</v>
      </c>
      <c r="CI95" s="144" t="n">
        <v>-266.413223140496</v>
      </c>
      <c r="CJ95" s="144" t="n">
        <v>-266.413223140496</v>
      </c>
      <c r="CK95" s="144" t="n">
        <v>-266.413223140496</v>
      </c>
      <c r="CM95" s="144" t="n">
        <v>412.396694214876</v>
      </c>
      <c r="CO95" s="319"/>
      <c r="CP95" s="320"/>
      <c r="CQ95" s="321"/>
      <c r="CR95" s="320"/>
      <c r="CS95" s="322" t="n">
        <v>-73.396694214876</v>
      </c>
      <c r="CT95" s="322" t="n">
        <v>-129.396694214876</v>
      </c>
      <c r="CU95" s="322" t="n">
        <v>-129.396694214876</v>
      </c>
      <c r="CV95" s="323"/>
      <c r="CW95" s="322" t="n">
        <v>-9.196694214876</v>
      </c>
      <c r="CX95" s="322" t="n">
        <v>-28.396694214876</v>
      </c>
      <c r="CY95" s="322" t="n">
        <v>-328.396694214876</v>
      </c>
      <c r="CZ95" s="322" t="n">
        <v>-328.396694214876</v>
      </c>
      <c r="DA95" s="322" t="n">
        <v>-328.396694214876</v>
      </c>
    </row>
    <row r="96" customFormat="false" ht="12.75" hidden="false" customHeight="false" outlineLevel="0" collapsed="false">
      <c r="B96" s="305" t="s">
        <v>211</v>
      </c>
      <c r="C96" s="326" t="s">
        <v>464</v>
      </c>
      <c r="D96" s="306" t="n">
        <v>481</v>
      </c>
      <c r="E96" s="306" t="n">
        <v>3.25</v>
      </c>
      <c r="F96" s="306" t="s">
        <v>432</v>
      </c>
      <c r="G96" s="307" t="n">
        <v>48</v>
      </c>
      <c r="H96" s="308" t="n">
        <v>350.413223140496</v>
      </c>
      <c r="I96" s="2"/>
      <c r="J96" s="144" t="s">
        <v>12</v>
      </c>
      <c r="K96" s="309" t="s">
        <v>12</v>
      </c>
      <c r="L96" s="310"/>
      <c r="M96" s="311" t="n">
        <v>99</v>
      </c>
      <c r="N96" s="312" t="n">
        <v>5</v>
      </c>
      <c r="O96" s="311" t="n">
        <v>19</v>
      </c>
      <c r="P96" s="312" t="n">
        <v>5.5</v>
      </c>
      <c r="Q96" s="310" t="n">
        <v>19</v>
      </c>
      <c r="R96" s="312" t="n">
        <v>5.5</v>
      </c>
      <c r="S96" s="310"/>
      <c r="T96" s="311" t="n">
        <v>0</v>
      </c>
      <c r="U96" s="312" t="n">
        <v>8.4</v>
      </c>
      <c r="V96" s="311" t="n">
        <v>0</v>
      </c>
      <c r="W96" s="312" t="n">
        <v>8</v>
      </c>
      <c r="X96" s="311" t="n">
        <v>0</v>
      </c>
      <c r="Y96" s="312" t="n">
        <v>1.8</v>
      </c>
      <c r="Z96" s="313" t="n">
        <v>0</v>
      </c>
      <c r="AA96" s="314" t="n">
        <v>1.8</v>
      </c>
      <c r="AB96" s="313" t="n">
        <v>0</v>
      </c>
      <c r="AC96" s="314" t="n">
        <v>1.8</v>
      </c>
      <c r="AD96" s="315"/>
      <c r="AE96" s="144" t="n">
        <v>131</v>
      </c>
      <c r="AF96" s="315"/>
      <c r="AG96" s="311" t="n">
        <v>0</v>
      </c>
      <c r="AH96" s="309" t="n">
        <v>0</v>
      </c>
      <c r="AI96" s="310"/>
      <c r="AJ96" s="311" t="n">
        <v>142</v>
      </c>
      <c r="AK96" s="309" t="n">
        <v>240</v>
      </c>
      <c r="AL96" s="311" t="n">
        <v>198</v>
      </c>
      <c r="AM96" s="309" t="n">
        <v>264</v>
      </c>
      <c r="AN96" s="311" t="n">
        <v>198</v>
      </c>
      <c r="AO96" s="309" t="n">
        <v>264</v>
      </c>
      <c r="AP96" s="310"/>
      <c r="AQ96" s="311" t="n">
        <v>78</v>
      </c>
      <c r="AR96" s="309" t="n">
        <v>403.2</v>
      </c>
      <c r="AS96" s="311" t="n">
        <v>97</v>
      </c>
      <c r="AT96" s="309" t="n">
        <v>384</v>
      </c>
      <c r="AU96" s="311" t="n">
        <v>395</v>
      </c>
      <c r="AV96" s="309" t="n">
        <v>86.4</v>
      </c>
      <c r="AW96" s="311" t="n">
        <v>395</v>
      </c>
      <c r="AX96" s="309" t="n">
        <v>86.4</v>
      </c>
      <c r="AY96" s="311" t="n">
        <v>395</v>
      </c>
      <c r="AZ96" s="309" t="n">
        <v>86.4</v>
      </c>
      <c r="BB96" s="144" t="n">
        <v>0</v>
      </c>
      <c r="BC96" s="315"/>
      <c r="BD96" s="311" t="n">
        <v>0</v>
      </c>
      <c r="BE96" s="316" t="n">
        <v>0</v>
      </c>
      <c r="BF96" s="310"/>
      <c r="BG96" s="317" t="n">
        <v>0</v>
      </c>
      <c r="BH96" s="318" t="n">
        <v>0</v>
      </c>
      <c r="BI96" s="317" t="n">
        <v>0</v>
      </c>
      <c r="BJ96" s="318" t="n">
        <v>0</v>
      </c>
      <c r="BK96" s="317" t="n">
        <v>0</v>
      </c>
      <c r="BL96" s="318" t="n">
        <v>0</v>
      </c>
      <c r="BM96" s="310"/>
      <c r="BN96" s="317" t="n">
        <v>0</v>
      </c>
      <c r="BO96" s="318" t="n">
        <v>0</v>
      </c>
      <c r="BP96" s="317" t="n">
        <v>0</v>
      </c>
      <c r="BQ96" s="318" t="n">
        <v>0</v>
      </c>
      <c r="BR96" s="317" t="n">
        <v>0</v>
      </c>
      <c r="BS96" s="318" t="n">
        <v>0</v>
      </c>
      <c r="BT96" s="317" t="n">
        <v>0</v>
      </c>
      <c r="BU96" s="318" t="n">
        <v>0</v>
      </c>
      <c r="BV96" s="317" t="n">
        <v>0</v>
      </c>
      <c r="BW96" s="318" t="n">
        <v>0</v>
      </c>
      <c r="BY96" s="143"/>
      <c r="BZ96" s="315"/>
      <c r="CA96" s="144"/>
      <c r="CB96" s="315"/>
      <c r="CC96" s="144" t="n">
        <v>-11.4132231404959</v>
      </c>
      <c r="CD96" s="144" t="n">
        <v>-67.4132231404959</v>
      </c>
      <c r="CE96" s="144" t="n">
        <v>-67.4132231404959</v>
      </c>
      <c r="CF96" s="315"/>
      <c r="CG96" s="144" t="n">
        <v>52.7867768595042</v>
      </c>
      <c r="CH96" s="144" t="n">
        <v>33.5867768595041</v>
      </c>
      <c r="CI96" s="144" t="n">
        <v>-264.013223140496</v>
      </c>
      <c r="CJ96" s="144" t="n">
        <v>-264.013223140496</v>
      </c>
      <c r="CK96" s="144" t="n">
        <v>-264.013223140496</v>
      </c>
      <c r="CM96" s="144" t="n">
        <v>412.396694214876</v>
      </c>
      <c r="CO96" s="319"/>
      <c r="CP96" s="320"/>
      <c r="CQ96" s="321"/>
      <c r="CR96" s="320"/>
      <c r="CS96" s="322" t="n">
        <v>-73.396694214876</v>
      </c>
      <c r="CT96" s="322" t="n">
        <v>-129.396694214876</v>
      </c>
      <c r="CU96" s="322" t="n">
        <v>-129.396694214876</v>
      </c>
      <c r="CV96" s="323"/>
      <c r="CW96" s="322" t="n">
        <v>-9.196694214876</v>
      </c>
      <c r="CX96" s="322" t="n">
        <v>-28.396694214876</v>
      </c>
      <c r="CY96" s="322" t="n">
        <v>-325.996694214876</v>
      </c>
      <c r="CZ96" s="322" t="n">
        <v>-325.996694214876</v>
      </c>
      <c r="DA96" s="322" t="n">
        <v>-325.996694214876</v>
      </c>
    </row>
    <row r="97" customFormat="false" ht="12.75" hidden="false" customHeight="false" outlineLevel="0" collapsed="false">
      <c r="B97" s="305" t="s">
        <v>465</v>
      </c>
      <c r="C97" s="305" t="s">
        <v>466</v>
      </c>
      <c r="D97" s="306" t="n">
        <v>160</v>
      </c>
      <c r="E97" s="306" t="n">
        <v>3.25</v>
      </c>
      <c r="F97" s="306" t="s">
        <v>432</v>
      </c>
      <c r="G97" s="307" t="n">
        <v>24</v>
      </c>
      <c r="H97" s="308" t="n">
        <v>88.4297520661157</v>
      </c>
      <c r="I97" s="2"/>
      <c r="J97" s="144" t="s">
        <v>12</v>
      </c>
      <c r="K97" s="309" t="s">
        <v>12</v>
      </c>
      <c r="L97" s="310"/>
      <c r="M97" s="311" t="n">
        <v>0</v>
      </c>
      <c r="N97" s="312" t="n">
        <v>1</v>
      </c>
      <c r="O97" s="311" t="n">
        <v>0</v>
      </c>
      <c r="P97" s="312" t="n">
        <v>0</v>
      </c>
      <c r="Q97" s="310" t="n">
        <v>0</v>
      </c>
      <c r="R97" s="312" t="n">
        <v>0</v>
      </c>
      <c r="S97" s="310"/>
      <c r="T97" s="311" t="n">
        <v>0</v>
      </c>
      <c r="U97" s="312" t="n">
        <v>0.9</v>
      </c>
      <c r="V97" s="311" t="n">
        <v>0</v>
      </c>
      <c r="W97" s="312" t="n">
        <v>0.9</v>
      </c>
      <c r="X97" s="311" t="n">
        <v>0</v>
      </c>
      <c r="Y97" s="312" t="n">
        <v>0</v>
      </c>
      <c r="Z97" s="313" t="n">
        <v>0</v>
      </c>
      <c r="AA97" s="314" t="n">
        <v>0</v>
      </c>
      <c r="AB97" s="313" t="n">
        <v>0</v>
      </c>
      <c r="AC97" s="314" t="n">
        <v>0</v>
      </c>
      <c r="AD97" s="315"/>
      <c r="AE97" s="144" t="n">
        <v>72</v>
      </c>
      <c r="AF97" s="315"/>
      <c r="AG97" s="311" t="n">
        <v>0</v>
      </c>
      <c r="AH97" s="309" t="n">
        <v>0</v>
      </c>
      <c r="AI97" s="310"/>
      <c r="AJ97" s="311" t="n">
        <v>136</v>
      </c>
      <c r="AK97" s="309" t="n">
        <v>24</v>
      </c>
      <c r="AL97" s="311" t="n">
        <v>160</v>
      </c>
      <c r="AM97" s="309" t="n">
        <v>0</v>
      </c>
      <c r="AN97" s="311" t="n">
        <v>160</v>
      </c>
      <c r="AO97" s="309" t="n">
        <v>0</v>
      </c>
      <c r="AP97" s="310"/>
      <c r="AQ97" s="311" t="n">
        <v>138</v>
      </c>
      <c r="AR97" s="309" t="n">
        <v>21.6</v>
      </c>
      <c r="AS97" s="311" t="n">
        <v>138</v>
      </c>
      <c r="AT97" s="309" t="n">
        <v>21.6</v>
      </c>
      <c r="AU97" s="311" t="n">
        <v>160</v>
      </c>
      <c r="AV97" s="309" t="n">
        <v>0</v>
      </c>
      <c r="AW97" s="311" t="n">
        <v>160</v>
      </c>
      <c r="AX97" s="309" t="n">
        <v>0</v>
      </c>
      <c r="AY97" s="311" t="n">
        <v>160</v>
      </c>
      <c r="AZ97" s="309" t="n">
        <v>0</v>
      </c>
      <c r="BB97" s="144" t="n">
        <v>0</v>
      </c>
      <c r="BC97" s="315"/>
      <c r="BD97" s="311" t="n">
        <v>0</v>
      </c>
      <c r="BE97" s="316" t="n">
        <v>0</v>
      </c>
      <c r="BF97" s="310"/>
      <c r="BG97" s="317" t="n">
        <v>0</v>
      </c>
      <c r="BH97" s="318" t="n">
        <v>0</v>
      </c>
      <c r="BI97" s="317" t="n">
        <v>0</v>
      </c>
      <c r="BJ97" s="318" t="n">
        <v>0</v>
      </c>
      <c r="BK97" s="317" t="n">
        <v>0</v>
      </c>
      <c r="BL97" s="318" t="n">
        <v>0</v>
      </c>
      <c r="BM97" s="310"/>
      <c r="BN97" s="317" t="n">
        <v>0</v>
      </c>
      <c r="BO97" s="318" t="n">
        <v>0</v>
      </c>
      <c r="BP97" s="317" t="n">
        <v>0</v>
      </c>
      <c r="BQ97" s="318" t="n">
        <v>0.9</v>
      </c>
      <c r="BR97" s="317" t="n">
        <v>0</v>
      </c>
      <c r="BS97" s="318" t="n">
        <v>0</v>
      </c>
      <c r="BT97" s="317" t="n">
        <v>0</v>
      </c>
      <c r="BU97" s="318" t="n">
        <v>0</v>
      </c>
      <c r="BV97" s="317" t="n">
        <v>0</v>
      </c>
      <c r="BW97" s="318" t="n">
        <v>0</v>
      </c>
      <c r="BY97" s="143"/>
      <c r="BZ97" s="315"/>
      <c r="CA97" s="144" t="s">
        <v>12</v>
      </c>
      <c r="CB97" s="315"/>
      <c r="CC97" s="144" t="n">
        <v>-64.4297520661157</v>
      </c>
      <c r="CD97" s="144" t="n">
        <v>-88.4297520661157</v>
      </c>
      <c r="CE97" s="144" t="n">
        <v>-88.4297520661157</v>
      </c>
      <c r="CF97" s="315"/>
      <c r="CG97" s="144" t="n">
        <v>-66.8297520661157</v>
      </c>
      <c r="CH97" s="144" t="n">
        <v>-66.8297520661157</v>
      </c>
      <c r="CI97" s="144" t="n">
        <v>-88.4297520661157</v>
      </c>
      <c r="CJ97" s="144" t="n">
        <v>-88.4297520661157</v>
      </c>
      <c r="CK97" s="144" t="n">
        <v>-88.4297520661157</v>
      </c>
      <c r="CM97" s="144" t="n">
        <v>131.404958677686</v>
      </c>
      <c r="CO97" s="319"/>
      <c r="CP97" s="320"/>
      <c r="CQ97" s="321" t="s">
        <v>12</v>
      </c>
      <c r="CR97" s="320"/>
      <c r="CS97" s="322" t="n">
        <v>-107.404958677686</v>
      </c>
      <c r="CT97" s="322" t="n">
        <v>-131.404958677686</v>
      </c>
      <c r="CU97" s="322" t="n">
        <v>-131.404958677686</v>
      </c>
      <c r="CV97" s="323"/>
      <c r="CW97" s="322" t="n">
        <v>-109.804958677686</v>
      </c>
      <c r="CX97" s="322" t="n">
        <v>-109.804958677686</v>
      </c>
      <c r="CY97" s="322" t="n">
        <v>-131.404958677686</v>
      </c>
      <c r="CZ97" s="322" t="n">
        <v>-131.404958677686</v>
      </c>
      <c r="DA97" s="322" t="n">
        <v>-131.404958677686</v>
      </c>
    </row>
    <row r="98" customFormat="false" ht="12.75" hidden="false" customHeight="false" outlineLevel="0" collapsed="false">
      <c r="B98" s="305" t="s">
        <v>465</v>
      </c>
      <c r="C98" s="305" t="s">
        <v>467</v>
      </c>
      <c r="D98" s="306" t="n">
        <v>176</v>
      </c>
      <c r="E98" s="306" t="n">
        <v>3.25</v>
      </c>
      <c r="F98" s="324" t="s">
        <v>432</v>
      </c>
      <c r="G98" s="144" t="n">
        <v>24</v>
      </c>
      <c r="H98" s="325" t="n">
        <v>157.851239669422</v>
      </c>
      <c r="I98" s="2"/>
      <c r="J98" s="144" t="s">
        <v>12</v>
      </c>
      <c r="K98" s="309" t="s">
        <v>12</v>
      </c>
      <c r="L98" s="310"/>
      <c r="M98" s="311" t="n">
        <v>0</v>
      </c>
      <c r="N98" s="312" t="n">
        <v>2</v>
      </c>
      <c r="O98" s="311" t="n">
        <v>0</v>
      </c>
      <c r="P98" s="312" t="n">
        <v>1.5</v>
      </c>
      <c r="Q98" s="310" t="n">
        <v>0</v>
      </c>
      <c r="R98" s="312" t="n">
        <v>1.1</v>
      </c>
      <c r="S98" s="310"/>
      <c r="T98" s="311" t="n">
        <v>0</v>
      </c>
      <c r="U98" s="312" t="n">
        <v>4.2</v>
      </c>
      <c r="V98" s="311" t="n">
        <v>0</v>
      </c>
      <c r="W98" s="312" t="n">
        <v>2.5</v>
      </c>
      <c r="X98" s="311" t="n">
        <v>0</v>
      </c>
      <c r="Y98" s="312" t="n">
        <v>0.3</v>
      </c>
      <c r="Z98" s="313" t="n">
        <v>0</v>
      </c>
      <c r="AA98" s="314" t="n">
        <v>0.3</v>
      </c>
      <c r="AB98" s="313" t="n">
        <v>0</v>
      </c>
      <c r="AC98" s="314" t="n">
        <v>0.3</v>
      </c>
      <c r="AD98" s="315"/>
      <c r="AE98" s="144" t="n">
        <v>18</v>
      </c>
      <c r="AF98" s="315"/>
      <c r="AG98" s="311" t="n">
        <v>0</v>
      </c>
      <c r="AH98" s="309" t="n">
        <v>0</v>
      </c>
      <c r="AI98" s="310"/>
      <c r="AJ98" s="311" t="n">
        <v>128</v>
      </c>
      <c r="AK98" s="309" t="n">
        <v>48</v>
      </c>
      <c r="AL98" s="311" t="n">
        <v>140</v>
      </c>
      <c r="AM98" s="309" t="n">
        <v>36</v>
      </c>
      <c r="AN98" s="310" t="n">
        <v>150</v>
      </c>
      <c r="AO98" s="309" t="n">
        <v>26.4</v>
      </c>
      <c r="AP98" s="310"/>
      <c r="AQ98" s="311" t="n">
        <v>75</v>
      </c>
      <c r="AR98" s="309" t="n">
        <v>100.8</v>
      </c>
      <c r="AS98" s="311" t="n">
        <v>116</v>
      </c>
      <c r="AT98" s="309" t="n">
        <v>60</v>
      </c>
      <c r="AU98" s="310" t="n">
        <v>169</v>
      </c>
      <c r="AV98" s="309" t="n">
        <v>7.2</v>
      </c>
      <c r="AW98" s="310" t="n">
        <v>169</v>
      </c>
      <c r="AX98" s="309" t="n">
        <v>7.2</v>
      </c>
      <c r="AY98" s="310" t="n">
        <v>169</v>
      </c>
      <c r="AZ98" s="309" t="n">
        <v>7.2</v>
      </c>
      <c r="BB98" s="144" t="n">
        <v>0</v>
      </c>
      <c r="BC98" s="315"/>
      <c r="BD98" s="311" t="n">
        <v>0</v>
      </c>
      <c r="BE98" s="316" t="n">
        <v>0</v>
      </c>
      <c r="BF98" s="310"/>
      <c r="BG98" s="317" t="n">
        <v>0</v>
      </c>
      <c r="BH98" s="318" t="n">
        <v>0</v>
      </c>
      <c r="BI98" s="317" t="n">
        <v>0</v>
      </c>
      <c r="BJ98" s="318" t="n">
        <v>0</v>
      </c>
      <c r="BK98" s="317" t="n">
        <v>0</v>
      </c>
      <c r="BL98" s="318" t="n">
        <v>0.6</v>
      </c>
      <c r="BM98" s="310"/>
      <c r="BN98" s="317" t="n">
        <v>0</v>
      </c>
      <c r="BO98" s="318" t="n">
        <v>0</v>
      </c>
      <c r="BP98" s="317" t="n">
        <v>0</v>
      </c>
      <c r="BQ98" s="318" t="n">
        <v>1.4</v>
      </c>
      <c r="BR98" s="317" t="n">
        <v>0</v>
      </c>
      <c r="BS98" s="318" t="n">
        <v>-0.2</v>
      </c>
      <c r="BT98" s="317" t="n">
        <v>0</v>
      </c>
      <c r="BU98" s="318" t="n">
        <v>-0.2</v>
      </c>
      <c r="BV98" s="317" t="n">
        <v>0</v>
      </c>
      <c r="BW98" s="318" t="n">
        <v>-0.2</v>
      </c>
      <c r="BY98" s="143"/>
      <c r="BZ98" s="315"/>
      <c r="CA98" s="144" t="s">
        <v>12</v>
      </c>
      <c r="CB98" s="315"/>
      <c r="CC98" s="144" t="n">
        <v>-109.851239669422</v>
      </c>
      <c r="CD98" s="144" t="n">
        <v>-121.851239669421</v>
      </c>
      <c r="CE98" s="144" t="n">
        <v>-131.451239669422</v>
      </c>
      <c r="CF98" s="315"/>
      <c r="CG98" s="144" t="n">
        <v>-57.0512396694215</v>
      </c>
      <c r="CH98" s="144" t="n">
        <v>-97.8512396694215</v>
      </c>
      <c r="CI98" s="144" t="n">
        <v>-150.651239669422</v>
      </c>
      <c r="CJ98" s="144" t="n">
        <v>-150.651239669422</v>
      </c>
      <c r="CK98" s="144" t="n">
        <v>-150.651239669422</v>
      </c>
      <c r="CM98" s="144" t="n">
        <v>147.933884297521</v>
      </c>
      <c r="CO98" s="319"/>
      <c r="CP98" s="320"/>
      <c r="CQ98" s="321" t="s">
        <v>12</v>
      </c>
      <c r="CR98" s="320"/>
      <c r="CS98" s="322" t="n">
        <v>-99.9338842975207</v>
      </c>
      <c r="CT98" s="322" t="n">
        <v>-111.933884297521</v>
      </c>
      <c r="CU98" s="322" t="n">
        <v>-121.533884297521</v>
      </c>
      <c r="CV98" s="323"/>
      <c r="CW98" s="322" t="n">
        <v>-47.1338842975207</v>
      </c>
      <c r="CX98" s="322" t="n">
        <v>-87.9338842975207</v>
      </c>
      <c r="CY98" s="322" t="n">
        <v>-140.733884297521</v>
      </c>
      <c r="CZ98" s="322" t="n">
        <v>-140.733884297521</v>
      </c>
      <c r="DA98" s="322" t="n">
        <v>-140.733884297521</v>
      </c>
    </row>
    <row r="99" customFormat="false" ht="12.75" hidden="false" customHeight="false" outlineLevel="0" collapsed="false">
      <c r="B99" s="305" t="s">
        <v>465</v>
      </c>
      <c r="C99" s="305" t="s">
        <v>467</v>
      </c>
      <c r="D99" s="306" t="n">
        <v>176</v>
      </c>
      <c r="E99" s="306" t="n">
        <v>3.25</v>
      </c>
      <c r="F99" s="306" t="s">
        <v>432</v>
      </c>
      <c r="G99" s="307" t="n">
        <v>48</v>
      </c>
      <c r="H99" s="308" t="n">
        <v>157.851239669422</v>
      </c>
      <c r="I99" s="2"/>
      <c r="J99" s="144" t="s">
        <v>12</v>
      </c>
      <c r="K99" s="309" t="s">
        <v>12</v>
      </c>
      <c r="L99" s="310"/>
      <c r="M99" s="311" t="n">
        <v>0</v>
      </c>
      <c r="N99" s="312" t="n">
        <v>1</v>
      </c>
      <c r="O99" s="311" t="n">
        <v>0</v>
      </c>
      <c r="P99" s="312" t="n">
        <v>0.8</v>
      </c>
      <c r="Q99" s="310" t="n">
        <v>0</v>
      </c>
      <c r="R99" s="312" t="n">
        <v>0.6</v>
      </c>
      <c r="S99" s="310"/>
      <c r="T99" s="311" t="n">
        <v>0</v>
      </c>
      <c r="U99" s="312" t="n">
        <v>2.1</v>
      </c>
      <c r="V99" s="311" t="n">
        <v>0</v>
      </c>
      <c r="W99" s="312" t="n">
        <v>1.3</v>
      </c>
      <c r="X99" s="311" t="n">
        <v>0</v>
      </c>
      <c r="Y99" s="312" t="n">
        <v>0.2</v>
      </c>
      <c r="Z99" s="313" t="n">
        <v>0</v>
      </c>
      <c r="AA99" s="314" t="n">
        <v>0.2</v>
      </c>
      <c r="AB99" s="313" t="n">
        <v>0</v>
      </c>
      <c r="AC99" s="314" t="n">
        <v>0.2</v>
      </c>
      <c r="AD99" s="315"/>
      <c r="AE99" s="144" t="n">
        <v>18</v>
      </c>
      <c r="AF99" s="315"/>
      <c r="AG99" s="311" t="n">
        <v>0</v>
      </c>
      <c r="AH99" s="309" t="n">
        <v>0</v>
      </c>
      <c r="AI99" s="310"/>
      <c r="AJ99" s="311" t="n">
        <v>128</v>
      </c>
      <c r="AK99" s="309" t="n">
        <v>48</v>
      </c>
      <c r="AL99" s="311" t="n">
        <v>138</v>
      </c>
      <c r="AM99" s="309" t="n">
        <v>38.4</v>
      </c>
      <c r="AN99" s="311" t="n">
        <v>147</v>
      </c>
      <c r="AO99" s="309" t="n">
        <v>28.8</v>
      </c>
      <c r="AP99" s="310"/>
      <c r="AQ99" s="311" t="n">
        <v>75</v>
      </c>
      <c r="AR99" s="309" t="n">
        <v>100.8</v>
      </c>
      <c r="AS99" s="311" t="n">
        <v>114</v>
      </c>
      <c r="AT99" s="309" t="n">
        <v>62.4</v>
      </c>
      <c r="AU99" s="311" t="n">
        <v>166</v>
      </c>
      <c r="AV99" s="309" t="n">
        <v>9.6</v>
      </c>
      <c r="AW99" s="311" t="n">
        <v>166</v>
      </c>
      <c r="AX99" s="309" t="n">
        <v>9.6</v>
      </c>
      <c r="AY99" s="311" t="n">
        <v>166</v>
      </c>
      <c r="AZ99" s="309" t="n">
        <v>9.6</v>
      </c>
      <c r="BB99" s="144" t="n">
        <v>0</v>
      </c>
      <c r="BC99" s="315"/>
      <c r="BD99" s="311" t="n">
        <v>0</v>
      </c>
      <c r="BE99" s="316" t="n">
        <v>0</v>
      </c>
      <c r="BF99" s="310"/>
      <c r="BG99" s="317" t="n">
        <v>0</v>
      </c>
      <c r="BH99" s="318" t="n">
        <v>0</v>
      </c>
      <c r="BI99" s="317" t="n">
        <v>0</v>
      </c>
      <c r="BJ99" s="318" t="n">
        <v>0</v>
      </c>
      <c r="BK99" s="317" t="n">
        <v>0</v>
      </c>
      <c r="BL99" s="318" t="n">
        <v>0</v>
      </c>
      <c r="BM99" s="310"/>
      <c r="BN99" s="317" t="n">
        <v>0</v>
      </c>
      <c r="BO99" s="318" t="n">
        <v>0</v>
      </c>
      <c r="BP99" s="317" t="n">
        <v>0</v>
      </c>
      <c r="BQ99" s="318" t="n">
        <v>0</v>
      </c>
      <c r="BR99" s="317" t="n">
        <v>0</v>
      </c>
      <c r="BS99" s="318" t="n">
        <v>0</v>
      </c>
      <c r="BT99" s="317" t="n">
        <v>0</v>
      </c>
      <c r="BU99" s="318" t="n">
        <v>0</v>
      </c>
      <c r="BV99" s="317" t="n">
        <v>0</v>
      </c>
      <c r="BW99" s="318" t="n">
        <v>0</v>
      </c>
      <c r="BY99" s="143"/>
      <c r="BZ99" s="315"/>
      <c r="CA99" s="144" t="s">
        <v>12</v>
      </c>
      <c r="CB99" s="315"/>
      <c r="CC99" s="144" t="n">
        <v>-109.851239669422</v>
      </c>
      <c r="CD99" s="144" t="n">
        <v>-119.451239669421</v>
      </c>
      <c r="CE99" s="144" t="n">
        <v>-129.051239669421</v>
      </c>
      <c r="CF99" s="315"/>
      <c r="CG99" s="144" t="n">
        <v>-57.0512396694215</v>
      </c>
      <c r="CH99" s="144" t="n">
        <v>-95.4512396694215</v>
      </c>
      <c r="CI99" s="144" t="n">
        <v>-148.251239669421</v>
      </c>
      <c r="CJ99" s="144" t="n">
        <v>-148.251239669421</v>
      </c>
      <c r="CK99" s="144" t="n">
        <v>-148.251239669421</v>
      </c>
      <c r="CM99" s="144" t="n">
        <v>147.933884297521</v>
      </c>
      <c r="CO99" s="319"/>
      <c r="CP99" s="320"/>
      <c r="CQ99" s="321" t="s">
        <v>12</v>
      </c>
      <c r="CR99" s="320"/>
      <c r="CS99" s="322" t="n">
        <v>-99.9338842975207</v>
      </c>
      <c r="CT99" s="322" t="n">
        <v>-109.533884297521</v>
      </c>
      <c r="CU99" s="322" t="n">
        <v>-119.133884297521</v>
      </c>
      <c r="CV99" s="323"/>
      <c r="CW99" s="322" t="n">
        <v>-47.1338842975207</v>
      </c>
      <c r="CX99" s="322" t="n">
        <v>-85.5338842975207</v>
      </c>
      <c r="CY99" s="322" t="n">
        <v>-138.333884297521</v>
      </c>
      <c r="CZ99" s="322" t="n">
        <v>-138.333884297521</v>
      </c>
      <c r="DA99" s="322" t="n">
        <v>-138.333884297521</v>
      </c>
    </row>
    <row r="100" customFormat="false" ht="12.75" hidden="false" customHeight="false" outlineLevel="0" collapsed="false">
      <c r="B100" s="305" t="s">
        <v>465</v>
      </c>
      <c r="C100" s="305" t="s">
        <v>468</v>
      </c>
      <c r="D100" s="306" t="n">
        <v>245</v>
      </c>
      <c r="E100" s="306" t="n">
        <v>3.25</v>
      </c>
      <c r="F100" s="324" t="s">
        <v>432</v>
      </c>
      <c r="G100" s="144" t="n">
        <v>24</v>
      </c>
      <c r="H100" s="325" t="n">
        <v>188.429752066116</v>
      </c>
      <c r="I100" s="2"/>
      <c r="J100" s="144" t="s">
        <v>12</v>
      </c>
      <c r="K100" s="309" t="s">
        <v>12</v>
      </c>
      <c r="L100" s="310"/>
      <c r="M100" s="311" t="n">
        <v>29</v>
      </c>
      <c r="N100" s="312" t="n">
        <v>3</v>
      </c>
      <c r="O100" s="311" t="n">
        <v>0</v>
      </c>
      <c r="P100" s="312" t="n">
        <v>3</v>
      </c>
      <c r="Q100" s="310" t="n">
        <v>0</v>
      </c>
      <c r="R100" s="312" t="n">
        <v>2.5</v>
      </c>
      <c r="S100" s="310"/>
      <c r="T100" s="311" t="n">
        <v>0</v>
      </c>
      <c r="U100" s="312" t="n">
        <v>6.7</v>
      </c>
      <c r="V100" s="311" t="n">
        <v>0</v>
      </c>
      <c r="W100" s="312" t="n">
        <v>3.4</v>
      </c>
      <c r="X100" s="311" t="n">
        <v>0</v>
      </c>
      <c r="Y100" s="312" t="n">
        <v>2.5</v>
      </c>
      <c r="Z100" s="313" t="n">
        <v>0</v>
      </c>
      <c r="AA100" s="314" t="n">
        <v>2.5</v>
      </c>
      <c r="AB100" s="313" t="n">
        <v>0</v>
      </c>
      <c r="AC100" s="314" t="n">
        <v>2.5</v>
      </c>
      <c r="AD100" s="315"/>
      <c r="AE100" s="144" t="n">
        <v>57</v>
      </c>
      <c r="AF100" s="315"/>
      <c r="AG100" s="311" t="n">
        <v>0</v>
      </c>
      <c r="AH100" s="309" t="n">
        <v>0</v>
      </c>
      <c r="AI100" s="310"/>
      <c r="AJ100" s="311" t="n">
        <v>144</v>
      </c>
      <c r="AK100" s="309" t="n">
        <v>72</v>
      </c>
      <c r="AL100" s="311" t="n">
        <v>173</v>
      </c>
      <c r="AM100" s="309" t="n">
        <v>72</v>
      </c>
      <c r="AN100" s="310" t="n">
        <v>185</v>
      </c>
      <c r="AO100" s="309" t="n">
        <v>60</v>
      </c>
      <c r="AP100" s="310"/>
      <c r="AQ100" s="311" t="n">
        <v>84</v>
      </c>
      <c r="AR100" s="309" t="n">
        <v>160.8</v>
      </c>
      <c r="AS100" s="311" t="n">
        <v>163</v>
      </c>
      <c r="AT100" s="309" t="n">
        <v>81.6</v>
      </c>
      <c r="AU100" s="310" t="n">
        <v>185</v>
      </c>
      <c r="AV100" s="309" t="n">
        <v>60</v>
      </c>
      <c r="AW100" s="310" t="n">
        <v>185</v>
      </c>
      <c r="AX100" s="309" t="n">
        <v>60</v>
      </c>
      <c r="AY100" s="310" t="n">
        <v>185</v>
      </c>
      <c r="AZ100" s="309" t="n">
        <v>60</v>
      </c>
      <c r="BB100" s="144" t="n">
        <v>0</v>
      </c>
      <c r="BC100" s="315"/>
      <c r="BD100" s="311" t="n">
        <v>0</v>
      </c>
      <c r="BE100" s="316" t="n">
        <v>0</v>
      </c>
      <c r="BF100" s="310"/>
      <c r="BG100" s="317" t="n">
        <v>0</v>
      </c>
      <c r="BH100" s="318" t="n">
        <v>0</v>
      </c>
      <c r="BI100" s="317" t="n">
        <v>0</v>
      </c>
      <c r="BJ100" s="318" t="n">
        <v>0</v>
      </c>
      <c r="BK100" s="317" t="n">
        <v>0</v>
      </c>
      <c r="BL100" s="318" t="n">
        <v>0</v>
      </c>
      <c r="BM100" s="310"/>
      <c r="BN100" s="317" t="n">
        <v>0</v>
      </c>
      <c r="BO100" s="318" t="n">
        <v>-0.600000000000001</v>
      </c>
      <c r="BP100" s="317" t="n">
        <v>0</v>
      </c>
      <c r="BQ100" s="318" t="n">
        <v>0.3</v>
      </c>
      <c r="BR100" s="317" t="n">
        <v>0</v>
      </c>
      <c r="BS100" s="318" t="n">
        <v>0.5</v>
      </c>
      <c r="BT100" s="317" t="n">
        <v>0</v>
      </c>
      <c r="BU100" s="318" t="n">
        <v>0.5</v>
      </c>
      <c r="BV100" s="317" t="n">
        <v>0</v>
      </c>
      <c r="BW100" s="318" t="n">
        <v>0.5</v>
      </c>
      <c r="BY100" s="143"/>
      <c r="BZ100" s="315"/>
      <c r="CA100" s="144" t="s">
        <v>12</v>
      </c>
      <c r="CB100" s="315"/>
      <c r="CC100" s="144" t="n">
        <v>-87.4297520661157</v>
      </c>
      <c r="CD100" s="144" t="n">
        <v>-116.429752066116</v>
      </c>
      <c r="CE100" s="144" t="n">
        <v>-128.429752066116</v>
      </c>
      <c r="CF100" s="315"/>
      <c r="CG100" s="144" t="n">
        <v>-27.6297520661157</v>
      </c>
      <c r="CH100" s="144" t="n">
        <v>-106.829752066116</v>
      </c>
      <c r="CI100" s="144" t="n">
        <v>-128.429752066116</v>
      </c>
      <c r="CJ100" s="144" t="n">
        <v>-128.429752066116</v>
      </c>
      <c r="CK100" s="144" t="n">
        <v>-128.429752066116</v>
      </c>
      <c r="CM100" s="144" t="n">
        <v>205.785123966942</v>
      </c>
      <c r="CO100" s="319"/>
      <c r="CP100" s="320"/>
      <c r="CQ100" s="321" t="s">
        <v>12</v>
      </c>
      <c r="CR100" s="320"/>
      <c r="CS100" s="322" t="n">
        <v>-104.785123966942</v>
      </c>
      <c r="CT100" s="322" t="n">
        <v>-133.785123966942</v>
      </c>
      <c r="CU100" s="322" t="n">
        <v>-145.785123966942</v>
      </c>
      <c r="CV100" s="323"/>
      <c r="CW100" s="322" t="n">
        <v>-44.9851239669422</v>
      </c>
      <c r="CX100" s="322" t="n">
        <v>-124.185123966942</v>
      </c>
      <c r="CY100" s="322" t="n">
        <v>-145.785123966942</v>
      </c>
      <c r="CZ100" s="322" t="n">
        <v>-145.785123966942</v>
      </c>
      <c r="DA100" s="322" t="n">
        <v>-145.785123966942</v>
      </c>
    </row>
    <row r="101" customFormat="false" ht="12.75" hidden="false" customHeight="false" outlineLevel="0" collapsed="false">
      <c r="B101" s="305" t="s">
        <v>465</v>
      </c>
      <c r="C101" s="305" t="s">
        <v>468</v>
      </c>
      <c r="D101" s="306" t="n">
        <v>245</v>
      </c>
      <c r="E101" s="306" t="n">
        <v>3.25</v>
      </c>
      <c r="F101" s="306" t="s">
        <v>432</v>
      </c>
      <c r="G101" s="307" t="n">
        <v>48</v>
      </c>
      <c r="H101" s="308" t="n">
        <v>188.429752066116</v>
      </c>
      <c r="I101" s="2"/>
      <c r="J101" s="144" t="s">
        <v>12</v>
      </c>
      <c r="K101" s="309" t="s">
        <v>12</v>
      </c>
      <c r="L101" s="310"/>
      <c r="M101" s="311" t="n">
        <v>29</v>
      </c>
      <c r="N101" s="312" t="n">
        <v>1.5</v>
      </c>
      <c r="O101" s="311" t="n">
        <v>0</v>
      </c>
      <c r="P101" s="312" t="n">
        <v>1.5</v>
      </c>
      <c r="Q101" s="310" t="n">
        <v>0</v>
      </c>
      <c r="R101" s="312" t="n">
        <v>1.3</v>
      </c>
      <c r="S101" s="310"/>
      <c r="T101" s="311" t="n">
        <v>0</v>
      </c>
      <c r="U101" s="312" t="n">
        <v>3.4</v>
      </c>
      <c r="V101" s="311" t="n">
        <v>0</v>
      </c>
      <c r="W101" s="312" t="n">
        <v>1.7</v>
      </c>
      <c r="X101" s="311" t="n">
        <v>0</v>
      </c>
      <c r="Y101" s="312" t="n">
        <v>1.3</v>
      </c>
      <c r="Z101" s="313" t="n">
        <v>0</v>
      </c>
      <c r="AA101" s="314" t="n">
        <v>1.3</v>
      </c>
      <c r="AB101" s="313" t="n">
        <v>0</v>
      </c>
      <c r="AC101" s="314" t="n">
        <v>1.3</v>
      </c>
      <c r="AD101" s="315"/>
      <c r="AE101" s="144" t="n">
        <v>57</v>
      </c>
      <c r="AF101" s="315"/>
      <c r="AG101" s="311" t="n">
        <v>0</v>
      </c>
      <c r="AH101" s="309" t="n">
        <v>0</v>
      </c>
      <c r="AI101" s="310"/>
      <c r="AJ101" s="311" t="n">
        <v>144</v>
      </c>
      <c r="AK101" s="309" t="n">
        <v>72</v>
      </c>
      <c r="AL101" s="311" t="n">
        <v>173</v>
      </c>
      <c r="AM101" s="309" t="n">
        <v>72</v>
      </c>
      <c r="AN101" s="311" t="n">
        <v>183</v>
      </c>
      <c r="AO101" s="309" t="n">
        <v>62.4</v>
      </c>
      <c r="AP101" s="310"/>
      <c r="AQ101" s="311" t="n">
        <v>82</v>
      </c>
      <c r="AR101" s="309" t="n">
        <v>163.2</v>
      </c>
      <c r="AS101" s="311" t="n">
        <v>163</v>
      </c>
      <c r="AT101" s="309" t="n">
        <v>81.6</v>
      </c>
      <c r="AU101" s="311" t="n">
        <v>183</v>
      </c>
      <c r="AV101" s="309" t="n">
        <v>62.4</v>
      </c>
      <c r="AW101" s="311" t="n">
        <v>183</v>
      </c>
      <c r="AX101" s="309" t="n">
        <v>62.4</v>
      </c>
      <c r="AY101" s="311" t="n">
        <v>183</v>
      </c>
      <c r="AZ101" s="309" t="n">
        <v>62.4</v>
      </c>
      <c r="BB101" s="144" t="n">
        <v>0</v>
      </c>
      <c r="BC101" s="315"/>
      <c r="BD101" s="311" t="n">
        <v>0</v>
      </c>
      <c r="BE101" s="316" t="n">
        <v>0</v>
      </c>
      <c r="BF101" s="310"/>
      <c r="BG101" s="317" t="n">
        <v>0</v>
      </c>
      <c r="BH101" s="318" t="n">
        <v>0</v>
      </c>
      <c r="BI101" s="317" t="n">
        <v>0</v>
      </c>
      <c r="BJ101" s="318" t="n">
        <v>0</v>
      </c>
      <c r="BK101" s="317" t="n">
        <v>0</v>
      </c>
      <c r="BL101" s="318" t="n">
        <v>0</v>
      </c>
      <c r="BM101" s="310"/>
      <c r="BN101" s="317" t="n">
        <v>0</v>
      </c>
      <c r="BO101" s="318" t="n">
        <v>0</v>
      </c>
      <c r="BP101" s="317" t="n">
        <v>0</v>
      </c>
      <c r="BQ101" s="318" t="n">
        <v>0</v>
      </c>
      <c r="BR101" s="317" t="n">
        <v>0</v>
      </c>
      <c r="BS101" s="318" t="n">
        <v>0</v>
      </c>
      <c r="BT101" s="317" t="n">
        <v>0</v>
      </c>
      <c r="BU101" s="318" t="n">
        <v>0</v>
      </c>
      <c r="BV101" s="317" t="n">
        <v>0</v>
      </c>
      <c r="BW101" s="318" t="n">
        <v>0</v>
      </c>
      <c r="BY101" s="143"/>
      <c r="BZ101" s="315"/>
      <c r="CA101" s="144" t="s">
        <v>12</v>
      </c>
      <c r="CB101" s="315"/>
      <c r="CC101" s="144" t="n">
        <v>-87.4297520661157</v>
      </c>
      <c r="CD101" s="144" t="n">
        <v>-116.429752066116</v>
      </c>
      <c r="CE101" s="144" t="n">
        <v>-126.029752066116</v>
      </c>
      <c r="CF101" s="315"/>
      <c r="CG101" s="144" t="n">
        <v>-25.2297520661157</v>
      </c>
      <c r="CH101" s="144" t="n">
        <v>-106.829752066116</v>
      </c>
      <c r="CI101" s="144" t="n">
        <v>-126.029752066116</v>
      </c>
      <c r="CJ101" s="144" t="n">
        <v>-126.029752066116</v>
      </c>
      <c r="CK101" s="144" t="n">
        <v>-126.029752066116</v>
      </c>
      <c r="CM101" s="144" t="n">
        <v>205.785123966942</v>
      </c>
      <c r="CO101" s="319"/>
      <c r="CP101" s="320"/>
      <c r="CQ101" s="321" t="s">
        <v>12</v>
      </c>
      <c r="CR101" s="320"/>
      <c r="CS101" s="322" t="n">
        <v>-104.785123966942</v>
      </c>
      <c r="CT101" s="322" t="n">
        <v>-133.785123966942</v>
      </c>
      <c r="CU101" s="322" t="n">
        <v>-143.385123966942</v>
      </c>
      <c r="CV101" s="323"/>
      <c r="CW101" s="322" t="n">
        <v>-42.5851239669422</v>
      </c>
      <c r="CX101" s="322" t="n">
        <v>-124.185123966942</v>
      </c>
      <c r="CY101" s="322" t="n">
        <v>-143.385123966942</v>
      </c>
      <c r="CZ101" s="322" t="n">
        <v>-143.385123966942</v>
      </c>
      <c r="DA101" s="322" t="n">
        <v>-143.385123966942</v>
      </c>
    </row>
    <row r="102" customFormat="false" ht="12.75" hidden="false" customHeight="false" outlineLevel="0" collapsed="false">
      <c r="B102" s="305" t="s">
        <v>465</v>
      </c>
      <c r="C102" s="305" t="s">
        <v>469</v>
      </c>
      <c r="D102" s="306" t="n">
        <v>1072</v>
      </c>
      <c r="E102" s="306" t="n">
        <v>3.25</v>
      </c>
      <c r="F102" s="324" t="s">
        <v>432</v>
      </c>
      <c r="G102" s="144" t="n">
        <v>24</v>
      </c>
      <c r="H102" s="325" t="n">
        <v>935.537190082645</v>
      </c>
      <c r="I102" s="2"/>
      <c r="J102" s="144" t="s">
        <v>12</v>
      </c>
      <c r="K102" s="309" t="s">
        <v>12</v>
      </c>
      <c r="L102" s="310"/>
      <c r="M102" s="311" t="n">
        <v>389</v>
      </c>
      <c r="N102" s="312" t="n">
        <v>16.8</v>
      </c>
      <c r="O102" s="311" t="n">
        <v>239</v>
      </c>
      <c r="P102" s="312" t="n">
        <v>20.5</v>
      </c>
      <c r="Q102" s="310" t="n">
        <v>239</v>
      </c>
      <c r="R102" s="312" t="n">
        <v>19.7</v>
      </c>
      <c r="S102" s="310"/>
      <c r="T102" s="311" t="n">
        <v>0</v>
      </c>
      <c r="U102" s="312" t="n">
        <v>32.7</v>
      </c>
      <c r="V102" s="311" t="n">
        <v>0</v>
      </c>
      <c r="W102" s="312" t="n">
        <v>28.1</v>
      </c>
      <c r="X102" s="311" t="n">
        <v>0</v>
      </c>
      <c r="Y102" s="312" t="n">
        <v>28.1</v>
      </c>
      <c r="Z102" s="313" t="n">
        <v>0</v>
      </c>
      <c r="AA102" s="314" t="n">
        <v>28.1</v>
      </c>
      <c r="AB102" s="313" t="n">
        <v>0</v>
      </c>
      <c r="AC102" s="314" t="n">
        <v>28.1</v>
      </c>
      <c r="AD102" s="315"/>
      <c r="AE102" s="144" t="n">
        <v>136</v>
      </c>
      <c r="AF102" s="315"/>
      <c r="AG102" s="311" t="n">
        <v>0</v>
      </c>
      <c r="AH102" s="309" t="n">
        <v>0</v>
      </c>
      <c r="AI102" s="310"/>
      <c r="AJ102" s="311" t="n">
        <v>280</v>
      </c>
      <c r="AK102" s="309" t="n">
        <v>403.2</v>
      </c>
      <c r="AL102" s="311" t="n">
        <v>341</v>
      </c>
      <c r="AM102" s="309" t="n">
        <v>492</v>
      </c>
      <c r="AN102" s="310" t="n">
        <v>360</v>
      </c>
      <c r="AO102" s="309" t="n">
        <v>472.8</v>
      </c>
      <c r="AP102" s="310"/>
      <c r="AQ102" s="311" t="n">
        <v>287</v>
      </c>
      <c r="AR102" s="309" t="n">
        <v>784.8</v>
      </c>
      <c r="AS102" s="311" t="n">
        <v>398</v>
      </c>
      <c r="AT102" s="309" t="n">
        <v>674.4</v>
      </c>
      <c r="AU102" s="310" t="n">
        <v>398</v>
      </c>
      <c r="AV102" s="309" t="n">
        <v>674.4</v>
      </c>
      <c r="AW102" s="310" t="n">
        <v>398</v>
      </c>
      <c r="AX102" s="309" t="n">
        <v>674.4</v>
      </c>
      <c r="AY102" s="310" t="n">
        <v>398</v>
      </c>
      <c r="AZ102" s="309" t="n">
        <v>674.4</v>
      </c>
      <c r="BB102" s="144" t="n">
        <v>0</v>
      </c>
      <c r="BC102" s="315"/>
      <c r="BD102" s="311" t="n">
        <v>0</v>
      </c>
      <c r="BE102" s="316" t="n">
        <v>0</v>
      </c>
      <c r="BF102" s="310"/>
      <c r="BG102" s="317" t="n">
        <v>0</v>
      </c>
      <c r="BH102" s="318" t="n">
        <v>0.399999999999999</v>
      </c>
      <c r="BI102" s="317" t="n">
        <v>0</v>
      </c>
      <c r="BJ102" s="318" t="n">
        <v>0.799999999999997</v>
      </c>
      <c r="BK102" s="317" t="n">
        <v>0</v>
      </c>
      <c r="BL102" s="318" t="n">
        <v>0.600000000000001</v>
      </c>
      <c r="BM102" s="310"/>
      <c r="BN102" s="317" t="n">
        <v>0</v>
      </c>
      <c r="BO102" s="318" t="n">
        <v>-0.199999999999996</v>
      </c>
      <c r="BP102" s="317" t="n">
        <v>0</v>
      </c>
      <c r="BQ102" s="318" t="n">
        <v>-0.899999999999999</v>
      </c>
      <c r="BR102" s="317" t="n">
        <v>0</v>
      </c>
      <c r="BS102" s="318" t="n">
        <v>-0.899999999999999</v>
      </c>
      <c r="BT102" s="317" t="n">
        <v>0</v>
      </c>
      <c r="BU102" s="318" t="n">
        <v>2.1</v>
      </c>
      <c r="BV102" s="317" t="n">
        <v>0</v>
      </c>
      <c r="BW102" s="318" t="n">
        <v>2.1</v>
      </c>
      <c r="BY102" s="143"/>
      <c r="BZ102" s="315"/>
      <c r="CA102" s="144" t="s">
        <v>12</v>
      </c>
      <c r="CB102" s="315"/>
      <c r="CC102" s="144" t="n">
        <v>-143.337190082645</v>
      </c>
      <c r="CD102" s="144" t="n">
        <v>-204.537190082645</v>
      </c>
      <c r="CE102" s="144" t="n">
        <v>-223.737190082645</v>
      </c>
      <c r="CF102" s="315"/>
      <c r="CG102" s="144" t="n">
        <v>-150.737190082645</v>
      </c>
      <c r="CH102" s="144" t="n">
        <v>-261.137190082645</v>
      </c>
      <c r="CI102" s="144" t="n">
        <v>-261.137190082645</v>
      </c>
      <c r="CJ102" s="144" t="n">
        <v>-261.137190082645</v>
      </c>
      <c r="CK102" s="144" t="n">
        <v>-261.137190082645</v>
      </c>
      <c r="CM102" s="144" t="n">
        <v>990.909090909091</v>
      </c>
      <c r="CO102" s="319"/>
      <c r="CP102" s="320"/>
      <c r="CQ102" s="321" t="s">
        <v>12</v>
      </c>
      <c r="CR102" s="320"/>
      <c r="CS102" s="322" t="n">
        <v>-198.709090909091</v>
      </c>
      <c r="CT102" s="322" t="n">
        <v>-259.909090909091</v>
      </c>
      <c r="CU102" s="322" t="n">
        <v>-279.109090909091</v>
      </c>
      <c r="CV102" s="323"/>
      <c r="CW102" s="322" t="n">
        <v>-206.109090909091</v>
      </c>
      <c r="CX102" s="322" t="n">
        <v>-316.509090909091</v>
      </c>
      <c r="CY102" s="322" t="n">
        <v>-316.509090909091</v>
      </c>
      <c r="CZ102" s="322" t="n">
        <v>-316.509090909091</v>
      </c>
      <c r="DA102" s="322" t="n">
        <v>-316.509090909091</v>
      </c>
    </row>
    <row r="103" customFormat="false" ht="12.75" hidden="false" customHeight="false" outlineLevel="0" collapsed="false">
      <c r="B103" s="305" t="s">
        <v>465</v>
      </c>
      <c r="C103" s="305" t="s">
        <v>469</v>
      </c>
      <c r="D103" s="306" t="n">
        <v>1072</v>
      </c>
      <c r="E103" s="306" t="n">
        <v>3.25</v>
      </c>
      <c r="F103" s="306" t="s">
        <v>432</v>
      </c>
      <c r="G103" s="307" t="n">
        <v>48</v>
      </c>
      <c r="H103" s="308" t="n">
        <v>935.537190082645</v>
      </c>
      <c r="I103" s="2"/>
      <c r="J103" s="144" t="s">
        <v>12</v>
      </c>
      <c r="K103" s="309" t="s">
        <v>12</v>
      </c>
      <c r="L103" s="310"/>
      <c r="M103" s="311" t="n">
        <v>389</v>
      </c>
      <c r="N103" s="312" t="n">
        <v>8.4</v>
      </c>
      <c r="O103" s="311" t="n">
        <v>239</v>
      </c>
      <c r="P103" s="312" t="n">
        <v>10.3</v>
      </c>
      <c r="Q103" s="310" t="n">
        <v>239</v>
      </c>
      <c r="R103" s="312" t="n">
        <v>9.9</v>
      </c>
      <c r="S103" s="310"/>
      <c r="T103" s="311" t="n">
        <v>0</v>
      </c>
      <c r="U103" s="312" t="n">
        <v>16.4</v>
      </c>
      <c r="V103" s="311" t="n">
        <v>0</v>
      </c>
      <c r="W103" s="312" t="n">
        <v>14.1</v>
      </c>
      <c r="X103" s="311" t="n">
        <v>0</v>
      </c>
      <c r="Y103" s="312" t="n">
        <v>14.1</v>
      </c>
      <c r="Z103" s="313" t="n">
        <v>0</v>
      </c>
      <c r="AA103" s="314" t="n">
        <v>14.1</v>
      </c>
      <c r="AB103" s="313" t="n">
        <v>0</v>
      </c>
      <c r="AC103" s="314" t="n">
        <v>14.1</v>
      </c>
      <c r="AD103" s="315"/>
      <c r="AE103" s="144" t="n">
        <v>136</v>
      </c>
      <c r="AF103" s="315"/>
      <c r="AG103" s="311" t="n">
        <v>0</v>
      </c>
      <c r="AH103" s="309" t="n">
        <v>0</v>
      </c>
      <c r="AI103" s="310"/>
      <c r="AJ103" s="311" t="n">
        <v>280</v>
      </c>
      <c r="AK103" s="309" t="n">
        <v>403.2</v>
      </c>
      <c r="AL103" s="311" t="n">
        <v>339</v>
      </c>
      <c r="AM103" s="309" t="n">
        <v>494.4</v>
      </c>
      <c r="AN103" s="311" t="n">
        <v>358</v>
      </c>
      <c r="AO103" s="309" t="n">
        <v>475.2</v>
      </c>
      <c r="AP103" s="310"/>
      <c r="AQ103" s="311" t="n">
        <v>285</v>
      </c>
      <c r="AR103" s="309" t="n">
        <v>787.2</v>
      </c>
      <c r="AS103" s="311" t="n">
        <v>395</v>
      </c>
      <c r="AT103" s="309" t="n">
        <v>676.8</v>
      </c>
      <c r="AU103" s="311" t="n">
        <v>395</v>
      </c>
      <c r="AV103" s="309" t="n">
        <v>676.8</v>
      </c>
      <c r="AW103" s="311" t="n">
        <v>395</v>
      </c>
      <c r="AX103" s="309" t="n">
        <v>676.8</v>
      </c>
      <c r="AY103" s="311" t="n">
        <v>395</v>
      </c>
      <c r="AZ103" s="309" t="n">
        <v>676.8</v>
      </c>
      <c r="BB103" s="144" t="n">
        <v>0</v>
      </c>
      <c r="BC103" s="315"/>
      <c r="BD103" s="311" t="n">
        <v>0</v>
      </c>
      <c r="BE103" s="316" t="n">
        <v>0</v>
      </c>
      <c r="BF103" s="310"/>
      <c r="BG103" s="317" t="n">
        <v>0</v>
      </c>
      <c r="BH103" s="318" t="n">
        <v>0</v>
      </c>
      <c r="BI103" s="317" t="n">
        <v>0</v>
      </c>
      <c r="BJ103" s="318" t="n">
        <v>0</v>
      </c>
      <c r="BK103" s="317" t="n">
        <v>0</v>
      </c>
      <c r="BL103" s="318" t="n">
        <v>0</v>
      </c>
      <c r="BM103" s="310"/>
      <c r="BN103" s="317" t="n">
        <v>0</v>
      </c>
      <c r="BO103" s="318" t="n">
        <v>0</v>
      </c>
      <c r="BP103" s="317" t="n">
        <v>0</v>
      </c>
      <c r="BQ103" s="318" t="n">
        <v>0</v>
      </c>
      <c r="BR103" s="317" t="n">
        <v>0</v>
      </c>
      <c r="BS103" s="318" t="n">
        <v>0</v>
      </c>
      <c r="BT103" s="317" t="n">
        <v>0</v>
      </c>
      <c r="BU103" s="318" t="n">
        <v>0</v>
      </c>
      <c r="BV103" s="317" t="n">
        <v>0</v>
      </c>
      <c r="BW103" s="318" t="n">
        <v>0</v>
      </c>
      <c r="BY103" s="143"/>
      <c r="BZ103" s="315"/>
      <c r="CA103" s="144" t="s">
        <v>12</v>
      </c>
      <c r="CB103" s="315"/>
      <c r="CC103" s="144" t="n">
        <v>-143.337190082645</v>
      </c>
      <c r="CD103" s="144" t="n">
        <v>-202.137190082645</v>
      </c>
      <c r="CE103" s="144" t="n">
        <v>-221.337190082645</v>
      </c>
      <c r="CF103" s="315"/>
      <c r="CG103" s="144" t="n">
        <v>-148.337190082645</v>
      </c>
      <c r="CH103" s="144" t="n">
        <v>-258.737190082645</v>
      </c>
      <c r="CI103" s="144" t="n">
        <v>-258.737190082645</v>
      </c>
      <c r="CJ103" s="144" t="n">
        <v>-258.737190082645</v>
      </c>
      <c r="CK103" s="144" t="n">
        <v>-258.737190082645</v>
      </c>
      <c r="CM103" s="144" t="n">
        <v>990.909090909091</v>
      </c>
      <c r="CO103" s="319"/>
      <c r="CP103" s="320"/>
      <c r="CQ103" s="321" t="s">
        <v>12</v>
      </c>
      <c r="CR103" s="320"/>
      <c r="CS103" s="322" t="n">
        <v>-198.709090909091</v>
      </c>
      <c r="CT103" s="322" t="n">
        <v>-257.509090909091</v>
      </c>
      <c r="CU103" s="322" t="n">
        <v>-276.709090909091</v>
      </c>
      <c r="CV103" s="323"/>
      <c r="CW103" s="322" t="n">
        <v>-203.709090909091</v>
      </c>
      <c r="CX103" s="322" t="n">
        <v>-314.109090909091</v>
      </c>
      <c r="CY103" s="322" t="n">
        <v>-314.109090909091</v>
      </c>
      <c r="CZ103" s="322" t="n">
        <v>-314.109090909091</v>
      </c>
      <c r="DA103" s="322" t="n">
        <v>-314.109090909091</v>
      </c>
    </row>
    <row r="104" customFormat="false" ht="12.75" hidden="false" customHeight="false" outlineLevel="0" collapsed="false">
      <c r="B104" s="305" t="s">
        <v>465</v>
      </c>
      <c r="C104" s="305" t="s">
        <v>470</v>
      </c>
      <c r="D104" s="306" t="n">
        <v>524</v>
      </c>
      <c r="E104" s="306" t="n">
        <v>3.25</v>
      </c>
      <c r="F104" s="324" t="s">
        <v>432</v>
      </c>
      <c r="G104" s="144" t="n">
        <v>24</v>
      </c>
      <c r="H104" s="325" t="n">
        <v>433.05785123967</v>
      </c>
      <c r="I104" s="2"/>
      <c r="J104" s="144" t="s">
        <v>12</v>
      </c>
      <c r="K104" s="309" t="s">
        <v>12</v>
      </c>
      <c r="L104" s="310"/>
      <c r="M104" s="311" t="n">
        <v>139</v>
      </c>
      <c r="N104" s="312" t="n">
        <v>7</v>
      </c>
      <c r="O104" s="311" t="n">
        <v>19</v>
      </c>
      <c r="P104" s="312" t="n">
        <v>10</v>
      </c>
      <c r="Q104" s="310" t="n">
        <v>19</v>
      </c>
      <c r="R104" s="312" t="n">
        <v>9</v>
      </c>
      <c r="S104" s="310"/>
      <c r="T104" s="311" t="n">
        <v>0</v>
      </c>
      <c r="U104" s="312" t="n">
        <v>14.9</v>
      </c>
      <c r="V104" s="311" t="n">
        <v>0</v>
      </c>
      <c r="W104" s="312" t="n">
        <v>10</v>
      </c>
      <c r="X104" s="311" t="n">
        <v>0</v>
      </c>
      <c r="Y104" s="312" t="n">
        <v>10</v>
      </c>
      <c r="Z104" s="313" t="n">
        <v>0</v>
      </c>
      <c r="AA104" s="314" t="n">
        <v>8.5</v>
      </c>
      <c r="AB104" s="313" t="n">
        <v>0</v>
      </c>
      <c r="AC104" s="314" t="n">
        <v>8.5</v>
      </c>
      <c r="AD104" s="315"/>
      <c r="AE104" s="144" t="n">
        <v>91</v>
      </c>
      <c r="AF104" s="315"/>
      <c r="AG104" s="311" t="n">
        <v>0</v>
      </c>
      <c r="AH104" s="309" t="n">
        <v>0</v>
      </c>
      <c r="AI104" s="310"/>
      <c r="AJ104" s="311" t="n">
        <v>217</v>
      </c>
      <c r="AK104" s="309" t="n">
        <v>168</v>
      </c>
      <c r="AL104" s="311" t="n">
        <v>265</v>
      </c>
      <c r="AM104" s="309" t="n">
        <v>240</v>
      </c>
      <c r="AN104" s="310" t="n">
        <v>289</v>
      </c>
      <c r="AO104" s="309" t="n">
        <v>216</v>
      </c>
      <c r="AP104" s="310"/>
      <c r="AQ104" s="311" t="n">
        <v>166</v>
      </c>
      <c r="AR104" s="309" t="n">
        <v>357.6</v>
      </c>
      <c r="AS104" s="311" t="n">
        <v>284</v>
      </c>
      <c r="AT104" s="309" t="n">
        <v>240</v>
      </c>
      <c r="AU104" s="310" t="n">
        <v>284</v>
      </c>
      <c r="AV104" s="309" t="n">
        <v>240</v>
      </c>
      <c r="AW104" s="310" t="n">
        <v>320</v>
      </c>
      <c r="AX104" s="309" t="n">
        <v>204</v>
      </c>
      <c r="AY104" s="310" t="n">
        <v>320</v>
      </c>
      <c r="AZ104" s="309" t="n">
        <v>204</v>
      </c>
      <c r="BB104" s="144" t="n">
        <v>0</v>
      </c>
      <c r="BC104" s="315"/>
      <c r="BD104" s="311" t="n">
        <v>0</v>
      </c>
      <c r="BE104" s="316" t="n">
        <v>0</v>
      </c>
      <c r="BF104" s="310"/>
      <c r="BG104" s="317" t="n">
        <v>0</v>
      </c>
      <c r="BH104" s="318" t="n">
        <v>0</v>
      </c>
      <c r="BI104" s="317" t="n">
        <v>0</v>
      </c>
      <c r="BJ104" s="318" t="n">
        <v>0</v>
      </c>
      <c r="BK104" s="317" t="n">
        <v>0</v>
      </c>
      <c r="BL104" s="318" t="n">
        <v>0</v>
      </c>
      <c r="BM104" s="310"/>
      <c r="BN104" s="317" t="n">
        <v>0</v>
      </c>
      <c r="BO104" s="318" t="n">
        <v>-0.200000000000001</v>
      </c>
      <c r="BP104" s="317" t="n">
        <v>0</v>
      </c>
      <c r="BQ104" s="318" t="n">
        <v>2.7</v>
      </c>
      <c r="BR104" s="317" t="n">
        <v>0</v>
      </c>
      <c r="BS104" s="318" t="n">
        <v>2.7</v>
      </c>
      <c r="BT104" s="317" t="n">
        <v>0</v>
      </c>
      <c r="BU104" s="318" t="n">
        <v>1.3</v>
      </c>
      <c r="BV104" s="317" t="n">
        <v>0</v>
      </c>
      <c r="BW104" s="318" t="n">
        <v>1.3</v>
      </c>
      <c r="BY104" s="143"/>
      <c r="BZ104" s="315"/>
      <c r="CA104" s="144" t="s">
        <v>12</v>
      </c>
      <c r="CB104" s="315"/>
      <c r="CC104" s="144" t="n">
        <v>-126.057851239669</v>
      </c>
      <c r="CD104" s="144" t="n">
        <v>-174.057851239669</v>
      </c>
      <c r="CE104" s="144" t="n">
        <v>-198.057851239669</v>
      </c>
      <c r="CF104" s="315"/>
      <c r="CG104" s="144" t="n">
        <v>-75.4578512396694</v>
      </c>
      <c r="CH104" s="144" t="n">
        <v>-193.057851239669</v>
      </c>
      <c r="CI104" s="144" t="n">
        <v>-193.057851239669</v>
      </c>
      <c r="CJ104" s="144" t="n">
        <v>-229.057851239669</v>
      </c>
      <c r="CK104" s="144" t="n">
        <v>-229.057851239669</v>
      </c>
      <c r="CM104" s="144" t="n">
        <v>453.719008264463</v>
      </c>
      <c r="CO104" s="319"/>
      <c r="CP104" s="320"/>
      <c r="CQ104" s="321" t="s">
        <v>12</v>
      </c>
      <c r="CR104" s="320"/>
      <c r="CS104" s="322" t="n">
        <v>-146.719008264463</v>
      </c>
      <c r="CT104" s="322" t="n">
        <v>-194.719008264463</v>
      </c>
      <c r="CU104" s="322" t="n">
        <v>-218.719008264463</v>
      </c>
      <c r="CV104" s="323"/>
      <c r="CW104" s="322" t="n">
        <v>-96.1190082644628</v>
      </c>
      <c r="CX104" s="322" t="n">
        <v>-213.719008264463</v>
      </c>
      <c r="CY104" s="322" t="n">
        <v>-213.719008264463</v>
      </c>
      <c r="CZ104" s="322" t="n">
        <v>-249.719008264463</v>
      </c>
      <c r="DA104" s="322" t="n">
        <v>-249.719008264463</v>
      </c>
    </row>
    <row r="105" customFormat="false" ht="12.75" hidden="false" customHeight="false" outlineLevel="0" collapsed="false">
      <c r="B105" s="305" t="s">
        <v>465</v>
      </c>
      <c r="C105" s="305" t="s">
        <v>470</v>
      </c>
      <c r="D105" s="306" t="n">
        <v>524</v>
      </c>
      <c r="E105" s="306" t="n">
        <v>3.25</v>
      </c>
      <c r="F105" s="306" t="s">
        <v>432</v>
      </c>
      <c r="G105" s="307" t="n">
        <v>48</v>
      </c>
      <c r="H105" s="308" t="n">
        <v>433.05785123967</v>
      </c>
      <c r="I105" s="2"/>
      <c r="J105" s="144" t="s">
        <v>12</v>
      </c>
      <c r="K105" s="309" t="s">
        <v>12</v>
      </c>
      <c r="L105" s="310"/>
      <c r="M105" s="311" t="n">
        <v>139</v>
      </c>
      <c r="N105" s="312" t="n">
        <v>3.5</v>
      </c>
      <c r="O105" s="311" t="n">
        <v>19</v>
      </c>
      <c r="P105" s="312" t="n">
        <v>5</v>
      </c>
      <c r="Q105" s="310" t="n">
        <v>19</v>
      </c>
      <c r="R105" s="312" t="n">
        <v>4.5</v>
      </c>
      <c r="S105" s="310"/>
      <c r="T105" s="311" t="n">
        <v>0</v>
      </c>
      <c r="U105" s="312" t="n">
        <v>7.5</v>
      </c>
      <c r="V105" s="311" t="n">
        <v>0</v>
      </c>
      <c r="W105" s="312" t="n">
        <v>5</v>
      </c>
      <c r="X105" s="311" t="n">
        <v>0</v>
      </c>
      <c r="Y105" s="312" t="n">
        <v>5</v>
      </c>
      <c r="Z105" s="313" t="n">
        <v>0</v>
      </c>
      <c r="AA105" s="314" t="n">
        <v>4.3</v>
      </c>
      <c r="AB105" s="313" t="n">
        <v>0</v>
      </c>
      <c r="AC105" s="314" t="n">
        <v>4.3</v>
      </c>
      <c r="AD105" s="315"/>
      <c r="AE105" s="144" t="n">
        <v>91</v>
      </c>
      <c r="AF105" s="315"/>
      <c r="AG105" s="311" t="n">
        <v>0</v>
      </c>
      <c r="AH105" s="309" t="n">
        <v>0</v>
      </c>
      <c r="AI105" s="310"/>
      <c r="AJ105" s="311" t="n">
        <v>217</v>
      </c>
      <c r="AK105" s="309" t="n">
        <v>168</v>
      </c>
      <c r="AL105" s="311" t="n">
        <v>265</v>
      </c>
      <c r="AM105" s="309" t="n">
        <v>240</v>
      </c>
      <c r="AN105" s="311" t="n">
        <v>289</v>
      </c>
      <c r="AO105" s="309" t="n">
        <v>216</v>
      </c>
      <c r="AP105" s="310"/>
      <c r="AQ105" s="311" t="n">
        <v>164</v>
      </c>
      <c r="AR105" s="309" t="n">
        <v>360</v>
      </c>
      <c r="AS105" s="311" t="n">
        <v>284</v>
      </c>
      <c r="AT105" s="309" t="n">
        <v>240</v>
      </c>
      <c r="AU105" s="311" t="n">
        <v>284</v>
      </c>
      <c r="AV105" s="309" t="n">
        <v>240</v>
      </c>
      <c r="AW105" s="311" t="n">
        <v>318</v>
      </c>
      <c r="AX105" s="309" t="n">
        <v>206.4</v>
      </c>
      <c r="AY105" s="311" t="n">
        <v>318</v>
      </c>
      <c r="AZ105" s="309" t="n">
        <v>206.4</v>
      </c>
      <c r="BB105" s="144" t="n">
        <v>0</v>
      </c>
      <c r="BC105" s="315"/>
      <c r="BD105" s="311" t="n">
        <v>0</v>
      </c>
      <c r="BE105" s="316" t="n">
        <v>0</v>
      </c>
      <c r="BF105" s="310"/>
      <c r="BG105" s="317" t="n">
        <v>0</v>
      </c>
      <c r="BH105" s="318" t="n">
        <v>0</v>
      </c>
      <c r="BI105" s="317" t="n">
        <v>0</v>
      </c>
      <c r="BJ105" s="318" t="n">
        <v>0</v>
      </c>
      <c r="BK105" s="317" t="n">
        <v>0</v>
      </c>
      <c r="BL105" s="318" t="n">
        <v>0</v>
      </c>
      <c r="BM105" s="310"/>
      <c r="BN105" s="317" t="n">
        <v>0</v>
      </c>
      <c r="BO105" s="318" t="n">
        <v>0</v>
      </c>
      <c r="BP105" s="317" t="n">
        <v>0</v>
      </c>
      <c r="BQ105" s="318" t="n">
        <v>0</v>
      </c>
      <c r="BR105" s="317" t="n">
        <v>0</v>
      </c>
      <c r="BS105" s="318" t="n">
        <v>0</v>
      </c>
      <c r="BT105" s="317" t="n">
        <v>0</v>
      </c>
      <c r="BU105" s="318" t="n">
        <v>0</v>
      </c>
      <c r="BV105" s="317" t="n">
        <v>0</v>
      </c>
      <c r="BW105" s="318" t="n">
        <v>0</v>
      </c>
      <c r="BY105" s="143"/>
      <c r="BZ105" s="315"/>
      <c r="CA105" s="144" t="s">
        <v>12</v>
      </c>
      <c r="CB105" s="315"/>
      <c r="CC105" s="144" t="n">
        <v>-126.057851239669</v>
      </c>
      <c r="CD105" s="144" t="n">
        <v>-174.057851239669</v>
      </c>
      <c r="CE105" s="144" t="n">
        <v>-198.057851239669</v>
      </c>
      <c r="CF105" s="315"/>
      <c r="CG105" s="144" t="n">
        <v>-73.0578512396694</v>
      </c>
      <c r="CH105" s="144" t="n">
        <v>-193.057851239669</v>
      </c>
      <c r="CI105" s="144" t="n">
        <v>-193.057851239669</v>
      </c>
      <c r="CJ105" s="144" t="n">
        <v>-226.657851239669</v>
      </c>
      <c r="CK105" s="144" t="n">
        <v>-226.657851239669</v>
      </c>
      <c r="CM105" s="144" t="n">
        <v>453.719008264463</v>
      </c>
      <c r="CO105" s="319"/>
      <c r="CP105" s="320"/>
      <c r="CQ105" s="321" t="s">
        <v>12</v>
      </c>
      <c r="CR105" s="320"/>
      <c r="CS105" s="322" t="n">
        <v>-146.719008264463</v>
      </c>
      <c r="CT105" s="322" t="n">
        <v>-194.719008264463</v>
      </c>
      <c r="CU105" s="322" t="n">
        <v>-218.719008264463</v>
      </c>
      <c r="CV105" s="323"/>
      <c r="CW105" s="322" t="n">
        <v>-93.7190082644628</v>
      </c>
      <c r="CX105" s="322" t="n">
        <v>-213.719008264463</v>
      </c>
      <c r="CY105" s="322" t="n">
        <v>-213.719008264463</v>
      </c>
      <c r="CZ105" s="322" t="n">
        <v>-247.319008264463</v>
      </c>
      <c r="DA105" s="322" t="n">
        <v>-247.319008264463</v>
      </c>
    </row>
    <row r="106" customFormat="false" ht="12.75" hidden="false" customHeight="false" outlineLevel="0" collapsed="false">
      <c r="B106" s="305" t="s">
        <v>465</v>
      </c>
      <c r="C106" s="305" t="s">
        <v>471</v>
      </c>
      <c r="D106" s="306" t="n">
        <v>364</v>
      </c>
      <c r="E106" s="306" t="n">
        <v>3.25</v>
      </c>
      <c r="F106" s="324" t="s">
        <v>432</v>
      </c>
      <c r="G106" s="144" t="n">
        <v>24</v>
      </c>
      <c r="H106" s="325" t="n">
        <v>303.305785123967</v>
      </c>
      <c r="I106" s="2"/>
      <c r="J106" s="144" t="s">
        <v>12</v>
      </c>
      <c r="K106" s="309" t="s">
        <v>12</v>
      </c>
      <c r="L106" s="310"/>
      <c r="M106" s="311" t="n">
        <v>99</v>
      </c>
      <c r="N106" s="312" t="n">
        <v>5.8</v>
      </c>
      <c r="O106" s="311" t="n">
        <v>19</v>
      </c>
      <c r="P106" s="312" t="n">
        <v>6.9</v>
      </c>
      <c r="Q106" s="310" t="n">
        <v>19</v>
      </c>
      <c r="R106" s="312" t="n">
        <v>6</v>
      </c>
      <c r="S106" s="310"/>
      <c r="T106" s="311" t="n">
        <v>0</v>
      </c>
      <c r="U106" s="312" t="n">
        <v>10</v>
      </c>
      <c r="V106" s="311" t="n">
        <v>0</v>
      </c>
      <c r="W106" s="312" t="n">
        <v>6.7</v>
      </c>
      <c r="X106" s="311" t="n">
        <v>0</v>
      </c>
      <c r="Y106" s="312" t="n">
        <v>4</v>
      </c>
      <c r="Z106" s="313" t="n">
        <v>0</v>
      </c>
      <c r="AA106" s="314" t="n">
        <v>4</v>
      </c>
      <c r="AB106" s="313" t="n">
        <v>0</v>
      </c>
      <c r="AC106" s="314" t="n">
        <v>4</v>
      </c>
      <c r="AD106" s="315"/>
      <c r="AE106" s="144" t="n">
        <v>61</v>
      </c>
      <c r="AF106" s="315"/>
      <c r="AG106" s="311" t="n">
        <v>0</v>
      </c>
      <c r="AH106" s="309" t="n">
        <v>0</v>
      </c>
      <c r="AI106" s="310"/>
      <c r="AJ106" s="311" t="n">
        <v>126</v>
      </c>
      <c r="AK106" s="309" t="n">
        <v>139.2</v>
      </c>
      <c r="AL106" s="311" t="n">
        <v>179</v>
      </c>
      <c r="AM106" s="309" t="n">
        <v>165.6</v>
      </c>
      <c r="AN106" s="310" t="n">
        <v>201</v>
      </c>
      <c r="AO106" s="309" t="n">
        <v>144</v>
      </c>
      <c r="AP106" s="310"/>
      <c r="AQ106" s="311" t="n">
        <v>124</v>
      </c>
      <c r="AR106" s="309" t="n">
        <v>240</v>
      </c>
      <c r="AS106" s="311" t="n">
        <v>203</v>
      </c>
      <c r="AT106" s="309" t="n">
        <v>160.8</v>
      </c>
      <c r="AU106" s="310" t="n">
        <v>268</v>
      </c>
      <c r="AV106" s="309" t="n">
        <v>96</v>
      </c>
      <c r="AW106" s="310" t="n">
        <v>268</v>
      </c>
      <c r="AX106" s="309" t="n">
        <v>96</v>
      </c>
      <c r="AY106" s="310" t="n">
        <v>268</v>
      </c>
      <c r="AZ106" s="309" t="n">
        <v>96</v>
      </c>
      <c r="BB106" s="144" t="n">
        <v>0</v>
      </c>
      <c r="BC106" s="315"/>
      <c r="BD106" s="311" t="n">
        <v>0</v>
      </c>
      <c r="BE106" s="316" t="n">
        <v>0</v>
      </c>
      <c r="BF106" s="310"/>
      <c r="BG106" s="317" t="n">
        <v>0</v>
      </c>
      <c r="BH106" s="318" t="n">
        <v>0.2</v>
      </c>
      <c r="BI106" s="317" t="n">
        <v>0</v>
      </c>
      <c r="BJ106" s="318" t="n">
        <v>0.9</v>
      </c>
      <c r="BK106" s="317" t="n">
        <v>0</v>
      </c>
      <c r="BL106" s="318" t="n">
        <v>0</v>
      </c>
      <c r="BM106" s="310"/>
      <c r="BN106" s="317" t="n">
        <v>0</v>
      </c>
      <c r="BO106" s="318" t="n">
        <v>0</v>
      </c>
      <c r="BP106" s="317" t="n">
        <v>0</v>
      </c>
      <c r="BQ106" s="318" t="n">
        <v>2.5</v>
      </c>
      <c r="BR106" s="317" t="n">
        <v>0</v>
      </c>
      <c r="BS106" s="318" t="n">
        <v>0</v>
      </c>
      <c r="BT106" s="317" t="n">
        <v>0</v>
      </c>
      <c r="BU106" s="318" t="n">
        <v>0</v>
      </c>
      <c r="BV106" s="317" t="n">
        <v>0</v>
      </c>
      <c r="BW106" s="318" t="n">
        <v>0</v>
      </c>
      <c r="BY106" s="143"/>
      <c r="BZ106" s="315"/>
      <c r="CA106" s="144" t="s">
        <v>12</v>
      </c>
      <c r="CB106" s="315"/>
      <c r="CC106" s="144" t="n">
        <v>-65.1057851239669</v>
      </c>
      <c r="CD106" s="144" t="n">
        <v>-118.705785123967</v>
      </c>
      <c r="CE106" s="144" t="n">
        <v>-140.305785123967</v>
      </c>
      <c r="CF106" s="315"/>
      <c r="CG106" s="144" t="n">
        <v>-63.3057851239669</v>
      </c>
      <c r="CH106" s="144" t="n">
        <v>-142.505785123967</v>
      </c>
      <c r="CI106" s="144" t="n">
        <v>-207.305785123967</v>
      </c>
      <c r="CJ106" s="144" t="n">
        <v>-207.305785123967</v>
      </c>
      <c r="CK106" s="144" t="n">
        <v>-207.305785123967</v>
      </c>
      <c r="CM106" s="144" t="n">
        <v>313.223140495868</v>
      </c>
      <c r="CO106" s="319"/>
      <c r="CP106" s="320"/>
      <c r="CQ106" s="321" t="s">
        <v>12</v>
      </c>
      <c r="CR106" s="320"/>
      <c r="CS106" s="322" t="n">
        <v>-75.0231404958678</v>
      </c>
      <c r="CT106" s="322" t="n">
        <v>-128.623140495868</v>
      </c>
      <c r="CU106" s="322" t="n">
        <v>-150.223140495868</v>
      </c>
      <c r="CV106" s="323"/>
      <c r="CW106" s="322" t="n">
        <v>-73.2231404958678</v>
      </c>
      <c r="CX106" s="322" t="n">
        <v>-152.423140495868</v>
      </c>
      <c r="CY106" s="322" t="n">
        <v>-217.223140495868</v>
      </c>
      <c r="CZ106" s="322" t="n">
        <v>-217.223140495868</v>
      </c>
      <c r="DA106" s="322" t="n">
        <v>-217.223140495868</v>
      </c>
    </row>
    <row r="107" customFormat="false" ht="12.75" hidden="false" customHeight="false" outlineLevel="0" collapsed="false">
      <c r="B107" s="305" t="s">
        <v>465</v>
      </c>
      <c r="C107" s="305" t="s">
        <v>471</v>
      </c>
      <c r="D107" s="306" t="n">
        <v>364</v>
      </c>
      <c r="E107" s="306" t="n">
        <v>3.25</v>
      </c>
      <c r="F107" s="306" t="s">
        <v>432</v>
      </c>
      <c r="G107" s="307" t="n">
        <v>48</v>
      </c>
      <c r="H107" s="308" t="n">
        <v>303.305785123967</v>
      </c>
      <c r="I107" s="2"/>
      <c r="J107" s="144" t="s">
        <v>12</v>
      </c>
      <c r="K107" s="309" t="s">
        <v>12</v>
      </c>
      <c r="L107" s="310"/>
      <c r="M107" s="311" t="n">
        <v>99</v>
      </c>
      <c r="N107" s="312" t="n">
        <v>2.9</v>
      </c>
      <c r="O107" s="311" t="n">
        <v>19</v>
      </c>
      <c r="P107" s="312" t="n">
        <v>3.5</v>
      </c>
      <c r="Q107" s="310" t="n">
        <v>19</v>
      </c>
      <c r="R107" s="312" t="n">
        <v>3</v>
      </c>
      <c r="S107" s="310"/>
      <c r="T107" s="311" t="n">
        <v>0</v>
      </c>
      <c r="U107" s="312" t="n">
        <v>5</v>
      </c>
      <c r="V107" s="311" t="n">
        <v>0</v>
      </c>
      <c r="W107" s="312" t="n">
        <v>3.4</v>
      </c>
      <c r="X107" s="311" t="n">
        <v>0</v>
      </c>
      <c r="Y107" s="312" t="n">
        <v>2</v>
      </c>
      <c r="Z107" s="313" t="n">
        <v>0</v>
      </c>
      <c r="AA107" s="314" t="n">
        <v>2</v>
      </c>
      <c r="AB107" s="313" t="n">
        <v>0</v>
      </c>
      <c r="AC107" s="314" t="n">
        <v>2</v>
      </c>
      <c r="AD107" s="315"/>
      <c r="AE107" s="144" t="n">
        <v>61</v>
      </c>
      <c r="AF107" s="315"/>
      <c r="AG107" s="311" t="n">
        <v>0</v>
      </c>
      <c r="AH107" s="309" t="n">
        <v>0</v>
      </c>
      <c r="AI107" s="310"/>
      <c r="AJ107" s="311" t="n">
        <v>126</v>
      </c>
      <c r="AK107" s="309" t="n">
        <v>139.2</v>
      </c>
      <c r="AL107" s="311" t="n">
        <v>177</v>
      </c>
      <c r="AM107" s="309" t="n">
        <v>168</v>
      </c>
      <c r="AN107" s="311" t="n">
        <v>201</v>
      </c>
      <c r="AO107" s="309" t="n">
        <v>144</v>
      </c>
      <c r="AP107" s="310"/>
      <c r="AQ107" s="311" t="n">
        <v>124</v>
      </c>
      <c r="AR107" s="309" t="n">
        <v>240</v>
      </c>
      <c r="AS107" s="311" t="n">
        <v>201</v>
      </c>
      <c r="AT107" s="309" t="n">
        <v>163.2</v>
      </c>
      <c r="AU107" s="311" t="n">
        <v>268</v>
      </c>
      <c r="AV107" s="309" t="n">
        <v>96</v>
      </c>
      <c r="AW107" s="311" t="n">
        <v>268</v>
      </c>
      <c r="AX107" s="309" t="n">
        <v>96</v>
      </c>
      <c r="AY107" s="311" t="n">
        <v>268</v>
      </c>
      <c r="AZ107" s="309" t="n">
        <v>96</v>
      </c>
      <c r="BB107" s="144" t="n">
        <v>0</v>
      </c>
      <c r="BC107" s="315"/>
      <c r="BD107" s="311" t="n">
        <v>0</v>
      </c>
      <c r="BE107" s="316" t="n">
        <v>0</v>
      </c>
      <c r="BF107" s="310"/>
      <c r="BG107" s="317" t="n">
        <v>0</v>
      </c>
      <c r="BH107" s="318" t="n">
        <v>0</v>
      </c>
      <c r="BI107" s="317" t="n">
        <v>0</v>
      </c>
      <c r="BJ107" s="318" t="n">
        <v>0</v>
      </c>
      <c r="BK107" s="317" t="n">
        <v>0</v>
      </c>
      <c r="BL107" s="318" t="n">
        <v>0</v>
      </c>
      <c r="BM107" s="310"/>
      <c r="BN107" s="317" t="n">
        <v>0</v>
      </c>
      <c r="BO107" s="318" t="n">
        <v>0</v>
      </c>
      <c r="BP107" s="317" t="n">
        <v>0</v>
      </c>
      <c r="BQ107" s="318" t="n">
        <v>0</v>
      </c>
      <c r="BR107" s="317" t="n">
        <v>0</v>
      </c>
      <c r="BS107" s="318" t="n">
        <v>0</v>
      </c>
      <c r="BT107" s="317" t="n">
        <v>0</v>
      </c>
      <c r="BU107" s="318" t="n">
        <v>0</v>
      </c>
      <c r="BV107" s="317" t="n">
        <v>0</v>
      </c>
      <c r="BW107" s="318" t="n">
        <v>0</v>
      </c>
      <c r="BY107" s="143"/>
      <c r="BZ107" s="315"/>
      <c r="CA107" s="144" t="s">
        <v>12</v>
      </c>
      <c r="CB107" s="315"/>
      <c r="CC107" s="144" t="n">
        <v>-65.1057851239669</v>
      </c>
      <c r="CD107" s="144" t="n">
        <v>-116.305785123967</v>
      </c>
      <c r="CE107" s="144" t="n">
        <v>-140.305785123967</v>
      </c>
      <c r="CF107" s="315"/>
      <c r="CG107" s="144" t="n">
        <v>-63.3057851239669</v>
      </c>
      <c r="CH107" s="144" t="n">
        <v>-140.105785123967</v>
      </c>
      <c r="CI107" s="144" t="n">
        <v>-207.305785123967</v>
      </c>
      <c r="CJ107" s="144" t="n">
        <v>-207.305785123967</v>
      </c>
      <c r="CK107" s="144" t="n">
        <v>-207.305785123967</v>
      </c>
      <c r="CM107" s="144" t="n">
        <v>313.223140495868</v>
      </c>
      <c r="CO107" s="319"/>
      <c r="CP107" s="320"/>
      <c r="CQ107" s="321" t="s">
        <v>12</v>
      </c>
      <c r="CR107" s="320"/>
      <c r="CS107" s="322" t="n">
        <v>-75.0231404958678</v>
      </c>
      <c r="CT107" s="322" t="n">
        <v>-126.223140495868</v>
      </c>
      <c r="CU107" s="322" t="n">
        <v>-150.223140495868</v>
      </c>
      <c r="CV107" s="323"/>
      <c r="CW107" s="322" t="n">
        <v>-73.2231404958678</v>
      </c>
      <c r="CX107" s="322" t="n">
        <v>-150.023140495868</v>
      </c>
      <c r="CY107" s="322" t="n">
        <v>-217.223140495868</v>
      </c>
      <c r="CZ107" s="322" t="n">
        <v>-217.223140495868</v>
      </c>
      <c r="DA107" s="322" t="n">
        <v>-217.223140495868</v>
      </c>
    </row>
    <row r="108" customFormat="false" ht="12.75" hidden="false" customHeight="false" outlineLevel="0" collapsed="false">
      <c r="B108" s="305" t="s">
        <v>465</v>
      </c>
      <c r="C108" s="305" t="s">
        <v>472</v>
      </c>
      <c r="D108" s="306" t="n">
        <v>754</v>
      </c>
      <c r="E108" s="306" t="n">
        <v>3.25</v>
      </c>
      <c r="F108" s="324" t="s">
        <v>432</v>
      </c>
      <c r="G108" s="144" t="n">
        <v>24</v>
      </c>
      <c r="H108" s="325" t="n">
        <v>613.223140495868</v>
      </c>
      <c r="I108" s="2"/>
      <c r="J108" s="144" t="s">
        <v>12</v>
      </c>
      <c r="K108" s="309" t="s">
        <v>12</v>
      </c>
      <c r="L108" s="310"/>
      <c r="M108" s="311" t="n">
        <v>259</v>
      </c>
      <c r="N108" s="312" t="n">
        <v>8</v>
      </c>
      <c r="O108" s="311" t="n">
        <v>159</v>
      </c>
      <c r="P108" s="312" t="n">
        <v>11</v>
      </c>
      <c r="Q108" s="310" t="n">
        <v>159</v>
      </c>
      <c r="R108" s="312" t="n">
        <v>10</v>
      </c>
      <c r="S108" s="310"/>
      <c r="T108" s="311" t="n">
        <v>0</v>
      </c>
      <c r="U108" s="312" t="n">
        <v>21.5</v>
      </c>
      <c r="V108" s="311" t="n">
        <v>0</v>
      </c>
      <c r="W108" s="312" t="n">
        <v>16.6</v>
      </c>
      <c r="X108" s="311" t="n">
        <v>0</v>
      </c>
      <c r="Y108" s="312" t="n">
        <v>16.5</v>
      </c>
      <c r="Z108" s="313" t="n">
        <v>0</v>
      </c>
      <c r="AA108" s="314" t="n">
        <v>16.5</v>
      </c>
      <c r="AB108" s="313" t="n">
        <v>0</v>
      </c>
      <c r="AC108" s="314" t="n">
        <v>16.5</v>
      </c>
      <c r="AD108" s="315"/>
      <c r="AE108" s="144" t="n">
        <v>141</v>
      </c>
      <c r="AF108" s="315"/>
      <c r="AG108" s="311" t="n">
        <v>0</v>
      </c>
      <c r="AH108" s="309" t="n">
        <v>0</v>
      </c>
      <c r="AI108" s="310"/>
      <c r="AJ108" s="311" t="n">
        <v>303</v>
      </c>
      <c r="AK108" s="309" t="n">
        <v>192</v>
      </c>
      <c r="AL108" s="311" t="n">
        <v>331</v>
      </c>
      <c r="AM108" s="309" t="n">
        <v>264</v>
      </c>
      <c r="AN108" s="310" t="n">
        <v>355</v>
      </c>
      <c r="AO108" s="309" t="n">
        <v>240</v>
      </c>
      <c r="AP108" s="310"/>
      <c r="AQ108" s="311" t="n">
        <v>238</v>
      </c>
      <c r="AR108" s="309" t="n">
        <v>516</v>
      </c>
      <c r="AS108" s="311" t="n">
        <v>356</v>
      </c>
      <c r="AT108" s="309" t="n">
        <v>398.4</v>
      </c>
      <c r="AU108" s="310" t="n">
        <v>358</v>
      </c>
      <c r="AV108" s="309" t="n">
        <v>396</v>
      </c>
      <c r="AW108" s="310" t="n">
        <v>358</v>
      </c>
      <c r="AX108" s="309" t="n">
        <v>396</v>
      </c>
      <c r="AY108" s="310" t="n">
        <v>358</v>
      </c>
      <c r="AZ108" s="309" t="n">
        <v>396</v>
      </c>
      <c r="BB108" s="144" t="n">
        <v>0</v>
      </c>
      <c r="BC108" s="315"/>
      <c r="BD108" s="311" t="n">
        <v>0</v>
      </c>
      <c r="BE108" s="316" t="n">
        <v>0</v>
      </c>
      <c r="BF108" s="310"/>
      <c r="BG108" s="317" t="n">
        <v>0</v>
      </c>
      <c r="BH108" s="318" t="n">
        <v>0</v>
      </c>
      <c r="BI108" s="317" t="n">
        <v>0</v>
      </c>
      <c r="BJ108" s="318" t="n">
        <v>0</v>
      </c>
      <c r="BK108" s="317" t="n">
        <v>0</v>
      </c>
      <c r="BL108" s="318" t="n">
        <v>0</v>
      </c>
      <c r="BM108" s="310"/>
      <c r="BN108" s="317" t="n">
        <v>0</v>
      </c>
      <c r="BO108" s="318" t="n">
        <v>0</v>
      </c>
      <c r="BP108" s="317" t="n">
        <v>0</v>
      </c>
      <c r="BQ108" s="318" t="n">
        <v>2.1</v>
      </c>
      <c r="BR108" s="317" t="n">
        <v>0</v>
      </c>
      <c r="BS108" s="318" t="n">
        <v>2</v>
      </c>
      <c r="BT108" s="317" t="n">
        <v>0</v>
      </c>
      <c r="BU108" s="318" t="n">
        <v>2</v>
      </c>
      <c r="BV108" s="317" t="n">
        <v>0</v>
      </c>
      <c r="BW108" s="318" t="n">
        <v>2</v>
      </c>
      <c r="BY108" s="143"/>
      <c r="BZ108" s="315"/>
      <c r="CA108" s="144" t="s">
        <v>12</v>
      </c>
      <c r="CB108" s="315"/>
      <c r="CC108" s="144" t="n">
        <v>-162.223140495868</v>
      </c>
      <c r="CD108" s="144" t="n">
        <v>-190.223140495868</v>
      </c>
      <c r="CE108" s="144" t="n">
        <v>-214.223140495868</v>
      </c>
      <c r="CF108" s="315"/>
      <c r="CG108" s="144" t="n">
        <v>-97.2231404958678</v>
      </c>
      <c r="CH108" s="144" t="n">
        <v>-214.823140495868</v>
      </c>
      <c r="CI108" s="144" t="n">
        <v>-217.223140495868</v>
      </c>
      <c r="CJ108" s="144" t="n">
        <v>-217.223140495868</v>
      </c>
      <c r="CK108" s="144" t="n">
        <v>-217.223140495868</v>
      </c>
      <c r="CM108" s="144" t="n">
        <v>660.330578512397</v>
      </c>
      <c r="CO108" s="319"/>
      <c r="CP108" s="320"/>
      <c r="CQ108" s="321" t="s">
        <v>12</v>
      </c>
      <c r="CR108" s="320"/>
      <c r="CS108" s="322" t="n">
        <v>-209.330578512397</v>
      </c>
      <c r="CT108" s="322" t="n">
        <v>-237.330578512397</v>
      </c>
      <c r="CU108" s="322" t="n">
        <v>-261.330578512397</v>
      </c>
      <c r="CV108" s="323"/>
      <c r="CW108" s="322" t="n">
        <v>-144.330578512397</v>
      </c>
      <c r="CX108" s="322" t="n">
        <v>-261.930578512397</v>
      </c>
      <c r="CY108" s="322" t="n">
        <v>-264.330578512397</v>
      </c>
      <c r="CZ108" s="322" t="n">
        <v>-264.330578512397</v>
      </c>
      <c r="DA108" s="322" t="n">
        <v>-264.330578512397</v>
      </c>
    </row>
    <row r="109" customFormat="false" ht="12.75" hidden="false" customHeight="false" outlineLevel="0" collapsed="false">
      <c r="B109" s="305" t="s">
        <v>465</v>
      </c>
      <c r="C109" s="305" t="s">
        <v>472</v>
      </c>
      <c r="D109" s="306" t="n">
        <v>754</v>
      </c>
      <c r="E109" s="306" t="n">
        <v>3.25</v>
      </c>
      <c r="F109" s="306" t="s">
        <v>432</v>
      </c>
      <c r="G109" s="307" t="n">
        <v>48</v>
      </c>
      <c r="H109" s="308" t="n">
        <v>613.223140495868</v>
      </c>
      <c r="I109" s="2"/>
      <c r="J109" s="144" t="s">
        <v>12</v>
      </c>
      <c r="K109" s="309" t="s">
        <v>12</v>
      </c>
      <c r="L109" s="310"/>
      <c r="M109" s="311" t="n">
        <v>259</v>
      </c>
      <c r="N109" s="312" t="n">
        <v>4</v>
      </c>
      <c r="O109" s="311" t="n">
        <v>159</v>
      </c>
      <c r="P109" s="312" t="n">
        <v>5.5</v>
      </c>
      <c r="Q109" s="310" t="n">
        <v>159</v>
      </c>
      <c r="R109" s="312" t="n">
        <v>5</v>
      </c>
      <c r="S109" s="310"/>
      <c r="T109" s="311" t="n">
        <v>0</v>
      </c>
      <c r="U109" s="312" t="n">
        <v>10.8</v>
      </c>
      <c r="V109" s="311" t="n">
        <v>0</v>
      </c>
      <c r="W109" s="312" t="n">
        <v>8.3</v>
      </c>
      <c r="X109" s="311" t="n">
        <v>0</v>
      </c>
      <c r="Y109" s="312" t="n">
        <v>8.3</v>
      </c>
      <c r="Z109" s="313" t="n">
        <v>0</v>
      </c>
      <c r="AA109" s="314" t="n">
        <v>8.3</v>
      </c>
      <c r="AB109" s="313" t="n">
        <v>0</v>
      </c>
      <c r="AC109" s="314" t="n">
        <v>8.3</v>
      </c>
      <c r="AD109" s="315"/>
      <c r="AE109" s="144" t="n">
        <v>141</v>
      </c>
      <c r="AF109" s="315"/>
      <c r="AG109" s="311" t="n">
        <v>0</v>
      </c>
      <c r="AH109" s="309" t="n">
        <v>0</v>
      </c>
      <c r="AI109" s="310"/>
      <c r="AJ109" s="311" t="n">
        <v>303</v>
      </c>
      <c r="AK109" s="309" t="n">
        <v>192</v>
      </c>
      <c r="AL109" s="311" t="n">
        <v>331</v>
      </c>
      <c r="AM109" s="309" t="n">
        <v>264</v>
      </c>
      <c r="AN109" s="311" t="n">
        <v>355</v>
      </c>
      <c r="AO109" s="309" t="n">
        <v>240</v>
      </c>
      <c r="AP109" s="310"/>
      <c r="AQ109" s="311" t="n">
        <v>236</v>
      </c>
      <c r="AR109" s="309" t="n">
        <v>518.4</v>
      </c>
      <c r="AS109" s="311" t="n">
        <v>356</v>
      </c>
      <c r="AT109" s="309" t="n">
        <v>398.4</v>
      </c>
      <c r="AU109" s="311" t="n">
        <v>356</v>
      </c>
      <c r="AV109" s="309" t="n">
        <v>398.4</v>
      </c>
      <c r="AW109" s="311" t="n">
        <v>356</v>
      </c>
      <c r="AX109" s="309" t="n">
        <v>398.4</v>
      </c>
      <c r="AY109" s="311" t="n">
        <v>356</v>
      </c>
      <c r="AZ109" s="309" t="n">
        <v>398.4</v>
      </c>
      <c r="BB109" s="144" t="n">
        <v>0</v>
      </c>
      <c r="BC109" s="315"/>
      <c r="BD109" s="311" t="n">
        <v>0</v>
      </c>
      <c r="BE109" s="316" t="n">
        <v>0</v>
      </c>
      <c r="BF109" s="310"/>
      <c r="BG109" s="317" t="n">
        <v>0</v>
      </c>
      <c r="BH109" s="318" t="n">
        <v>0</v>
      </c>
      <c r="BI109" s="317" t="n">
        <v>0</v>
      </c>
      <c r="BJ109" s="318" t="n">
        <v>0</v>
      </c>
      <c r="BK109" s="317" t="n">
        <v>0</v>
      </c>
      <c r="BL109" s="318" t="n">
        <v>0</v>
      </c>
      <c r="BM109" s="310"/>
      <c r="BN109" s="317" t="n">
        <v>0</v>
      </c>
      <c r="BO109" s="318" t="n">
        <v>0</v>
      </c>
      <c r="BP109" s="317" t="n">
        <v>0</v>
      </c>
      <c r="BQ109" s="318" t="n">
        <v>0</v>
      </c>
      <c r="BR109" s="317" t="n">
        <v>0</v>
      </c>
      <c r="BS109" s="318" t="n">
        <v>0</v>
      </c>
      <c r="BT109" s="317" t="n">
        <v>0</v>
      </c>
      <c r="BU109" s="318" t="n">
        <v>0</v>
      </c>
      <c r="BV109" s="317" t="n">
        <v>0</v>
      </c>
      <c r="BW109" s="318" t="n">
        <v>0</v>
      </c>
      <c r="BY109" s="143"/>
      <c r="BZ109" s="315"/>
      <c r="CA109" s="144" t="s">
        <v>12</v>
      </c>
      <c r="CB109" s="315"/>
      <c r="CC109" s="144" t="n">
        <v>-162.223140495868</v>
      </c>
      <c r="CD109" s="144" t="n">
        <v>-190.223140495868</v>
      </c>
      <c r="CE109" s="144" t="n">
        <v>-214.223140495868</v>
      </c>
      <c r="CF109" s="315"/>
      <c r="CG109" s="144" t="n">
        <v>-94.8231404958677</v>
      </c>
      <c r="CH109" s="144" t="n">
        <v>-214.823140495868</v>
      </c>
      <c r="CI109" s="144" t="n">
        <v>-214.823140495868</v>
      </c>
      <c r="CJ109" s="144" t="n">
        <v>-214.823140495868</v>
      </c>
      <c r="CK109" s="144" t="n">
        <v>-214.823140495868</v>
      </c>
      <c r="CM109" s="144" t="n">
        <v>660.330578512397</v>
      </c>
      <c r="CO109" s="319"/>
      <c r="CP109" s="320"/>
      <c r="CQ109" s="321" t="s">
        <v>12</v>
      </c>
      <c r="CR109" s="320"/>
      <c r="CS109" s="322" t="n">
        <v>-209.330578512397</v>
      </c>
      <c r="CT109" s="322" t="n">
        <v>-237.330578512397</v>
      </c>
      <c r="CU109" s="322" t="n">
        <v>-261.330578512397</v>
      </c>
      <c r="CV109" s="323"/>
      <c r="CW109" s="322" t="n">
        <v>-141.930578512397</v>
      </c>
      <c r="CX109" s="322" t="n">
        <v>-261.930578512397</v>
      </c>
      <c r="CY109" s="322" t="n">
        <v>-261.930578512397</v>
      </c>
      <c r="CZ109" s="322" t="n">
        <v>-261.930578512397</v>
      </c>
      <c r="DA109" s="322" t="n">
        <v>-261.930578512397</v>
      </c>
    </row>
    <row r="110" customFormat="false" ht="12.75" hidden="false" customHeight="false" outlineLevel="0" collapsed="false">
      <c r="B110" s="305" t="s">
        <v>200</v>
      </c>
      <c r="C110" s="305" t="s">
        <v>473</v>
      </c>
      <c r="D110" s="306" t="n">
        <v>186</v>
      </c>
      <c r="E110" s="306" t="n">
        <v>3.25</v>
      </c>
      <c r="F110" s="324" t="s">
        <v>432</v>
      </c>
      <c r="G110" s="144" t="n">
        <v>24</v>
      </c>
      <c r="H110" s="325" t="n">
        <v>166.115702479339</v>
      </c>
      <c r="I110" s="2"/>
      <c r="J110" s="144" t="s">
        <v>12</v>
      </c>
      <c r="K110" s="309" t="s">
        <v>12</v>
      </c>
      <c r="L110" s="310"/>
      <c r="M110" s="311" t="n">
        <v>29</v>
      </c>
      <c r="N110" s="312" t="n">
        <v>1.5</v>
      </c>
      <c r="O110" s="311" t="n">
        <v>0</v>
      </c>
      <c r="P110" s="312" t="n">
        <v>1.5</v>
      </c>
      <c r="Q110" s="310" t="n">
        <v>0</v>
      </c>
      <c r="R110" s="312" t="n">
        <v>1</v>
      </c>
      <c r="S110" s="310"/>
      <c r="T110" s="311" t="n">
        <v>0</v>
      </c>
      <c r="U110" s="312" t="n">
        <v>5.6</v>
      </c>
      <c r="V110" s="311" t="n">
        <v>0</v>
      </c>
      <c r="W110" s="312" t="n">
        <v>3.4</v>
      </c>
      <c r="X110" s="311" t="n">
        <v>0</v>
      </c>
      <c r="Y110" s="312" t="n">
        <v>0.7</v>
      </c>
      <c r="Z110" s="313" t="n">
        <v>0</v>
      </c>
      <c r="AA110" s="314" t="n">
        <v>0.7</v>
      </c>
      <c r="AB110" s="313" t="n">
        <v>0</v>
      </c>
      <c r="AC110" s="314" t="n">
        <v>0.7</v>
      </c>
      <c r="AD110" s="315"/>
      <c r="AE110" s="144" t="n">
        <v>20</v>
      </c>
      <c r="AF110" s="315"/>
      <c r="AG110" s="311" t="n">
        <v>0</v>
      </c>
      <c r="AH110" s="309" t="n">
        <v>0</v>
      </c>
      <c r="AI110" s="310"/>
      <c r="AJ110" s="311" t="n">
        <v>121</v>
      </c>
      <c r="AK110" s="309" t="n">
        <v>36</v>
      </c>
      <c r="AL110" s="311" t="n">
        <v>150</v>
      </c>
      <c r="AM110" s="309" t="n">
        <v>36</v>
      </c>
      <c r="AN110" s="310" t="n">
        <v>162</v>
      </c>
      <c r="AO110" s="309" t="n">
        <v>24</v>
      </c>
      <c r="AP110" s="310"/>
      <c r="AQ110" s="311" t="n">
        <v>52</v>
      </c>
      <c r="AR110" s="309" t="n">
        <v>134.4</v>
      </c>
      <c r="AS110" s="311" t="n">
        <v>104</v>
      </c>
      <c r="AT110" s="309" t="n">
        <v>81.6</v>
      </c>
      <c r="AU110" s="310" t="n">
        <v>169</v>
      </c>
      <c r="AV110" s="309" t="n">
        <v>16.8</v>
      </c>
      <c r="AW110" s="310" t="n">
        <v>169</v>
      </c>
      <c r="AX110" s="309" t="n">
        <v>16.8</v>
      </c>
      <c r="AY110" s="310" t="n">
        <v>169</v>
      </c>
      <c r="AZ110" s="309" t="n">
        <v>16.8</v>
      </c>
      <c r="BB110" s="144" t="n">
        <v>0</v>
      </c>
      <c r="BC110" s="315"/>
      <c r="BD110" s="311" t="n">
        <v>0</v>
      </c>
      <c r="BE110" s="316" t="n">
        <v>0</v>
      </c>
      <c r="BF110" s="310"/>
      <c r="BG110" s="317" t="n">
        <v>0</v>
      </c>
      <c r="BH110" s="318" t="n">
        <v>0</v>
      </c>
      <c r="BI110" s="317" t="n">
        <v>0</v>
      </c>
      <c r="BJ110" s="318" t="n">
        <v>0</v>
      </c>
      <c r="BK110" s="317" t="n">
        <v>0</v>
      </c>
      <c r="BL110" s="318" t="n">
        <v>0</v>
      </c>
      <c r="BM110" s="310"/>
      <c r="BN110" s="317" t="n">
        <v>0</v>
      </c>
      <c r="BO110" s="318" t="n">
        <v>0</v>
      </c>
      <c r="BP110" s="317" t="n">
        <v>0</v>
      </c>
      <c r="BQ110" s="318" t="n">
        <v>1.7</v>
      </c>
      <c r="BR110" s="317" t="n">
        <v>0</v>
      </c>
      <c r="BS110" s="318" t="n">
        <v>0</v>
      </c>
      <c r="BT110" s="317" t="n">
        <v>0</v>
      </c>
      <c r="BU110" s="318" t="n">
        <v>0</v>
      </c>
      <c r="BV110" s="317" t="n">
        <v>0</v>
      </c>
      <c r="BW110" s="318" t="n">
        <v>0</v>
      </c>
      <c r="BY110" s="143"/>
      <c r="BZ110" s="315"/>
      <c r="CA110" s="144" t="s">
        <v>12</v>
      </c>
      <c r="CB110" s="315"/>
      <c r="CC110" s="144" t="n">
        <v>-101.115702479339</v>
      </c>
      <c r="CD110" s="144" t="n">
        <v>-130.115702479339</v>
      </c>
      <c r="CE110" s="144" t="n">
        <v>-142.115702479339</v>
      </c>
      <c r="CF110" s="315"/>
      <c r="CG110" s="144" t="n">
        <v>-31.7157024793388</v>
      </c>
      <c r="CH110" s="144" t="n">
        <v>-84.5157024793388</v>
      </c>
      <c r="CI110" s="144" t="n">
        <v>-149.315702479339</v>
      </c>
      <c r="CJ110" s="144" t="n">
        <v>-149.315702479339</v>
      </c>
      <c r="CK110" s="144" t="n">
        <v>-149.315702479339</v>
      </c>
      <c r="CM110" s="144" t="n">
        <v>161.214876033058</v>
      </c>
      <c r="CO110" s="319"/>
      <c r="CP110" s="320"/>
      <c r="CQ110" s="321" t="s">
        <v>12</v>
      </c>
      <c r="CR110" s="320"/>
      <c r="CS110" s="322" t="n">
        <v>-96.2148760330579</v>
      </c>
      <c r="CT110" s="322" t="n">
        <v>-125.214876033058</v>
      </c>
      <c r="CU110" s="322" t="n">
        <v>-137.214876033058</v>
      </c>
      <c r="CV110" s="323"/>
      <c r="CW110" s="322" t="n">
        <v>-26.8148760330579</v>
      </c>
      <c r="CX110" s="322" t="n">
        <v>-79.6148760330579</v>
      </c>
      <c r="CY110" s="322" t="n">
        <v>-144.414876033058</v>
      </c>
      <c r="CZ110" s="322" t="n">
        <v>-144.414876033058</v>
      </c>
      <c r="DA110" s="322" t="n">
        <v>-144.414876033058</v>
      </c>
    </row>
    <row r="111" customFormat="false" ht="12.75" hidden="false" customHeight="false" outlineLevel="0" collapsed="false">
      <c r="B111" s="305" t="s">
        <v>200</v>
      </c>
      <c r="C111" s="305" t="s">
        <v>474</v>
      </c>
      <c r="D111" s="306" t="n">
        <v>248</v>
      </c>
      <c r="E111" s="306" t="n">
        <v>3.25</v>
      </c>
      <c r="F111" s="306" t="s">
        <v>432</v>
      </c>
      <c r="G111" s="307" t="n">
        <v>24</v>
      </c>
      <c r="H111" s="308" t="n">
        <v>190.909090909091</v>
      </c>
      <c r="I111" s="2"/>
      <c r="J111" s="144" t="s">
        <v>12</v>
      </c>
      <c r="K111" s="309" t="s">
        <v>12</v>
      </c>
      <c r="L111" s="310"/>
      <c r="M111" s="311" t="n">
        <v>29</v>
      </c>
      <c r="N111" s="312" t="n">
        <v>4.8</v>
      </c>
      <c r="O111" s="311" t="n">
        <v>0</v>
      </c>
      <c r="P111" s="312" t="n">
        <v>3.4</v>
      </c>
      <c r="Q111" s="310" t="n">
        <v>0</v>
      </c>
      <c r="R111" s="312" t="n">
        <v>2.5</v>
      </c>
      <c r="S111" s="310"/>
      <c r="T111" s="311" t="n">
        <v>0</v>
      </c>
      <c r="U111" s="312" t="n">
        <v>6.7</v>
      </c>
      <c r="V111" s="311" t="n">
        <v>0</v>
      </c>
      <c r="W111" s="312" t="n">
        <v>4.2</v>
      </c>
      <c r="X111" s="311" t="n">
        <v>0</v>
      </c>
      <c r="Y111" s="312" t="n">
        <v>1.5</v>
      </c>
      <c r="Z111" s="313" t="n">
        <v>0</v>
      </c>
      <c r="AA111" s="314" t="n">
        <v>1.5</v>
      </c>
      <c r="AB111" s="313" t="n">
        <v>0</v>
      </c>
      <c r="AC111" s="314" t="n">
        <v>1.5</v>
      </c>
      <c r="AD111" s="315"/>
      <c r="AE111" s="144" t="n">
        <v>57</v>
      </c>
      <c r="AF111" s="315"/>
      <c r="AG111" s="311" t="n">
        <v>0</v>
      </c>
      <c r="AH111" s="309" t="n">
        <v>0</v>
      </c>
      <c r="AI111" s="310"/>
      <c r="AJ111" s="311" t="n">
        <v>104</v>
      </c>
      <c r="AK111" s="309" t="n">
        <v>115.2</v>
      </c>
      <c r="AL111" s="311" t="n">
        <v>166</v>
      </c>
      <c r="AM111" s="309" t="n">
        <v>81.6</v>
      </c>
      <c r="AN111" s="311" t="n">
        <v>188</v>
      </c>
      <c r="AO111" s="309" t="n">
        <v>60</v>
      </c>
      <c r="AP111" s="310"/>
      <c r="AQ111" s="311" t="n">
        <v>87</v>
      </c>
      <c r="AR111" s="309" t="n">
        <v>160.8</v>
      </c>
      <c r="AS111" s="311" t="n">
        <v>147</v>
      </c>
      <c r="AT111" s="309" t="n">
        <v>100.8</v>
      </c>
      <c r="AU111" s="311" t="n">
        <v>212</v>
      </c>
      <c r="AV111" s="309" t="n">
        <v>36</v>
      </c>
      <c r="AW111" s="311" t="n">
        <v>212</v>
      </c>
      <c r="AX111" s="309" t="n">
        <v>36</v>
      </c>
      <c r="AY111" s="311" t="n">
        <v>212</v>
      </c>
      <c r="AZ111" s="309" t="n">
        <v>36</v>
      </c>
      <c r="BB111" s="144" t="n">
        <v>0</v>
      </c>
      <c r="BC111" s="315"/>
      <c r="BD111" s="311" t="n">
        <v>0</v>
      </c>
      <c r="BE111" s="316" t="n">
        <v>0</v>
      </c>
      <c r="BF111" s="310"/>
      <c r="BG111" s="317" t="n">
        <v>0</v>
      </c>
      <c r="BH111" s="318" t="n">
        <v>0.2</v>
      </c>
      <c r="BI111" s="317" t="n">
        <v>0</v>
      </c>
      <c r="BJ111" s="318" t="n">
        <v>0.7</v>
      </c>
      <c r="BK111" s="317" t="n">
        <v>0</v>
      </c>
      <c r="BL111" s="318" t="n">
        <v>0.6</v>
      </c>
      <c r="BM111" s="310"/>
      <c r="BN111" s="317" t="n">
        <v>0</v>
      </c>
      <c r="BO111" s="318" t="n">
        <v>-0.2</v>
      </c>
      <c r="BP111" s="317" t="n">
        <v>0</v>
      </c>
      <c r="BQ111" s="318" t="n">
        <v>1.1</v>
      </c>
      <c r="BR111" s="317" t="n">
        <v>0</v>
      </c>
      <c r="BS111" s="318" t="n">
        <v>0</v>
      </c>
      <c r="BT111" s="317" t="n">
        <v>0</v>
      </c>
      <c r="BU111" s="318" t="n">
        <v>0</v>
      </c>
      <c r="BV111" s="317" t="n">
        <v>0</v>
      </c>
      <c r="BW111" s="318" t="n">
        <v>0</v>
      </c>
      <c r="BY111" s="143"/>
      <c r="BZ111" s="315"/>
      <c r="CA111" s="144" t="s">
        <v>12</v>
      </c>
      <c r="CB111" s="315"/>
      <c r="CC111" s="144" t="n">
        <v>-46.7090909090909</v>
      </c>
      <c r="CD111" s="144" t="n">
        <v>-109.309090909091</v>
      </c>
      <c r="CE111" s="144" t="n">
        <v>-130.909090909091</v>
      </c>
      <c r="CF111" s="315"/>
      <c r="CG111" s="144" t="n">
        <v>-30.1090909090909</v>
      </c>
      <c r="CH111" s="144" t="n">
        <v>-90.1090909090909</v>
      </c>
      <c r="CI111" s="144" t="n">
        <v>-154.909090909091</v>
      </c>
      <c r="CJ111" s="144" t="n">
        <v>-154.909090909091</v>
      </c>
      <c r="CK111" s="144" t="n">
        <v>-154.909090909091</v>
      </c>
      <c r="CM111" s="144" t="n">
        <v>186.00826446281</v>
      </c>
      <c r="CO111" s="319"/>
      <c r="CP111" s="320"/>
      <c r="CQ111" s="321" t="s">
        <v>12</v>
      </c>
      <c r="CR111" s="320"/>
      <c r="CS111" s="322" t="n">
        <v>-41.8082644628099</v>
      </c>
      <c r="CT111" s="322" t="n">
        <v>-104.40826446281</v>
      </c>
      <c r="CU111" s="322" t="n">
        <v>-126.00826446281</v>
      </c>
      <c r="CV111" s="323"/>
      <c r="CW111" s="322" t="n">
        <v>-25.2082644628099</v>
      </c>
      <c r="CX111" s="322" t="n">
        <v>-85.2082644628099</v>
      </c>
      <c r="CY111" s="322" t="n">
        <v>-150.00826446281</v>
      </c>
      <c r="CZ111" s="322" t="n">
        <v>-150.00826446281</v>
      </c>
      <c r="DA111" s="322" t="n">
        <v>-150.00826446281</v>
      </c>
    </row>
    <row r="112" customFormat="false" ht="12.75" hidden="false" customHeight="false" outlineLevel="0" collapsed="false">
      <c r="B112" s="305" t="s">
        <v>200</v>
      </c>
      <c r="C112" s="305" t="s">
        <v>474</v>
      </c>
      <c r="D112" s="306" t="n">
        <v>248</v>
      </c>
      <c r="E112" s="306" t="n">
        <v>3.25</v>
      </c>
      <c r="F112" s="324" t="s">
        <v>432</v>
      </c>
      <c r="G112" s="144" t="n">
        <v>48</v>
      </c>
      <c r="H112" s="325" t="n">
        <v>190.909090909091</v>
      </c>
      <c r="I112" s="2"/>
      <c r="J112" s="144" t="s">
        <v>12</v>
      </c>
      <c r="K112" s="309" t="s">
        <v>12</v>
      </c>
      <c r="L112" s="310"/>
      <c r="M112" s="311" t="n">
        <v>29</v>
      </c>
      <c r="N112" s="312" t="n">
        <v>2.4</v>
      </c>
      <c r="O112" s="311" t="n">
        <v>0</v>
      </c>
      <c r="P112" s="312" t="n">
        <v>1.7</v>
      </c>
      <c r="Q112" s="310" t="n">
        <v>0</v>
      </c>
      <c r="R112" s="312" t="n">
        <v>1.3</v>
      </c>
      <c r="S112" s="310"/>
      <c r="T112" s="311" t="n">
        <v>0</v>
      </c>
      <c r="U112" s="312" t="n">
        <v>3.4</v>
      </c>
      <c r="V112" s="311" t="n">
        <v>0</v>
      </c>
      <c r="W112" s="312" t="n">
        <v>2.1</v>
      </c>
      <c r="X112" s="311" t="n">
        <v>0</v>
      </c>
      <c r="Y112" s="312" t="n">
        <v>0.8</v>
      </c>
      <c r="Z112" s="313" t="n">
        <v>0</v>
      </c>
      <c r="AA112" s="314" t="n">
        <v>0.8</v>
      </c>
      <c r="AB112" s="313" t="n">
        <v>0</v>
      </c>
      <c r="AC112" s="314" t="n">
        <v>0.8</v>
      </c>
      <c r="AD112" s="315"/>
      <c r="AE112" s="144" t="n">
        <v>57</v>
      </c>
      <c r="AF112" s="315"/>
      <c r="AG112" s="311" t="n">
        <v>0</v>
      </c>
      <c r="AH112" s="309" t="n">
        <v>0</v>
      </c>
      <c r="AI112" s="310"/>
      <c r="AJ112" s="311" t="n">
        <v>104</v>
      </c>
      <c r="AK112" s="309" t="n">
        <v>115.2</v>
      </c>
      <c r="AL112" s="311" t="n">
        <v>166</v>
      </c>
      <c r="AM112" s="309" t="n">
        <v>81.6</v>
      </c>
      <c r="AN112" s="310" t="n">
        <v>186</v>
      </c>
      <c r="AO112" s="309" t="n">
        <v>62.4</v>
      </c>
      <c r="AP112" s="310"/>
      <c r="AQ112" s="311" t="n">
        <v>85</v>
      </c>
      <c r="AR112" s="309" t="n">
        <v>163.2</v>
      </c>
      <c r="AS112" s="311" t="n">
        <v>147</v>
      </c>
      <c r="AT112" s="309" t="n">
        <v>100.8</v>
      </c>
      <c r="AU112" s="310" t="n">
        <v>210</v>
      </c>
      <c r="AV112" s="309" t="n">
        <v>38.4</v>
      </c>
      <c r="AW112" s="310" t="n">
        <v>210</v>
      </c>
      <c r="AX112" s="309" t="n">
        <v>38.4</v>
      </c>
      <c r="AY112" s="310" t="n">
        <v>210</v>
      </c>
      <c r="AZ112" s="309" t="n">
        <v>38.4</v>
      </c>
      <c r="BB112" s="144" t="n">
        <v>0</v>
      </c>
      <c r="BC112" s="315"/>
      <c r="BD112" s="311" t="n">
        <v>0</v>
      </c>
      <c r="BE112" s="316" t="n">
        <v>0</v>
      </c>
      <c r="BF112" s="310"/>
      <c r="BG112" s="317" t="n">
        <v>0</v>
      </c>
      <c r="BH112" s="318" t="n">
        <v>0</v>
      </c>
      <c r="BI112" s="317" t="n">
        <v>0</v>
      </c>
      <c r="BJ112" s="318" t="n">
        <v>0</v>
      </c>
      <c r="BK112" s="317" t="n">
        <v>0</v>
      </c>
      <c r="BL112" s="318" t="n">
        <v>0</v>
      </c>
      <c r="BM112" s="310"/>
      <c r="BN112" s="317" t="n">
        <v>0</v>
      </c>
      <c r="BO112" s="318" t="n">
        <v>0</v>
      </c>
      <c r="BP112" s="317" t="n">
        <v>0</v>
      </c>
      <c r="BQ112" s="318" t="n">
        <v>0</v>
      </c>
      <c r="BR112" s="317" t="n">
        <v>0</v>
      </c>
      <c r="BS112" s="318" t="n">
        <v>0</v>
      </c>
      <c r="BT112" s="317" t="n">
        <v>0</v>
      </c>
      <c r="BU112" s="318" t="n">
        <v>0</v>
      </c>
      <c r="BV112" s="317" t="n">
        <v>0</v>
      </c>
      <c r="BW112" s="318" t="n">
        <v>0</v>
      </c>
      <c r="BY112" s="143"/>
      <c r="BZ112" s="315"/>
      <c r="CA112" s="144" t="s">
        <v>12</v>
      </c>
      <c r="CB112" s="315"/>
      <c r="CC112" s="144" t="n">
        <v>-46.7090909090909</v>
      </c>
      <c r="CD112" s="144" t="n">
        <v>-109.309090909091</v>
      </c>
      <c r="CE112" s="144" t="n">
        <v>-128.509090909091</v>
      </c>
      <c r="CF112" s="315"/>
      <c r="CG112" s="144" t="n">
        <v>-27.7090909090909</v>
      </c>
      <c r="CH112" s="144" t="n">
        <v>-90.1090909090909</v>
      </c>
      <c r="CI112" s="144" t="n">
        <v>-152.509090909091</v>
      </c>
      <c r="CJ112" s="144" t="n">
        <v>-152.509090909091</v>
      </c>
      <c r="CK112" s="144" t="n">
        <v>-152.509090909091</v>
      </c>
      <c r="CM112" s="144" t="n">
        <v>186.00826446281</v>
      </c>
      <c r="CO112" s="319"/>
      <c r="CP112" s="320"/>
      <c r="CQ112" s="321" t="s">
        <v>12</v>
      </c>
      <c r="CR112" s="320"/>
      <c r="CS112" s="322" t="n">
        <v>-41.8082644628099</v>
      </c>
      <c r="CT112" s="322" t="n">
        <v>-104.40826446281</v>
      </c>
      <c r="CU112" s="322" t="n">
        <v>-123.60826446281</v>
      </c>
      <c r="CV112" s="323"/>
      <c r="CW112" s="322" t="n">
        <v>-22.8082644628099</v>
      </c>
      <c r="CX112" s="322" t="n">
        <v>-85.2082644628099</v>
      </c>
      <c r="CY112" s="322" t="n">
        <v>-147.60826446281</v>
      </c>
      <c r="CZ112" s="322" t="n">
        <v>-147.60826446281</v>
      </c>
      <c r="DA112" s="322" t="n">
        <v>-147.60826446281</v>
      </c>
    </row>
    <row r="113" customFormat="false" ht="12.75" hidden="false" customHeight="false" outlineLevel="0" collapsed="false">
      <c r="B113" s="305" t="s">
        <v>200</v>
      </c>
      <c r="C113" s="305" t="s">
        <v>475</v>
      </c>
      <c r="D113" s="306" t="n">
        <v>308</v>
      </c>
      <c r="E113" s="306" t="n">
        <v>3.25</v>
      </c>
      <c r="F113" s="306" t="s">
        <v>432</v>
      </c>
      <c r="G113" s="307" t="n">
        <v>24</v>
      </c>
      <c r="H113" s="308" t="n">
        <v>278.512396694215</v>
      </c>
      <c r="I113" s="2"/>
      <c r="J113" s="144" t="s">
        <v>12</v>
      </c>
      <c r="K113" s="309" t="s">
        <v>12</v>
      </c>
      <c r="L113" s="310"/>
      <c r="M113" s="311" t="n">
        <v>39</v>
      </c>
      <c r="N113" s="312" t="n">
        <v>7.7</v>
      </c>
      <c r="O113" s="311" t="n">
        <v>0</v>
      </c>
      <c r="P113" s="312" t="n">
        <v>6.5</v>
      </c>
      <c r="Q113" s="310" t="n">
        <v>0</v>
      </c>
      <c r="R113" s="312" t="n">
        <v>5.6</v>
      </c>
      <c r="S113" s="310"/>
      <c r="T113" s="311" t="n">
        <v>0</v>
      </c>
      <c r="U113" s="312" t="n">
        <v>8.9</v>
      </c>
      <c r="V113" s="311" t="n">
        <v>0</v>
      </c>
      <c r="W113" s="312" t="n">
        <v>5.8</v>
      </c>
      <c r="X113" s="311" t="n">
        <v>0</v>
      </c>
      <c r="Y113" s="312" t="n">
        <v>5.8</v>
      </c>
      <c r="Z113" s="313" t="n">
        <v>0</v>
      </c>
      <c r="AA113" s="314" t="n">
        <v>3</v>
      </c>
      <c r="AB113" s="313" t="n">
        <v>0</v>
      </c>
      <c r="AC113" s="314" t="n">
        <v>3</v>
      </c>
      <c r="AD113" s="315"/>
      <c r="AE113" s="144" t="n">
        <v>29</v>
      </c>
      <c r="AF113" s="315"/>
      <c r="AG113" s="311" t="n">
        <v>0</v>
      </c>
      <c r="AH113" s="309" t="n">
        <v>0</v>
      </c>
      <c r="AI113" s="310"/>
      <c r="AJ113" s="311" t="n">
        <v>84</v>
      </c>
      <c r="AK113" s="309" t="n">
        <v>184.8</v>
      </c>
      <c r="AL113" s="311" t="n">
        <v>152</v>
      </c>
      <c r="AM113" s="309" t="n">
        <v>156</v>
      </c>
      <c r="AN113" s="311" t="n">
        <v>174</v>
      </c>
      <c r="AO113" s="309" t="n">
        <v>134.4</v>
      </c>
      <c r="AP113" s="310"/>
      <c r="AQ113" s="311" t="n">
        <v>94</v>
      </c>
      <c r="AR113" s="309" t="n">
        <v>213.6</v>
      </c>
      <c r="AS113" s="311" t="n">
        <v>169</v>
      </c>
      <c r="AT113" s="309" t="n">
        <v>139.2</v>
      </c>
      <c r="AU113" s="311" t="n">
        <v>169</v>
      </c>
      <c r="AV113" s="309" t="n">
        <v>139.2</v>
      </c>
      <c r="AW113" s="311" t="n">
        <v>236</v>
      </c>
      <c r="AX113" s="309" t="n">
        <v>72</v>
      </c>
      <c r="AY113" s="311" t="n">
        <v>236</v>
      </c>
      <c r="AZ113" s="309" t="n">
        <v>72</v>
      </c>
      <c r="BB113" s="144" t="n">
        <v>0</v>
      </c>
      <c r="BC113" s="315"/>
      <c r="BD113" s="311" t="n">
        <v>0</v>
      </c>
      <c r="BE113" s="316" t="n">
        <v>0</v>
      </c>
      <c r="BF113" s="310"/>
      <c r="BG113" s="317" t="n">
        <v>-60</v>
      </c>
      <c r="BH113" s="318" t="n">
        <v>2.5</v>
      </c>
      <c r="BI113" s="317" t="n">
        <v>-19</v>
      </c>
      <c r="BJ113" s="318" t="n">
        <v>0.9</v>
      </c>
      <c r="BK113" s="317" t="n">
        <v>-19</v>
      </c>
      <c r="BL113" s="318" t="n">
        <v>0.8</v>
      </c>
      <c r="BM113" s="310"/>
      <c r="BN113" s="317" t="n">
        <v>0</v>
      </c>
      <c r="BO113" s="318" t="n">
        <v>-0.4</v>
      </c>
      <c r="BP113" s="317" t="n">
        <v>0</v>
      </c>
      <c r="BQ113" s="318" t="n">
        <v>1.6</v>
      </c>
      <c r="BR113" s="317" t="n">
        <v>0</v>
      </c>
      <c r="BS113" s="318" t="n">
        <v>1.6</v>
      </c>
      <c r="BT113" s="317" t="n">
        <v>0</v>
      </c>
      <c r="BU113" s="318" t="n">
        <v>0</v>
      </c>
      <c r="BV113" s="317" t="n">
        <v>0</v>
      </c>
      <c r="BW113" s="318" t="n">
        <v>0</v>
      </c>
      <c r="BY113" s="143"/>
      <c r="BZ113" s="315"/>
      <c r="CA113" s="144" t="s">
        <v>12</v>
      </c>
      <c r="CB113" s="315"/>
      <c r="CC113" s="144" t="n">
        <v>-54.7123966942149</v>
      </c>
      <c r="CD113" s="144" t="n">
        <v>-122.512396694215</v>
      </c>
      <c r="CE113" s="144" t="n">
        <v>-144.112396694215</v>
      </c>
      <c r="CF113" s="315"/>
      <c r="CG113" s="144" t="n">
        <v>-64.9123966942149</v>
      </c>
      <c r="CH113" s="144" t="n">
        <v>-139.312396694215</v>
      </c>
      <c r="CI113" s="144" t="n">
        <v>-139.312396694215</v>
      </c>
      <c r="CJ113" s="144" t="n">
        <v>-206.512396694215</v>
      </c>
      <c r="CK113" s="144" t="n">
        <v>-206.512396694215</v>
      </c>
      <c r="CM113" s="144" t="n">
        <v>247.107438016529</v>
      </c>
      <c r="CO113" s="319"/>
      <c r="CP113" s="320"/>
      <c r="CQ113" s="321" t="s">
        <v>12</v>
      </c>
      <c r="CR113" s="320"/>
      <c r="CS113" s="322" t="n">
        <v>-23.3074380165289</v>
      </c>
      <c r="CT113" s="322" t="n">
        <v>-91.1074380165289</v>
      </c>
      <c r="CU113" s="322" t="n">
        <v>-112.707438016529</v>
      </c>
      <c r="CV113" s="323"/>
      <c r="CW113" s="322" t="n">
        <v>-33.5074380165289</v>
      </c>
      <c r="CX113" s="322" t="n">
        <v>-107.907438016529</v>
      </c>
      <c r="CY113" s="322" t="n">
        <v>-107.907438016529</v>
      </c>
      <c r="CZ113" s="322" t="n">
        <v>-175.107438016529</v>
      </c>
      <c r="DA113" s="322" t="n">
        <v>-175.107438016529</v>
      </c>
    </row>
    <row r="114" customFormat="false" ht="12.75" hidden="false" customHeight="false" outlineLevel="0" collapsed="false">
      <c r="B114" s="305" t="s">
        <v>200</v>
      </c>
      <c r="C114" s="305" t="s">
        <v>475</v>
      </c>
      <c r="D114" s="306" t="n">
        <v>308</v>
      </c>
      <c r="E114" s="306" t="n">
        <v>3.25</v>
      </c>
      <c r="F114" s="324" t="s">
        <v>432</v>
      </c>
      <c r="G114" s="144" t="n">
        <v>48</v>
      </c>
      <c r="H114" s="325" t="n">
        <v>278.512396694215</v>
      </c>
      <c r="I114" s="2"/>
      <c r="J114" s="144" t="s">
        <v>12</v>
      </c>
      <c r="K114" s="309" t="s">
        <v>12</v>
      </c>
      <c r="L114" s="310"/>
      <c r="M114" s="311" t="n">
        <v>39</v>
      </c>
      <c r="N114" s="312" t="n">
        <v>3.9</v>
      </c>
      <c r="O114" s="311" t="n">
        <v>0</v>
      </c>
      <c r="P114" s="312" t="n">
        <v>3.3</v>
      </c>
      <c r="Q114" s="310" t="n">
        <v>0</v>
      </c>
      <c r="R114" s="312" t="n">
        <v>2.8</v>
      </c>
      <c r="S114" s="310"/>
      <c r="T114" s="311" t="n">
        <v>0</v>
      </c>
      <c r="U114" s="312" t="n">
        <v>4.5</v>
      </c>
      <c r="V114" s="311" t="n">
        <v>0</v>
      </c>
      <c r="W114" s="312" t="n">
        <v>2.9</v>
      </c>
      <c r="X114" s="311" t="n">
        <v>0</v>
      </c>
      <c r="Y114" s="312" t="n">
        <v>2.9</v>
      </c>
      <c r="Z114" s="313" t="n">
        <v>0</v>
      </c>
      <c r="AA114" s="314" t="n">
        <v>1.5</v>
      </c>
      <c r="AB114" s="313" t="n">
        <v>0</v>
      </c>
      <c r="AC114" s="314" t="n">
        <v>1.5</v>
      </c>
      <c r="AD114" s="315"/>
      <c r="AE114" s="144" t="n">
        <v>29</v>
      </c>
      <c r="AF114" s="315"/>
      <c r="AG114" s="311" t="n">
        <v>0</v>
      </c>
      <c r="AH114" s="309" t="n">
        <v>0</v>
      </c>
      <c r="AI114" s="310"/>
      <c r="AJ114" s="311" t="n">
        <v>82</v>
      </c>
      <c r="AK114" s="309" t="n">
        <v>187.2</v>
      </c>
      <c r="AL114" s="311" t="n">
        <v>150</v>
      </c>
      <c r="AM114" s="309" t="n">
        <v>158.4</v>
      </c>
      <c r="AN114" s="310" t="n">
        <v>174</v>
      </c>
      <c r="AO114" s="309" t="n">
        <v>134.4</v>
      </c>
      <c r="AP114" s="310"/>
      <c r="AQ114" s="311" t="n">
        <v>92</v>
      </c>
      <c r="AR114" s="309" t="n">
        <v>216</v>
      </c>
      <c r="AS114" s="311" t="n">
        <v>169</v>
      </c>
      <c r="AT114" s="309" t="n">
        <v>139.2</v>
      </c>
      <c r="AU114" s="310" t="n">
        <v>169</v>
      </c>
      <c r="AV114" s="309" t="n">
        <v>139.2</v>
      </c>
      <c r="AW114" s="310" t="n">
        <v>236</v>
      </c>
      <c r="AX114" s="309" t="n">
        <v>72</v>
      </c>
      <c r="AY114" s="310" t="n">
        <v>236</v>
      </c>
      <c r="AZ114" s="309" t="n">
        <v>72</v>
      </c>
      <c r="BB114" s="144" t="n">
        <v>0</v>
      </c>
      <c r="BC114" s="315"/>
      <c r="BD114" s="311" t="n">
        <v>0</v>
      </c>
      <c r="BE114" s="316" t="n">
        <v>0</v>
      </c>
      <c r="BF114" s="310"/>
      <c r="BG114" s="317" t="n">
        <v>0</v>
      </c>
      <c r="BH114" s="318" t="n">
        <v>0</v>
      </c>
      <c r="BI114" s="317" t="n">
        <v>0</v>
      </c>
      <c r="BJ114" s="318" t="n">
        <v>0</v>
      </c>
      <c r="BK114" s="317" t="n">
        <v>0</v>
      </c>
      <c r="BL114" s="318" t="n">
        <v>0</v>
      </c>
      <c r="BM114" s="310"/>
      <c r="BN114" s="317" t="n">
        <v>0</v>
      </c>
      <c r="BO114" s="318" t="n">
        <v>0</v>
      </c>
      <c r="BP114" s="317" t="n">
        <v>0</v>
      </c>
      <c r="BQ114" s="318" t="n">
        <v>0</v>
      </c>
      <c r="BR114" s="317" t="n">
        <v>0</v>
      </c>
      <c r="BS114" s="318" t="n">
        <v>0</v>
      </c>
      <c r="BT114" s="317" t="n">
        <v>0</v>
      </c>
      <c r="BU114" s="318" t="n">
        <v>0</v>
      </c>
      <c r="BV114" s="317" t="n">
        <v>0</v>
      </c>
      <c r="BW114" s="318" t="n">
        <v>0</v>
      </c>
      <c r="BY114" s="143"/>
      <c r="BZ114" s="315"/>
      <c r="CA114" s="144" t="s">
        <v>12</v>
      </c>
      <c r="CB114" s="315"/>
      <c r="CC114" s="144" t="n">
        <v>-52.3123966942149</v>
      </c>
      <c r="CD114" s="144" t="n">
        <v>-120.112396694215</v>
      </c>
      <c r="CE114" s="144" t="n">
        <v>-144.112396694215</v>
      </c>
      <c r="CF114" s="315"/>
      <c r="CG114" s="144" t="n">
        <v>-62.5123966942149</v>
      </c>
      <c r="CH114" s="144" t="n">
        <v>-139.312396694215</v>
      </c>
      <c r="CI114" s="144" t="n">
        <v>-139.312396694215</v>
      </c>
      <c r="CJ114" s="144" t="n">
        <v>-206.512396694215</v>
      </c>
      <c r="CK114" s="144" t="n">
        <v>-206.512396694215</v>
      </c>
      <c r="CM114" s="144" t="n">
        <v>247.107438016529</v>
      </c>
      <c r="CO114" s="319"/>
      <c r="CP114" s="320"/>
      <c r="CQ114" s="321" t="s">
        <v>12</v>
      </c>
      <c r="CR114" s="320"/>
      <c r="CS114" s="322" t="n">
        <v>-20.9074380165289</v>
      </c>
      <c r="CT114" s="322" t="n">
        <v>-88.7074380165289</v>
      </c>
      <c r="CU114" s="322" t="n">
        <v>-112.707438016529</v>
      </c>
      <c r="CV114" s="323"/>
      <c r="CW114" s="322" t="n">
        <v>-31.1074380165289</v>
      </c>
      <c r="CX114" s="322" t="n">
        <v>-107.907438016529</v>
      </c>
      <c r="CY114" s="322" t="n">
        <v>-107.907438016529</v>
      </c>
      <c r="CZ114" s="322" t="n">
        <v>-175.107438016529</v>
      </c>
      <c r="DA114" s="322" t="n">
        <v>-175.107438016529</v>
      </c>
    </row>
    <row r="115" customFormat="false" ht="12.75" hidden="false" customHeight="false" outlineLevel="0" collapsed="false">
      <c r="B115" s="305" t="s">
        <v>200</v>
      </c>
      <c r="C115" s="305" t="s">
        <v>476</v>
      </c>
      <c r="D115" s="306" t="n">
        <v>369</v>
      </c>
      <c r="E115" s="306" t="n">
        <v>3.25</v>
      </c>
      <c r="F115" s="306" t="s">
        <v>432</v>
      </c>
      <c r="G115" s="307" t="n">
        <v>24</v>
      </c>
      <c r="H115" s="308" t="n">
        <v>336.363636363636</v>
      </c>
      <c r="I115" s="2"/>
      <c r="J115" s="144" t="s">
        <v>12</v>
      </c>
      <c r="K115" s="309" t="s">
        <v>12</v>
      </c>
      <c r="L115" s="310"/>
      <c r="M115" s="311" t="n">
        <v>109</v>
      </c>
      <c r="N115" s="312" t="n">
        <v>6</v>
      </c>
      <c r="O115" s="311" t="n">
        <v>19</v>
      </c>
      <c r="P115" s="312" t="n">
        <v>7.5</v>
      </c>
      <c r="Q115" s="310" t="n">
        <v>19</v>
      </c>
      <c r="R115" s="312" t="n">
        <v>6.5</v>
      </c>
      <c r="S115" s="310"/>
      <c r="T115" s="311" t="n">
        <v>0</v>
      </c>
      <c r="U115" s="312" t="n">
        <v>11.2</v>
      </c>
      <c r="V115" s="311" t="n">
        <v>0</v>
      </c>
      <c r="W115" s="312" t="n">
        <v>7.5</v>
      </c>
      <c r="X115" s="311" t="n">
        <v>0</v>
      </c>
      <c r="Y115" s="312" t="n">
        <v>7.5</v>
      </c>
      <c r="Z115" s="313" t="n">
        <v>0</v>
      </c>
      <c r="AA115" s="314" t="n">
        <v>3.5</v>
      </c>
      <c r="AB115" s="313" t="n">
        <v>0</v>
      </c>
      <c r="AC115" s="314" t="n">
        <v>3.5</v>
      </c>
      <c r="AD115" s="315"/>
      <c r="AE115" s="144" t="n">
        <v>33</v>
      </c>
      <c r="AF115" s="315"/>
      <c r="AG115" s="311" t="n">
        <v>0</v>
      </c>
      <c r="AH115" s="309" t="n">
        <v>0</v>
      </c>
      <c r="AI115" s="310"/>
      <c r="AJ115" s="311" t="n">
        <v>116</v>
      </c>
      <c r="AK115" s="309" t="n">
        <v>144</v>
      </c>
      <c r="AL115" s="311" t="n">
        <v>170</v>
      </c>
      <c r="AM115" s="309" t="n">
        <v>180</v>
      </c>
      <c r="AN115" s="311" t="n">
        <v>194</v>
      </c>
      <c r="AO115" s="309" t="n">
        <v>156</v>
      </c>
      <c r="AP115" s="310"/>
      <c r="AQ115" s="311" t="n">
        <v>100</v>
      </c>
      <c r="AR115" s="309" t="n">
        <v>268.8</v>
      </c>
      <c r="AS115" s="311" t="n">
        <v>189</v>
      </c>
      <c r="AT115" s="309" t="n">
        <v>180</v>
      </c>
      <c r="AU115" s="311" t="n">
        <v>189</v>
      </c>
      <c r="AV115" s="309" t="n">
        <v>180</v>
      </c>
      <c r="AW115" s="311" t="n">
        <v>285</v>
      </c>
      <c r="AX115" s="309" t="n">
        <v>84</v>
      </c>
      <c r="AY115" s="311" t="n">
        <v>285</v>
      </c>
      <c r="AZ115" s="309" t="n">
        <v>84</v>
      </c>
      <c r="BB115" s="144" t="n">
        <v>0</v>
      </c>
      <c r="BC115" s="315"/>
      <c r="BD115" s="311" t="n">
        <v>0</v>
      </c>
      <c r="BE115" s="316" t="n">
        <v>0</v>
      </c>
      <c r="BF115" s="310"/>
      <c r="BG115" s="317" t="n">
        <v>-10</v>
      </c>
      <c r="BH115" s="318" t="n">
        <v>0</v>
      </c>
      <c r="BI115" s="317" t="n">
        <v>0</v>
      </c>
      <c r="BJ115" s="318" t="n">
        <v>0</v>
      </c>
      <c r="BK115" s="317" t="n">
        <v>0</v>
      </c>
      <c r="BL115" s="318" t="n">
        <v>0</v>
      </c>
      <c r="BM115" s="310"/>
      <c r="BN115" s="317" t="n">
        <v>0</v>
      </c>
      <c r="BO115" s="318" t="n">
        <v>-0.799999999999999</v>
      </c>
      <c r="BP115" s="317" t="n">
        <v>0</v>
      </c>
      <c r="BQ115" s="318" t="n">
        <v>2.3</v>
      </c>
      <c r="BR115" s="317" t="n">
        <v>0</v>
      </c>
      <c r="BS115" s="318" t="n">
        <v>2.3</v>
      </c>
      <c r="BT115" s="317" t="n">
        <v>0</v>
      </c>
      <c r="BU115" s="318" t="n">
        <v>0</v>
      </c>
      <c r="BV115" s="317" t="n">
        <v>0</v>
      </c>
      <c r="BW115" s="318" t="n">
        <v>0</v>
      </c>
      <c r="BY115" s="143"/>
      <c r="BZ115" s="315"/>
      <c r="CA115" s="144" t="s">
        <v>12</v>
      </c>
      <c r="CB115" s="315"/>
      <c r="CC115" s="144" t="n">
        <v>-83.3636363636364</v>
      </c>
      <c r="CD115" s="144" t="n">
        <v>-137.363636363636</v>
      </c>
      <c r="CE115" s="144" t="n">
        <v>-161.363636363636</v>
      </c>
      <c r="CF115" s="315"/>
      <c r="CG115" s="144" t="n">
        <v>-67.5636363636364</v>
      </c>
      <c r="CH115" s="144" t="n">
        <v>-156.363636363636</v>
      </c>
      <c r="CI115" s="144" t="n">
        <v>-156.363636363636</v>
      </c>
      <c r="CJ115" s="144" t="n">
        <v>-252.363636363636</v>
      </c>
      <c r="CK115" s="144" t="n">
        <v>-252.363636363636</v>
      </c>
      <c r="CM115" s="144" t="n">
        <v>313.223140495868</v>
      </c>
      <c r="CO115" s="319"/>
      <c r="CP115" s="320"/>
      <c r="CQ115" s="321" t="s">
        <v>12</v>
      </c>
      <c r="CR115" s="320"/>
      <c r="CS115" s="322" t="n">
        <v>-60.2231404958678</v>
      </c>
      <c r="CT115" s="322" t="n">
        <v>-114.223140495868</v>
      </c>
      <c r="CU115" s="322" t="n">
        <v>-138.223140495868</v>
      </c>
      <c r="CV115" s="323"/>
      <c r="CW115" s="322" t="n">
        <v>-44.4231404958678</v>
      </c>
      <c r="CX115" s="322" t="n">
        <v>-133.223140495868</v>
      </c>
      <c r="CY115" s="322" t="n">
        <v>-133.223140495868</v>
      </c>
      <c r="CZ115" s="322" t="n">
        <v>-229.223140495868</v>
      </c>
      <c r="DA115" s="322" t="n">
        <v>-229.223140495868</v>
      </c>
    </row>
    <row r="116" customFormat="false" ht="12.75" hidden="false" customHeight="false" outlineLevel="0" collapsed="false">
      <c r="B116" s="305" t="s">
        <v>200</v>
      </c>
      <c r="C116" s="305" t="s">
        <v>476</v>
      </c>
      <c r="D116" s="306" t="n">
        <v>369</v>
      </c>
      <c r="E116" s="306" t="n">
        <v>3.25</v>
      </c>
      <c r="F116" s="324" t="s">
        <v>432</v>
      </c>
      <c r="G116" s="144" t="n">
        <v>48</v>
      </c>
      <c r="H116" s="325" t="n">
        <v>336.363636363636</v>
      </c>
      <c r="I116" s="2"/>
      <c r="J116" s="144" t="s">
        <v>12</v>
      </c>
      <c r="K116" s="309" t="s">
        <v>12</v>
      </c>
      <c r="L116" s="310"/>
      <c r="M116" s="311" t="n">
        <v>109</v>
      </c>
      <c r="N116" s="312" t="n">
        <v>3</v>
      </c>
      <c r="O116" s="311" t="n">
        <v>19</v>
      </c>
      <c r="P116" s="312" t="n">
        <v>3.8</v>
      </c>
      <c r="Q116" s="310" t="n">
        <v>19</v>
      </c>
      <c r="R116" s="312" t="n">
        <v>3.3</v>
      </c>
      <c r="S116" s="310"/>
      <c r="T116" s="311" t="n">
        <v>0</v>
      </c>
      <c r="U116" s="312" t="n">
        <v>5.6</v>
      </c>
      <c r="V116" s="311" t="n">
        <v>0</v>
      </c>
      <c r="W116" s="312" t="n">
        <v>3.8</v>
      </c>
      <c r="X116" s="311" t="n">
        <v>0</v>
      </c>
      <c r="Y116" s="312" t="n">
        <v>3.8</v>
      </c>
      <c r="Z116" s="313" t="n">
        <v>0</v>
      </c>
      <c r="AA116" s="314" t="n">
        <v>1.8</v>
      </c>
      <c r="AB116" s="313" t="n">
        <v>0</v>
      </c>
      <c r="AC116" s="314" t="n">
        <v>1.8</v>
      </c>
      <c r="AD116" s="315"/>
      <c r="AE116" s="144" t="n">
        <v>33</v>
      </c>
      <c r="AF116" s="315"/>
      <c r="AG116" s="311" t="n">
        <v>0</v>
      </c>
      <c r="AH116" s="309" t="n">
        <v>0</v>
      </c>
      <c r="AI116" s="310"/>
      <c r="AJ116" s="311" t="n">
        <v>116</v>
      </c>
      <c r="AK116" s="309" t="n">
        <v>144</v>
      </c>
      <c r="AL116" s="311" t="n">
        <v>168</v>
      </c>
      <c r="AM116" s="309" t="n">
        <v>182.4</v>
      </c>
      <c r="AN116" s="310" t="n">
        <v>192</v>
      </c>
      <c r="AO116" s="309" t="n">
        <v>158.4</v>
      </c>
      <c r="AP116" s="310"/>
      <c r="AQ116" s="311" t="n">
        <v>100</v>
      </c>
      <c r="AR116" s="309" t="n">
        <v>268.8</v>
      </c>
      <c r="AS116" s="311" t="n">
        <v>187</v>
      </c>
      <c r="AT116" s="309" t="n">
        <v>182.4</v>
      </c>
      <c r="AU116" s="310" t="n">
        <v>187</v>
      </c>
      <c r="AV116" s="309" t="n">
        <v>182.4</v>
      </c>
      <c r="AW116" s="310" t="n">
        <v>283</v>
      </c>
      <c r="AX116" s="309" t="n">
        <v>86.4</v>
      </c>
      <c r="AY116" s="310" t="n">
        <v>283</v>
      </c>
      <c r="AZ116" s="309" t="n">
        <v>86.4</v>
      </c>
      <c r="BB116" s="144" t="n">
        <v>0</v>
      </c>
      <c r="BC116" s="315"/>
      <c r="BD116" s="311" t="n">
        <v>0</v>
      </c>
      <c r="BE116" s="316" t="n">
        <v>0</v>
      </c>
      <c r="BF116" s="310"/>
      <c r="BG116" s="317" t="n">
        <v>0</v>
      </c>
      <c r="BH116" s="318" t="n">
        <v>0</v>
      </c>
      <c r="BI116" s="317" t="n">
        <v>0</v>
      </c>
      <c r="BJ116" s="318" t="n">
        <v>0</v>
      </c>
      <c r="BK116" s="317" t="n">
        <v>0</v>
      </c>
      <c r="BL116" s="318" t="n">
        <v>0</v>
      </c>
      <c r="BM116" s="310"/>
      <c r="BN116" s="317" t="n">
        <v>0</v>
      </c>
      <c r="BO116" s="318" t="n">
        <v>0</v>
      </c>
      <c r="BP116" s="317" t="n">
        <v>0</v>
      </c>
      <c r="BQ116" s="318" t="n">
        <v>0</v>
      </c>
      <c r="BR116" s="317" t="n">
        <v>0</v>
      </c>
      <c r="BS116" s="318" t="n">
        <v>0</v>
      </c>
      <c r="BT116" s="317" t="n">
        <v>0</v>
      </c>
      <c r="BU116" s="318" t="n">
        <v>0</v>
      </c>
      <c r="BV116" s="317" t="n">
        <v>0</v>
      </c>
      <c r="BW116" s="318" t="n">
        <v>0</v>
      </c>
      <c r="BY116" s="143"/>
      <c r="BZ116" s="315"/>
      <c r="CA116" s="144" t="s">
        <v>12</v>
      </c>
      <c r="CB116" s="315"/>
      <c r="CC116" s="144" t="n">
        <v>-83.3636363636364</v>
      </c>
      <c r="CD116" s="144" t="n">
        <v>-134.963636363636</v>
      </c>
      <c r="CE116" s="144" t="n">
        <v>-158.963636363636</v>
      </c>
      <c r="CF116" s="315"/>
      <c r="CG116" s="144" t="n">
        <v>-67.5636363636364</v>
      </c>
      <c r="CH116" s="144" t="n">
        <v>-153.963636363636</v>
      </c>
      <c r="CI116" s="144" t="n">
        <v>-153.963636363636</v>
      </c>
      <c r="CJ116" s="144" t="n">
        <v>-249.963636363636</v>
      </c>
      <c r="CK116" s="144" t="n">
        <v>-249.963636363636</v>
      </c>
      <c r="CM116" s="144" t="n">
        <v>313.223140495868</v>
      </c>
      <c r="CO116" s="319"/>
      <c r="CP116" s="320"/>
      <c r="CQ116" s="321" t="s">
        <v>12</v>
      </c>
      <c r="CR116" s="320"/>
      <c r="CS116" s="322" t="n">
        <v>-60.2231404958678</v>
      </c>
      <c r="CT116" s="322" t="n">
        <v>-111.823140495868</v>
      </c>
      <c r="CU116" s="322" t="n">
        <v>-135.823140495868</v>
      </c>
      <c r="CV116" s="323"/>
      <c r="CW116" s="322" t="n">
        <v>-44.4231404958678</v>
      </c>
      <c r="CX116" s="322" t="n">
        <v>-130.823140495868</v>
      </c>
      <c r="CY116" s="322" t="n">
        <v>-130.823140495868</v>
      </c>
      <c r="CZ116" s="322" t="n">
        <v>-226.823140495868</v>
      </c>
      <c r="DA116" s="322" t="n">
        <v>-226.823140495868</v>
      </c>
    </row>
    <row r="117" customFormat="false" ht="12.75" hidden="false" customHeight="false" outlineLevel="0" collapsed="false">
      <c r="B117" s="305" t="s">
        <v>200</v>
      </c>
      <c r="C117" s="305" t="s">
        <v>477</v>
      </c>
      <c r="D117" s="306" t="n">
        <v>457</v>
      </c>
      <c r="E117" s="306" t="n">
        <v>3.25</v>
      </c>
      <c r="F117" s="306" t="s">
        <v>432</v>
      </c>
      <c r="G117" s="307" t="n">
        <v>24</v>
      </c>
      <c r="H117" s="308" t="n">
        <v>380.99173553719</v>
      </c>
      <c r="I117" s="2"/>
      <c r="J117" s="144" t="s">
        <v>12</v>
      </c>
      <c r="K117" s="309" t="s">
        <v>12</v>
      </c>
      <c r="L117" s="310"/>
      <c r="M117" s="311" t="n">
        <v>129</v>
      </c>
      <c r="N117" s="312" t="n">
        <v>8.1</v>
      </c>
      <c r="O117" s="311" t="n">
        <v>19</v>
      </c>
      <c r="P117" s="312" t="n">
        <v>10.2</v>
      </c>
      <c r="Q117" s="310" t="n">
        <v>19</v>
      </c>
      <c r="R117" s="312" t="n">
        <v>9.3</v>
      </c>
      <c r="S117" s="310"/>
      <c r="T117" s="311" t="n">
        <v>0</v>
      </c>
      <c r="U117" s="312" t="n">
        <v>13.1</v>
      </c>
      <c r="V117" s="311" t="n">
        <v>0</v>
      </c>
      <c r="W117" s="312" t="n">
        <v>10</v>
      </c>
      <c r="X117" s="311" t="n">
        <v>0</v>
      </c>
      <c r="Y117" s="312" t="n">
        <v>10</v>
      </c>
      <c r="Z117" s="313" t="n">
        <v>0</v>
      </c>
      <c r="AA117" s="314" t="n">
        <v>8</v>
      </c>
      <c r="AB117" s="313" t="n">
        <v>0</v>
      </c>
      <c r="AC117" s="314" t="n">
        <v>8</v>
      </c>
      <c r="AD117" s="315"/>
      <c r="AE117" s="144" t="n">
        <v>76</v>
      </c>
      <c r="AF117" s="315"/>
      <c r="AG117" s="311" t="n">
        <v>0</v>
      </c>
      <c r="AH117" s="309" t="n">
        <v>0</v>
      </c>
      <c r="AI117" s="310"/>
      <c r="AJ117" s="311" t="n">
        <v>134</v>
      </c>
      <c r="AK117" s="309" t="n">
        <v>194.4</v>
      </c>
      <c r="AL117" s="311" t="n">
        <v>193</v>
      </c>
      <c r="AM117" s="309" t="n">
        <v>244.8</v>
      </c>
      <c r="AN117" s="311" t="n">
        <v>215</v>
      </c>
      <c r="AO117" s="309" t="n">
        <v>223.2</v>
      </c>
      <c r="AP117" s="310"/>
      <c r="AQ117" s="311" t="n">
        <v>143</v>
      </c>
      <c r="AR117" s="309" t="n">
        <v>314.4</v>
      </c>
      <c r="AS117" s="311" t="n">
        <v>217</v>
      </c>
      <c r="AT117" s="309" t="n">
        <v>240</v>
      </c>
      <c r="AU117" s="311" t="n">
        <v>217</v>
      </c>
      <c r="AV117" s="309" t="n">
        <v>240</v>
      </c>
      <c r="AW117" s="311" t="n">
        <v>265</v>
      </c>
      <c r="AX117" s="309" t="n">
        <v>192</v>
      </c>
      <c r="AY117" s="311" t="n">
        <v>265</v>
      </c>
      <c r="AZ117" s="309" t="n">
        <v>192</v>
      </c>
      <c r="BB117" s="144" t="n">
        <v>0</v>
      </c>
      <c r="BC117" s="315"/>
      <c r="BD117" s="311" t="n">
        <v>0</v>
      </c>
      <c r="BE117" s="316" t="n">
        <v>0</v>
      </c>
      <c r="BF117" s="310"/>
      <c r="BG117" s="317" t="n">
        <v>-10</v>
      </c>
      <c r="BH117" s="318" t="n">
        <v>0</v>
      </c>
      <c r="BI117" s="317" t="n">
        <v>0</v>
      </c>
      <c r="BJ117" s="318" t="n">
        <v>0.200000000000001</v>
      </c>
      <c r="BK117" s="317" t="n">
        <v>0</v>
      </c>
      <c r="BL117" s="318" t="n">
        <v>0.200000000000001</v>
      </c>
      <c r="BM117" s="310"/>
      <c r="BN117" s="317" t="n">
        <v>0</v>
      </c>
      <c r="BO117" s="318" t="n">
        <v>-0.799999999999999</v>
      </c>
      <c r="BP117" s="317" t="n">
        <v>0</v>
      </c>
      <c r="BQ117" s="318" t="n">
        <v>2.7</v>
      </c>
      <c r="BR117" s="317" t="n">
        <v>0</v>
      </c>
      <c r="BS117" s="318" t="n">
        <v>2.7</v>
      </c>
      <c r="BT117" s="317" t="n">
        <v>0</v>
      </c>
      <c r="BU117" s="318" t="n">
        <v>0.8</v>
      </c>
      <c r="BV117" s="317" t="n">
        <v>0</v>
      </c>
      <c r="BW117" s="318" t="n">
        <v>0.8</v>
      </c>
      <c r="BY117" s="143"/>
      <c r="BZ117" s="315"/>
      <c r="CA117" s="144" t="s">
        <v>12</v>
      </c>
      <c r="CB117" s="315"/>
      <c r="CC117" s="144" t="n">
        <v>-57.5917355371901</v>
      </c>
      <c r="CD117" s="144" t="n">
        <v>-117.19173553719</v>
      </c>
      <c r="CE117" s="144" t="n">
        <v>-138.79173553719</v>
      </c>
      <c r="CF117" s="315"/>
      <c r="CG117" s="144" t="n">
        <v>-66.5917355371901</v>
      </c>
      <c r="CH117" s="144" t="n">
        <v>-140.99173553719</v>
      </c>
      <c r="CI117" s="144" t="n">
        <v>-140.99173553719</v>
      </c>
      <c r="CJ117" s="144" t="n">
        <v>-188.99173553719</v>
      </c>
      <c r="CK117" s="144" t="n">
        <v>-188.99173553719</v>
      </c>
      <c r="CM117" s="144" t="n">
        <v>395.867768595041</v>
      </c>
      <c r="CO117" s="319"/>
      <c r="CP117" s="320"/>
      <c r="CQ117" s="321" t="s">
        <v>12</v>
      </c>
      <c r="CR117" s="320"/>
      <c r="CS117" s="322" t="n">
        <v>-72.4677685950414</v>
      </c>
      <c r="CT117" s="322" t="n">
        <v>-132.067768595041</v>
      </c>
      <c r="CU117" s="322" t="n">
        <v>-153.667768595041</v>
      </c>
      <c r="CV117" s="323"/>
      <c r="CW117" s="322" t="n">
        <v>-81.4677685950413</v>
      </c>
      <c r="CX117" s="322" t="n">
        <v>-155.867768595041</v>
      </c>
      <c r="CY117" s="322" t="n">
        <v>-155.867768595041</v>
      </c>
      <c r="CZ117" s="322" t="n">
        <v>-203.867768595041</v>
      </c>
      <c r="DA117" s="322" t="n">
        <v>-203.867768595041</v>
      </c>
    </row>
    <row r="118" customFormat="false" ht="12.75" hidden="false" customHeight="false" outlineLevel="0" collapsed="false">
      <c r="B118" s="305" t="s">
        <v>200</v>
      </c>
      <c r="C118" s="305" t="s">
        <v>477</v>
      </c>
      <c r="D118" s="306" t="n">
        <v>457</v>
      </c>
      <c r="E118" s="306" t="n">
        <v>3.25</v>
      </c>
      <c r="F118" s="324" t="s">
        <v>432</v>
      </c>
      <c r="G118" s="144" t="n">
        <v>48</v>
      </c>
      <c r="H118" s="325" t="n">
        <v>380.99173553719</v>
      </c>
      <c r="I118" s="2"/>
      <c r="J118" s="144" t="s">
        <v>12</v>
      </c>
      <c r="K118" s="309" t="s">
        <v>12</v>
      </c>
      <c r="L118" s="310"/>
      <c r="M118" s="311" t="n">
        <v>129</v>
      </c>
      <c r="N118" s="312" t="n">
        <v>4.1</v>
      </c>
      <c r="O118" s="311" t="n">
        <v>19</v>
      </c>
      <c r="P118" s="312" t="n">
        <v>5.1</v>
      </c>
      <c r="Q118" s="310" t="n">
        <v>19</v>
      </c>
      <c r="R118" s="312" t="n">
        <v>4.7</v>
      </c>
      <c r="S118" s="310"/>
      <c r="T118" s="311" t="n">
        <v>0</v>
      </c>
      <c r="U118" s="312" t="n">
        <v>6.6</v>
      </c>
      <c r="V118" s="311" t="n">
        <v>0</v>
      </c>
      <c r="W118" s="312" t="n">
        <v>5</v>
      </c>
      <c r="X118" s="311" t="n">
        <v>0</v>
      </c>
      <c r="Y118" s="312" t="n">
        <v>5</v>
      </c>
      <c r="Z118" s="313" t="n">
        <v>0</v>
      </c>
      <c r="AA118" s="314" t="n">
        <v>4</v>
      </c>
      <c r="AB118" s="313" t="n">
        <v>0</v>
      </c>
      <c r="AC118" s="314" t="n">
        <v>4</v>
      </c>
      <c r="AD118" s="315"/>
      <c r="AE118" s="144" t="n">
        <v>76</v>
      </c>
      <c r="AF118" s="315"/>
      <c r="AG118" s="311" t="n">
        <v>0</v>
      </c>
      <c r="AH118" s="309" t="n">
        <v>0</v>
      </c>
      <c r="AI118" s="310"/>
      <c r="AJ118" s="311" t="n">
        <v>131</v>
      </c>
      <c r="AK118" s="309" t="n">
        <v>196.8</v>
      </c>
      <c r="AL118" s="311" t="n">
        <v>193</v>
      </c>
      <c r="AM118" s="309" t="n">
        <v>244.8</v>
      </c>
      <c r="AN118" s="310" t="n">
        <v>212</v>
      </c>
      <c r="AO118" s="309" t="n">
        <v>225.6</v>
      </c>
      <c r="AP118" s="310"/>
      <c r="AQ118" s="311" t="n">
        <v>140</v>
      </c>
      <c r="AR118" s="309" t="n">
        <v>316.8</v>
      </c>
      <c r="AS118" s="311" t="n">
        <v>217</v>
      </c>
      <c r="AT118" s="309" t="n">
        <v>240</v>
      </c>
      <c r="AU118" s="310" t="n">
        <v>217</v>
      </c>
      <c r="AV118" s="309" t="n">
        <v>240</v>
      </c>
      <c r="AW118" s="310" t="n">
        <v>265</v>
      </c>
      <c r="AX118" s="309" t="n">
        <v>192</v>
      </c>
      <c r="AY118" s="310" t="n">
        <v>265</v>
      </c>
      <c r="AZ118" s="309" t="n">
        <v>192</v>
      </c>
      <c r="BB118" s="144" t="n">
        <v>0</v>
      </c>
      <c r="BC118" s="315"/>
      <c r="BD118" s="311" t="n">
        <v>0</v>
      </c>
      <c r="BE118" s="316" t="n">
        <v>0</v>
      </c>
      <c r="BF118" s="310"/>
      <c r="BG118" s="317" t="n">
        <v>0</v>
      </c>
      <c r="BH118" s="318" t="n">
        <v>0</v>
      </c>
      <c r="BI118" s="317" t="n">
        <v>0</v>
      </c>
      <c r="BJ118" s="318" t="n">
        <v>0</v>
      </c>
      <c r="BK118" s="317" t="n">
        <v>0</v>
      </c>
      <c r="BL118" s="318" t="n">
        <v>0</v>
      </c>
      <c r="BM118" s="310"/>
      <c r="BN118" s="317" t="n">
        <v>0</v>
      </c>
      <c r="BO118" s="318" t="n">
        <v>0</v>
      </c>
      <c r="BP118" s="317" t="n">
        <v>0</v>
      </c>
      <c r="BQ118" s="318" t="n">
        <v>0</v>
      </c>
      <c r="BR118" s="317" t="n">
        <v>0</v>
      </c>
      <c r="BS118" s="318" t="n">
        <v>0</v>
      </c>
      <c r="BT118" s="317" t="n">
        <v>0</v>
      </c>
      <c r="BU118" s="318" t="n">
        <v>0</v>
      </c>
      <c r="BV118" s="317" t="n">
        <v>0</v>
      </c>
      <c r="BW118" s="318" t="n">
        <v>0</v>
      </c>
      <c r="BY118" s="143"/>
      <c r="BZ118" s="315"/>
      <c r="CA118" s="144" t="s">
        <v>12</v>
      </c>
      <c r="CB118" s="315"/>
      <c r="CC118" s="144" t="n">
        <v>-55.1917355371901</v>
      </c>
      <c r="CD118" s="144" t="n">
        <v>-117.19173553719</v>
      </c>
      <c r="CE118" s="144" t="n">
        <v>-136.39173553719</v>
      </c>
      <c r="CF118" s="315"/>
      <c r="CG118" s="144" t="n">
        <v>-64.1917355371901</v>
      </c>
      <c r="CH118" s="144" t="n">
        <v>-140.99173553719</v>
      </c>
      <c r="CI118" s="144" t="n">
        <v>-140.99173553719</v>
      </c>
      <c r="CJ118" s="144" t="n">
        <v>-188.99173553719</v>
      </c>
      <c r="CK118" s="144" t="n">
        <v>-188.99173553719</v>
      </c>
      <c r="CM118" s="144" t="n">
        <v>395.867768595041</v>
      </c>
      <c r="CO118" s="319"/>
      <c r="CP118" s="320"/>
      <c r="CQ118" s="321" t="s">
        <v>12</v>
      </c>
      <c r="CR118" s="320"/>
      <c r="CS118" s="322" t="n">
        <v>-70.0677685950413</v>
      </c>
      <c r="CT118" s="322" t="n">
        <v>-132.067768595041</v>
      </c>
      <c r="CU118" s="322" t="n">
        <v>-151.267768595041</v>
      </c>
      <c r="CV118" s="323"/>
      <c r="CW118" s="322" t="n">
        <v>-79.0677685950413</v>
      </c>
      <c r="CX118" s="322" t="n">
        <v>-155.867768595041</v>
      </c>
      <c r="CY118" s="322" t="n">
        <v>-155.867768595041</v>
      </c>
      <c r="CZ118" s="322" t="n">
        <v>-203.867768595041</v>
      </c>
      <c r="DA118" s="322" t="n">
        <v>-203.867768595041</v>
      </c>
    </row>
    <row r="119" customFormat="false" ht="12.75" hidden="false" customHeight="false" outlineLevel="0" collapsed="false">
      <c r="B119" s="305" t="s">
        <v>200</v>
      </c>
      <c r="C119" s="305" t="s">
        <v>478</v>
      </c>
      <c r="D119" s="306" t="n">
        <v>938</v>
      </c>
      <c r="E119" s="306" t="n">
        <v>3.25</v>
      </c>
      <c r="F119" s="306" t="s">
        <v>432</v>
      </c>
      <c r="G119" s="307" t="n">
        <v>24</v>
      </c>
      <c r="H119" s="308" t="n">
        <v>570.247933884297</v>
      </c>
      <c r="I119" s="2"/>
      <c r="J119" s="144" t="s">
        <v>12</v>
      </c>
      <c r="K119" s="309" t="s">
        <v>12</v>
      </c>
      <c r="L119" s="310"/>
      <c r="M119" s="311" t="n">
        <v>239</v>
      </c>
      <c r="N119" s="312" t="n">
        <v>10</v>
      </c>
      <c r="O119" s="311" t="n">
        <v>139</v>
      </c>
      <c r="P119" s="312" t="n">
        <v>11.6</v>
      </c>
      <c r="Q119" s="310" t="n">
        <v>139</v>
      </c>
      <c r="R119" s="312" t="n">
        <v>10.8</v>
      </c>
      <c r="S119" s="310"/>
      <c r="T119" s="311" t="n">
        <v>0</v>
      </c>
      <c r="U119" s="312" t="n">
        <v>19.7</v>
      </c>
      <c r="V119" s="311" t="n">
        <v>0</v>
      </c>
      <c r="W119" s="312" t="n">
        <v>16.6</v>
      </c>
      <c r="X119" s="311" t="n">
        <v>0</v>
      </c>
      <c r="Y119" s="312" t="n">
        <v>16.6</v>
      </c>
      <c r="Z119" s="313" t="n">
        <v>0</v>
      </c>
      <c r="AA119" s="314" t="n">
        <v>16.5</v>
      </c>
      <c r="AB119" s="313" t="n">
        <v>0</v>
      </c>
      <c r="AC119" s="314" t="n">
        <v>16.5</v>
      </c>
      <c r="AD119" s="315"/>
      <c r="AE119" s="144" t="n">
        <v>368</v>
      </c>
      <c r="AF119" s="315"/>
      <c r="AG119" s="311" t="n">
        <v>0</v>
      </c>
      <c r="AH119" s="309" t="n">
        <v>0</v>
      </c>
      <c r="AI119" s="310"/>
      <c r="AJ119" s="311" t="n">
        <v>459</v>
      </c>
      <c r="AK119" s="309" t="n">
        <v>240</v>
      </c>
      <c r="AL119" s="311" t="n">
        <v>521</v>
      </c>
      <c r="AM119" s="309" t="n">
        <v>278.4</v>
      </c>
      <c r="AN119" s="311" t="n">
        <v>540</v>
      </c>
      <c r="AO119" s="309" t="n">
        <v>259.2</v>
      </c>
      <c r="AP119" s="310"/>
      <c r="AQ119" s="311" t="n">
        <v>465</v>
      </c>
      <c r="AR119" s="309" t="n">
        <v>472.8</v>
      </c>
      <c r="AS119" s="311" t="n">
        <v>540</v>
      </c>
      <c r="AT119" s="309" t="n">
        <v>398.4</v>
      </c>
      <c r="AU119" s="311" t="n">
        <v>540</v>
      </c>
      <c r="AV119" s="309" t="n">
        <v>398.4</v>
      </c>
      <c r="AW119" s="311" t="n">
        <v>542</v>
      </c>
      <c r="AX119" s="309" t="n">
        <v>396</v>
      </c>
      <c r="AY119" s="311" t="n">
        <v>542</v>
      </c>
      <c r="AZ119" s="309" t="n">
        <v>396</v>
      </c>
      <c r="BB119" s="144" t="n">
        <v>0</v>
      </c>
      <c r="BC119" s="315"/>
      <c r="BD119" s="311" t="n">
        <v>0</v>
      </c>
      <c r="BE119" s="316" t="n">
        <v>0</v>
      </c>
      <c r="BF119" s="310"/>
      <c r="BG119" s="317" t="n">
        <v>0</v>
      </c>
      <c r="BH119" s="318" t="n">
        <v>0.199999999999999</v>
      </c>
      <c r="BI119" s="317" t="n">
        <v>0</v>
      </c>
      <c r="BJ119" s="318" t="n">
        <v>0.600000000000001</v>
      </c>
      <c r="BK119" s="317" t="n">
        <v>0</v>
      </c>
      <c r="BL119" s="318" t="n">
        <v>0.800000000000001</v>
      </c>
      <c r="BM119" s="310"/>
      <c r="BN119" s="317" t="n">
        <v>0</v>
      </c>
      <c r="BO119" s="318" t="n">
        <v>0</v>
      </c>
      <c r="BP119" s="317" t="n">
        <v>0</v>
      </c>
      <c r="BQ119" s="318" t="n">
        <v>1.1</v>
      </c>
      <c r="BR119" s="317" t="n">
        <v>0</v>
      </c>
      <c r="BS119" s="318" t="n">
        <v>1.1</v>
      </c>
      <c r="BT119" s="317" t="n">
        <v>0</v>
      </c>
      <c r="BU119" s="318" t="n">
        <v>1</v>
      </c>
      <c r="BV119" s="317" t="n">
        <v>0</v>
      </c>
      <c r="BW119" s="318" t="n">
        <v>1</v>
      </c>
      <c r="BY119" s="143"/>
      <c r="BZ119" s="315"/>
      <c r="CA119" s="144" t="s">
        <v>12</v>
      </c>
      <c r="CB119" s="315"/>
      <c r="CC119" s="144" t="n">
        <v>-91.2479338842975</v>
      </c>
      <c r="CD119" s="144" t="n">
        <v>-152.847933884297</v>
      </c>
      <c r="CE119" s="144" t="n">
        <v>-172.047933884297</v>
      </c>
      <c r="CF119" s="315"/>
      <c r="CG119" s="144" t="n">
        <v>-97.4479338842974</v>
      </c>
      <c r="CH119" s="144" t="n">
        <v>-171.847933884297</v>
      </c>
      <c r="CI119" s="144" t="n">
        <v>-171.847933884297</v>
      </c>
      <c r="CJ119" s="144" t="n">
        <v>-174.247933884297</v>
      </c>
      <c r="CK119" s="144" t="n">
        <v>-174.247933884297</v>
      </c>
      <c r="CM119" s="144" t="n">
        <v>833.884297520661</v>
      </c>
      <c r="CO119" s="319"/>
      <c r="CP119" s="320"/>
      <c r="CQ119" s="321" t="s">
        <v>12</v>
      </c>
      <c r="CR119" s="320"/>
      <c r="CS119" s="322" t="n">
        <v>-354.884297520661</v>
      </c>
      <c r="CT119" s="322" t="n">
        <v>-416.484297520661</v>
      </c>
      <c r="CU119" s="322" t="n">
        <v>-435.684297520661</v>
      </c>
      <c r="CV119" s="323"/>
      <c r="CW119" s="322" t="n">
        <v>-361.084297520661</v>
      </c>
      <c r="CX119" s="322" t="n">
        <v>-435.484297520661</v>
      </c>
      <c r="CY119" s="322" t="n">
        <v>-435.484297520661</v>
      </c>
      <c r="CZ119" s="322" t="n">
        <v>-437.884297520661</v>
      </c>
      <c r="DA119" s="322" t="n">
        <v>-437.884297520661</v>
      </c>
    </row>
    <row r="120" customFormat="false" ht="12.75" hidden="false" customHeight="false" outlineLevel="0" collapsed="false">
      <c r="B120" s="305" t="s">
        <v>200</v>
      </c>
      <c r="C120" s="305" t="s">
        <v>478</v>
      </c>
      <c r="D120" s="306" t="n">
        <v>938</v>
      </c>
      <c r="E120" s="306" t="n">
        <v>3.25</v>
      </c>
      <c r="F120" s="324" t="s">
        <v>432</v>
      </c>
      <c r="G120" s="144" t="n">
        <v>48</v>
      </c>
      <c r="H120" s="325" t="n">
        <v>570.247933884297</v>
      </c>
      <c r="I120" s="2"/>
      <c r="J120" s="144" t="s">
        <v>12</v>
      </c>
      <c r="K120" s="309" t="s">
        <v>12</v>
      </c>
      <c r="L120" s="310"/>
      <c r="M120" s="311" t="n">
        <v>239</v>
      </c>
      <c r="N120" s="312" t="n">
        <v>5</v>
      </c>
      <c r="O120" s="311" t="n">
        <v>139</v>
      </c>
      <c r="P120" s="312" t="n">
        <v>5.8</v>
      </c>
      <c r="Q120" s="310" t="n">
        <v>139</v>
      </c>
      <c r="R120" s="312" t="n">
        <v>5.4</v>
      </c>
      <c r="S120" s="310"/>
      <c r="T120" s="311" t="n">
        <v>0</v>
      </c>
      <c r="U120" s="312" t="n">
        <v>9.9</v>
      </c>
      <c r="V120" s="311" t="n">
        <v>0</v>
      </c>
      <c r="W120" s="312" t="n">
        <v>8.3</v>
      </c>
      <c r="X120" s="311" t="n">
        <v>0</v>
      </c>
      <c r="Y120" s="312" t="n">
        <v>8.3</v>
      </c>
      <c r="Z120" s="313" t="n">
        <v>0</v>
      </c>
      <c r="AA120" s="314" t="n">
        <v>8.3</v>
      </c>
      <c r="AB120" s="313" t="n">
        <v>0</v>
      </c>
      <c r="AC120" s="314" t="n">
        <v>8.3</v>
      </c>
      <c r="AD120" s="315"/>
      <c r="AE120" s="144" t="n">
        <v>368</v>
      </c>
      <c r="AF120" s="315"/>
      <c r="AG120" s="311" t="n">
        <v>0</v>
      </c>
      <c r="AH120" s="309" t="n">
        <v>0</v>
      </c>
      <c r="AI120" s="310"/>
      <c r="AJ120" s="311" t="n">
        <v>459</v>
      </c>
      <c r="AK120" s="309" t="n">
        <v>240</v>
      </c>
      <c r="AL120" s="311" t="n">
        <v>521</v>
      </c>
      <c r="AM120" s="309" t="n">
        <v>278.4</v>
      </c>
      <c r="AN120" s="310" t="n">
        <v>540</v>
      </c>
      <c r="AO120" s="309" t="n">
        <v>259.2</v>
      </c>
      <c r="AP120" s="310"/>
      <c r="AQ120" s="311" t="n">
        <v>463</v>
      </c>
      <c r="AR120" s="309" t="n">
        <v>475.2</v>
      </c>
      <c r="AS120" s="311" t="n">
        <v>540</v>
      </c>
      <c r="AT120" s="309" t="n">
        <v>398.4</v>
      </c>
      <c r="AU120" s="310" t="n">
        <v>540</v>
      </c>
      <c r="AV120" s="309" t="n">
        <v>398.4</v>
      </c>
      <c r="AW120" s="310" t="n">
        <v>540</v>
      </c>
      <c r="AX120" s="309" t="n">
        <v>398.4</v>
      </c>
      <c r="AY120" s="310" t="n">
        <v>540</v>
      </c>
      <c r="AZ120" s="309" t="n">
        <v>398.4</v>
      </c>
      <c r="BB120" s="144" t="n">
        <v>0</v>
      </c>
      <c r="BC120" s="315"/>
      <c r="BD120" s="311" t="n">
        <v>0</v>
      </c>
      <c r="BE120" s="316" t="n">
        <v>0</v>
      </c>
      <c r="BF120" s="310"/>
      <c r="BG120" s="317" t="n">
        <v>0</v>
      </c>
      <c r="BH120" s="318" t="n">
        <v>0</v>
      </c>
      <c r="BI120" s="317" t="n">
        <v>0</v>
      </c>
      <c r="BJ120" s="318" t="n">
        <v>0</v>
      </c>
      <c r="BK120" s="317" t="n">
        <v>0</v>
      </c>
      <c r="BL120" s="318" t="n">
        <v>0</v>
      </c>
      <c r="BM120" s="310"/>
      <c r="BN120" s="317" t="n">
        <v>0</v>
      </c>
      <c r="BO120" s="318" t="n">
        <v>0</v>
      </c>
      <c r="BP120" s="317" t="n">
        <v>0</v>
      </c>
      <c r="BQ120" s="318" t="n">
        <v>0</v>
      </c>
      <c r="BR120" s="317" t="n">
        <v>0</v>
      </c>
      <c r="BS120" s="318" t="n">
        <v>0</v>
      </c>
      <c r="BT120" s="317" t="n">
        <v>0</v>
      </c>
      <c r="BU120" s="318" t="n">
        <v>0</v>
      </c>
      <c r="BV120" s="317" t="n">
        <v>0</v>
      </c>
      <c r="BW120" s="318" t="n">
        <v>0</v>
      </c>
      <c r="BY120" s="143"/>
      <c r="BZ120" s="315"/>
      <c r="CA120" s="144" t="s">
        <v>12</v>
      </c>
      <c r="CB120" s="315"/>
      <c r="CC120" s="144" t="n">
        <v>-91.2479338842975</v>
      </c>
      <c r="CD120" s="144" t="n">
        <v>-152.847933884297</v>
      </c>
      <c r="CE120" s="144" t="n">
        <v>-172.047933884297</v>
      </c>
      <c r="CF120" s="315"/>
      <c r="CG120" s="144" t="n">
        <v>-95.0479338842974</v>
      </c>
      <c r="CH120" s="144" t="n">
        <v>-171.847933884297</v>
      </c>
      <c r="CI120" s="144" t="n">
        <v>-171.847933884297</v>
      </c>
      <c r="CJ120" s="144" t="n">
        <v>-171.847933884297</v>
      </c>
      <c r="CK120" s="144" t="n">
        <v>-171.847933884297</v>
      </c>
      <c r="CM120" s="144" t="n">
        <v>833.884297520661</v>
      </c>
      <c r="CO120" s="319"/>
      <c r="CP120" s="320"/>
      <c r="CQ120" s="321" t="s">
        <v>12</v>
      </c>
      <c r="CR120" s="320"/>
      <c r="CS120" s="322" t="n">
        <v>-354.884297520661</v>
      </c>
      <c r="CT120" s="322" t="n">
        <v>-416.484297520661</v>
      </c>
      <c r="CU120" s="322" t="n">
        <v>-435.684297520661</v>
      </c>
      <c r="CV120" s="323"/>
      <c r="CW120" s="322" t="n">
        <v>-358.684297520661</v>
      </c>
      <c r="CX120" s="322" t="n">
        <v>-435.484297520661</v>
      </c>
      <c r="CY120" s="322" t="n">
        <v>-435.484297520661</v>
      </c>
      <c r="CZ120" s="322" t="n">
        <v>-435.484297520661</v>
      </c>
      <c r="DA120" s="322" t="n">
        <v>-435.484297520661</v>
      </c>
    </row>
    <row r="121" customFormat="false" ht="12.75" hidden="false" customHeight="false" outlineLevel="0" collapsed="false">
      <c r="B121" s="305" t="s">
        <v>200</v>
      </c>
      <c r="C121" s="305" t="s">
        <v>479</v>
      </c>
      <c r="D121" s="306" t="n">
        <v>842</v>
      </c>
      <c r="E121" s="306" t="n">
        <v>3.25</v>
      </c>
      <c r="F121" s="306" t="s">
        <v>432</v>
      </c>
      <c r="G121" s="307" t="n">
        <v>24</v>
      </c>
      <c r="H121" s="308" t="n">
        <v>651.239669421488</v>
      </c>
      <c r="I121" s="2"/>
      <c r="J121" s="144" t="s">
        <v>12</v>
      </c>
      <c r="K121" s="309" t="s">
        <v>12</v>
      </c>
      <c r="L121" s="310"/>
      <c r="M121" s="311" t="n">
        <v>279</v>
      </c>
      <c r="N121" s="312" t="n">
        <v>11.8</v>
      </c>
      <c r="O121" s="311" t="n">
        <v>169</v>
      </c>
      <c r="P121" s="312" t="n">
        <v>13.9</v>
      </c>
      <c r="Q121" s="310" t="n">
        <v>169</v>
      </c>
      <c r="R121" s="312" t="n">
        <v>13.1</v>
      </c>
      <c r="S121" s="310"/>
      <c r="T121" s="311" t="n">
        <v>0</v>
      </c>
      <c r="U121" s="312" t="n">
        <v>23.2</v>
      </c>
      <c r="V121" s="311" t="n">
        <v>0</v>
      </c>
      <c r="W121" s="312" t="n">
        <v>18.2</v>
      </c>
      <c r="X121" s="311" t="n">
        <v>0</v>
      </c>
      <c r="Y121" s="312" t="n">
        <v>18.2</v>
      </c>
      <c r="Z121" s="313" t="n">
        <v>0</v>
      </c>
      <c r="AA121" s="314" t="n">
        <v>15.5</v>
      </c>
      <c r="AB121" s="313" t="n">
        <v>0</v>
      </c>
      <c r="AC121" s="314" t="n">
        <v>15.5</v>
      </c>
      <c r="AD121" s="315"/>
      <c r="AE121" s="144" t="n">
        <v>191</v>
      </c>
      <c r="AF121" s="315"/>
      <c r="AG121" s="311" t="n">
        <v>0</v>
      </c>
      <c r="AH121" s="309" t="n">
        <v>0</v>
      </c>
      <c r="AI121" s="310"/>
      <c r="AJ121" s="311" t="n">
        <v>280</v>
      </c>
      <c r="AK121" s="309" t="n">
        <v>283.2</v>
      </c>
      <c r="AL121" s="311" t="n">
        <v>339</v>
      </c>
      <c r="AM121" s="309" t="n">
        <v>333.6</v>
      </c>
      <c r="AN121" s="311" t="n">
        <v>359</v>
      </c>
      <c r="AO121" s="309" t="n">
        <v>314.4</v>
      </c>
      <c r="AP121" s="310"/>
      <c r="AQ121" s="311" t="n">
        <v>285</v>
      </c>
      <c r="AR121" s="309" t="n">
        <v>556.8</v>
      </c>
      <c r="AS121" s="311" t="n">
        <v>405</v>
      </c>
      <c r="AT121" s="309" t="n">
        <v>436.8</v>
      </c>
      <c r="AU121" s="311" t="n">
        <v>405</v>
      </c>
      <c r="AV121" s="309" t="n">
        <v>436.8</v>
      </c>
      <c r="AW121" s="311" t="n">
        <v>470</v>
      </c>
      <c r="AX121" s="309" t="n">
        <v>372</v>
      </c>
      <c r="AY121" s="311" t="n">
        <v>470</v>
      </c>
      <c r="AZ121" s="309" t="n">
        <v>372</v>
      </c>
      <c r="BB121" s="144" t="n">
        <v>0</v>
      </c>
      <c r="BC121" s="315"/>
      <c r="BD121" s="311" t="n">
        <v>0</v>
      </c>
      <c r="BE121" s="316" t="n">
        <v>0</v>
      </c>
      <c r="BF121" s="310"/>
      <c r="BG121" s="317" t="n">
        <v>0</v>
      </c>
      <c r="BH121" s="318" t="n">
        <v>0</v>
      </c>
      <c r="BI121" s="317" t="n">
        <v>0</v>
      </c>
      <c r="BJ121" s="318" t="n">
        <v>0.6</v>
      </c>
      <c r="BK121" s="317" t="n">
        <v>0</v>
      </c>
      <c r="BL121" s="318" t="n">
        <v>0.9</v>
      </c>
      <c r="BM121" s="310"/>
      <c r="BN121" s="317" t="n">
        <v>0</v>
      </c>
      <c r="BO121" s="318" t="n">
        <v>0</v>
      </c>
      <c r="BP121" s="317" t="n">
        <v>0</v>
      </c>
      <c r="BQ121" s="318" t="n">
        <v>2.7</v>
      </c>
      <c r="BR121" s="317" t="n">
        <v>0</v>
      </c>
      <c r="BS121" s="318" t="n">
        <v>2.7</v>
      </c>
      <c r="BT121" s="317" t="n">
        <v>0</v>
      </c>
      <c r="BU121" s="318" t="n">
        <v>0</v>
      </c>
      <c r="BV121" s="317" t="n">
        <v>0</v>
      </c>
      <c r="BW121" s="318" t="n">
        <v>0</v>
      </c>
      <c r="BY121" s="143"/>
      <c r="BZ121" s="315"/>
      <c r="CA121" s="144" t="s">
        <v>12</v>
      </c>
      <c r="CB121" s="315"/>
      <c r="CC121" s="144" t="n">
        <v>-89.0396694214876</v>
      </c>
      <c r="CD121" s="144" t="n">
        <v>-148.639669421488</v>
      </c>
      <c r="CE121" s="144" t="n">
        <v>-167.839669421488</v>
      </c>
      <c r="CF121" s="315"/>
      <c r="CG121" s="144" t="n">
        <v>-94.4396694214876</v>
      </c>
      <c r="CH121" s="144" t="n">
        <v>-214.439669421488</v>
      </c>
      <c r="CI121" s="144" t="n">
        <v>-214.439669421488</v>
      </c>
      <c r="CJ121" s="144" t="n">
        <v>-279.239669421488</v>
      </c>
      <c r="CK121" s="144" t="n">
        <v>-279.239669421488</v>
      </c>
      <c r="CM121" s="144" t="n">
        <v>747.99173553719</v>
      </c>
      <c r="CO121" s="319"/>
      <c r="CP121" s="320"/>
      <c r="CQ121" s="321" t="s">
        <v>12</v>
      </c>
      <c r="CR121" s="320"/>
      <c r="CS121" s="322" t="n">
        <v>-185.79173553719</v>
      </c>
      <c r="CT121" s="322" t="n">
        <v>-245.39173553719</v>
      </c>
      <c r="CU121" s="322" t="n">
        <v>-264.59173553719</v>
      </c>
      <c r="CV121" s="323"/>
      <c r="CW121" s="322" t="n">
        <v>-191.19173553719</v>
      </c>
      <c r="CX121" s="322" t="n">
        <v>-311.19173553719</v>
      </c>
      <c r="CY121" s="322" t="n">
        <v>-311.19173553719</v>
      </c>
      <c r="CZ121" s="322" t="n">
        <v>-375.99173553719</v>
      </c>
      <c r="DA121" s="322" t="n">
        <v>-375.99173553719</v>
      </c>
    </row>
    <row r="122" customFormat="false" ht="12.75" hidden="false" customHeight="false" outlineLevel="0" collapsed="false">
      <c r="B122" s="305" t="s">
        <v>200</v>
      </c>
      <c r="C122" s="305" t="s">
        <v>479</v>
      </c>
      <c r="D122" s="306" t="n">
        <v>842</v>
      </c>
      <c r="E122" s="306" t="n">
        <v>3.25</v>
      </c>
      <c r="F122" s="324" t="s">
        <v>432</v>
      </c>
      <c r="G122" s="144" t="n">
        <v>48</v>
      </c>
      <c r="H122" s="325" t="n">
        <v>651.239669421488</v>
      </c>
      <c r="I122" s="2"/>
      <c r="J122" s="144" t="s">
        <v>12</v>
      </c>
      <c r="K122" s="309" t="s">
        <v>12</v>
      </c>
      <c r="L122" s="310"/>
      <c r="M122" s="311" t="n">
        <v>279</v>
      </c>
      <c r="N122" s="312" t="n">
        <v>5.9</v>
      </c>
      <c r="O122" s="311" t="n">
        <v>169</v>
      </c>
      <c r="P122" s="312" t="n">
        <v>7</v>
      </c>
      <c r="Q122" s="310" t="n">
        <v>169</v>
      </c>
      <c r="R122" s="312" t="n">
        <v>6.6</v>
      </c>
      <c r="S122" s="310"/>
      <c r="T122" s="311" t="n">
        <v>0</v>
      </c>
      <c r="U122" s="312" t="n">
        <v>11.6</v>
      </c>
      <c r="V122" s="311" t="n">
        <v>0</v>
      </c>
      <c r="W122" s="312" t="n">
        <v>9.1</v>
      </c>
      <c r="X122" s="311" t="n">
        <v>0</v>
      </c>
      <c r="Y122" s="312" t="n">
        <v>9.1</v>
      </c>
      <c r="Z122" s="313" t="n">
        <v>0</v>
      </c>
      <c r="AA122" s="314" t="n">
        <v>7.8</v>
      </c>
      <c r="AB122" s="313" t="n">
        <v>0</v>
      </c>
      <c r="AC122" s="314" t="n">
        <v>7.8</v>
      </c>
      <c r="AD122" s="315"/>
      <c r="AE122" s="144" t="n">
        <v>191</v>
      </c>
      <c r="AF122" s="315"/>
      <c r="AG122" s="311" t="n">
        <v>0</v>
      </c>
      <c r="AH122" s="309" t="n">
        <v>0</v>
      </c>
      <c r="AI122" s="310"/>
      <c r="AJ122" s="311" t="n">
        <v>280</v>
      </c>
      <c r="AK122" s="309" t="n">
        <v>283.2</v>
      </c>
      <c r="AL122" s="311" t="n">
        <v>337</v>
      </c>
      <c r="AM122" s="309" t="n">
        <v>336</v>
      </c>
      <c r="AN122" s="310" t="n">
        <v>356</v>
      </c>
      <c r="AO122" s="309" t="n">
        <v>316.8</v>
      </c>
      <c r="AP122" s="310"/>
      <c r="AQ122" s="311" t="n">
        <v>285</v>
      </c>
      <c r="AR122" s="309" t="n">
        <v>556.8</v>
      </c>
      <c r="AS122" s="311" t="n">
        <v>405</v>
      </c>
      <c r="AT122" s="309" t="n">
        <v>436.8</v>
      </c>
      <c r="AU122" s="310" t="n">
        <v>405</v>
      </c>
      <c r="AV122" s="309" t="n">
        <v>436.8</v>
      </c>
      <c r="AW122" s="310" t="n">
        <v>468</v>
      </c>
      <c r="AX122" s="309" t="n">
        <v>374.4</v>
      </c>
      <c r="AY122" s="310" t="n">
        <v>468</v>
      </c>
      <c r="AZ122" s="309" t="n">
        <v>374.4</v>
      </c>
      <c r="BB122" s="144" t="n">
        <v>0</v>
      </c>
      <c r="BC122" s="315"/>
      <c r="BD122" s="311" t="n">
        <v>0</v>
      </c>
      <c r="BE122" s="316" t="n">
        <v>0</v>
      </c>
      <c r="BF122" s="310"/>
      <c r="BG122" s="317" t="n">
        <v>0</v>
      </c>
      <c r="BH122" s="318" t="n">
        <v>0</v>
      </c>
      <c r="BI122" s="317" t="n">
        <v>0</v>
      </c>
      <c r="BJ122" s="318" t="n">
        <v>0</v>
      </c>
      <c r="BK122" s="317" t="n">
        <v>0</v>
      </c>
      <c r="BL122" s="318" t="n">
        <v>0</v>
      </c>
      <c r="BM122" s="310"/>
      <c r="BN122" s="317" t="n">
        <v>0</v>
      </c>
      <c r="BO122" s="318" t="n">
        <v>0</v>
      </c>
      <c r="BP122" s="317" t="n">
        <v>0</v>
      </c>
      <c r="BQ122" s="318" t="n">
        <v>0</v>
      </c>
      <c r="BR122" s="317" t="n">
        <v>0</v>
      </c>
      <c r="BS122" s="318" t="n">
        <v>0</v>
      </c>
      <c r="BT122" s="317" t="n">
        <v>0</v>
      </c>
      <c r="BU122" s="318" t="n">
        <v>0</v>
      </c>
      <c r="BV122" s="317" t="n">
        <v>0</v>
      </c>
      <c r="BW122" s="318" t="n">
        <v>0</v>
      </c>
      <c r="BY122" s="143"/>
      <c r="BZ122" s="315"/>
      <c r="CA122" s="144" t="s">
        <v>12</v>
      </c>
      <c r="CB122" s="315"/>
      <c r="CC122" s="144" t="n">
        <v>-89.0396694214876</v>
      </c>
      <c r="CD122" s="144" t="n">
        <v>-146.239669421488</v>
      </c>
      <c r="CE122" s="144" t="n">
        <v>-165.439669421488</v>
      </c>
      <c r="CF122" s="315"/>
      <c r="CG122" s="144" t="n">
        <v>-94.4396694214876</v>
      </c>
      <c r="CH122" s="144" t="n">
        <v>-214.439669421488</v>
      </c>
      <c r="CI122" s="144" t="n">
        <v>-214.439669421488</v>
      </c>
      <c r="CJ122" s="144" t="n">
        <v>-276.839669421488</v>
      </c>
      <c r="CK122" s="144" t="n">
        <v>-276.839669421488</v>
      </c>
      <c r="CM122" s="144" t="n">
        <v>747.99173553719</v>
      </c>
      <c r="CO122" s="319"/>
      <c r="CP122" s="320"/>
      <c r="CQ122" s="321" t="s">
        <v>12</v>
      </c>
      <c r="CR122" s="320"/>
      <c r="CS122" s="322" t="n">
        <v>-185.79173553719</v>
      </c>
      <c r="CT122" s="322" t="n">
        <v>-242.99173553719</v>
      </c>
      <c r="CU122" s="322" t="n">
        <v>-262.19173553719</v>
      </c>
      <c r="CV122" s="323"/>
      <c r="CW122" s="322" t="n">
        <v>-191.19173553719</v>
      </c>
      <c r="CX122" s="322" t="n">
        <v>-311.19173553719</v>
      </c>
      <c r="CY122" s="322" t="n">
        <v>-311.19173553719</v>
      </c>
      <c r="CZ122" s="322" t="n">
        <v>-373.59173553719</v>
      </c>
      <c r="DA122" s="322" t="n">
        <v>-373.59173553719</v>
      </c>
    </row>
    <row r="123" customFormat="false" ht="12.75" hidden="false" customHeight="false" outlineLevel="0" collapsed="false">
      <c r="B123" s="305" t="s">
        <v>200</v>
      </c>
      <c r="C123" s="305" t="s">
        <v>480</v>
      </c>
      <c r="D123" s="306" t="n">
        <v>902</v>
      </c>
      <c r="E123" s="306" t="n">
        <v>3.25</v>
      </c>
      <c r="F123" s="306" t="s">
        <v>432</v>
      </c>
      <c r="G123" s="307" t="n">
        <v>24</v>
      </c>
      <c r="H123" s="308" t="n">
        <v>670.247933884298</v>
      </c>
      <c r="I123" s="2"/>
      <c r="J123" s="144" t="s">
        <v>12</v>
      </c>
      <c r="K123" s="309" t="s">
        <v>12</v>
      </c>
      <c r="L123" s="310"/>
      <c r="M123" s="311" t="n">
        <v>289</v>
      </c>
      <c r="N123" s="312" t="n">
        <v>12</v>
      </c>
      <c r="O123" s="311" t="n">
        <v>179</v>
      </c>
      <c r="P123" s="312" t="n">
        <v>14.3</v>
      </c>
      <c r="Q123" s="310" t="n">
        <v>179</v>
      </c>
      <c r="R123" s="312" t="n">
        <v>13.5</v>
      </c>
      <c r="S123" s="310"/>
      <c r="T123" s="311" t="n">
        <v>0</v>
      </c>
      <c r="U123" s="312" t="n">
        <v>24</v>
      </c>
      <c r="V123" s="311" t="n">
        <v>0</v>
      </c>
      <c r="W123" s="312" t="n">
        <v>19.1</v>
      </c>
      <c r="X123" s="311" t="n">
        <v>0</v>
      </c>
      <c r="Y123" s="312" t="n">
        <v>19.1</v>
      </c>
      <c r="Z123" s="313" t="n">
        <v>0</v>
      </c>
      <c r="AA123" s="314" t="n">
        <v>16.5</v>
      </c>
      <c r="AB123" s="313" t="n">
        <v>0</v>
      </c>
      <c r="AC123" s="314" t="n">
        <v>16.5</v>
      </c>
      <c r="AD123" s="315"/>
      <c r="AE123" s="144" t="n">
        <v>232</v>
      </c>
      <c r="AF123" s="315"/>
      <c r="AG123" s="311" t="n">
        <v>0</v>
      </c>
      <c r="AH123" s="309" t="n">
        <v>0</v>
      </c>
      <c r="AI123" s="310"/>
      <c r="AJ123" s="311" t="n">
        <v>325</v>
      </c>
      <c r="AK123" s="309" t="n">
        <v>288</v>
      </c>
      <c r="AL123" s="311" t="n">
        <v>380</v>
      </c>
      <c r="AM123" s="309" t="n">
        <v>343.2</v>
      </c>
      <c r="AN123" s="311" t="n">
        <v>399</v>
      </c>
      <c r="AO123" s="309" t="n">
        <v>324</v>
      </c>
      <c r="AP123" s="310"/>
      <c r="AQ123" s="311" t="n">
        <v>326</v>
      </c>
      <c r="AR123" s="309" t="n">
        <v>576</v>
      </c>
      <c r="AS123" s="311" t="n">
        <v>444</v>
      </c>
      <c r="AT123" s="309" t="n">
        <v>458.4</v>
      </c>
      <c r="AU123" s="311" t="n">
        <v>444</v>
      </c>
      <c r="AV123" s="309" t="n">
        <v>458.4</v>
      </c>
      <c r="AW123" s="311" t="n">
        <v>506</v>
      </c>
      <c r="AX123" s="309" t="n">
        <v>396</v>
      </c>
      <c r="AY123" s="311" t="n">
        <v>506</v>
      </c>
      <c r="AZ123" s="309" t="n">
        <v>396</v>
      </c>
      <c r="BB123" s="144" t="n">
        <v>0</v>
      </c>
      <c r="BC123" s="315"/>
      <c r="BD123" s="311" t="n">
        <v>0</v>
      </c>
      <c r="BE123" s="316" t="n">
        <v>0</v>
      </c>
      <c r="BF123" s="310"/>
      <c r="BG123" s="317" t="n">
        <v>0</v>
      </c>
      <c r="BH123" s="318" t="n">
        <v>0.199999999999999</v>
      </c>
      <c r="BI123" s="317" t="n">
        <v>0</v>
      </c>
      <c r="BJ123" s="318" t="n">
        <v>0.800000000000001</v>
      </c>
      <c r="BK123" s="317" t="n">
        <v>0</v>
      </c>
      <c r="BL123" s="318" t="n">
        <v>0.6</v>
      </c>
      <c r="BM123" s="310"/>
      <c r="BN123" s="317" t="n">
        <v>0</v>
      </c>
      <c r="BO123" s="318" t="n">
        <v>-0.200000000000003</v>
      </c>
      <c r="BP123" s="317" t="n">
        <v>0</v>
      </c>
      <c r="BQ123" s="318" t="n">
        <v>2.5</v>
      </c>
      <c r="BR123" s="317" t="n">
        <v>0</v>
      </c>
      <c r="BS123" s="318" t="n">
        <v>2.5</v>
      </c>
      <c r="BT123" s="317" t="n">
        <v>0</v>
      </c>
      <c r="BU123" s="318" t="n">
        <v>0</v>
      </c>
      <c r="BV123" s="317" t="n">
        <v>0</v>
      </c>
      <c r="BW123" s="318" t="n">
        <v>0</v>
      </c>
      <c r="BY123" s="143"/>
      <c r="BZ123" s="315"/>
      <c r="CA123" s="144" t="s">
        <v>12</v>
      </c>
      <c r="CB123" s="315"/>
      <c r="CC123" s="144" t="n">
        <v>-93.2479338842976</v>
      </c>
      <c r="CD123" s="144" t="n">
        <v>-148.047933884298</v>
      </c>
      <c r="CE123" s="144" t="n">
        <v>-167.247933884298</v>
      </c>
      <c r="CF123" s="315"/>
      <c r="CG123" s="144" t="n">
        <v>-94.2479338842976</v>
      </c>
      <c r="CH123" s="144" t="n">
        <v>-211.847933884298</v>
      </c>
      <c r="CI123" s="144" t="n">
        <v>-211.847933884298</v>
      </c>
      <c r="CJ123" s="144" t="n">
        <v>-274.247933884298</v>
      </c>
      <c r="CK123" s="144" t="n">
        <v>-274.247933884298</v>
      </c>
      <c r="CM123" s="144" t="n">
        <v>797.578512396694</v>
      </c>
      <c r="CO123" s="319"/>
      <c r="CP123" s="320"/>
      <c r="CQ123" s="321" t="s">
        <v>12</v>
      </c>
      <c r="CR123" s="320"/>
      <c r="CS123" s="322" t="n">
        <v>-220.578512396694</v>
      </c>
      <c r="CT123" s="322" t="n">
        <v>-275.378512396694</v>
      </c>
      <c r="CU123" s="322" t="n">
        <v>-294.578512396694</v>
      </c>
      <c r="CV123" s="323"/>
      <c r="CW123" s="322" t="n">
        <v>-221.578512396694</v>
      </c>
      <c r="CX123" s="322" t="n">
        <v>-339.178512396694</v>
      </c>
      <c r="CY123" s="322" t="n">
        <v>-339.178512396694</v>
      </c>
      <c r="CZ123" s="322" t="n">
        <v>-401.578512396694</v>
      </c>
      <c r="DA123" s="322" t="n">
        <v>-401.578512396694</v>
      </c>
    </row>
    <row r="124" customFormat="false" ht="12.75" hidden="false" customHeight="false" outlineLevel="0" collapsed="false">
      <c r="B124" s="305" t="s">
        <v>200</v>
      </c>
      <c r="C124" s="305" t="s">
        <v>480</v>
      </c>
      <c r="D124" s="306" t="n">
        <v>902</v>
      </c>
      <c r="E124" s="306" t="n">
        <v>3.25</v>
      </c>
      <c r="F124" s="324" t="s">
        <v>432</v>
      </c>
      <c r="G124" s="144" t="n">
        <v>48</v>
      </c>
      <c r="H124" s="325" t="n">
        <v>670.247933884298</v>
      </c>
      <c r="I124" s="2"/>
      <c r="J124" s="144" t="s">
        <v>12</v>
      </c>
      <c r="K124" s="309" t="s">
        <v>12</v>
      </c>
      <c r="L124" s="310"/>
      <c r="M124" s="311" t="n">
        <v>289</v>
      </c>
      <c r="N124" s="312" t="n">
        <v>6</v>
      </c>
      <c r="O124" s="311" t="n">
        <v>179</v>
      </c>
      <c r="P124" s="312" t="n">
        <v>7.2</v>
      </c>
      <c r="Q124" s="310" t="n">
        <v>179</v>
      </c>
      <c r="R124" s="312" t="n">
        <v>6.8</v>
      </c>
      <c r="S124" s="310"/>
      <c r="T124" s="311" t="n">
        <v>0</v>
      </c>
      <c r="U124" s="312" t="n">
        <v>12</v>
      </c>
      <c r="V124" s="311" t="n">
        <v>0</v>
      </c>
      <c r="W124" s="312" t="n">
        <v>9.6</v>
      </c>
      <c r="X124" s="311" t="n">
        <v>0</v>
      </c>
      <c r="Y124" s="312" t="n">
        <v>9.6</v>
      </c>
      <c r="Z124" s="313" t="n">
        <v>0</v>
      </c>
      <c r="AA124" s="314" t="n">
        <v>8.3</v>
      </c>
      <c r="AB124" s="313" t="n">
        <v>0</v>
      </c>
      <c r="AC124" s="314" t="n">
        <v>8.3</v>
      </c>
      <c r="AD124" s="315"/>
      <c r="AE124" s="144" t="n">
        <v>232</v>
      </c>
      <c r="AF124" s="315"/>
      <c r="AG124" s="311" t="n">
        <v>0</v>
      </c>
      <c r="AH124" s="309" t="n">
        <v>0</v>
      </c>
      <c r="AI124" s="310"/>
      <c r="AJ124" s="311" t="n">
        <v>325</v>
      </c>
      <c r="AK124" s="309" t="n">
        <v>288</v>
      </c>
      <c r="AL124" s="311" t="n">
        <v>377</v>
      </c>
      <c r="AM124" s="309" t="n">
        <v>345.6</v>
      </c>
      <c r="AN124" s="310" t="n">
        <v>397</v>
      </c>
      <c r="AO124" s="309" t="n">
        <v>326.4</v>
      </c>
      <c r="AP124" s="310"/>
      <c r="AQ124" s="311" t="n">
        <v>326</v>
      </c>
      <c r="AR124" s="309" t="n">
        <v>576</v>
      </c>
      <c r="AS124" s="311" t="n">
        <v>441</v>
      </c>
      <c r="AT124" s="309" t="n">
        <v>460.8</v>
      </c>
      <c r="AU124" s="310" t="n">
        <v>441</v>
      </c>
      <c r="AV124" s="309" t="n">
        <v>460.8</v>
      </c>
      <c r="AW124" s="310" t="n">
        <v>504</v>
      </c>
      <c r="AX124" s="309" t="n">
        <v>398.4</v>
      </c>
      <c r="AY124" s="310" t="n">
        <v>504</v>
      </c>
      <c r="AZ124" s="309" t="n">
        <v>398.4</v>
      </c>
      <c r="BB124" s="144" t="n">
        <v>0</v>
      </c>
      <c r="BC124" s="315"/>
      <c r="BD124" s="311" t="n">
        <v>0</v>
      </c>
      <c r="BE124" s="316" t="n">
        <v>0</v>
      </c>
      <c r="BF124" s="310"/>
      <c r="BG124" s="317" t="n">
        <v>0</v>
      </c>
      <c r="BH124" s="318" t="n">
        <v>0</v>
      </c>
      <c r="BI124" s="317" t="n">
        <v>0</v>
      </c>
      <c r="BJ124" s="318" t="n">
        <v>0</v>
      </c>
      <c r="BK124" s="317" t="n">
        <v>0</v>
      </c>
      <c r="BL124" s="318" t="n">
        <v>0</v>
      </c>
      <c r="BM124" s="310"/>
      <c r="BN124" s="317" t="n">
        <v>0</v>
      </c>
      <c r="BO124" s="318" t="n">
        <v>0</v>
      </c>
      <c r="BP124" s="317" t="n">
        <v>0</v>
      </c>
      <c r="BQ124" s="318" t="n">
        <v>0</v>
      </c>
      <c r="BR124" s="317" t="n">
        <v>0</v>
      </c>
      <c r="BS124" s="318" t="n">
        <v>0</v>
      </c>
      <c r="BT124" s="317" t="n">
        <v>0</v>
      </c>
      <c r="BU124" s="318" t="n">
        <v>0</v>
      </c>
      <c r="BV124" s="317" t="n">
        <v>0</v>
      </c>
      <c r="BW124" s="318" t="n">
        <v>0</v>
      </c>
      <c r="BY124" s="143"/>
      <c r="BZ124" s="315"/>
      <c r="CA124" s="144" t="s">
        <v>12</v>
      </c>
      <c r="CB124" s="315"/>
      <c r="CC124" s="144" t="n">
        <v>-93.2479338842976</v>
      </c>
      <c r="CD124" s="144" t="n">
        <v>-145.647933884298</v>
      </c>
      <c r="CE124" s="144" t="n">
        <v>-164.847933884298</v>
      </c>
      <c r="CF124" s="315"/>
      <c r="CG124" s="144" t="n">
        <v>-94.2479338842976</v>
      </c>
      <c r="CH124" s="144" t="n">
        <v>-209.447933884298</v>
      </c>
      <c r="CI124" s="144" t="n">
        <v>-209.447933884298</v>
      </c>
      <c r="CJ124" s="144" t="n">
        <v>-271.847933884298</v>
      </c>
      <c r="CK124" s="144" t="n">
        <v>-271.847933884298</v>
      </c>
      <c r="CM124" s="144" t="n">
        <v>797.578512396694</v>
      </c>
      <c r="CO124" s="319"/>
      <c r="CP124" s="320"/>
      <c r="CQ124" s="321" t="s">
        <v>12</v>
      </c>
      <c r="CR124" s="320"/>
      <c r="CS124" s="322" t="n">
        <v>-220.578512396694</v>
      </c>
      <c r="CT124" s="322" t="n">
        <v>-272.978512396694</v>
      </c>
      <c r="CU124" s="322" t="n">
        <v>-292.178512396694</v>
      </c>
      <c r="CV124" s="323"/>
      <c r="CW124" s="322" t="n">
        <v>-221.578512396694</v>
      </c>
      <c r="CX124" s="322" t="n">
        <v>-336.778512396694</v>
      </c>
      <c r="CY124" s="322" t="n">
        <v>-336.778512396694</v>
      </c>
      <c r="CZ124" s="322" t="n">
        <v>-399.178512396694</v>
      </c>
      <c r="DA124" s="322" t="n">
        <v>-399.178512396694</v>
      </c>
    </row>
    <row r="125" customFormat="false" ht="12.75" hidden="false" customHeight="false" outlineLevel="0" collapsed="false">
      <c r="B125" s="305" t="s">
        <v>200</v>
      </c>
      <c r="C125" s="305" t="s">
        <v>481</v>
      </c>
      <c r="D125" s="306" t="n">
        <v>686</v>
      </c>
      <c r="E125" s="306" t="n">
        <v>3.25</v>
      </c>
      <c r="F125" s="306" t="s">
        <v>432</v>
      </c>
      <c r="G125" s="307" t="n">
        <v>24</v>
      </c>
      <c r="H125" s="308" t="n">
        <v>626.446280991736</v>
      </c>
      <c r="I125" s="2"/>
      <c r="J125" s="144" t="s">
        <v>12</v>
      </c>
      <c r="K125" s="309" t="s">
        <v>12</v>
      </c>
      <c r="L125" s="310"/>
      <c r="M125" s="311" t="n">
        <v>159</v>
      </c>
      <c r="N125" s="312" t="n">
        <v>14</v>
      </c>
      <c r="O125" s="311" t="n">
        <v>19</v>
      </c>
      <c r="P125" s="312" t="n">
        <v>18</v>
      </c>
      <c r="Q125" s="310" t="n">
        <v>19</v>
      </c>
      <c r="R125" s="312" t="n">
        <v>17</v>
      </c>
      <c r="S125" s="310"/>
      <c r="T125" s="311" t="n">
        <v>0</v>
      </c>
      <c r="U125" s="312" t="n">
        <v>22.2</v>
      </c>
      <c r="V125" s="311" t="n">
        <v>0</v>
      </c>
      <c r="W125" s="312" t="n">
        <v>17.4</v>
      </c>
      <c r="X125" s="311" t="n">
        <v>0</v>
      </c>
      <c r="Y125" s="312" t="n">
        <v>17.4</v>
      </c>
      <c r="Z125" s="313" t="n">
        <v>0</v>
      </c>
      <c r="AA125" s="314" t="n">
        <v>16</v>
      </c>
      <c r="AB125" s="313" t="n">
        <v>0</v>
      </c>
      <c r="AC125" s="314" t="n">
        <v>16</v>
      </c>
      <c r="AD125" s="315"/>
      <c r="AE125" s="144" t="n">
        <v>60</v>
      </c>
      <c r="AF125" s="315"/>
      <c r="AG125" s="311" t="n">
        <v>0</v>
      </c>
      <c r="AH125" s="309" t="n">
        <v>0</v>
      </c>
      <c r="AI125" s="310"/>
      <c r="AJ125" s="311" t="n">
        <v>191</v>
      </c>
      <c r="AK125" s="309" t="n">
        <v>336</v>
      </c>
      <c r="AL125" s="311" t="n">
        <v>235</v>
      </c>
      <c r="AM125" s="309" t="n">
        <v>432</v>
      </c>
      <c r="AN125" s="311" t="n">
        <v>259</v>
      </c>
      <c r="AO125" s="309" t="n">
        <v>408</v>
      </c>
      <c r="AP125" s="310"/>
      <c r="AQ125" s="311" t="n">
        <v>153</v>
      </c>
      <c r="AR125" s="309" t="n">
        <v>532.8</v>
      </c>
      <c r="AS125" s="311" t="n">
        <v>268</v>
      </c>
      <c r="AT125" s="309" t="n">
        <v>417.6</v>
      </c>
      <c r="AU125" s="311" t="n">
        <v>268</v>
      </c>
      <c r="AV125" s="309" t="n">
        <v>417.6</v>
      </c>
      <c r="AW125" s="311" t="n">
        <v>302</v>
      </c>
      <c r="AX125" s="309" t="n">
        <v>384</v>
      </c>
      <c r="AY125" s="311" t="n">
        <v>302</v>
      </c>
      <c r="AZ125" s="309" t="n">
        <v>384</v>
      </c>
      <c r="BB125" s="144" t="n">
        <v>0</v>
      </c>
      <c r="BC125" s="315"/>
      <c r="BD125" s="311" t="n">
        <v>0</v>
      </c>
      <c r="BE125" s="316" t="n">
        <v>0</v>
      </c>
      <c r="BF125" s="310"/>
      <c r="BG125" s="317" t="n">
        <v>0</v>
      </c>
      <c r="BH125" s="318" t="n">
        <v>0</v>
      </c>
      <c r="BI125" s="317" t="n">
        <v>0</v>
      </c>
      <c r="BJ125" s="318" t="n">
        <v>0</v>
      </c>
      <c r="BK125" s="317" t="n">
        <v>0</v>
      </c>
      <c r="BL125" s="318" t="n">
        <v>0</v>
      </c>
      <c r="BM125" s="310"/>
      <c r="BN125" s="317" t="n">
        <v>0</v>
      </c>
      <c r="BO125" s="318" t="n">
        <v>0</v>
      </c>
      <c r="BP125" s="317" t="n">
        <v>0</v>
      </c>
      <c r="BQ125" s="318" t="n">
        <v>-1.2</v>
      </c>
      <c r="BR125" s="317" t="n">
        <v>0</v>
      </c>
      <c r="BS125" s="318" t="n">
        <v>-1.2</v>
      </c>
      <c r="BT125" s="317" t="n">
        <v>0</v>
      </c>
      <c r="BU125" s="318" t="n">
        <v>0</v>
      </c>
      <c r="BV125" s="317" t="n">
        <v>0</v>
      </c>
      <c r="BW125" s="318" t="n">
        <v>0</v>
      </c>
      <c r="BY125" s="143"/>
      <c r="BZ125" s="315"/>
      <c r="CA125" s="144" t="s">
        <v>12</v>
      </c>
      <c r="CB125" s="315"/>
      <c r="CC125" s="144" t="n">
        <v>-131.446280991736</v>
      </c>
      <c r="CD125" s="144" t="n">
        <v>-175.446280991736</v>
      </c>
      <c r="CE125" s="144" t="n">
        <v>-199.446280991736</v>
      </c>
      <c r="CF125" s="315"/>
      <c r="CG125" s="144" t="n">
        <v>-93.6462809917355</v>
      </c>
      <c r="CH125" s="144" t="n">
        <v>-208.846280991736</v>
      </c>
      <c r="CI125" s="144" t="n">
        <v>-208.846280991736</v>
      </c>
      <c r="CJ125" s="144" t="n">
        <v>-242.446280991736</v>
      </c>
      <c r="CK125" s="144" t="n">
        <v>-242.446280991736</v>
      </c>
      <c r="CM125" s="144" t="n">
        <v>619.00826446281</v>
      </c>
      <c r="CO125" s="319"/>
      <c r="CP125" s="320"/>
      <c r="CQ125" s="321" t="s">
        <v>12</v>
      </c>
      <c r="CR125" s="320"/>
      <c r="CS125" s="322" t="n">
        <v>-124.00826446281</v>
      </c>
      <c r="CT125" s="322" t="n">
        <v>-168.00826446281</v>
      </c>
      <c r="CU125" s="322" t="n">
        <v>-192.00826446281</v>
      </c>
      <c r="CV125" s="323"/>
      <c r="CW125" s="322" t="n">
        <v>-86.2082644628099</v>
      </c>
      <c r="CX125" s="322" t="n">
        <v>-201.40826446281</v>
      </c>
      <c r="CY125" s="322" t="n">
        <v>-201.40826446281</v>
      </c>
      <c r="CZ125" s="322" t="n">
        <v>-235.00826446281</v>
      </c>
      <c r="DA125" s="322" t="n">
        <v>-235.00826446281</v>
      </c>
    </row>
    <row r="126" customFormat="false" ht="12.75" hidden="false" customHeight="false" outlineLevel="0" collapsed="false">
      <c r="B126" s="305" t="s">
        <v>200</v>
      </c>
      <c r="C126" s="305" t="s">
        <v>481</v>
      </c>
      <c r="D126" s="306" t="n">
        <v>686</v>
      </c>
      <c r="E126" s="306" t="n">
        <v>3.25</v>
      </c>
      <c r="F126" s="324" t="s">
        <v>432</v>
      </c>
      <c r="G126" s="144" t="n">
        <v>48</v>
      </c>
      <c r="H126" s="325" t="n">
        <v>626.446280991736</v>
      </c>
      <c r="I126" s="2"/>
      <c r="J126" s="144" t="s">
        <v>12</v>
      </c>
      <c r="K126" s="309" t="s">
        <v>12</v>
      </c>
      <c r="L126" s="310"/>
      <c r="M126" s="311" t="n">
        <v>159</v>
      </c>
      <c r="N126" s="312" t="n">
        <v>7</v>
      </c>
      <c r="O126" s="311" t="n">
        <v>19</v>
      </c>
      <c r="P126" s="312" t="n">
        <v>9</v>
      </c>
      <c r="Q126" s="310" t="n">
        <v>19</v>
      </c>
      <c r="R126" s="312" t="n">
        <v>8.5</v>
      </c>
      <c r="S126" s="310"/>
      <c r="T126" s="311" t="n">
        <v>0</v>
      </c>
      <c r="U126" s="312" t="n">
        <v>11.1</v>
      </c>
      <c r="V126" s="311" t="n">
        <v>0</v>
      </c>
      <c r="W126" s="312" t="n">
        <v>8.7</v>
      </c>
      <c r="X126" s="311" t="n">
        <v>0</v>
      </c>
      <c r="Y126" s="312" t="n">
        <v>8.7</v>
      </c>
      <c r="Z126" s="313" t="n">
        <v>0</v>
      </c>
      <c r="AA126" s="314" t="n">
        <v>8</v>
      </c>
      <c r="AB126" s="313" t="n">
        <v>0</v>
      </c>
      <c r="AC126" s="314" t="n">
        <v>8</v>
      </c>
      <c r="AD126" s="315"/>
      <c r="AE126" s="144" t="n">
        <v>60</v>
      </c>
      <c r="AF126" s="315"/>
      <c r="AG126" s="311" t="n">
        <v>0</v>
      </c>
      <c r="AH126" s="309" t="n">
        <v>0</v>
      </c>
      <c r="AI126" s="310"/>
      <c r="AJ126" s="311" t="n">
        <v>191</v>
      </c>
      <c r="AK126" s="309" t="n">
        <v>336</v>
      </c>
      <c r="AL126" s="311" t="n">
        <v>235</v>
      </c>
      <c r="AM126" s="309" t="n">
        <v>432</v>
      </c>
      <c r="AN126" s="310" t="n">
        <v>259</v>
      </c>
      <c r="AO126" s="309" t="n">
        <v>408</v>
      </c>
      <c r="AP126" s="310"/>
      <c r="AQ126" s="311" t="n">
        <v>153</v>
      </c>
      <c r="AR126" s="309" t="n">
        <v>532.8</v>
      </c>
      <c r="AS126" s="311" t="n">
        <v>268</v>
      </c>
      <c r="AT126" s="309" t="n">
        <v>417.6</v>
      </c>
      <c r="AU126" s="310" t="n">
        <v>268</v>
      </c>
      <c r="AV126" s="309" t="n">
        <v>417.6</v>
      </c>
      <c r="AW126" s="310" t="n">
        <v>302</v>
      </c>
      <c r="AX126" s="309" t="n">
        <v>384</v>
      </c>
      <c r="AY126" s="310" t="n">
        <v>302</v>
      </c>
      <c r="AZ126" s="309" t="n">
        <v>384</v>
      </c>
      <c r="BB126" s="144" t="n">
        <v>0</v>
      </c>
      <c r="BC126" s="315"/>
      <c r="BD126" s="311" t="n">
        <v>0</v>
      </c>
      <c r="BE126" s="316" t="n">
        <v>0</v>
      </c>
      <c r="BF126" s="310"/>
      <c r="BG126" s="317" t="n">
        <v>0</v>
      </c>
      <c r="BH126" s="318" t="n">
        <v>0</v>
      </c>
      <c r="BI126" s="317" t="n">
        <v>0</v>
      </c>
      <c r="BJ126" s="318" t="n">
        <v>0</v>
      </c>
      <c r="BK126" s="317" t="n">
        <v>0</v>
      </c>
      <c r="BL126" s="318" t="n">
        <v>0</v>
      </c>
      <c r="BM126" s="310"/>
      <c r="BN126" s="317" t="n">
        <v>0</v>
      </c>
      <c r="BO126" s="318" t="n">
        <v>0</v>
      </c>
      <c r="BP126" s="317" t="n">
        <v>0</v>
      </c>
      <c r="BQ126" s="318" t="n">
        <v>0</v>
      </c>
      <c r="BR126" s="317" t="n">
        <v>0</v>
      </c>
      <c r="BS126" s="318" t="n">
        <v>0</v>
      </c>
      <c r="BT126" s="317" t="n">
        <v>0</v>
      </c>
      <c r="BU126" s="318" t="n">
        <v>0</v>
      </c>
      <c r="BV126" s="317" t="n">
        <v>0</v>
      </c>
      <c r="BW126" s="318" t="n">
        <v>0</v>
      </c>
      <c r="BY126" s="143"/>
      <c r="BZ126" s="315"/>
      <c r="CA126" s="144" t="s">
        <v>12</v>
      </c>
      <c r="CB126" s="315"/>
      <c r="CC126" s="144" t="n">
        <v>-131.446280991736</v>
      </c>
      <c r="CD126" s="144" t="n">
        <v>-175.446280991736</v>
      </c>
      <c r="CE126" s="144" t="n">
        <v>-199.446280991736</v>
      </c>
      <c r="CF126" s="315"/>
      <c r="CG126" s="144" t="n">
        <v>-93.6462809917355</v>
      </c>
      <c r="CH126" s="144" t="n">
        <v>-208.846280991736</v>
      </c>
      <c r="CI126" s="144" t="n">
        <v>-208.846280991736</v>
      </c>
      <c r="CJ126" s="144" t="n">
        <v>-242.446280991736</v>
      </c>
      <c r="CK126" s="144" t="n">
        <v>-242.446280991736</v>
      </c>
      <c r="CM126" s="144" t="n">
        <v>619.00826446281</v>
      </c>
      <c r="CO126" s="319"/>
      <c r="CP126" s="320"/>
      <c r="CQ126" s="321" t="s">
        <v>12</v>
      </c>
      <c r="CR126" s="320"/>
      <c r="CS126" s="322" t="n">
        <v>-124.00826446281</v>
      </c>
      <c r="CT126" s="322" t="n">
        <v>-168.00826446281</v>
      </c>
      <c r="CU126" s="322" t="n">
        <v>-192.00826446281</v>
      </c>
      <c r="CV126" s="323"/>
      <c r="CW126" s="322" t="n">
        <v>-86.2082644628099</v>
      </c>
      <c r="CX126" s="322" t="n">
        <v>-201.40826446281</v>
      </c>
      <c r="CY126" s="322" t="n">
        <v>-201.40826446281</v>
      </c>
      <c r="CZ126" s="322" t="n">
        <v>-235.00826446281</v>
      </c>
      <c r="DA126" s="322" t="n">
        <v>-235.00826446281</v>
      </c>
    </row>
    <row r="127" customFormat="false" ht="12.75" hidden="false" customHeight="false" outlineLevel="0" collapsed="false">
      <c r="B127" s="305" t="s">
        <v>200</v>
      </c>
      <c r="C127" s="305" t="s">
        <v>482</v>
      </c>
      <c r="D127" s="306" t="n">
        <v>843</v>
      </c>
      <c r="E127" s="306" t="n">
        <v>3.25</v>
      </c>
      <c r="F127" s="306" t="s">
        <v>432</v>
      </c>
      <c r="G127" s="307" t="n">
        <v>24</v>
      </c>
      <c r="H127" s="308" t="n">
        <v>792.561983471074</v>
      </c>
      <c r="I127" s="2"/>
      <c r="J127" s="144" t="s">
        <v>12</v>
      </c>
      <c r="K127" s="309" t="s">
        <v>12</v>
      </c>
      <c r="L127" s="310"/>
      <c r="M127" s="311" t="n">
        <v>329</v>
      </c>
      <c r="N127" s="312" t="n">
        <v>13.7</v>
      </c>
      <c r="O127" s="311" t="n">
        <v>199</v>
      </c>
      <c r="P127" s="312" t="n">
        <v>16.8</v>
      </c>
      <c r="Q127" s="310" t="n">
        <v>199</v>
      </c>
      <c r="R127" s="312" t="n">
        <v>16</v>
      </c>
      <c r="S127" s="310"/>
      <c r="T127" s="311" t="n">
        <v>0</v>
      </c>
      <c r="U127" s="312" t="n">
        <v>27.3</v>
      </c>
      <c r="V127" s="311" t="n">
        <v>0</v>
      </c>
      <c r="W127" s="312" t="n">
        <v>23.2</v>
      </c>
      <c r="X127" s="311" t="n">
        <v>0</v>
      </c>
      <c r="Y127" s="312" t="n">
        <v>21</v>
      </c>
      <c r="Z127" s="313" t="n">
        <v>0</v>
      </c>
      <c r="AA127" s="314" t="n">
        <v>21</v>
      </c>
      <c r="AB127" s="313" t="n">
        <v>0</v>
      </c>
      <c r="AC127" s="314" t="n">
        <v>21</v>
      </c>
      <c r="AD127" s="315"/>
      <c r="AE127" s="144" t="n">
        <v>50</v>
      </c>
      <c r="AF127" s="315"/>
      <c r="AG127" s="311" t="n">
        <v>0</v>
      </c>
      <c r="AH127" s="309" t="n">
        <v>0</v>
      </c>
      <c r="AI127" s="310"/>
      <c r="AJ127" s="311" t="n">
        <v>185</v>
      </c>
      <c r="AK127" s="309" t="n">
        <v>328.8</v>
      </c>
      <c r="AL127" s="311" t="n">
        <v>241</v>
      </c>
      <c r="AM127" s="309" t="n">
        <v>403.2</v>
      </c>
      <c r="AN127" s="311" t="n">
        <v>260</v>
      </c>
      <c r="AO127" s="309" t="n">
        <v>384</v>
      </c>
      <c r="AP127" s="310"/>
      <c r="AQ127" s="311" t="n">
        <v>188</v>
      </c>
      <c r="AR127" s="309" t="n">
        <v>655.2</v>
      </c>
      <c r="AS127" s="311" t="n">
        <v>286</v>
      </c>
      <c r="AT127" s="309" t="n">
        <v>556.8</v>
      </c>
      <c r="AU127" s="311" t="n">
        <v>339</v>
      </c>
      <c r="AV127" s="309" t="n">
        <v>504</v>
      </c>
      <c r="AW127" s="311" t="n">
        <v>339</v>
      </c>
      <c r="AX127" s="309" t="n">
        <v>504</v>
      </c>
      <c r="AY127" s="311" t="n">
        <v>339</v>
      </c>
      <c r="AZ127" s="309" t="n">
        <v>504</v>
      </c>
      <c r="BB127" s="144" t="n">
        <v>0</v>
      </c>
      <c r="BC127" s="315"/>
      <c r="BD127" s="311" t="n">
        <v>0</v>
      </c>
      <c r="BE127" s="316" t="n">
        <v>0</v>
      </c>
      <c r="BF127" s="310"/>
      <c r="BG127" s="317" t="n">
        <v>0</v>
      </c>
      <c r="BH127" s="318" t="n">
        <v>0.200000000000001</v>
      </c>
      <c r="BI127" s="317" t="n">
        <v>0</v>
      </c>
      <c r="BJ127" s="318" t="n">
        <v>0.600000000000001</v>
      </c>
      <c r="BK127" s="317" t="n">
        <v>0</v>
      </c>
      <c r="BL127" s="318" t="n">
        <v>0.899999999999999</v>
      </c>
      <c r="BM127" s="310"/>
      <c r="BN127" s="317" t="n">
        <v>0</v>
      </c>
      <c r="BO127" s="318" t="n">
        <v>-0.199999999999999</v>
      </c>
      <c r="BP127" s="317" t="n">
        <v>0</v>
      </c>
      <c r="BQ127" s="318" t="n">
        <v>1.5</v>
      </c>
      <c r="BR127" s="317" t="n">
        <v>0</v>
      </c>
      <c r="BS127" s="318" t="n">
        <v>1.5</v>
      </c>
      <c r="BT127" s="317" t="n">
        <v>0</v>
      </c>
      <c r="BU127" s="318" t="n">
        <v>1.5</v>
      </c>
      <c r="BV127" s="317" t="n">
        <v>0</v>
      </c>
      <c r="BW127" s="318" t="n">
        <v>1.5</v>
      </c>
      <c r="BY127" s="143"/>
      <c r="BZ127" s="315"/>
      <c r="CA127" s="144" t="s">
        <v>12</v>
      </c>
      <c r="CB127" s="315"/>
      <c r="CC127" s="144" t="n">
        <v>-134.761983471074</v>
      </c>
      <c r="CD127" s="144" t="n">
        <v>-190.361983471074</v>
      </c>
      <c r="CE127" s="144" t="n">
        <v>-209.561983471074</v>
      </c>
      <c r="CF127" s="315"/>
      <c r="CG127" s="144" t="n">
        <v>-137.361983471074</v>
      </c>
      <c r="CH127" s="144" t="n">
        <v>-235.761983471074</v>
      </c>
      <c r="CI127" s="144" t="n">
        <v>-288.561983471074</v>
      </c>
      <c r="CJ127" s="144" t="n">
        <v>-288.561983471074</v>
      </c>
      <c r="CK127" s="144" t="n">
        <v>-288.561983471074</v>
      </c>
      <c r="CM127" s="144" t="n">
        <v>747.99173553719</v>
      </c>
      <c r="CO127" s="319"/>
      <c r="CP127" s="320"/>
      <c r="CQ127" s="321" t="s">
        <v>12</v>
      </c>
      <c r="CR127" s="320"/>
      <c r="CS127" s="322" t="n">
        <v>-90.1917355371902</v>
      </c>
      <c r="CT127" s="322" t="n">
        <v>-145.79173553719</v>
      </c>
      <c r="CU127" s="322" t="n">
        <v>-164.99173553719</v>
      </c>
      <c r="CV127" s="323"/>
      <c r="CW127" s="322" t="n">
        <v>-92.7917355371901</v>
      </c>
      <c r="CX127" s="322" t="n">
        <v>-191.19173553719</v>
      </c>
      <c r="CY127" s="322" t="n">
        <v>-243.99173553719</v>
      </c>
      <c r="CZ127" s="322" t="n">
        <v>-243.99173553719</v>
      </c>
      <c r="DA127" s="322" t="n">
        <v>-243.99173553719</v>
      </c>
    </row>
    <row r="128" customFormat="false" ht="12.75" hidden="false" customHeight="false" outlineLevel="0" collapsed="false">
      <c r="B128" s="305" t="s">
        <v>200</v>
      </c>
      <c r="C128" s="305" t="s">
        <v>482</v>
      </c>
      <c r="D128" s="306" t="n">
        <v>843</v>
      </c>
      <c r="E128" s="306" t="n">
        <v>3.25</v>
      </c>
      <c r="F128" s="324" t="s">
        <v>432</v>
      </c>
      <c r="G128" s="144" t="n">
        <v>48</v>
      </c>
      <c r="H128" s="325" t="n">
        <v>792.561983471074</v>
      </c>
      <c r="I128" s="2"/>
      <c r="J128" s="144" t="s">
        <v>12</v>
      </c>
      <c r="K128" s="309" t="s">
        <v>12</v>
      </c>
      <c r="L128" s="310"/>
      <c r="M128" s="311" t="n">
        <v>329</v>
      </c>
      <c r="N128" s="312" t="n">
        <v>6.9</v>
      </c>
      <c r="O128" s="311" t="n">
        <v>199</v>
      </c>
      <c r="P128" s="312" t="n">
        <v>8.4</v>
      </c>
      <c r="Q128" s="310" t="n">
        <v>199</v>
      </c>
      <c r="R128" s="312" t="n">
        <v>8</v>
      </c>
      <c r="S128" s="310"/>
      <c r="T128" s="311" t="n">
        <v>0</v>
      </c>
      <c r="U128" s="312" t="n">
        <v>13.7</v>
      </c>
      <c r="V128" s="311" t="n">
        <v>0</v>
      </c>
      <c r="W128" s="312" t="n">
        <v>11.6</v>
      </c>
      <c r="X128" s="311" t="n">
        <v>0</v>
      </c>
      <c r="Y128" s="312" t="n">
        <v>10.5</v>
      </c>
      <c r="Z128" s="313" t="n">
        <v>0</v>
      </c>
      <c r="AA128" s="314" t="n">
        <v>10.5</v>
      </c>
      <c r="AB128" s="313" t="n">
        <v>0</v>
      </c>
      <c r="AC128" s="314" t="n">
        <v>10.5</v>
      </c>
      <c r="AD128" s="315"/>
      <c r="AE128" s="144" t="n">
        <v>50</v>
      </c>
      <c r="AF128" s="315"/>
      <c r="AG128" s="311" t="n">
        <v>0</v>
      </c>
      <c r="AH128" s="309" t="n">
        <v>0</v>
      </c>
      <c r="AI128" s="310"/>
      <c r="AJ128" s="311" t="n">
        <v>183</v>
      </c>
      <c r="AK128" s="309" t="n">
        <v>331.2</v>
      </c>
      <c r="AL128" s="311" t="n">
        <v>241</v>
      </c>
      <c r="AM128" s="309" t="n">
        <v>403.2</v>
      </c>
      <c r="AN128" s="310" t="n">
        <v>260</v>
      </c>
      <c r="AO128" s="309" t="n">
        <v>384</v>
      </c>
      <c r="AP128" s="310"/>
      <c r="AQ128" s="311" t="n">
        <v>185</v>
      </c>
      <c r="AR128" s="309" t="n">
        <v>657.6</v>
      </c>
      <c r="AS128" s="311" t="n">
        <v>286</v>
      </c>
      <c r="AT128" s="309" t="n">
        <v>556.8</v>
      </c>
      <c r="AU128" s="310" t="n">
        <v>339</v>
      </c>
      <c r="AV128" s="309" t="n">
        <v>504</v>
      </c>
      <c r="AW128" s="310" t="n">
        <v>339</v>
      </c>
      <c r="AX128" s="309" t="n">
        <v>504</v>
      </c>
      <c r="AY128" s="310" t="n">
        <v>339</v>
      </c>
      <c r="AZ128" s="309" t="n">
        <v>504</v>
      </c>
      <c r="BB128" s="144" t="n">
        <v>0</v>
      </c>
      <c r="BC128" s="315"/>
      <c r="BD128" s="311" t="n">
        <v>0</v>
      </c>
      <c r="BE128" s="316" t="n">
        <v>0</v>
      </c>
      <c r="BF128" s="310"/>
      <c r="BG128" s="317" t="n">
        <v>0</v>
      </c>
      <c r="BH128" s="318" t="n">
        <v>0</v>
      </c>
      <c r="BI128" s="317" t="n">
        <v>0</v>
      </c>
      <c r="BJ128" s="318" t="n">
        <v>0</v>
      </c>
      <c r="BK128" s="317" t="n">
        <v>0</v>
      </c>
      <c r="BL128" s="318" t="n">
        <v>0</v>
      </c>
      <c r="BM128" s="310"/>
      <c r="BN128" s="317" t="n">
        <v>0</v>
      </c>
      <c r="BO128" s="318" t="n">
        <v>0</v>
      </c>
      <c r="BP128" s="317" t="n">
        <v>0</v>
      </c>
      <c r="BQ128" s="318" t="n">
        <v>0</v>
      </c>
      <c r="BR128" s="317" t="n">
        <v>0</v>
      </c>
      <c r="BS128" s="318" t="n">
        <v>0</v>
      </c>
      <c r="BT128" s="317" t="n">
        <v>0</v>
      </c>
      <c r="BU128" s="318" t="n">
        <v>0</v>
      </c>
      <c r="BV128" s="317" t="n">
        <v>0</v>
      </c>
      <c r="BW128" s="318" t="n">
        <v>0</v>
      </c>
      <c r="BY128" s="143"/>
      <c r="BZ128" s="315"/>
      <c r="CA128" s="144" t="s">
        <v>12</v>
      </c>
      <c r="CB128" s="315"/>
      <c r="CC128" s="144" t="n">
        <v>-132.361983471074</v>
      </c>
      <c r="CD128" s="144" t="n">
        <v>-190.361983471074</v>
      </c>
      <c r="CE128" s="144" t="n">
        <v>-209.561983471074</v>
      </c>
      <c r="CF128" s="315"/>
      <c r="CG128" s="144" t="n">
        <v>-134.961983471074</v>
      </c>
      <c r="CH128" s="144" t="n">
        <v>-235.761983471074</v>
      </c>
      <c r="CI128" s="144" t="n">
        <v>-288.561983471074</v>
      </c>
      <c r="CJ128" s="144" t="n">
        <v>-288.561983471074</v>
      </c>
      <c r="CK128" s="144" t="n">
        <v>-288.561983471074</v>
      </c>
      <c r="CM128" s="144" t="n">
        <v>747.99173553719</v>
      </c>
      <c r="CO128" s="319"/>
      <c r="CP128" s="320"/>
      <c r="CQ128" s="321" t="s">
        <v>12</v>
      </c>
      <c r="CR128" s="320"/>
      <c r="CS128" s="322" t="n">
        <v>-87.7917355371901</v>
      </c>
      <c r="CT128" s="322" t="n">
        <v>-145.79173553719</v>
      </c>
      <c r="CU128" s="322" t="n">
        <v>-164.99173553719</v>
      </c>
      <c r="CV128" s="323"/>
      <c r="CW128" s="322" t="n">
        <v>-90.3917355371901</v>
      </c>
      <c r="CX128" s="322" t="n">
        <v>-191.19173553719</v>
      </c>
      <c r="CY128" s="322" t="n">
        <v>-243.99173553719</v>
      </c>
      <c r="CZ128" s="322" t="n">
        <v>-243.99173553719</v>
      </c>
      <c r="DA128" s="322" t="n">
        <v>-243.99173553719</v>
      </c>
    </row>
    <row r="129" customFormat="false" ht="12.75" hidden="false" customHeight="false" outlineLevel="0" collapsed="false">
      <c r="B129" s="305" t="s">
        <v>200</v>
      </c>
      <c r="C129" s="305" t="s">
        <v>483</v>
      </c>
      <c r="D129" s="306" t="n">
        <v>902</v>
      </c>
      <c r="E129" s="306" t="n">
        <v>3.25</v>
      </c>
      <c r="F129" s="306" t="s">
        <v>432</v>
      </c>
      <c r="G129" s="307" t="n">
        <v>24</v>
      </c>
      <c r="H129" s="308" t="n">
        <v>798.347107438017</v>
      </c>
      <c r="I129" s="2"/>
      <c r="J129" s="144" t="s">
        <v>12</v>
      </c>
      <c r="K129" s="309" t="s">
        <v>12</v>
      </c>
      <c r="L129" s="310"/>
      <c r="M129" s="311" t="n">
        <v>329</v>
      </c>
      <c r="N129" s="312" t="n">
        <v>13.9</v>
      </c>
      <c r="O129" s="311" t="n">
        <v>199</v>
      </c>
      <c r="P129" s="312" t="n">
        <v>17</v>
      </c>
      <c r="Q129" s="310" t="n">
        <v>199</v>
      </c>
      <c r="R129" s="312" t="n">
        <v>16.2</v>
      </c>
      <c r="S129" s="310"/>
      <c r="T129" s="311" t="n">
        <v>0</v>
      </c>
      <c r="U129" s="312" t="n">
        <v>27.5</v>
      </c>
      <c r="V129" s="311" t="n">
        <v>0</v>
      </c>
      <c r="W129" s="312" t="n">
        <v>23.2</v>
      </c>
      <c r="X129" s="311" t="n">
        <v>0</v>
      </c>
      <c r="Y129" s="312" t="n">
        <v>19</v>
      </c>
      <c r="Z129" s="313" t="n">
        <v>0</v>
      </c>
      <c r="AA129" s="314" t="n">
        <v>19</v>
      </c>
      <c r="AB129" s="313" t="n">
        <v>0</v>
      </c>
      <c r="AC129" s="314" t="n">
        <v>19</v>
      </c>
      <c r="AD129" s="315"/>
      <c r="AE129" s="144" t="n">
        <v>104</v>
      </c>
      <c r="AF129" s="315"/>
      <c r="AG129" s="311" t="n">
        <v>0</v>
      </c>
      <c r="AH129" s="309" t="n">
        <v>0</v>
      </c>
      <c r="AI129" s="310"/>
      <c r="AJ129" s="311" t="n">
        <v>239</v>
      </c>
      <c r="AK129" s="309" t="n">
        <v>333.6</v>
      </c>
      <c r="AL129" s="311" t="n">
        <v>295</v>
      </c>
      <c r="AM129" s="309" t="n">
        <v>408</v>
      </c>
      <c r="AN129" s="311" t="n">
        <v>314</v>
      </c>
      <c r="AO129" s="309" t="n">
        <v>388.8</v>
      </c>
      <c r="AP129" s="310"/>
      <c r="AQ129" s="311" t="n">
        <v>242</v>
      </c>
      <c r="AR129" s="309" t="n">
        <v>660</v>
      </c>
      <c r="AS129" s="311" t="n">
        <v>345</v>
      </c>
      <c r="AT129" s="309" t="n">
        <v>556.8</v>
      </c>
      <c r="AU129" s="311" t="n">
        <v>446</v>
      </c>
      <c r="AV129" s="309" t="n">
        <v>456</v>
      </c>
      <c r="AW129" s="311" t="n">
        <v>446</v>
      </c>
      <c r="AX129" s="309" t="n">
        <v>456</v>
      </c>
      <c r="AY129" s="311" t="n">
        <v>446</v>
      </c>
      <c r="AZ129" s="309" t="n">
        <v>456</v>
      </c>
      <c r="BB129" s="144" t="n">
        <v>0</v>
      </c>
      <c r="BC129" s="315"/>
      <c r="BD129" s="311" t="n">
        <v>0</v>
      </c>
      <c r="BE129" s="316" t="n">
        <v>0</v>
      </c>
      <c r="BF129" s="310"/>
      <c r="BG129" s="317" t="n">
        <v>0</v>
      </c>
      <c r="BH129" s="318" t="n">
        <v>0</v>
      </c>
      <c r="BI129" s="317" t="n">
        <v>0</v>
      </c>
      <c r="BJ129" s="318" t="n">
        <v>0.599999999999998</v>
      </c>
      <c r="BK129" s="317" t="n">
        <v>0</v>
      </c>
      <c r="BL129" s="318" t="n">
        <v>0.899999999999999</v>
      </c>
      <c r="BM129" s="310"/>
      <c r="BN129" s="317" t="n">
        <v>0</v>
      </c>
      <c r="BO129" s="318" t="n">
        <v>-0.200000000000003</v>
      </c>
      <c r="BP129" s="317" t="n">
        <v>0</v>
      </c>
      <c r="BQ129" s="318" t="n">
        <v>0.400000000000002</v>
      </c>
      <c r="BR129" s="317" t="n">
        <v>0</v>
      </c>
      <c r="BS129" s="318" t="n">
        <v>-1</v>
      </c>
      <c r="BT129" s="317" t="n">
        <v>0</v>
      </c>
      <c r="BU129" s="318" t="n">
        <v>-1</v>
      </c>
      <c r="BV129" s="317" t="n">
        <v>0</v>
      </c>
      <c r="BW129" s="318" t="n">
        <v>-1</v>
      </c>
      <c r="BY129" s="143"/>
      <c r="BZ129" s="315"/>
      <c r="CA129" s="144" t="s">
        <v>12</v>
      </c>
      <c r="CB129" s="315"/>
      <c r="CC129" s="144" t="n">
        <v>-135.747107438017</v>
      </c>
      <c r="CD129" s="144" t="n">
        <v>-191.347107438017</v>
      </c>
      <c r="CE129" s="144" t="n">
        <v>-210.547107438017</v>
      </c>
      <c r="CF129" s="315"/>
      <c r="CG129" s="144" t="n">
        <v>-138.347107438017</v>
      </c>
      <c r="CH129" s="144" t="n">
        <v>-241.547107438016</v>
      </c>
      <c r="CI129" s="144" t="n">
        <v>-342.347107438017</v>
      </c>
      <c r="CJ129" s="144" t="n">
        <v>-342.347107438017</v>
      </c>
      <c r="CK129" s="144" t="n">
        <v>-342.347107438017</v>
      </c>
      <c r="CM129" s="144" t="n">
        <v>797.578512396694</v>
      </c>
      <c r="CO129" s="319"/>
      <c r="CP129" s="320"/>
      <c r="CQ129" s="321" t="s">
        <v>12</v>
      </c>
      <c r="CR129" s="320"/>
      <c r="CS129" s="322" t="n">
        <v>-134.978512396694</v>
      </c>
      <c r="CT129" s="322" t="n">
        <v>-190.578512396694</v>
      </c>
      <c r="CU129" s="322" t="n">
        <v>-209.778512396694</v>
      </c>
      <c r="CV129" s="323"/>
      <c r="CW129" s="322" t="n">
        <v>-137.578512396694</v>
      </c>
      <c r="CX129" s="322" t="n">
        <v>-240.778512396694</v>
      </c>
      <c r="CY129" s="322" t="n">
        <v>-341.578512396694</v>
      </c>
      <c r="CZ129" s="322" t="n">
        <v>-341.578512396694</v>
      </c>
      <c r="DA129" s="322" t="n">
        <v>-341.578512396694</v>
      </c>
    </row>
    <row r="130" customFormat="false" ht="12.75" hidden="false" customHeight="false" outlineLevel="0" collapsed="false">
      <c r="B130" s="305" t="s">
        <v>200</v>
      </c>
      <c r="C130" s="305" t="s">
        <v>483</v>
      </c>
      <c r="D130" s="306" t="n">
        <v>902</v>
      </c>
      <c r="E130" s="306" t="n">
        <v>3.25</v>
      </c>
      <c r="F130" s="324" t="s">
        <v>432</v>
      </c>
      <c r="G130" s="144" t="n">
        <v>48</v>
      </c>
      <c r="H130" s="325" t="n">
        <v>798.347107438017</v>
      </c>
      <c r="I130" s="2"/>
      <c r="J130" s="144" t="s">
        <v>12</v>
      </c>
      <c r="K130" s="309" t="s">
        <v>12</v>
      </c>
      <c r="L130" s="310"/>
      <c r="M130" s="311" t="n">
        <v>329</v>
      </c>
      <c r="N130" s="312" t="n">
        <v>7</v>
      </c>
      <c r="O130" s="311" t="n">
        <v>199</v>
      </c>
      <c r="P130" s="312" t="n">
        <v>8.5</v>
      </c>
      <c r="Q130" s="310" t="n">
        <v>199</v>
      </c>
      <c r="R130" s="312" t="n">
        <v>8.1</v>
      </c>
      <c r="S130" s="310"/>
      <c r="T130" s="311" t="n">
        <v>0</v>
      </c>
      <c r="U130" s="312" t="n">
        <v>13.8</v>
      </c>
      <c r="V130" s="311" t="n">
        <v>0</v>
      </c>
      <c r="W130" s="312" t="n">
        <v>11.6</v>
      </c>
      <c r="X130" s="311" t="n">
        <v>0</v>
      </c>
      <c r="Y130" s="312" t="n">
        <v>9.5</v>
      </c>
      <c r="Z130" s="313" t="n">
        <v>0</v>
      </c>
      <c r="AA130" s="314" t="n">
        <v>9.5</v>
      </c>
      <c r="AB130" s="313" t="n">
        <v>0</v>
      </c>
      <c r="AC130" s="314" t="n">
        <v>9.5</v>
      </c>
      <c r="AD130" s="315"/>
      <c r="AE130" s="144" t="n">
        <v>104</v>
      </c>
      <c r="AF130" s="315"/>
      <c r="AG130" s="311" t="n">
        <v>0</v>
      </c>
      <c r="AH130" s="309" t="n">
        <v>0</v>
      </c>
      <c r="AI130" s="310"/>
      <c r="AJ130" s="311" t="n">
        <v>237</v>
      </c>
      <c r="AK130" s="309" t="n">
        <v>336</v>
      </c>
      <c r="AL130" s="311" t="n">
        <v>295</v>
      </c>
      <c r="AM130" s="309" t="n">
        <v>408</v>
      </c>
      <c r="AN130" s="310" t="n">
        <v>314</v>
      </c>
      <c r="AO130" s="309" t="n">
        <v>388.8</v>
      </c>
      <c r="AP130" s="310"/>
      <c r="AQ130" s="311" t="n">
        <v>240</v>
      </c>
      <c r="AR130" s="309" t="n">
        <v>662.4</v>
      </c>
      <c r="AS130" s="311" t="n">
        <v>345</v>
      </c>
      <c r="AT130" s="309" t="n">
        <v>556.8</v>
      </c>
      <c r="AU130" s="310" t="n">
        <v>446</v>
      </c>
      <c r="AV130" s="309" t="n">
        <v>456</v>
      </c>
      <c r="AW130" s="310" t="n">
        <v>446</v>
      </c>
      <c r="AX130" s="309" t="n">
        <v>456</v>
      </c>
      <c r="AY130" s="310" t="n">
        <v>446</v>
      </c>
      <c r="AZ130" s="309" t="n">
        <v>456</v>
      </c>
      <c r="BB130" s="144" t="n">
        <v>0</v>
      </c>
      <c r="BC130" s="315"/>
      <c r="BD130" s="311" t="n">
        <v>0</v>
      </c>
      <c r="BE130" s="316" t="n">
        <v>0</v>
      </c>
      <c r="BF130" s="310"/>
      <c r="BG130" s="317" t="n">
        <v>0</v>
      </c>
      <c r="BH130" s="318" t="n">
        <v>0</v>
      </c>
      <c r="BI130" s="317" t="n">
        <v>0</v>
      </c>
      <c r="BJ130" s="318" t="n">
        <v>0</v>
      </c>
      <c r="BK130" s="317" t="n">
        <v>0</v>
      </c>
      <c r="BL130" s="318" t="n">
        <v>0</v>
      </c>
      <c r="BM130" s="310"/>
      <c r="BN130" s="317" t="n">
        <v>0</v>
      </c>
      <c r="BO130" s="318" t="n">
        <v>0</v>
      </c>
      <c r="BP130" s="317" t="n">
        <v>0</v>
      </c>
      <c r="BQ130" s="318" t="n">
        <v>0</v>
      </c>
      <c r="BR130" s="317" t="n">
        <v>0</v>
      </c>
      <c r="BS130" s="318" t="n">
        <v>0</v>
      </c>
      <c r="BT130" s="317" t="n">
        <v>0</v>
      </c>
      <c r="BU130" s="318" t="n">
        <v>0</v>
      </c>
      <c r="BV130" s="317" t="n">
        <v>0</v>
      </c>
      <c r="BW130" s="318" t="n">
        <v>0</v>
      </c>
      <c r="BY130" s="143"/>
      <c r="BZ130" s="315"/>
      <c r="CA130" s="144" t="s">
        <v>12</v>
      </c>
      <c r="CB130" s="315"/>
      <c r="CC130" s="144" t="n">
        <v>-133.347107438017</v>
      </c>
      <c r="CD130" s="144" t="n">
        <v>-191.347107438017</v>
      </c>
      <c r="CE130" s="144" t="n">
        <v>-210.547107438017</v>
      </c>
      <c r="CF130" s="315"/>
      <c r="CG130" s="144" t="n">
        <v>-135.947107438016</v>
      </c>
      <c r="CH130" s="144" t="n">
        <v>-241.547107438016</v>
      </c>
      <c r="CI130" s="144" t="n">
        <v>-342.347107438017</v>
      </c>
      <c r="CJ130" s="144" t="n">
        <v>-342.347107438017</v>
      </c>
      <c r="CK130" s="144" t="n">
        <v>-342.347107438017</v>
      </c>
      <c r="CM130" s="144" t="n">
        <v>797.578512396694</v>
      </c>
      <c r="CO130" s="319"/>
      <c r="CP130" s="320"/>
      <c r="CQ130" s="321" t="s">
        <v>12</v>
      </c>
      <c r="CR130" s="320"/>
      <c r="CS130" s="322" t="n">
        <v>-132.578512396694</v>
      </c>
      <c r="CT130" s="322" t="n">
        <v>-190.578512396694</v>
      </c>
      <c r="CU130" s="322" t="n">
        <v>-209.778512396694</v>
      </c>
      <c r="CV130" s="323"/>
      <c r="CW130" s="322" t="n">
        <v>-135.178512396694</v>
      </c>
      <c r="CX130" s="322" t="n">
        <v>-240.778512396694</v>
      </c>
      <c r="CY130" s="322" t="n">
        <v>-341.578512396694</v>
      </c>
      <c r="CZ130" s="322" t="n">
        <v>-341.578512396694</v>
      </c>
      <c r="DA130" s="322" t="n">
        <v>-341.578512396694</v>
      </c>
    </row>
    <row r="131" customFormat="false" ht="12.75" hidden="false" customHeight="false" outlineLevel="0" collapsed="false">
      <c r="B131" s="305" t="s">
        <v>200</v>
      </c>
      <c r="C131" s="305" t="s">
        <v>484</v>
      </c>
      <c r="D131" s="306" t="n">
        <v>1556</v>
      </c>
      <c r="E131" s="306" t="n">
        <v>3.25</v>
      </c>
      <c r="F131" s="306" t="s">
        <v>432</v>
      </c>
      <c r="G131" s="307" t="n">
        <v>24</v>
      </c>
      <c r="H131" s="308" t="n">
        <v>1345.45454545455</v>
      </c>
      <c r="I131" s="2"/>
      <c r="J131" s="144" t="s">
        <v>12</v>
      </c>
      <c r="K131" s="309" t="s">
        <v>12</v>
      </c>
      <c r="L131" s="310"/>
      <c r="M131" s="311" t="n">
        <v>599</v>
      </c>
      <c r="N131" s="312" t="n">
        <v>25.3</v>
      </c>
      <c r="O131" s="311" t="n">
        <v>369</v>
      </c>
      <c r="P131" s="312" t="n">
        <v>32.3</v>
      </c>
      <c r="Q131" s="310" t="n">
        <v>369</v>
      </c>
      <c r="R131" s="312" t="n">
        <v>31.5</v>
      </c>
      <c r="S131" s="310"/>
      <c r="T131" s="311" t="n">
        <v>0</v>
      </c>
      <c r="U131" s="312" t="n">
        <v>49.8</v>
      </c>
      <c r="V131" s="311" t="n">
        <v>0</v>
      </c>
      <c r="W131" s="312" t="n">
        <v>45.5</v>
      </c>
      <c r="X131" s="311" t="n">
        <v>0</v>
      </c>
      <c r="Y131" s="312" t="n">
        <v>43.5</v>
      </c>
      <c r="Z131" s="313" t="n">
        <v>0</v>
      </c>
      <c r="AA131" s="314" t="n">
        <v>43.5</v>
      </c>
      <c r="AB131" s="313" t="n">
        <v>0</v>
      </c>
      <c r="AC131" s="314" t="n">
        <v>43.5</v>
      </c>
      <c r="AD131" s="315"/>
      <c r="AE131" s="144" t="n">
        <v>211</v>
      </c>
      <c r="AF131" s="315"/>
      <c r="AG131" s="311" t="n">
        <v>0</v>
      </c>
      <c r="AH131" s="309" t="n">
        <v>0</v>
      </c>
      <c r="AI131" s="310"/>
      <c r="AJ131" s="311" t="n">
        <v>350</v>
      </c>
      <c r="AK131" s="309" t="n">
        <v>607.2</v>
      </c>
      <c r="AL131" s="311" t="n">
        <v>412</v>
      </c>
      <c r="AM131" s="309" t="n">
        <v>775.2</v>
      </c>
      <c r="AN131" s="311" t="n">
        <v>431</v>
      </c>
      <c r="AO131" s="309" t="n">
        <v>756</v>
      </c>
      <c r="AP131" s="310"/>
      <c r="AQ131" s="311" t="n">
        <v>361</v>
      </c>
      <c r="AR131" s="309" t="n">
        <v>1195.2</v>
      </c>
      <c r="AS131" s="311" t="n">
        <v>464</v>
      </c>
      <c r="AT131" s="309" t="n">
        <v>1092</v>
      </c>
      <c r="AU131" s="311" t="n">
        <v>512</v>
      </c>
      <c r="AV131" s="309" t="n">
        <v>1044</v>
      </c>
      <c r="AW131" s="311" t="n">
        <v>512</v>
      </c>
      <c r="AX131" s="309" t="n">
        <v>1044</v>
      </c>
      <c r="AY131" s="311" t="n">
        <v>512</v>
      </c>
      <c r="AZ131" s="309" t="n">
        <v>1044</v>
      </c>
      <c r="BB131" s="144" t="n">
        <v>0</v>
      </c>
      <c r="BC131" s="315"/>
      <c r="BD131" s="311" t="n">
        <v>0</v>
      </c>
      <c r="BE131" s="316" t="n">
        <v>0</v>
      </c>
      <c r="BF131" s="310"/>
      <c r="BG131" s="317" t="n">
        <v>-20</v>
      </c>
      <c r="BH131" s="318" t="n">
        <v>0</v>
      </c>
      <c r="BI131" s="317" t="n">
        <v>0</v>
      </c>
      <c r="BJ131" s="318" t="n">
        <v>-0.399999999999999</v>
      </c>
      <c r="BK131" s="317" t="n">
        <v>0</v>
      </c>
      <c r="BL131" s="318" t="n">
        <v>-0.400000000000002</v>
      </c>
      <c r="BM131" s="310"/>
      <c r="BN131" s="317" t="n">
        <v>0</v>
      </c>
      <c r="BO131" s="318" t="n">
        <v>-1.3</v>
      </c>
      <c r="BP131" s="317" t="n">
        <v>0</v>
      </c>
      <c r="BQ131" s="318" t="n">
        <v>-1</v>
      </c>
      <c r="BR131" s="317" t="n">
        <v>0</v>
      </c>
      <c r="BS131" s="318" t="n">
        <v>-0.5</v>
      </c>
      <c r="BT131" s="317" t="n">
        <v>0</v>
      </c>
      <c r="BU131" s="318" t="n">
        <v>-0.5</v>
      </c>
      <c r="BV131" s="317" t="n">
        <v>0</v>
      </c>
      <c r="BW131" s="318" t="n">
        <v>-0.5</v>
      </c>
      <c r="BY131" s="143"/>
      <c r="BZ131" s="315"/>
      <c r="CA131" s="144" t="s">
        <v>12</v>
      </c>
      <c r="CB131" s="315"/>
      <c r="CC131" s="144" t="n">
        <v>-139.254545454545</v>
      </c>
      <c r="CD131" s="144" t="n">
        <v>-201.254545454545</v>
      </c>
      <c r="CE131" s="144" t="n">
        <v>-220.454545454545</v>
      </c>
      <c r="CF131" s="315"/>
      <c r="CG131" s="144" t="n">
        <v>-150.254545454545</v>
      </c>
      <c r="CH131" s="144" t="n">
        <v>-253.454545454545</v>
      </c>
      <c r="CI131" s="144" t="n">
        <v>-301.454545454545</v>
      </c>
      <c r="CJ131" s="144" t="n">
        <v>-301.454545454545</v>
      </c>
      <c r="CK131" s="144" t="n">
        <v>-301.454545454545</v>
      </c>
      <c r="CM131" s="144" t="n">
        <v>1500.05785123967</v>
      </c>
      <c r="CO131" s="319"/>
      <c r="CP131" s="320"/>
      <c r="CQ131" s="321" t="s">
        <v>12</v>
      </c>
      <c r="CR131" s="320"/>
      <c r="CS131" s="322" t="n">
        <v>-293.857851239669</v>
      </c>
      <c r="CT131" s="322" t="n">
        <v>-355.857851239669</v>
      </c>
      <c r="CU131" s="322" t="n">
        <v>-375.057851239669</v>
      </c>
      <c r="CV131" s="323"/>
      <c r="CW131" s="322" t="n">
        <v>-304.857851239669</v>
      </c>
      <c r="CX131" s="322" t="n">
        <v>-408.057851239669</v>
      </c>
      <c r="CY131" s="322" t="n">
        <v>-456.057851239669</v>
      </c>
      <c r="CZ131" s="322" t="n">
        <v>-456.057851239669</v>
      </c>
      <c r="DA131" s="322" t="n">
        <v>-456.057851239669</v>
      </c>
    </row>
    <row r="132" customFormat="false" ht="12.75" hidden="false" customHeight="false" outlineLevel="0" collapsed="false">
      <c r="B132" s="305" t="s">
        <v>200</v>
      </c>
      <c r="C132" s="305" t="s">
        <v>484</v>
      </c>
      <c r="D132" s="306" t="n">
        <v>1556</v>
      </c>
      <c r="E132" s="306" t="n">
        <v>3.25</v>
      </c>
      <c r="F132" s="324" t="s">
        <v>432</v>
      </c>
      <c r="G132" s="144" t="n">
        <v>48</v>
      </c>
      <c r="H132" s="325" t="n">
        <v>1345.45454545455</v>
      </c>
      <c r="I132" s="2"/>
      <c r="J132" s="144" t="s">
        <v>12</v>
      </c>
      <c r="K132" s="309" t="s">
        <v>12</v>
      </c>
      <c r="L132" s="310"/>
      <c r="M132" s="311" t="n">
        <v>599</v>
      </c>
      <c r="N132" s="312" t="n">
        <v>12.7</v>
      </c>
      <c r="O132" s="311" t="n">
        <v>369</v>
      </c>
      <c r="P132" s="312" t="n">
        <v>16.2</v>
      </c>
      <c r="Q132" s="310" t="n">
        <v>369</v>
      </c>
      <c r="R132" s="312" t="n">
        <v>15.8</v>
      </c>
      <c r="S132" s="310"/>
      <c r="T132" s="311" t="n">
        <v>0</v>
      </c>
      <c r="U132" s="312" t="n">
        <v>24.9</v>
      </c>
      <c r="V132" s="311" t="n">
        <v>0</v>
      </c>
      <c r="W132" s="312" t="n">
        <v>22.8</v>
      </c>
      <c r="X132" s="311" t="n">
        <v>0</v>
      </c>
      <c r="Y132" s="312" t="n">
        <v>21.8</v>
      </c>
      <c r="Z132" s="313" t="n">
        <v>0</v>
      </c>
      <c r="AA132" s="314" t="n">
        <v>21.8</v>
      </c>
      <c r="AB132" s="313" t="n">
        <v>0</v>
      </c>
      <c r="AC132" s="314" t="n">
        <v>21.8</v>
      </c>
      <c r="AD132" s="315"/>
      <c r="AE132" s="144" t="n">
        <v>211</v>
      </c>
      <c r="AF132" s="315"/>
      <c r="AG132" s="311" t="n">
        <v>0</v>
      </c>
      <c r="AH132" s="309" t="n">
        <v>0</v>
      </c>
      <c r="AI132" s="310"/>
      <c r="AJ132" s="311" t="n">
        <v>347</v>
      </c>
      <c r="AK132" s="309" t="n">
        <v>609.6</v>
      </c>
      <c r="AL132" s="311" t="n">
        <v>409</v>
      </c>
      <c r="AM132" s="309" t="n">
        <v>777.6</v>
      </c>
      <c r="AN132" s="310" t="n">
        <v>429</v>
      </c>
      <c r="AO132" s="309" t="n">
        <v>758.4</v>
      </c>
      <c r="AP132" s="310"/>
      <c r="AQ132" s="311" t="n">
        <v>361</v>
      </c>
      <c r="AR132" s="309" t="n">
        <v>1195.2</v>
      </c>
      <c r="AS132" s="311" t="n">
        <v>462</v>
      </c>
      <c r="AT132" s="309" t="n">
        <v>1094.4</v>
      </c>
      <c r="AU132" s="310" t="n">
        <v>510</v>
      </c>
      <c r="AV132" s="309" t="n">
        <v>1046.4</v>
      </c>
      <c r="AW132" s="310" t="n">
        <v>510</v>
      </c>
      <c r="AX132" s="309" t="n">
        <v>1046.4</v>
      </c>
      <c r="AY132" s="310" t="n">
        <v>510</v>
      </c>
      <c r="AZ132" s="309" t="n">
        <v>1046.4</v>
      </c>
      <c r="BB132" s="144" t="n">
        <v>0</v>
      </c>
      <c r="BC132" s="315"/>
      <c r="BD132" s="311" t="n">
        <v>0</v>
      </c>
      <c r="BE132" s="316" t="n">
        <v>0</v>
      </c>
      <c r="BF132" s="310"/>
      <c r="BG132" s="317" t="n">
        <v>0</v>
      </c>
      <c r="BH132" s="318" t="n">
        <v>0</v>
      </c>
      <c r="BI132" s="317" t="n">
        <v>0</v>
      </c>
      <c r="BJ132" s="318" t="n">
        <v>0</v>
      </c>
      <c r="BK132" s="317" t="n">
        <v>0</v>
      </c>
      <c r="BL132" s="318" t="n">
        <v>0</v>
      </c>
      <c r="BM132" s="310"/>
      <c r="BN132" s="317" t="n">
        <v>0</v>
      </c>
      <c r="BO132" s="318" t="n">
        <v>0</v>
      </c>
      <c r="BP132" s="317" t="n">
        <v>0</v>
      </c>
      <c r="BQ132" s="318" t="n">
        <v>0</v>
      </c>
      <c r="BR132" s="317" t="n">
        <v>0</v>
      </c>
      <c r="BS132" s="318" t="n">
        <v>0</v>
      </c>
      <c r="BT132" s="317" t="n">
        <v>0</v>
      </c>
      <c r="BU132" s="318" t="n">
        <v>0</v>
      </c>
      <c r="BV132" s="317" t="n">
        <v>0</v>
      </c>
      <c r="BW132" s="318" t="n">
        <v>0</v>
      </c>
      <c r="BY132" s="143"/>
      <c r="BZ132" s="315"/>
      <c r="CA132" s="144" t="s">
        <v>12</v>
      </c>
      <c r="CB132" s="315"/>
      <c r="CC132" s="144" t="n">
        <v>-136.854545454546</v>
      </c>
      <c r="CD132" s="144" t="n">
        <v>-198.854545454546</v>
      </c>
      <c r="CE132" s="144" t="n">
        <v>-218.054545454545</v>
      </c>
      <c r="CF132" s="315"/>
      <c r="CG132" s="144" t="n">
        <v>-150.254545454545</v>
      </c>
      <c r="CH132" s="144" t="n">
        <v>-251.054545454545</v>
      </c>
      <c r="CI132" s="144" t="n">
        <v>-299.054545454545</v>
      </c>
      <c r="CJ132" s="144" t="n">
        <v>-299.054545454545</v>
      </c>
      <c r="CK132" s="144" t="n">
        <v>-299.054545454545</v>
      </c>
      <c r="CM132" s="144" t="n">
        <v>1500.05785123967</v>
      </c>
      <c r="CO132" s="319"/>
      <c r="CP132" s="320"/>
      <c r="CQ132" s="321" t="s">
        <v>12</v>
      </c>
      <c r="CR132" s="320"/>
      <c r="CS132" s="322" t="n">
        <v>-291.457851239669</v>
      </c>
      <c r="CT132" s="322" t="n">
        <v>-353.457851239669</v>
      </c>
      <c r="CU132" s="322" t="n">
        <v>-372.657851239669</v>
      </c>
      <c r="CV132" s="323"/>
      <c r="CW132" s="322" t="n">
        <v>-304.857851239669</v>
      </c>
      <c r="CX132" s="322" t="n">
        <v>-405.657851239669</v>
      </c>
      <c r="CY132" s="322" t="n">
        <v>-453.657851239669</v>
      </c>
      <c r="CZ132" s="322" t="n">
        <v>-453.657851239669</v>
      </c>
      <c r="DA132" s="322" t="n">
        <v>-453.657851239669</v>
      </c>
    </row>
    <row r="133" customFormat="false" ht="12.75" hidden="false" customHeight="false" outlineLevel="0" collapsed="false">
      <c r="B133" s="305" t="s">
        <v>200</v>
      </c>
      <c r="C133" s="305" t="s">
        <v>485</v>
      </c>
      <c r="D133" s="306" t="n">
        <v>1279</v>
      </c>
      <c r="E133" s="306" t="n">
        <v>3.25</v>
      </c>
      <c r="F133" s="306" t="s">
        <v>432</v>
      </c>
      <c r="G133" s="307" t="n">
        <v>24</v>
      </c>
      <c r="H133" s="308" t="n">
        <v>1128.92561983471</v>
      </c>
      <c r="I133" s="2"/>
      <c r="J133" s="144" t="s">
        <v>12</v>
      </c>
      <c r="K133" s="309" t="s">
        <v>12</v>
      </c>
      <c r="L133" s="310"/>
      <c r="M133" s="311" t="n">
        <v>489</v>
      </c>
      <c r="N133" s="312" t="n">
        <v>20.5</v>
      </c>
      <c r="O133" s="311" t="n">
        <v>299</v>
      </c>
      <c r="P133" s="312" t="n">
        <v>26.1</v>
      </c>
      <c r="Q133" s="310" t="n">
        <v>299</v>
      </c>
      <c r="R133" s="312" t="n">
        <v>25.3</v>
      </c>
      <c r="S133" s="310"/>
      <c r="T133" s="311" t="n">
        <v>0</v>
      </c>
      <c r="U133" s="312" t="n">
        <v>40.8</v>
      </c>
      <c r="V133" s="311" t="n">
        <v>0</v>
      </c>
      <c r="W133" s="312" t="n">
        <v>36.4</v>
      </c>
      <c r="X133" s="311" t="n">
        <v>0</v>
      </c>
      <c r="Y133" s="312" t="n">
        <v>35</v>
      </c>
      <c r="Z133" s="313" t="n">
        <v>0</v>
      </c>
      <c r="AA133" s="314" t="n">
        <v>35</v>
      </c>
      <c r="AB133" s="313" t="n">
        <v>0</v>
      </c>
      <c r="AC133" s="314" t="n">
        <v>35</v>
      </c>
      <c r="AD133" s="315"/>
      <c r="AE133" s="144" t="n">
        <v>150</v>
      </c>
      <c r="AF133" s="315"/>
      <c r="AG133" s="311" t="n">
        <v>0</v>
      </c>
      <c r="AH133" s="309" t="n">
        <v>0</v>
      </c>
      <c r="AI133" s="310"/>
      <c r="AJ133" s="311" t="n">
        <v>298</v>
      </c>
      <c r="AK133" s="309" t="n">
        <v>492</v>
      </c>
      <c r="AL133" s="311" t="n">
        <v>354</v>
      </c>
      <c r="AM133" s="309" t="n">
        <v>626.4</v>
      </c>
      <c r="AN133" s="311" t="n">
        <v>373</v>
      </c>
      <c r="AO133" s="309" t="n">
        <v>607.2</v>
      </c>
      <c r="AP133" s="310"/>
      <c r="AQ133" s="311" t="n">
        <v>300</v>
      </c>
      <c r="AR133" s="309" t="n">
        <v>979.2</v>
      </c>
      <c r="AS133" s="311" t="n">
        <v>405</v>
      </c>
      <c r="AT133" s="309" t="n">
        <v>873.6</v>
      </c>
      <c r="AU133" s="311" t="n">
        <v>439</v>
      </c>
      <c r="AV133" s="309" t="n">
        <v>840</v>
      </c>
      <c r="AW133" s="311" t="n">
        <v>439</v>
      </c>
      <c r="AX133" s="309" t="n">
        <v>840</v>
      </c>
      <c r="AY133" s="311" t="n">
        <v>439</v>
      </c>
      <c r="AZ133" s="309" t="n">
        <v>840</v>
      </c>
      <c r="BB133" s="144" t="n">
        <v>0</v>
      </c>
      <c r="BC133" s="315"/>
      <c r="BD133" s="311" t="n">
        <v>0</v>
      </c>
      <c r="BE133" s="316" t="n">
        <v>0</v>
      </c>
      <c r="BF133" s="310"/>
      <c r="BG133" s="317" t="n">
        <v>0</v>
      </c>
      <c r="BH133" s="318" t="n">
        <v>0.199999999999999</v>
      </c>
      <c r="BI133" s="317" t="n">
        <v>0</v>
      </c>
      <c r="BJ133" s="318" t="n">
        <v>0.600000000000001</v>
      </c>
      <c r="BK133" s="317" t="n">
        <v>0</v>
      </c>
      <c r="BL133" s="318" t="n">
        <v>0.899999999999999</v>
      </c>
      <c r="BM133" s="310"/>
      <c r="BN133" s="317" t="n">
        <v>0</v>
      </c>
      <c r="BO133" s="318" t="n">
        <v>-0.199999999999996</v>
      </c>
      <c r="BP133" s="317" t="n">
        <v>0</v>
      </c>
      <c r="BQ133" s="318" t="n">
        <v>-0.800000000000004</v>
      </c>
      <c r="BR133" s="317" t="n">
        <v>0</v>
      </c>
      <c r="BS133" s="318" t="n">
        <v>0</v>
      </c>
      <c r="BT133" s="317" t="n">
        <v>0</v>
      </c>
      <c r="BU133" s="318" t="n">
        <v>0</v>
      </c>
      <c r="BV133" s="317" t="n">
        <v>0</v>
      </c>
      <c r="BW133" s="318" t="n">
        <v>0</v>
      </c>
      <c r="BY133" s="143"/>
      <c r="BZ133" s="315"/>
      <c r="CA133" s="144" t="s">
        <v>12</v>
      </c>
      <c r="CB133" s="315"/>
      <c r="CC133" s="144" t="n">
        <v>-147.925619834711</v>
      </c>
      <c r="CD133" s="144" t="n">
        <v>-203.525619834711</v>
      </c>
      <c r="CE133" s="144" t="n">
        <v>-222.725619834711</v>
      </c>
      <c r="CF133" s="315"/>
      <c r="CG133" s="144" t="n">
        <v>-149.725619834711</v>
      </c>
      <c r="CH133" s="144" t="n">
        <v>-255.325619834711</v>
      </c>
      <c r="CI133" s="144" t="n">
        <v>-288.925619834711</v>
      </c>
      <c r="CJ133" s="144" t="n">
        <v>-288.925619834711</v>
      </c>
      <c r="CK133" s="144" t="n">
        <v>-288.925619834711</v>
      </c>
      <c r="CM133" s="144" t="n">
        <v>1202.53719008264</v>
      </c>
      <c r="CO133" s="319"/>
      <c r="CP133" s="320"/>
      <c r="CQ133" s="321" t="s">
        <v>12</v>
      </c>
      <c r="CR133" s="320"/>
      <c r="CS133" s="322" t="n">
        <v>-221.537190082645</v>
      </c>
      <c r="CT133" s="322" t="n">
        <v>-277.137190082645</v>
      </c>
      <c r="CU133" s="322" t="n">
        <v>-296.337190082645</v>
      </c>
      <c r="CV133" s="323"/>
      <c r="CW133" s="322" t="n">
        <v>-223.337190082645</v>
      </c>
      <c r="CX133" s="322" t="n">
        <v>-328.937190082645</v>
      </c>
      <c r="CY133" s="322" t="n">
        <v>-362.537190082645</v>
      </c>
      <c r="CZ133" s="322" t="n">
        <v>-362.537190082645</v>
      </c>
      <c r="DA133" s="322" t="n">
        <v>-362.537190082645</v>
      </c>
    </row>
    <row r="134" customFormat="false" ht="12.75" hidden="false" customHeight="false" outlineLevel="0" collapsed="false">
      <c r="B134" s="305" t="s">
        <v>200</v>
      </c>
      <c r="C134" s="305" t="s">
        <v>485</v>
      </c>
      <c r="D134" s="306" t="n">
        <v>1279</v>
      </c>
      <c r="E134" s="306" t="n">
        <v>3.25</v>
      </c>
      <c r="F134" s="324" t="s">
        <v>432</v>
      </c>
      <c r="G134" s="144" t="n">
        <v>48</v>
      </c>
      <c r="H134" s="325" t="n">
        <v>1128.92561983471</v>
      </c>
      <c r="I134" s="2"/>
      <c r="J134" s="144" t="s">
        <v>12</v>
      </c>
      <c r="K134" s="309" t="s">
        <v>12</v>
      </c>
      <c r="L134" s="310"/>
      <c r="M134" s="311" t="n">
        <v>489</v>
      </c>
      <c r="N134" s="312" t="n">
        <v>10.3</v>
      </c>
      <c r="O134" s="311" t="n">
        <v>299</v>
      </c>
      <c r="P134" s="312" t="n">
        <v>13.1</v>
      </c>
      <c r="Q134" s="310" t="n">
        <v>299</v>
      </c>
      <c r="R134" s="312" t="n">
        <v>12.7</v>
      </c>
      <c r="S134" s="310"/>
      <c r="T134" s="311" t="n">
        <v>0</v>
      </c>
      <c r="U134" s="312" t="n">
        <v>20.4</v>
      </c>
      <c r="V134" s="311" t="n">
        <v>0</v>
      </c>
      <c r="W134" s="312" t="n">
        <v>18.2</v>
      </c>
      <c r="X134" s="311" t="n">
        <v>0</v>
      </c>
      <c r="Y134" s="312" t="n">
        <v>17.5</v>
      </c>
      <c r="Z134" s="313" t="n">
        <v>0</v>
      </c>
      <c r="AA134" s="314" t="n">
        <v>17.5</v>
      </c>
      <c r="AB134" s="313" t="n">
        <v>0</v>
      </c>
      <c r="AC134" s="314" t="n">
        <v>17.5</v>
      </c>
      <c r="AD134" s="315"/>
      <c r="AE134" s="144" t="n">
        <v>150</v>
      </c>
      <c r="AF134" s="315"/>
      <c r="AG134" s="311" t="n">
        <v>0</v>
      </c>
      <c r="AH134" s="309" t="n">
        <v>0</v>
      </c>
      <c r="AI134" s="310"/>
      <c r="AJ134" s="311" t="n">
        <v>296</v>
      </c>
      <c r="AK134" s="309" t="n">
        <v>494.4</v>
      </c>
      <c r="AL134" s="311" t="n">
        <v>351</v>
      </c>
      <c r="AM134" s="309" t="n">
        <v>628.8</v>
      </c>
      <c r="AN134" s="310" t="n">
        <v>370</v>
      </c>
      <c r="AO134" s="309" t="n">
        <v>609.6</v>
      </c>
      <c r="AP134" s="310"/>
      <c r="AQ134" s="311" t="n">
        <v>300</v>
      </c>
      <c r="AR134" s="309" t="n">
        <v>979.2</v>
      </c>
      <c r="AS134" s="311" t="n">
        <v>405</v>
      </c>
      <c r="AT134" s="309" t="n">
        <v>873.6</v>
      </c>
      <c r="AU134" s="310" t="n">
        <v>439</v>
      </c>
      <c r="AV134" s="309" t="n">
        <v>840</v>
      </c>
      <c r="AW134" s="310" t="n">
        <v>439</v>
      </c>
      <c r="AX134" s="309" t="n">
        <v>840</v>
      </c>
      <c r="AY134" s="310" t="n">
        <v>439</v>
      </c>
      <c r="AZ134" s="309" t="n">
        <v>840</v>
      </c>
      <c r="BB134" s="144" t="n">
        <v>0</v>
      </c>
      <c r="BC134" s="315"/>
      <c r="BD134" s="311" t="n">
        <v>0</v>
      </c>
      <c r="BE134" s="316" t="n">
        <v>0</v>
      </c>
      <c r="BF134" s="310"/>
      <c r="BG134" s="317" t="n">
        <v>0</v>
      </c>
      <c r="BH134" s="318" t="n">
        <v>0</v>
      </c>
      <c r="BI134" s="317" t="n">
        <v>0</v>
      </c>
      <c r="BJ134" s="318" t="n">
        <v>0</v>
      </c>
      <c r="BK134" s="317" t="n">
        <v>0</v>
      </c>
      <c r="BL134" s="318" t="n">
        <v>0</v>
      </c>
      <c r="BM134" s="310"/>
      <c r="BN134" s="317" t="n">
        <v>0</v>
      </c>
      <c r="BO134" s="318" t="n">
        <v>0</v>
      </c>
      <c r="BP134" s="317" t="n">
        <v>0</v>
      </c>
      <c r="BQ134" s="318" t="n">
        <v>0</v>
      </c>
      <c r="BR134" s="317" t="n">
        <v>0</v>
      </c>
      <c r="BS134" s="318" t="n">
        <v>0</v>
      </c>
      <c r="BT134" s="317" t="n">
        <v>0</v>
      </c>
      <c r="BU134" s="318" t="n">
        <v>0</v>
      </c>
      <c r="BV134" s="317" t="n">
        <v>0</v>
      </c>
      <c r="BW134" s="318" t="n">
        <v>0</v>
      </c>
      <c r="BY134" s="143"/>
      <c r="BZ134" s="315"/>
      <c r="CA134" s="144" t="s">
        <v>12</v>
      </c>
      <c r="CB134" s="315"/>
      <c r="CC134" s="144" t="n">
        <v>-145.525619834711</v>
      </c>
      <c r="CD134" s="144" t="n">
        <v>-201.125619834711</v>
      </c>
      <c r="CE134" s="144" t="n">
        <v>-220.325619834711</v>
      </c>
      <c r="CF134" s="315"/>
      <c r="CG134" s="144" t="n">
        <v>-149.725619834711</v>
      </c>
      <c r="CH134" s="144" t="n">
        <v>-255.325619834711</v>
      </c>
      <c r="CI134" s="144" t="n">
        <v>-288.925619834711</v>
      </c>
      <c r="CJ134" s="144" t="n">
        <v>-288.925619834711</v>
      </c>
      <c r="CK134" s="144" t="n">
        <v>-288.925619834711</v>
      </c>
      <c r="CM134" s="144" t="n">
        <v>1202.53719008264</v>
      </c>
      <c r="CO134" s="319"/>
      <c r="CP134" s="320"/>
      <c r="CQ134" s="321" t="s">
        <v>12</v>
      </c>
      <c r="CR134" s="320"/>
      <c r="CS134" s="322" t="n">
        <v>-219.137190082645</v>
      </c>
      <c r="CT134" s="322" t="n">
        <v>-274.737190082645</v>
      </c>
      <c r="CU134" s="322" t="n">
        <v>-293.937190082645</v>
      </c>
      <c r="CV134" s="323"/>
      <c r="CW134" s="322" t="n">
        <v>-223.337190082645</v>
      </c>
      <c r="CX134" s="322" t="n">
        <v>-328.937190082645</v>
      </c>
      <c r="CY134" s="322" t="n">
        <v>-362.537190082645</v>
      </c>
      <c r="CZ134" s="322" t="n">
        <v>-362.537190082645</v>
      </c>
      <c r="DA134" s="322" t="n">
        <v>-362.537190082645</v>
      </c>
    </row>
    <row r="135" customFormat="false" ht="12.75" hidden="false" customHeight="false" outlineLevel="0" collapsed="false">
      <c r="B135" s="305" t="s">
        <v>200</v>
      </c>
      <c r="C135" s="305" t="s">
        <v>486</v>
      </c>
      <c r="D135" s="306" t="n">
        <v>1372</v>
      </c>
      <c r="E135" s="306" t="n">
        <v>3.25</v>
      </c>
      <c r="F135" s="306" t="s">
        <v>432</v>
      </c>
      <c r="G135" s="307" t="n">
        <v>24</v>
      </c>
      <c r="H135" s="308" t="n">
        <v>1120.66115702479</v>
      </c>
      <c r="I135" s="2"/>
      <c r="J135" s="144" t="s">
        <v>12</v>
      </c>
      <c r="K135" s="309" t="s">
        <v>12</v>
      </c>
      <c r="L135" s="310"/>
      <c r="M135" s="311" t="n">
        <v>489</v>
      </c>
      <c r="N135" s="312" t="n">
        <v>20.3</v>
      </c>
      <c r="O135" s="311" t="n">
        <v>289</v>
      </c>
      <c r="P135" s="312" t="n">
        <v>26.1</v>
      </c>
      <c r="Q135" s="310" t="n">
        <v>289</v>
      </c>
      <c r="R135" s="312" t="n">
        <v>25.3</v>
      </c>
      <c r="S135" s="310"/>
      <c r="T135" s="311" t="n">
        <v>0</v>
      </c>
      <c r="U135" s="312" t="n">
        <v>40.5</v>
      </c>
      <c r="V135" s="311" t="n">
        <v>0</v>
      </c>
      <c r="W135" s="312" t="n">
        <v>36.4</v>
      </c>
      <c r="X135" s="311" t="n">
        <v>0</v>
      </c>
      <c r="Y135" s="312" t="n">
        <v>35</v>
      </c>
      <c r="Z135" s="313" t="n">
        <v>0</v>
      </c>
      <c r="AA135" s="314" t="n">
        <v>35</v>
      </c>
      <c r="AB135" s="313" t="n">
        <v>0</v>
      </c>
      <c r="AC135" s="314" t="n">
        <v>35</v>
      </c>
      <c r="AD135" s="315"/>
      <c r="AE135" s="144" t="n">
        <v>251</v>
      </c>
      <c r="AF135" s="315"/>
      <c r="AG135" s="311" t="n">
        <v>0</v>
      </c>
      <c r="AH135" s="309" t="n">
        <v>0</v>
      </c>
      <c r="AI135" s="310"/>
      <c r="AJ135" s="311" t="n">
        <v>396</v>
      </c>
      <c r="AK135" s="309" t="n">
        <v>487.2</v>
      </c>
      <c r="AL135" s="311" t="n">
        <v>457</v>
      </c>
      <c r="AM135" s="309" t="n">
        <v>626.4</v>
      </c>
      <c r="AN135" s="311" t="n">
        <v>476</v>
      </c>
      <c r="AO135" s="309" t="n">
        <v>607.2</v>
      </c>
      <c r="AP135" s="310"/>
      <c r="AQ135" s="311" t="n">
        <v>400</v>
      </c>
      <c r="AR135" s="309" t="n">
        <v>972</v>
      </c>
      <c r="AS135" s="311" t="n">
        <v>498</v>
      </c>
      <c r="AT135" s="309" t="n">
        <v>873.6</v>
      </c>
      <c r="AU135" s="311" t="n">
        <v>532</v>
      </c>
      <c r="AV135" s="309" t="n">
        <v>840</v>
      </c>
      <c r="AW135" s="311" t="n">
        <v>532</v>
      </c>
      <c r="AX135" s="309" t="n">
        <v>840</v>
      </c>
      <c r="AY135" s="311" t="n">
        <v>532</v>
      </c>
      <c r="AZ135" s="309" t="n">
        <v>840</v>
      </c>
      <c r="BB135" s="144" t="n">
        <v>0</v>
      </c>
      <c r="BC135" s="315"/>
      <c r="BD135" s="311" t="n">
        <v>0</v>
      </c>
      <c r="BE135" s="316" t="n">
        <v>0</v>
      </c>
      <c r="BF135" s="310"/>
      <c r="BG135" s="317" t="n">
        <v>-80</v>
      </c>
      <c r="BH135" s="318" t="n">
        <v>-3.3</v>
      </c>
      <c r="BI135" s="317" t="n">
        <v>-50</v>
      </c>
      <c r="BJ135" s="318" t="n">
        <v>-3.7</v>
      </c>
      <c r="BK135" s="317" t="n">
        <v>-50</v>
      </c>
      <c r="BL135" s="318" t="n">
        <v>-3.7</v>
      </c>
      <c r="BM135" s="310"/>
      <c r="BN135" s="317" t="n">
        <v>0</v>
      </c>
      <c r="BO135" s="318" t="n">
        <v>-6.7</v>
      </c>
      <c r="BP135" s="317" t="n">
        <v>0</v>
      </c>
      <c r="BQ135" s="318" t="n">
        <v>-5.00000000000001</v>
      </c>
      <c r="BR135" s="317" t="n">
        <v>0</v>
      </c>
      <c r="BS135" s="318" t="n">
        <v>-5</v>
      </c>
      <c r="BT135" s="317" t="n">
        <v>0</v>
      </c>
      <c r="BU135" s="318" t="n">
        <v>-5</v>
      </c>
      <c r="BV135" s="317" t="n">
        <v>0</v>
      </c>
      <c r="BW135" s="318" t="n">
        <v>-5</v>
      </c>
      <c r="BY135" s="143"/>
      <c r="BZ135" s="315"/>
      <c r="CA135" s="144" t="s">
        <v>12</v>
      </c>
      <c r="CB135" s="315"/>
      <c r="CC135" s="144" t="n">
        <v>-144.461157024793</v>
      </c>
      <c r="CD135" s="144" t="n">
        <v>-205.261157024793</v>
      </c>
      <c r="CE135" s="144" t="n">
        <v>-224.461157024793</v>
      </c>
      <c r="CF135" s="315"/>
      <c r="CG135" s="144" t="n">
        <v>-148.661157024794</v>
      </c>
      <c r="CH135" s="144" t="n">
        <v>-247.061157024794</v>
      </c>
      <c r="CI135" s="144" t="n">
        <v>-280.661157024794</v>
      </c>
      <c r="CJ135" s="144" t="n">
        <v>-280.661157024794</v>
      </c>
      <c r="CK135" s="144" t="n">
        <v>-280.661157024794</v>
      </c>
      <c r="CM135" s="144" t="n">
        <v>1301.71074380165</v>
      </c>
      <c r="CO135" s="319"/>
      <c r="CP135" s="320"/>
      <c r="CQ135" s="321" t="s">
        <v>12</v>
      </c>
      <c r="CR135" s="320"/>
      <c r="CS135" s="322" t="n">
        <v>-325.510743801653</v>
      </c>
      <c r="CT135" s="322" t="n">
        <v>-386.310743801653</v>
      </c>
      <c r="CU135" s="322" t="n">
        <v>-405.510743801653</v>
      </c>
      <c r="CV135" s="323"/>
      <c r="CW135" s="322" t="n">
        <v>-329.710743801653</v>
      </c>
      <c r="CX135" s="322" t="n">
        <v>-428.110743801653</v>
      </c>
      <c r="CY135" s="322" t="n">
        <v>-461.710743801653</v>
      </c>
      <c r="CZ135" s="322" t="n">
        <v>-461.710743801653</v>
      </c>
      <c r="DA135" s="322" t="n">
        <v>-461.710743801653</v>
      </c>
    </row>
    <row r="136" customFormat="false" ht="12.75" hidden="false" customHeight="false" outlineLevel="0" collapsed="false">
      <c r="B136" s="305" t="s">
        <v>200</v>
      </c>
      <c r="C136" s="305" t="s">
        <v>486</v>
      </c>
      <c r="D136" s="306" t="n">
        <v>1372</v>
      </c>
      <c r="E136" s="306" t="n">
        <v>3.25</v>
      </c>
      <c r="F136" s="324" t="s">
        <v>432</v>
      </c>
      <c r="G136" s="144" t="n">
        <v>48</v>
      </c>
      <c r="H136" s="325" t="n">
        <v>1120.66115702479</v>
      </c>
      <c r="I136" s="2"/>
      <c r="J136" s="144" t="s">
        <v>12</v>
      </c>
      <c r="K136" s="309" t="s">
        <v>12</v>
      </c>
      <c r="L136" s="310"/>
      <c r="M136" s="311" t="n">
        <v>489</v>
      </c>
      <c r="N136" s="312" t="n">
        <v>10.2</v>
      </c>
      <c r="O136" s="311" t="n">
        <v>289</v>
      </c>
      <c r="P136" s="312" t="n">
        <v>13.1</v>
      </c>
      <c r="Q136" s="310" t="n">
        <v>289</v>
      </c>
      <c r="R136" s="312" t="n">
        <v>12.7</v>
      </c>
      <c r="S136" s="310"/>
      <c r="T136" s="311" t="n">
        <v>0</v>
      </c>
      <c r="U136" s="312" t="n">
        <v>20.3</v>
      </c>
      <c r="V136" s="311" t="n">
        <v>0</v>
      </c>
      <c r="W136" s="312" t="n">
        <v>18.2</v>
      </c>
      <c r="X136" s="311" t="n">
        <v>0</v>
      </c>
      <c r="Y136" s="312" t="n">
        <v>17.5</v>
      </c>
      <c r="Z136" s="313" t="n">
        <v>0</v>
      </c>
      <c r="AA136" s="314" t="n">
        <v>17.5</v>
      </c>
      <c r="AB136" s="313" t="n">
        <v>0</v>
      </c>
      <c r="AC136" s="314" t="n">
        <v>17.5</v>
      </c>
      <c r="AD136" s="315"/>
      <c r="AE136" s="144" t="n">
        <v>251</v>
      </c>
      <c r="AF136" s="315"/>
      <c r="AG136" s="311" t="n">
        <v>0</v>
      </c>
      <c r="AH136" s="309" t="n">
        <v>0</v>
      </c>
      <c r="AI136" s="310"/>
      <c r="AJ136" s="311" t="n">
        <v>393</v>
      </c>
      <c r="AK136" s="309" t="n">
        <v>489.6</v>
      </c>
      <c r="AL136" s="311" t="n">
        <v>454</v>
      </c>
      <c r="AM136" s="309" t="n">
        <v>628.8</v>
      </c>
      <c r="AN136" s="310" t="n">
        <v>473</v>
      </c>
      <c r="AO136" s="309" t="n">
        <v>609.6</v>
      </c>
      <c r="AP136" s="310"/>
      <c r="AQ136" s="311" t="n">
        <v>398</v>
      </c>
      <c r="AR136" s="309" t="n">
        <v>974.4</v>
      </c>
      <c r="AS136" s="311" t="n">
        <v>498</v>
      </c>
      <c r="AT136" s="309" t="n">
        <v>873.6</v>
      </c>
      <c r="AU136" s="310" t="n">
        <v>532</v>
      </c>
      <c r="AV136" s="309" t="n">
        <v>840</v>
      </c>
      <c r="AW136" s="310" t="n">
        <v>532</v>
      </c>
      <c r="AX136" s="309" t="n">
        <v>840</v>
      </c>
      <c r="AY136" s="310" t="n">
        <v>532</v>
      </c>
      <c r="AZ136" s="309" t="n">
        <v>840</v>
      </c>
      <c r="BB136" s="144" t="n">
        <v>0</v>
      </c>
      <c r="BC136" s="315"/>
      <c r="BD136" s="311" t="n">
        <v>0</v>
      </c>
      <c r="BE136" s="316" t="n">
        <v>0</v>
      </c>
      <c r="BF136" s="310"/>
      <c r="BG136" s="317" t="n">
        <v>0</v>
      </c>
      <c r="BH136" s="318" t="n">
        <v>0</v>
      </c>
      <c r="BI136" s="317" t="n">
        <v>0</v>
      </c>
      <c r="BJ136" s="318" t="n">
        <v>0</v>
      </c>
      <c r="BK136" s="317" t="n">
        <v>0</v>
      </c>
      <c r="BL136" s="318" t="n">
        <v>0</v>
      </c>
      <c r="BM136" s="310"/>
      <c r="BN136" s="317" t="n">
        <v>0</v>
      </c>
      <c r="BO136" s="318" t="n">
        <v>0</v>
      </c>
      <c r="BP136" s="317" t="n">
        <v>0</v>
      </c>
      <c r="BQ136" s="318" t="n">
        <v>0</v>
      </c>
      <c r="BR136" s="317" t="n">
        <v>0</v>
      </c>
      <c r="BS136" s="318" t="n">
        <v>0</v>
      </c>
      <c r="BT136" s="317" t="n">
        <v>0</v>
      </c>
      <c r="BU136" s="318" t="n">
        <v>0</v>
      </c>
      <c r="BV136" s="317" t="n">
        <v>0</v>
      </c>
      <c r="BW136" s="318" t="n">
        <v>0</v>
      </c>
      <c r="BY136" s="143"/>
      <c r="BZ136" s="315"/>
      <c r="CA136" s="144" t="s">
        <v>12</v>
      </c>
      <c r="CB136" s="315"/>
      <c r="CC136" s="144" t="n">
        <v>-142.061157024794</v>
      </c>
      <c r="CD136" s="144" t="n">
        <v>-202.861157024793</v>
      </c>
      <c r="CE136" s="144" t="n">
        <v>-222.061157024793</v>
      </c>
      <c r="CF136" s="315"/>
      <c r="CG136" s="144" t="n">
        <v>-146.261157024793</v>
      </c>
      <c r="CH136" s="144" t="n">
        <v>-247.061157024794</v>
      </c>
      <c r="CI136" s="144" t="n">
        <v>-280.661157024794</v>
      </c>
      <c r="CJ136" s="144" t="n">
        <v>-280.661157024794</v>
      </c>
      <c r="CK136" s="144" t="n">
        <v>-280.661157024794</v>
      </c>
      <c r="CM136" s="144" t="n">
        <v>1301.71074380165</v>
      </c>
      <c r="CO136" s="319"/>
      <c r="CP136" s="320"/>
      <c r="CQ136" s="321" t="s">
        <v>12</v>
      </c>
      <c r="CR136" s="320"/>
      <c r="CS136" s="322" t="n">
        <v>-323.110743801653</v>
      </c>
      <c r="CT136" s="322" t="n">
        <v>-383.910743801653</v>
      </c>
      <c r="CU136" s="322" t="n">
        <v>-403.110743801653</v>
      </c>
      <c r="CV136" s="323"/>
      <c r="CW136" s="322" t="n">
        <v>-327.310743801653</v>
      </c>
      <c r="CX136" s="322" t="n">
        <v>-428.110743801653</v>
      </c>
      <c r="CY136" s="322" t="n">
        <v>-461.710743801653</v>
      </c>
      <c r="CZ136" s="322" t="n">
        <v>-461.710743801653</v>
      </c>
      <c r="DA136" s="322" t="n">
        <v>-461.710743801653</v>
      </c>
    </row>
    <row r="137" customFormat="false" ht="12.75" hidden="false" customHeight="false" outlineLevel="0" collapsed="false">
      <c r="B137" s="305" t="s">
        <v>200</v>
      </c>
      <c r="C137" s="305" t="s">
        <v>487</v>
      </c>
      <c r="D137" s="306" t="n">
        <v>1048</v>
      </c>
      <c r="E137" s="306" t="n">
        <v>3.25</v>
      </c>
      <c r="F137" s="306" t="s">
        <v>432</v>
      </c>
      <c r="G137" s="307" t="n">
        <v>24</v>
      </c>
      <c r="H137" s="308" t="n">
        <v>938.01652892562</v>
      </c>
      <c r="I137" s="2"/>
      <c r="J137" s="144" t="s">
        <v>12</v>
      </c>
      <c r="K137" s="309" t="s">
        <v>12</v>
      </c>
      <c r="L137" s="310"/>
      <c r="M137" s="311" t="n">
        <v>399</v>
      </c>
      <c r="N137" s="312" t="n">
        <v>16.4</v>
      </c>
      <c r="O137" s="311" t="n">
        <v>239</v>
      </c>
      <c r="P137" s="312" t="n">
        <v>20.5</v>
      </c>
      <c r="Q137" s="310" t="n">
        <v>239</v>
      </c>
      <c r="R137" s="312" t="n">
        <v>19.7</v>
      </c>
      <c r="S137" s="310"/>
      <c r="T137" s="311" t="n">
        <v>0</v>
      </c>
      <c r="U137" s="312" t="n">
        <v>32.9</v>
      </c>
      <c r="V137" s="311" t="n">
        <v>0</v>
      </c>
      <c r="W137" s="312" t="n">
        <v>27.9</v>
      </c>
      <c r="X137" s="311" t="n">
        <v>0</v>
      </c>
      <c r="Y137" s="312" t="n">
        <v>28</v>
      </c>
      <c r="Z137" s="313" t="n">
        <v>0</v>
      </c>
      <c r="AA137" s="314" t="n">
        <v>28</v>
      </c>
      <c r="AB137" s="313" t="n">
        <v>0</v>
      </c>
      <c r="AC137" s="314" t="n">
        <v>28</v>
      </c>
      <c r="AD137" s="315"/>
      <c r="AE137" s="144" t="n">
        <v>110</v>
      </c>
      <c r="AF137" s="315"/>
      <c r="AG137" s="311" t="n">
        <v>0</v>
      </c>
      <c r="AH137" s="309" t="n">
        <v>0</v>
      </c>
      <c r="AI137" s="310"/>
      <c r="AJ137" s="311" t="n">
        <v>255</v>
      </c>
      <c r="AK137" s="309" t="n">
        <v>393.6</v>
      </c>
      <c r="AL137" s="311" t="n">
        <v>317</v>
      </c>
      <c r="AM137" s="309" t="n">
        <v>492</v>
      </c>
      <c r="AN137" s="311" t="n">
        <v>336</v>
      </c>
      <c r="AO137" s="309" t="n">
        <v>472.8</v>
      </c>
      <c r="AP137" s="310"/>
      <c r="AQ137" s="311" t="n">
        <v>258</v>
      </c>
      <c r="AR137" s="309" t="n">
        <v>789.6</v>
      </c>
      <c r="AS137" s="311" t="n">
        <v>378</v>
      </c>
      <c r="AT137" s="309" t="n">
        <v>669.6</v>
      </c>
      <c r="AU137" s="311" t="n">
        <v>376</v>
      </c>
      <c r="AV137" s="309" t="n">
        <v>672</v>
      </c>
      <c r="AW137" s="311" t="n">
        <v>376</v>
      </c>
      <c r="AX137" s="309" t="n">
        <v>672</v>
      </c>
      <c r="AY137" s="311" t="n">
        <v>376</v>
      </c>
      <c r="AZ137" s="309" t="n">
        <v>672</v>
      </c>
      <c r="BB137" s="144" t="n">
        <v>0</v>
      </c>
      <c r="BC137" s="315"/>
      <c r="BD137" s="311" t="n">
        <v>0</v>
      </c>
      <c r="BE137" s="316" t="n">
        <v>0</v>
      </c>
      <c r="BF137" s="310"/>
      <c r="BG137" s="317" t="n">
        <v>-30</v>
      </c>
      <c r="BH137" s="318" t="n">
        <v>-1.2</v>
      </c>
      <c r="BI137" s="317" t="n">
        <v>-20</v>
      </c>
      <c r="BJ137" s="318" t="n">
        <v>-1</v>
      </c>
      <c r="BK137" s="317" t="n">
        <v>-20</v>
      </c>
      <c r="BL137" s="318" t="n">
        <v>-1</v>
      </c>
      <c r="BM137" s="310"/>
      <c r="BN137" s="317" t="n">
        <v>0</v>
      </c>
      <c r="BO137" s="318" t="n">
        <v>-2.7</v>
      </c>
      <c r="BP137" s="317" t="n">
        <v>0</v>
      </c>
      <c r="BQ137" s="318" t="n">
        <v>-2.1</v>
      </c>
      <c r="BR137" s="317" t="n">
        <v>0</v>
      </c>
      <c r="BS137" s="318" t="n">
        <v>-2</v>
      </c>
      <c r="BT137" s="317" t="n">
        <v>0</v>
      </c>
      <c r="BU137" s="318" t="n">
        <v>-2</v>
      </c>
      <c r="BV137" s="317" t="n">
        <v>0</v>
      </c>
      <c r="BW137" s="318" t="n">
        <v>-2</v>
      </c>
      <c r="BY137" s="143"/>
      <c r="BZ137" s="315"/>
      <c r="CA137" s="144" t="s">
        <v>12</v>
      </c>
      <c r="CB137" s="315"/>
      <c r="CC137" s="144" t="n">
        <v>-145.41652892562</v>
      </c>
      <c r="CD137" s="144" t="n">
        <v>-207.01652892562</v>
      </c>
      <c r="CE137" s="144" t="n">
        <v>-226.21652892562</v>
      </c>
      <c r="CF137" s="315"/>
      <c r="CG137" s="144" t="n">
        <v>-148.41652892562</v>
      </c>
      <c r="CH137" s="144" t="n">
        <v>-268.41652892562</v>
      </c>
      <c r="CI137" s="144" t="n">
        <v>-266.01652892562</v>
      </c>
      <c r="CJ137" s="144" t="n">
        <v>-266.01652892562</v>
      </c>
      <c r="CK137" s="144" t="n">
        <v>-266.01652892562</v>
      </c>
      <c r="CM137" s="144" t="n">
        <v>954.603305785124</v>
      </c>
      <c r="CO137" s="319"/>
      <c r="CP137" s="320"/>
      <c r="CQ137" s="321" t="s">
        <v>12</v>
      </c>
      <c r="CR137" s="320"/>
      <c r="CS137" s="322" t="n">
        <v>-162.003305785124</v>
      </c>
      <c r="CT137" s="322" t="n">
        <v>-223.603305785124</v>
      </c>
      <c r="CU137" s="322" t="n">
        <v>-242.803305785124</v>
      </c>
      <c r="CV137" s="323"/>
      <c r="CW137" s="322" t="n">
        <v>-165.003305785124</v>
      </c>
      <c r="CX137" s="322" t="n">
        <v>-285.003305785124</v>
      </c>
      <c r="CY137" s="322" t="n">
        <v>-282.603305785124</v>
      </c>
      <c r="CZ137" s="322" t="n">
        <v>-282.603305785124</v>
      </c>
      <c r="DA137" s="322" t="n">
        <v>-282.603305785124</v>
      </c>
    </row>
    <row r="138" customFormat="false" ht="12.75" hidden="false" customHeight="false" outlineLevel="0" collapsed="false">
      <c r="B138" s="305" t="s">
        <v>200</v>
      </c>
      <c r="C138" s="305" t="s">
        <v>487</v>
      </c>
      <c r="D138" s="306" t="n">
        <v>1048</v>
      </c>
      <c r="E138" s="306" t="n">
        <v>3.25</v>
      </c>
      <c r="F138" s="324" t="s">
        <v>432</v>
      </c>
      <c r="G138" s="144" t="n">
        <v>48</v>
      </c>
      <c r="H138" s="325" t="n">
        <v>938.01652892562</v>
      </c>
      <c r="I138" s="2"/>
      <c r="J138" s="144" t="s">
        <v>12</v>
      </c>
      <c r="K138" s="309" t="s">
        <v>12</v>
      </c>
      <c r="L138" s="310"/>
      <c r="M138" s="311" t="n">
        <v>399</v>
      </c>
      <c r="N138" s="312" t="n">
        <v>8.2</v>
      </c>
      <c r="O138" s="311" t="n">
        <v>239</v>
      </c>
      <c r="P138" s="312" t="n">
        <v>10.3</v>
      </c>
      <c r="Q138" s="310" t="n">
        <v>239</v>
      </c>
      <c r="R138" s="312" t="n">
        <v>9.9</v>
      </c>
      <c r="S138" s="310"/>
      <c r="T138" s="311" t="n">
        <v>0</v>
      </c>
      <c r="U138" s="312" t="n">
        <v>16.5</v>
      </c>
      <c r="V138" s="311" t="n">
        <v>0</v>
      </c>
      <c r="W138" s="312" t="n">
        <v>14</v>
      </c>
      <c r="X138" s="311" t="n">
        <v>0</v>
      </c>
      <c r="Y138" s="312" t="n">
        <v>14</v>
      </c>
      <c r="Z138" s="313" t="n">
        <v>0</v>
      </c>
      <c r="AA138" s="314" t="n">
        <v>14</v>
      </c>
      <c r="AB138" s="313" t="n">
        <v>0</v>
      </c>
      <c r="AC138" s="314" t="n">
        <v>14</v>
      </c>
      <c r="AD138" s="315"/>
      <c r="AE138" s="144" t="n">
        <v>110</v>
      </c>
      <c r="AF138" s="315"/>
      <c r="AG138" s="311" t="n">
        <v>0</v>
      </c>
      <c r="AH138" s="309" t="n">
        <v>0</v>
      </c>
      <c r="AI138" s="310"/>
      <c r="AJ138" s="311" t="n">
        <v>255</v>
      </c>
      <c r="AK138" s="309" t="n">
        <v>393.6</v>
      </c>
      <c r="AL138" s="311" t="n">
        <v>315</v>
      </c>
      <c r="AM138" s="309" t="n">
        <v>494.4</v>
      </c>
      <c r="AN138" s="310" t="n">
        <v>334</v>
      </c>
      <c r="AO138" s="309" t="n">
        <v>475.2</v>
      </c>
      <c r="AP138" s="310"/>
      <c r="AQ138" s="311" t="n">
        <v>256</v>
      </c>
      <c r="AR138" s="309" t="n">
        <v>792</v>
      </c>
      <c r="AS138" s="311" t="n">
        <v>376</v>
      </c>
      <c r="AT138" s="309" t="n">
        <v>672</v>
      </c>
      <c r="AU138" s="310" t="n">
        <v>376</v>
      </c>
      <c r="AV138" s="309" t="n">
        <v>672</v>
      </c>
      <c r="AW138" s="310" t="n">
        <v>376</v>
      </c>
      <c r="AX138" s="309" t="n">
        <v>672</v>
      </c>
      <c r="AY138" s="310" t="n">
        <v>376</v>
      </c>
      <c r="AZ138" s="309" t="n">
        <v>672</v>
      </c>
      <c r="BB138" s="144" t="n">
        <v>0</v>
      </c>
      <c r="BC138" s="315"/>
      <c r="BD138" s="311" t="n">
        <v>0</v>
      </c>
      <c r="BE138" s="316" t="n">
        <v>0</v>
      </c>
      <c r="BF138" s="310"/>
      <c r="BG138" s="317" t="n">
        <v>0</v>
      </c>
      <c r="BH138" s="318" t="n">
        <v>0</v>
      </c>
      <c r="BI138" s="317" t="n">
        <v>0</v>
      </c>
      <c r="BJ138" s="318" t="n">
        <v>0</v>
      </c>
      <c r="BK138" s="317" t="n">
        <v>0</v>
      </c>
      <c r="BL138" s="318" t="n">
        <v>0</v>
      </c>
      <c r="BM138" s="310"/>
      <c r="BN138" s="317" t="n">
        <v>0</v>
      </c>
      <c r="BO138" s="318" t="n">
        <v>0</v>
      </c>
      <c r="BP138" s="317" t="n">
        <v>0</v>
      </c>
      <c r="BQ138" s="318" t="n">
        <v>0</v>
      </c>
      <c r="BR138" s="317" t="n">
        <v>0</v>
      </c>
      <c r="BS138" s="318" t="n">
        <v>0</v>
      </c>
      <c r="BT138" s="317" t="n">
        <v>0</v>
      </c>
      <c r="BU138" s="318" t="n">
        <v>0</v>
      </c>
      <c r="BV138" s="317" t="n">
        <v>0</v>
      </c>
      <c r="BW138" s="318" t="n">
        <v>0</v>
      </c>
      <c r="BY138" s="143"/>
      <c r="BZ138" s="315"/>
      <c r="CA138" s="144" t="s">
        <v>12</v>
      </c>
      <c r="CB138" s="315"/>
      <c r="CC138" s="144" t="n">
        <v>-145.41652892562</v>
      </c>
      <c r="CD138" s="144" t="n">
        <v>-204.61652892562</v>
      </c>
      <c r="CE138" s="144" t="n">
        <v>-223.81652892562</v>
      </c>
      <c r="CF138" s="315"/>
      <c r="CG138" s="144" t="n">
        <v>-146.01652892562</v>
      </c>
      <c r="CH138" s="144" t="n">
        <v>-266.01652892562</v>
      </c>
      <c r="CI138" s="144" t="n">
        <v>-266.01652892562</v>
      </c>
      <c r="CJ138" s="144" t="n">
        <v>-266.01652892562</v>
      </c>
      <c r="CK138" s="144" t="n">
        <v>-266.01652892562</v>
      </c>
      <c r="CM138" s="144" t="n">
        <v>954.603305785124</v>
      </c>
      <c r="CO138" s="319"/>
      <c r="CP138" s="320"/>
      <c r="CQ138" s="321" t="s">
        <v>12</v>
      </c>
      <c r="CR138" s="320"/>
      <c r="CS138" s="322" t="n">
        <v>-162.003305785124</v>
      </c>
      <c r="CT138" s="322" t="n">
        <v>-221.203305785124</v>
      </c>
      <c r="CU138" s="322" t="n">
        <v>-240.403305785124</v>
      </c>
      <c r="CV138" s="323"/>
      <c r="CW138" s="322" t="n">
        <v>-162.603305785124</v>
      </c>
      <c r="CX138" s="322" t="n">
        <v>-282.603305785124</v>
      </c>
      <c r="CY138" s="322" t="n">
        <v>-282.603305785124</v>
      </c>
      <c r="CZ138" s="322" t="n">
        <v>-282.603305785124</v>
      </c>
      <c r="DA138" s="322" t="n">
        <v>-282.603305785124</v>
      </c>
    </row>
    <row r="139" customFormat="false" ht="12.75" hidden="false" customHeight="false" outlineLevel="0" collapsed="false">
      <c r="B139" s="305" t="s">
        <v>200</v>
      </c>
      <c r="C139" s="305" t="s">
        <v>488</v>
      </c>
      <c r="D139" s="306" t="n">
        <v>1140</v>
      </c>
      <c r="E139" s="306" t="n">
        <v>3.25</v>
      </c>
      <c r="F139" s="306" t="s">
        <v>432</v>
      </c>
      <c r="G139" s="307" t="n">
        <v>24</v>
      </c>
      <c r="H139" s="308" t="n">
        <v>1029.7520661157</v>
      </c>
      <c r="I139" s="2"/>
      <c r="J139" s="144" t="s">
        <v>12</v>
      </c>
      <c r="K139" s="309" t="s">
        <v>12</v>
      </c>
      <c r="L139" s="310"/>
      <c r="M139" s="311" t="n">
        <v>439</v>
      </c>
      <c r="N139" s="312" t="n">
        <v>18.4</v>
      </c>
      <c r="O139" s="311" t="n">
        <v>269</v>
      </c>
      <c r="P139" s="312" t="n">
        <v>23.4</v>
      </c>
      <c r="Q139" s="310" t="n">
        <v>269</v>
      </c>
      <c r="R139" s="312" t="n">
        <v>22.6</v>
      </c>
      <c r="S139" s="310"/>
      <c r="T139" s="311" t="n">
        <v>0</v>
      </c>
      <c r="U139" s="312" t="n">
        <v>36.6</v>
      </c>
      <c r="V139" s="311" t="n">
        <v>0</v>
      </c>
      <c r="W139" s="312" t="n">
        <v>32.3</v>
      </c>
      <c r="X139" s="311" t="n">
        <v>0</v>
      </c>
      <c r="Y139" s="312" t="n">
        <v>31</v>
      </c>
      <c r="Z139" s="313" t="n">
        <v>0</v>
      </c>
      <c r="AA139" s="314" t="n">
        <v>31</v>
      </c>
      <c r="AB139" s="313" t="n">
        <v>0</v>
      </c>
      <c r="AC139" s="314" t="n">
        <v>31</v>
      </c>
      <c r="AD139" s="315"/>
      <c r="AE139" s="144" t="n">
        <v>110</v>
      </c>
      <c r="AF139" s="315"/>
      <c r="AG139" s="311" t="n">
        <v>0</v>
      </c>
      <c r="AH139" s="309" t="n">
        <v>0</v>
      </c>
      <c r="AI139" s="310"/>
      <c r="AJ139" s="311" t="n">
        <v>259</v>
      </c>
      <c r="AK139" s="309" t="n">
        <v>441.6</v>
      </c>
      <c r="AL139" s="311" t="n">
        <v>309</v>
      </c>
      <c r="AM139" s="309" t="n">
        <v>561.6</v>
      </c>
      <c r="AN139" s="311" t="n">
        <v>329</v>
      </c>
      <c r="AO139" s="309" t="n">
        <v>542.4</v>
      </c>
      <c r="AP139" s="310"/>
      <c r="AQ139" s="311" t="n">
        <v>262</v>
      </c>
      <c r="AR139" s="309" t="n">
        <v>878.4</v>
      </c>
      <c r="AS139" s="311" t="n">
        <v>365</v>
      </c>
      <c r="AT139" s="309" t="n">
        <v>775.2</v>
      </c>
      <c r="AU139" s="311" t="n">
        <v>396</v>
      </c>
      <c r="AV139" s="309" t="n">
        <v>744</v>
      </c>
      <c r="AW139" s="311" t="n">
        <v>396</v>
      </c>
      <c r="AX139" s="309" t="n">
        <v>744</v>
      </c>
      <c r="AY139" s="311" t="n">
        <v>396</v>
      </c>
      <c r="AZ139" s="309" t="n">
        <v>744</v>
      </c>
      <c r="BB139" s="144" t="n">
        <v>0</v>
      </c>
      <c r="BC139" s="315"/>
      <c r="BD139" s="311" t="n">
        <v>0</v>
      </c>
      <c r="BE139" s="316" t="n">
        <v>0</v>
      </c>
      <c r="BF139" s="310"/>
      <c r="BG139" s="317" t="n">
        <v>-10</v>
      </c>
      <c r="BH139" s="318" t="n">
        <v>0</v>
      </c>
      <c r="BI139" s="317" t="n">
        <v>0</v>
      </c>
      <c r="BJ139" s="318" t="n">
        <v>0.199999999999999</v>
      </c>
      <c r="BK139" s="317" t="n">
        <v>0</v>
      </c>
      <c r="BL139" s="318" t="n">
        <v>0.399999999999999</v>
      </c>
      <c r="BM139" s="310"/>
      <c r="BN139" s="317" t="n">
        <v>0</v>
      </c>
      <c r="BO139" s="318" t="n">
        <v>-0.600000000000001</v>
      </c>
      <c r="BP139" s="317" t="n">
        <v>0</v>
      </c>
      <c r="BQ139" s="318" t="n">
        <v>-0.799999999999997</v>
      </c>
      <c r="BR139" s="317" t="n">
        <v>0</v>
      </c>
      <c r="BS139" s="318" t="n">
        <v>-1</v>
      </c>
      <c r="BT139" s="317" t="n">
        <v>0</v>
      </c>
      <c r="BU139" s="318" t="n">
        <v>-1</v>
      </c>
      <c r="BV139" s="317" t="n">
        <v>0</v>
      </c>
      <c r="BW139" s="318" t="n">
        <v>-1</v>
      </c>
      <c r="BY139" s="143"/>
      <c r="BZ139" s="315"/>
      <c r="CA139" s="144" t="s">
        <v>12</v>
      </c>
      <c r="CB139" s="315"/>
      <c r="CC139" s="144" t="n">
        <v>-149.152066115702</v>
      </c>
      <c r="CD139" s="144" t="n">
        <v>-199.152066115702</v>
      </c>
      <c r="CE139" s="144" t="n">
        <v>-218.352066115702</v>
      </c>
      <c r="CF139" s="315"/>
      <c r="CG139" s="144" t="n">
        <v>-151.352066115702</v>
      </c>
      <c r="CH139" s="144" t="n">
        <v>-254.552066115702</v>
      </c>
      <c r="CI139" s="144" t="n">
        <v>-285.752066115703</v>
      </c>
      <c r="CJ139" s="144" t="n">
        <v>-285.752066115703</v>
      </c>
      <c r="CK139" s="144" t="n">
        <v>-285.752066115703</v>
      </c>
      <c r="CM139" s="144" t="n">
        <v>1053.77685950413</v>
      </c>
      <c r="CO139" s="319"/>
      <c r="CP139" s="320"/>
      <c r="CQ139" s="321" t="s">
        <v>12</v>
      </c>
      <c r="CR139" s="320"/>
      <c r="CS139" s="322" t="n">
        <v>-173.176859504132</v>
      </c>
      <c r="CT139" s="322" t="n">
        <v>-223.176859504132</v>
      </c>
      <c r="CU139" s="322" t="n">
        <v>-242.376859504132</v>
      </c>
      <c r="CV139" s="323"/>
      <c r="CW139" s="322" t="n">
        <v>-175.376859504132</v>
      </c>
      <c r="CX139" s="322" t="n">
        <v>-278.576859504132</v>
      </c>
      <c r="CY139" s="322" t="n">
        <v>-309.776859504132</v>
      </c>
      <c r="CZ139" s="322" t="n">
        <v>-309.776859504132</v>
      </c>
      <c r="DA139" s="322" t="n">
        <v>-309.776859504132</v>
      </c>
    </row>
    <row r="140" customFormat="false" ht="12.75" hidden="false" customHeight="false" outlineLevel="0" collapsed="false">
      <c r="B140" s="305" t="s">
        <v>200</v>
      </c>
      <c r="C140" s="305" t="s">
        <v>488</v>
      </c>
      <c r="D140" s="306" t="n">
        <v>1140</v>
      </c>
      <c r="E140" s="306" t="n">
        <v>3.25</v>
      </c>
      <c r="F140" s="324" t="s">
        <v>432</v>
      </c>
      <c r="G140" s="144" t="n">
        <v>48</v>
      </c>
      <c r="H140" s="325" t="n">
        <v>1029.7520661157</v>
      </c>
      <c r="I140" s="2"/>
      <c r="J140" s="144" t="s">
        <v>12</v>
      </c>
      <c r="K140" s="309" t="s">
        <v>12</v>
      </c>
      <c r="L140" s="310"/>
      <c r="M140" s="311" t="n">
        <v>439</v>
      </c>
      <c r="N140" s="312" t="n">
        <v>9.2</v>
      </c>
      <c r="O140" s="311" t="n">
        <v>269</v>
      </c>
      <c r="P140" s="312" t="n">
        <v>11.7</v>
      </c>
      <c r="Q140" s="310" t="n">
        <v>269</v>
      </c>
      <c r="R140" s="312" t="n">
        <v>11.3</v>
      </c>
      <c r="S140" s="310"/>
      <c r="T140" s="311" t="n">
        <v>0</v>
      </c>
      <c r="U140" s="312" t="n">
        <v>18.3</v>
      </c>
      <c r="V140" s="311" t="n">
        <v>0</v>
      </c>
      <c r="W140" s="312" t="n">
        <v>16.2</v>
      </c>
      <c r="X140" s="311" t="n">
        <v>0</v>
      </c>
      <c r="Y140" s="312" t="n">
        <v>15.5</v>
      </c>
      <c r="Z140" s="313" t="n">
        <v>0</v>
      </c>
      <c r="AA140" s="314" t="n">
        <v>15.5</v>
      </c>
      <c r="AB140" s="313" t="n">
        <v>0</v>
      </c>
      <c r="AC140" s="314" t="n">
        <v>15.5</v>
      </c>
      <c r="AD140" s="315"/>
      <c r="AE140" s="144" t="n">
        <v>110</v>
      </c>
      <c r="AF140" s="315"/>
      <c r="AG140" s="311" t="n">
        <v>0</v>
      </c>
      <c r="AH140" s="309" t="n">
        <v>0</v>
      </c>
      <c r="AI140" s="310"/>
      <c r="AJ140" s="311" t="n">
        <v>259</v>
      </c>
      <c r="AK140" s="309" t="n">
        <v>441.6</v>
      </c>
      <c r="AL140" s="311" t="n">
        <v>309</v>
      </c>
      <c r="AM140" s="309" t="n">
        <v>561.6</v>
      </c>
      <c r="AN140" s="310" t="n">
        <v>329</v>
      </c>
      <c r="AO140" s="309" t="n">
        <v>542.4</v>
      </c>
      <c r="AP140" s="310"/>
      <c r="AQ140" s="311" t="n">
        <v>262</v>
      </c>
      <c r="AR140" s="309" t="n">
        <v>878.4</v>
      </c>
      <c r="AS140" s="311" t="n">
        <v>362</v>
      </c>
      <c r="AT140" s="309" t="n">
        <v>777.6</v>
      </c>
      <c r="AU140" s="310" t="n">
        <v>396</v>
      </c>
      <c r="AV140" s="309" t="n">
        <v>744</v>
      </c>
      <c r="AW140" s="310" t="n">
        <v>396</v>
      </c>
      <c r="AX140" s="309" t="n">
        <v>744</v>
      </c>
      <c r="AY140" s="310" t="n">
        <v>396</v>
      </c>
      <c r="AZ140" s="309" t="n">
        <v>744</v>
      </c>
      <c r="BB140" s="144" t="n">
        <v>0</v>
      </c>
      <c r="BC140" s="315"/>
      <c r="BD140" s="311" t="n">
        <v>0</v>
      </c>
      <c r="BE140" s="316" t="n">
        <v>0</v>
      </c>
      <c r="BF140" s="310"/>
      <c r="BG140" s="317" t="n">
        <v>0</v>
      </c>
      <c r="BH140" s="318" t="n">
        <v>0</v>
      </c>
      <c r="BI140" s="317" t="n">
        <v>0</v>
      </c>
      <c r="BJ140" s="318" t="n">
        <v>0</v>
      </c>
      <c r="BK140" s="317" t="n">
        <v>0</v>
      </c>
      <c r="BL140" s="318" t="n">
        <v>0</v>
      </c>
      <c r="BM140" s="310"/>
      <c r="BN140" s="317" t="n">
        <v>0</v>
      </c>
      <c r="BO140" s="318" t="n">
        <v>0</v>
      </c>
      <c r="BP140" s="317" t="n">
        <v>0</v>
      </c>
      <c r="BQ140" s="318" t="n">
        <v>0</v>
      </c>
      <c r="BR140" s="317" t="n">
        <v>0</v>
      </c>
      <c r="BS140" s="318" t="n">
        <v>0</v>
      </c>
      <c r="BT140" s="317" t="n">
        <v>0</v>
      </c>
      <c r="BU140" s="318" t="n">
        <v>0</v>
      </c>
      <c r="BV140" s="317" t="n">
        <v>0</v>
      </c>
      <c r="BW140" s="318" t="n">
        <v>0</v>
      </c>
      <c r="BY140" s="143"/>
      <c r="BZ140" s="315"/>
      <c r="CA140" s="144" t="s">
        <v>12</v>
      </c>
      <c r="CB140" s="315"/>
      <c r="CC140" s="144" t="n">
        <v>-149.152066115702</v>
      </c>
      <c r="CD140" s="144" t="n">
        <v>-199.152066115702</v>
      </c>
      <c r="CE140" s="144" t="n">
        <v>-218.352066115702</v>
      </c>
      <c r="CF140" s="315"/>
      <c r="CG140" s="144" t="n">
        <v>-151.352066115702</v>
      </c>
      <c r="CH140" s="144" t="n">
        <v>-252.152066115703</v>
      </c>
      <c r="CI140" s="144" t="n">
        <v>-285.752066115703</v>
      </c>
      <c r="CJ140" s="144" t="n">
        <v>-285.752066115703</v>
      </c>
      <c r="CK140" s="144" t="n">
        <v>-285.752066115703</v>
      </c>
      <c r="CM140" s="144" t="n">
        <v>1053.77685950413</v>
      </c>
      <c r="CO140" s="319"/>
      <c r="CP140" s="320"/>
      <c r="CQ140" s="321" t="s">
        <v>12</v>
      </c>
      <c r="CR140" s="320"/>
      <c r="CS140" s="322" t="n">
        <v>-173.176859504132</v>
      </c>
      <c r="CT140" s="322" t="n">
        <v>-223.176859504132</v>
      </c>
      <c r="CU140" s="322" t="n">
        <v>-242.376859504132</v>
      </c>
      <c r="CV140" s="323"/>
      <c r="CW140" s="322" t="n">
        <v>-175.376859504132</v>
      </c>
      <c r="CX140" s="322" t="n">
        <v>-276.176859504132</v>
      </c>
      <c r="CY140" s="322" t="n">
        <v>-309.776859504132</v>
      </c>
      <c r="CZ140" s="322" t="n">
        <v>-309.776859504132</v>
      </c>
      <c r="DA140" s="322" t="n">
        <v>-309.776859504132</v>
      </c>
    </row>
    <row r="141" customFormat="false" ht="12.75" hidden="false" customHeight="false" outlineLevel="0" collapsed="false">
      <c r="B141" s="305" t="s">
        <v>200</v>
      </c>
      <c r="C141" s="305" t="s">
        <v>489</v>
      </c>
      <c r="D141" s="306" t="n">
        <v>1086</v>
      </c>
      <c r="E141" s="306" t="n">
        <v>3.25</v>
      </c>
      <c r="F141" s="306" t="s">
        <v>432</v>
      </c>
      <c r="G141" s="307" t="n">
        <v>24</v>
      </c>
      <c r="H141" s="308" t="n">
        <v>985.950413223141</v>
      </c>
      <c r="I141" s="2"/>
      <c r="J141" s="144" t="s">
        <v>12</v>
      </c>
      <c r="K141" s="309" t="s">
        <v>12</v>
      </c>
      <c r="L141" s="310"/>
      <c r="M141" s="311" t="n">
        <v>419</v>
      </c>
      <c r="N141" s="312" t="n">
        <v>17.8</v>
      </c>
      <c r="O141" s="311" t="n">
        <v>249</v>
      </c>
      <c r="P141" s="312" t="n">
        <v>22.2</v>
      </c>
      <c r="Q141" s="310" t="n">
        <v>249</v>
      </c>
      <c r="R141" s="312" t="n">
        <v>21.3</v>
      </c>
      <c r="S141" s="310"/>
      <c r="T141" s="311" t="n">
        <v>0</v>
      </c>
      <c r="U141" s="312" t="n">
        <v>34.8</v>
      </c>
      <c r="V141" s="311" t="n">
        <v>0</v>
      </c>
      <c r="W141" s="312" t="n">
        <v>29.8</v>
      </c>
      <c r="X141" s="311" t="n">
        <v>0</v>
      </c>
      <c r="Y141" s="312" t="n">
        <v>29.8</v>
      </c>
      <c r="Z141" s="313" t="n">
        <v>0</v>
      </c>
      <c r="AA141" s="314" t="n">
        <v>29.8</v>
      </c>
      <c r="AB141" s="313" t="n">
        <v>0</v>
      </c>
      <c r="AC141" s="314" t="n">
        <v>29.8</v>
      </c>
      <c r="AD141" s="315"/>
      <c r="AE141" s="144" t="n">
        <v>100</v>
      </c>
      <c r="AF141" s="315"/>
      <c r="AG141" s="311" t="n">
        <v>0</v>
      </c>
      <c r="AH141" s="309" t="n">
        <v>0</v>
      </c>
      <c r="AI141" s="310"/>
      <c r="AJ141" s="311" t="n">
        <v>240</v>
      </c>
      <c r="AK141" s="309" t="n">
        <v>427.2</v>
      </c>
      <c r="AL141" s="311" t="n">
        <v>304</v>
      </c>
      <c r="AM141" s="309" t="n">
        <v>532.8</v>
      </c>
      <c r="AN141" s="311" t="n">
        <v>326</v>
      </c>
      <c r="AO141" s="309" t="n">
        <v>511.2</v>
      </c>
      <c r="AP141" s="310"/>
      <c r="AQ141" s="311" t="n">
        <v>251</v>
      </c>
      <c r="AR141" s="309" t="n">
        <v>835.2</v>
      </c>
      <c r="AS141" s="311" t="n">
        <v>371</v>
      </c>
      <c r="AT141" s="309" t="n">
        <v>715.2</v>
      </c>
      <c r="AU141" s="311" t="n">
        <v>371</v>
      </c>
      <c r="AV141" s="309" t="n">
        <v>715.2</v>
      </c>
      <c r="AW141" s="311" t="n">
        <v>371</v>
      </c>
      <c r="AX141" s="309" t="n">
        <v>715.2</v>
      </c>
      <c r="AY141" s="311" t="n">
        <v>371</v>
      </c>
      <c r="AZ141" s="309" t="n">
        <v>715.2</v>
      </c>
      <c r="BB141" s="144" t="n">
        <v>0</v>
      </c>
      <c r="BC141" s="315"/>
      <c r="BD141" s="311" t="n">
        <v>0</v>
      </c>
      <c r="BE141" s="316" t="n">
        <v>0</v>
      </c>
      <c r="BF141" s="310"/>
      <c r="BG141" s="317" t="n">
        <v>0</v>
      </c>
      <c r="BH141" s="318" t="n">
        <v>0.399999999999999</v>
      </c>
      <c r="BI141" s="317" t="n">
        <v>0</v>
      </c>
      <c r="BJ141" s="318" t="n">
        <v>0.700000000000003</v>
      </c>
      <c r="BK141" s="317" t="n">
        <v>0</v>
      </c>
      <c r="BL141" s="318" t="n">
        <v>0.800000000000001</v>
      </c>
      <c r="BM141" s="310"/>
      <c r="BN141" s="317" t="n">
        <v>0</v>
      </c>
      <c r="BO141" s="318" t="n">
        <v>-0.199999999999996</v>
      </c>
      <c r="BP141" s="317" t="n">
        <v>0</v>
      </c>
      <c r="BQ141" s="318" t="n">
        <v>1.9</v>
      </c>
      <c r="BR141" s="317" t="n">
        <v>0</v>
      </c>
      <c r="BS141" s="318" t="n">
        <v>1.9</v>
      </c>
      <c r="BT141" s="317" t="n">
        <v>0</v>
      </c>
      <c r="BU141" s="318" t="n">
        <v>1.9</v>
      </c>
      <c r="BV141" s="317" t="n">
        <v>0</v>
      </c>
      <c r="BW141" s="318" t="n">
        <v>1.9</v>
      </c>
      <c r="BY141" s="143"/>
      <c r="BZ141" s="315"/>
      <c r="CA141" s="144" t="s">
        <v>12</v>
      </c>
      <c r="CB141" s="315"/>
      <c r="CC141" s="144" t="n">
        <v>-139.750413223141</v>
      </c>
      <c r="CD141" s="144" t="n">
        <v>-204.150413223141</v>
      </c>
      <c r="CE141" s="144" t="n">
        <v>-225.750413223141</v>
      </c>
      <c r="CF141" s="315"/>
      <c r="CG141" s="144" t="n">
        <v>-150.750413223141</v>
      </c>
      <c r="CH141" s="144" t="n">
        <v>-270.75041322314</v>
      </c>
      <c r="CI141" s="144" t="n">
        <v>-270.75041322314</v>
      </c>
      <c r="CJ141" s="144" t="n">
        <v>-270.75041322314</v>
      </c>
      <c r="CK141" s="144" t="n">
        <v>-270.75041322314</v>
      </c>
      <c r="CM141" s="144" t="n">
        <v>995.925619834711</v>
      </c>
      <c r="CO141" s="319"/>
      <c r="CP141" s="320"/>
      <c r="CQ141" s="321" t="s">
        <v>12</v>
      </c>
      <c r="CR141" s="320"/>
      <c r="CS141" s="322" t="n">
        <v>-149.725619834711</v>
      </c>
      <c r="CT141" s="322" t="n">
        <v>-214.125619834711</v>
      </c>
      <c r="CU141" s="322" t="n">
        <v>-235.725619834711</v>
      </c>
      <c r="CV141" s="323"/>
      <c r="CW141" s="322" t="n">
        <v>-160.725619834711</v>
      </c>
      <c r="CX141" s="322" t="n">
        <v>-280.725619834711</v>
      </c>
      <c r="CY141" s="322" t="n">
        <v>-280.725619834711</v>
      </c>
      <c r="CZ141" s="322" t="n">
        <v>-280.725619834711</v>
      </c>
      <c r="DA141" s="322" t="n">
        <v>-280.725619834711</v>
      </c>
    </row>
    <row r="142" customFormat="false" ht="12.75" hidden="false" customHeight="false" outlineLevel="0" collapsed="false">
      <c r="B142" s="305" t="s">
        <v>200</v>
      </c>
      <c r="C142" s="305" t="s">
        <v>489</v>
      </c>
      <c r="D142" s="306" t="n">
        <v>1086</v>
      </c>
      <c r="E142" s="306" t="n">
        <v>3.25</v>
      </c>
      <c r="F142" s="324" t="s">
        <v>432</v>
      </c>
      <c r="G142" s="144" t="n">
        <v>48</v>
      </c>
      <c r="H142" s="325" t="n">
        <v>985.950413223141</v>
      </c>
      <c r="I142" s="2"/>
      <c r="J142" s="144" t="s">
        <v>12</v>
      </c>
      <c r="K142" s="309" t="s">
        <v>12</v>
      </c>
      <c r="L142" s="310"/>
      <c r="M142" s="311" t="n">
        <v>419</v>
      </c>
      <c r="N142" s="312" t="n">
        <v>8.9</v>
      </c>
      <c r="O142" s="311" t="n">
        <v>249</v>
      </c>
      <c r="P142" s="312" t="n">
        <v>11.1</v>
      </c>
      <c r="Q142" s="310" t="n">
        <v>249</v>
      </c>
      <c r="R142" s="312" t="n">
        <v>10.7</v>
      </c>
      <c r="S142" s="310"/>
      <c r="T142" s="311" t="n">
        <v>0</v>
      </c>
      <c r="U142" s="312" t="n">
        <v>17.4</v>
      </c>
      <c r="V142" s="311" t="n">
        <v>0</v>
      </c>
      <c r="W142" s="312" t="n">
        <v>14.9</v>
      </c>
      <c r="X142" s="311" t="n">
        <v>0</v>
      </c>
      <c r="Y142" s="312" t="n">
        <v>14.9</v>
      </c>
      <c r="Z142" s="313" t="n">
        <v>0</v>
      </c>
      <c r="AA142" s="314" t="n">
        <v>14.9</v>
      </c>
      <c r="AB142" s="313" t="n">
        <v>0</v>
      </c>
      <c r="AC142" s="314" t="n">
        <v>14.9</v>
      </c>
      <c r="AD142" s="315"/>
      <c r="AE142" s="144" t="n">
        <v>100</v>
      </c>
      <c r="AF142" s="315"/>
      <c r="AG142" s="311" t="n">
        <v>0</v>
      </c>
      <c r="AH142" s="309" t="n">
        <v>0</v>
      </c>
      <c r="AI142" s="310"/>
      <c r="AJ142" s="311" t="n">
        <v>240</v>
      </c>
      <c r="AK142" s="309" t="n">
        <v>427.2</v>
      </c>
      <c r="AL142" s="311" t="n">
        <v>304</v>
      </c>
      <c r="AM142" s="309" t="n">
        <v>532.8</v>
      </c>
      <c r="AN142" s="310" t="n">
        <v>323</v>
      </c>
      <c r="AO142" s="309" t="n">
        <v>513.6</v>
      </c>
      <c r="AP142" s="310"/>
      <c r="AQ142" s="311" t="n">
        <v>251</v>
      </c>
      <c r="AR142" s="309" t="n">
        <v>835.2</v>
      </c>
      <c r="AS142" s="311" t="n">
        <v>371</v>
      </c>
      <c r="AT142" s="309" t="n">
        <v>715.2</v>
      </c>
      <c r="AU142" s="310" t="n">
        <v>371</v>
      </c>
      <c r="AV142" s="309" t="n">
        <v>715.2</v>
      </c>
      <c r="AW142" s="310" t="n">
        <v>371</v>
      </c>
      <c r="AX142" s="309" t="n">
        <v>715.2</v>
      </c>
      <c r="AY142" s="310" t="n">
        <v>371</v>
      </c>
      <c r="AZ142" s="309" t="n">
        <v>715.2</v>
      </c>
      <c r="BB142" s="144" t="n">
        <v>0</v>
      </c>
      <c r="BC142" s="315"/>
      <c r="BD142" s="311" t="n">
        <v>0</v>
      </c>
      <c r="BE142" s="316" t="n">
        <v>0</v>
      </c>
      <c r="BF142" s="310"/>
      <c r="BG142" s="317" t="n">
        <v>0</v>
      </c>
      <c r="BH142" s="318" t="n">
        <v>0</v>
      </c>
      <c r="BI142" s="317" t="n">
        <v>0</v>
      </c>
      <c r="BJ142" s="318" t="n">
        <v>0</v>
      </c>
      <c r="BK142" s="317" t="n">
        <v>0</v>
      </c>
      <c r="BL142" s="318" t="n">
        <v>0</v>
      </c>
      <c r="BM142" s="310"/>
      <c r="BN142" s="317" t="n">
        <v>0</v>
      </c>
      <c r="BO142" s="318" t="n">
        <v>0</v>
      </c>
      <c r="BP142" s="317" t="n">
        <v>0</v>
      </c>
      <c r="BQ142" s="318" t="n">
        <v>0</v>
      </c>
      <c r="BR142" s="317" t="n">
        <v>0</v>
      </c>
      <c r="BS142" s="318" t="n">
        <v>0</v>
      </c>
      <c r="BT142" s="317" t="n">
        <v>0</v>
      </c>
      <c r="BU142" s="318" t="n">
        <v>0</v>
      </c>
      <c r="BV142" s="317" t="n">
        <v>0</v>
      </c>
      <c r="BW142" s="318" t="n">
        <v>0</v>
      </c>
      <c r="BY142" s="143"/>
      <c r="BZ142" s="315"/>
      <c r="CA142" s="144" t="s">
        <v>12</v>
      </c>
      <c r="CB142" s="315"/>
      <c r="CC142" s="144" t="n">
        <v>-139.750413223141</v>
      </c>
      <c r="CD142" s="144" t="n">
        <v>-204.150413223141</v>
      </c>
      <c r="CE142" s="144" t="n">
        <v>-223.350413223141</v>
      </c>
      <c r="CF142" s="315"/>
      <c r="CG142" s="144" t="n">
        <v>-150.750413223141</v>
      </c>
      <c r="CH142" s="144" t="n">
        <v>-270.75041322314</v>
      </c>
      <c r="CI142" s="144" t="n">
        <v>-270.75041322314</v>
      </c>
      <c r="CJ142" s="144" t="n">
        <v>-270.75041322314</v>
      </c>
      <c r="CK142" s="144" t="n">
        <v>-270.75041322314</v>
      </c>
      <c r="CM142" s="144" t="n">
        <v>995.925619834711</v>
      </c>
      <c r="CO142" s="319"/>
      <c r="CP142" s="320"/>
      <c r="CQ142" s="321" t="s">
        <v>12</v>
      </c>
      <c r="CR142" s="320"/>
      <c r="CS142" s="322" t="n">
        <v>-149.725619834711</v>
      </c>
      <c r="CT142" s="322" t="n">
        <v>-214.125619834711</v>
      </c>
      <c r="CU142" s="322" t="n">
        <v>-233.325619834711</v>
      </c>
      <c r="CV142" s="323"/>
      <c r="CW142" s="322" t="n">
        <v>-160.725619834711</v>
      </c>
      <c r="CX142" s="322" t="n">
        <v>-280.725619834711</v>
      </c>
      <c r="CY142" s="322" t="n">
        <v>-280.725619834711</v>
      </c>
      <c r="CZ142" s="322" t="n">
        <v>-280.725619834711</v>
      </c>
      <c r="DA142" s="322" t="n">
        <v>-280.725619834711</v>
      </c>
    </row>
    <row r="143" customFormat="false" ht="12.75" hidden="false" customHeight="false" outlineLevel="0" collapsed="false">
      <c r="B143" s="305" t="s">
        <v>200</v>
      </c>
      <c r="C143" s="305" t="s">
        <v>490</v>
      </c>
      <c r="D143" s="306" t="n">
        <v>1179</v>
      </c>
      <c r="E143" s="306" t="n">
        <v>3.25</v>
      </c>
      <c r="F143" s="306" t="s">
        <v>432</v>
      </c>
      <c r="G143" s="307" t="n">
        <v>24</v>
      </c>
      <c r="H143" s="308" t="n">
        <v>1078.51239669422</v>
      </c>
      <c r="I143" s="2"/>
      <c r="J143" s="144" t="s">
        <v>12</v>
      </c>
      <c r="K143" s="309" t="s">
        <v>12</v>
      </c>
      <c r="L143" s="310"/>
      <c r="M143" s="311" t="n">
        <v>469</v>
      </c>
      <c r="N143" s="312" t="n">
        <v>19.5</v>
      </c>
      <c r="O143" s="311" t="n">
        <v>289</v>
      </c>
      <c r="P143" s="312" t="n">
        <v>24.6</v>
      </c>
      <c r="Q143" s="310" t="n">
        <v>289</v>
      </c>
      <c r="R143" s="312" t="n">
        <v>23.8</v>
      </c>
      <c r="S143" s="310"/>
      <c r="T143" s="311" t="n">
        <v>0</v>
      </c>
      <c r="U143" s="312" t="n">
        <v>38.7</v>
      </c>
      <c r="V143" s="311" t="n">
        <v>0</v>
      </c>
      <c r="W143" s="312" t="n">
        <v>33.1</v>
      </c>
      <c r="X143" s="311" t="n">
        <v>0</v>
      </c>
      <c r="Y143" s="312" t="n">
        <v>33.1</v>
      </c>
      <c r="Z143" s="313" t="n">
        <v>0</v>
      </c>
      <c r="AA143" s="314" t="n">
        <v>33.1</v>
      </c>
      <c r="AB143" s="313" t="n">
        <v>0</v>
      </c>
      <c r="AC143" s="314" t="n">
        <v>33.1</v>
      </c>
      <c r="AD143" s="315"/>
      <c r="AE143" s="144" t="n">
        <v>100</v>
      </c>
      <c r="AF143" s="315"/>
      <c r="AG143" s="311" t="n">
        <v>0</v>
      </c>
      <c r="AH143" s="309" t="n">
        <v>0</v>
      </c>
      <c r="AI143" s="310"/>
      <c r="AJ143" s="311" t="n">
        <v>242</v>
      </c>
      <c r="AK143" s="309" t="n">
        <v>468</v>
      </c>
      <c r="AL143" s="311" t="n">
        <v>300</v>
      </c>
      <c r="AM143" s="309" t="n">
        <v>590.4</v>
      </c>
      <c r="AN143" s="311" t="n">
        <v>319</v>
      </c>
      <c r="AO143" s="309" t="n">
        <v>571.2</v>
      </c>
      <c r="AP143" s="310"/>
      <c r="AQ143" s="311" t="n">
        <v>250</v>
      </c>
      <c r="AR143" s="309" t="n">
        <v>928.8</v>
      </c>
      <c r="AS143" s="311" t="n">
        <v>385</v>
      </c>
      <c r="AT143" s="309" t="n">
        <v>794.4</v>
      </c>
      <c r="AU143" s="311" t="n">
        <v>385</v>
      </c>
      <c r="AV143" s="309" t="n">
        <v>794.4</v>
      </c>
      <c r="AW143" s="311" t="n">
        <v>385</v>
      </c>
      <c r="AX143" s="309" t="n">
        <v>794.4</v>
      </c>
      <c r="AY143" s="311" t="n">
        <v>385</v>
      </c>
      <c r="AZ143" s="309" t="n">
        <v>794.4</v>
      </c>
      <c r="BB143" s="144" t="n">
        <v>0</v>
      </c>
      <c r="BC143" s="315"/>
      <c r="BD143" s="311" t="n">
        <v>0</v>
      </c>
      <c r="BE143" s="316" t="n">
        <v>0</v>
      </c>
      <c r="BF143" s="310"/>
      <c r="BG143" s="317" t="n">
        <v>0</v>
      </c>
      <c r="BH143" s="318" t="n">
        <v>0.199999999999999</v>
      </c>
      <c r="BI143" s="317" t="n">
        <v>0</v>
      </c>
      <c r="BJ143" s="318" t="n">
        <v>0.800000000000001</v>
      </c>
      <c r="BK143" s="317" t="n">
        <v>0</v>
      </c>
      <c r="BL143" s="318" t="n">
        <v>0.599999999999998</v>
      </c>
      <c r="BM143" s="310"/>
      <c r="BN143" s="317" t="n">
        <v>0</v>
      </c>
      <c r="BO143" s="318" t="n">
        <v>-0.200000000000003</v>
      </c>
      <c r="BP143" s="317" t="n">
        <v>0</v>
      </c>
      <c r="BQ143" s="318" t="n">
        <v>1</v>
      </c>
      <c r="BR143" s="317" t="n">
        <v>0</v>
      </c>
      <c r="BS143" s="318" t="n">
        <v>1</v>
      </c>
      <c r="BT143" s="317" t="n">
        <v>0</v>
      </c>
      <c r="BU143" s="318" t="n">
        <v>1.1</v>
      </c>
      <c r="BV143" s="317" t="n">
        <v>0</v>
      </c>
      <c r="BW143" s="318" t="n">
        <v>1.1</v>
      </c>
      <c r="BY143" s="143"/>
      <c r="BZ143" s="315"/>
      <c r="CA143" s="144" t="s">
        <v>12</v>
      </c>
      <c r="CB143" s="315"/>
      <c r="CC143" s="144" t="n">
        <v>-141.512396694215</v>
      </c>
      <c r="CD143" s="144" t="n">
        <v>-199.112396694215</v>
      </c>
      <c r="CE143" s="144" t="n">
        <v>-218.312396694215</v>
      </c>
      <c r="CF143" s="315"/>
      <c r="CG143" s="144" t="n">
        <v>-149.712396694215</v>
      </c>
      <c r="CH143" s="144" t="n">
        <v>-284.112396694215</v>
      </c>
      <c r="CI143" s="144" t="n">
        <v>-284.112396694215</v>
      </c>
      <c r="CJ143" s="144" t="n">
        <v>-284.112396694215</v>
      </c>
      <c r="CK143" s="144" t="n">
        <v>-284.112396694215</v>
      </c>
      <c r="CM143" s="144" t="n">
        <v>1095.09917355372</v>
      </c>
      <c r="CO143" s="319"/>
      <c r="CP143" s="320"/>
      <c r="CQ143" s="321" t="s">
        <v>12</v>
      </c>
      <c r="CR143" s="320"/>
      <c r="CS143" s="322" t="n">
        <v>-158.099173553719</v>
      </c>
      <c r="CT143" s="322" t="n">
        <v>-215.699173553719</v>
      </c>
      <c r="CU143" s="322" t="n">
        <v>-234.899173553719</v>
      </c>
      <c r="CV143" s="323"/>
      <c r="CW143" s="322" t="n">
        <v>-166.299173553719</v>
      </c>
      <c r="CX143" s="322" t="n">
        <v>-300.699173553719</v>
      </c>
      <c r="CY143" s="322" t="n">
        <v>-300.699173553719</v>
      </c>
      <c r="CZ143" s="322" t="n">
        <v>-300.699173553719</v>
      </c>
      <c r="DA143" s="322" t="n">
        <v>-300.699173553719</v>
      </c>
    </row>
    <row r="144" customFormat="false" ht="12.75" hidden="false" customHeight="false" outlineLevel="0" collapsed="false">
      <c r="B144" s="305" t="s">
        <v>200</v>
      </c>
      <c r="C144" s="305" t="s">
        <v>490</v>
      </c>
      <c r="D144" s="306" t="n">
        <v>1179</v>
      </c>
      <c r="E144" s="306" t="n">
        <v>3.25</v>
      </c>
      <c r="F144" s="324" t="s">
        <v>432</v>
      </c>
      <c r="G144" s="144" t="n">
        <v>48</v>
      </c>
      <c r="H144" s="325" t="n">
        <v>1078.51239669422</v>
      </c>
      <c r="I144" s="2"/>
      <c r="J144" s="144" t="s">
        <v>12</v>
      </c>
      <c r="K144" s="309" t="s">
        <v>12</v>
      </c>
      <c r="L144" s="310"/>
      <c r="M144" s="311" t="n">
        <v>469</v>
      </c>
      <c r="N144" s="312" t="n">
        <v>9.8</v>
      </c>
      <c r="O144" s="311" t="n">
        <v>289</v>
      </c>
      <c r="P144" s="312" t="n">
        <v>12.3</v>
      </c>
      <c r="Q144" s="310" t="n">
        <v>289</v>
      </c>
      <c r="R144" s="312" t="n">
        <v>11.9</v>
      </c>
      <c r="S144" s="310"/>
      <c r="T144" s="311" t="n">
        <v>0</v>
      </c>
      <c r="U144" s="312" t="n">
        <v>19.4</v>
      </c>
      <c r="V144" s="311" t="n">
        <v>0</v>
      </c>
      <c r="W144" s="312" t="n">
        <v>16.6</v>
      </c>
      <c r="X144" s="311" t="n">
        <v>0</v>
      </c>
      <c r="Y144" s="312" t="n">
        <v>16.6</v>
      </c>
      <c r="Z144" s="313" t="n">
        <v>0</v>
      </c>
      <c r="AA144" s="314" t="n">
        <v>16.6</v>
      </c>
      <c r="AB144" s="313" t="n">
        <v>0</v>
      </c>
      <c r="AC144" s="314" t="n">
        <v>16.6</v>
      </c>
      <c r="AD144" s="315"/>
      <c r="AE144" s="144" t="n">
        <v>100</v>
      </c>
      <c r="AF144" s="315"/>
      <c r="AG144" s="311" t="n">
        <v>0</v>
      </c>
      <c r="AH144" s="309" t="n">
        <v>0</v>
      </c>
      <c r="AI144" s="310"/>
      <c r="AJ144" s="311" t="n">
        <v>240</v>
      </c>
      <c r="AK144" s="309" t="n">
        <v>470.4</v>
      </c>
      <c r="AL144" s="311" t="n">
        <v>300</v>
      </c>
      <c r="AM144" s="309" t="n">
        <v>590.4</v>
      </c>
      <c r="AN144" s="310" t="n">
        <v>319</v>
      </c>
      <c r="AO144" s="309" t="n">
        <v>571.2</v>
      </c>
      <c r="AP144" s="310"/>
      <c r="AQ144" s="311" t="n">
        <v>248</v>
      </c>
      <c r="AR144" s="309" t="n">
        <v>931.2</v>
      </c>
      <c r="AS144" s="311" t="n">
        <v>382</v>
      </c>
      <c r="AT144" s="309" t="n">
        <v>796.8</v>
      </c>
      <c r="AU144" s="310" t="n">
        <v>382</v>
      </c>
      <c r="AV144" s="309" t="n">
        <v>796.8</v>
      </c>
      <c r="AW144" s="310" t="n">
        <v>382</v>
      </c>
      <c r="AX144" s="309" t="n">
        <v>796.8</v>
      </c>
      <c r="AY144" s="310" t="n">
        <v>382</v>
      </c>
      <c r="AZ144" s="309" t="n">
        <v>796.8</v>
      </c>
      <c r="BB144" s="144" t="n">
        <v>0</v>
      </c>
      <c r="BC144" s="315"/>
      <c r="BD144" s="311" t="n">
        <v>0</v>
      </c>
      <c r="BE144" s="316" t="n">
        <v>0</v>
      </c>
      <c r="BF144" s="310"/>
      <c r="BG144" s="317" t="n">
        <v>0</v>
      </c>
      <c r="BH144" s="318" t="n">
        <v>0</v>
      </c>
      <c r="BI144" s="317" t="n">
        <v>0</v>
      </c>
      <c r="BJ144" s="318" t="n">
        <v>0</v>
      </c>
      <c r="BK144" s="317" t="n">
        <v>0</v>
      </c>
      <c r="BL144" s="318" t="n">
        <v>0</v>
      </c>
      <c r="BM144" s="310"/>
      <c r="BN144" s="317" t="n">
        <v>0</v>
      </c>
      <c r="BO144" s="318" t="n">
        <v>0</v>
      </c>
      <c r="BP144" s="317" t="n">
        <v>0</v>
      </c>
      <c r="BQ144" s="318" t="n">
        <v>0</v>
      </c>
      <c r="BR144" s="317" t="n">
        <v>0</v>
      </c>
      <c r="BS144" s="318" t="n">
        <v>0</v>
      </c>
      <c r="BT144" s="317" t="n">
        <v>0</v>
      </c>
      <c r="BU144" s="318" t="n">
        <v>0</v>
      </c>
      <c r="BV144" s="317" t="n">
        <v>0</v>
      </c>
      <c r="BW144" s="318" t="n">
        <v>0</v>
      </c>
      <c r="BY144" s="143"/>
      <c r="BZ144" s="315"/>
      <c r="CA144" s="144" t="s">
        <v>12</v>
      </c>
      <c r="CB144" s="315"/>
      <c r="CC144" s="144" t="n">
        <v>-139.112396694215</v>
      </c>
      <c r="CD144" s="144" t="n">
        <v>-199.112396694215</v>
      </c>
      <c r="CE144" s="144" t="n">
        <v>-218.312396694215</v>
      </c>
      <c r="CF144" s="315"/>
      <c r="CG144" s="144" t="n">
        <v>-147.312396694215</v>
      </c>
      <c r="CH144" s="144" t="n">
        <v>-281.712396694215</v>
      </c>
      <c r="CI144" s="144" t="n">
        <v>-281.712396694215</v>
      </c>
      <c r="CJ144" s="144" t="n">
        <v>-281.712396694215</v>
      </c>
      <c r="CK144" s="144" t="n">
        <v>-281.712396694215</v>
      </c>
      <c r="CM144" s="144" t="n">
        <v>1095.09917355372</v>
      </c>
      <c r="CO144" s="319"/>
      <c r="CP144" s="320"/>
      <c r="CQ144" s="321" t="s">
        <v>12</v>
      </c>
      <c r="CR144" s="320"/>
      <c r="CS144" s="322" t="n">
        <v>-155.699173553719</v>
      </c>
      <c r="CT144" s="322" t="n">
        <v>-215.699173553719</v>
      </c>
      <c r="CU144" s="322" t="n">
        <v>-234.899173553719</v>
      </c>
      <c r="CV144" s="323"/>
      <c r="CW144" s="322" t="n">
        <v>-163.899173553719</v>
      </c>
      <c r="CX144" s="322" t="n">
        <v>-298.299173553719</v>
      </c>
      <c r="CY144" s="322" t="n">
        <v>-298.299173553719</v>
      </c>
      <c r="CZ144" s="322" t="n">
        <v>-298.299173553719</v>
      </c>
      <c r="DA144" s="322" t="n">
        <v>-298.299173553719</v>
      </c>
    </row>
    <row r="145" customFormat="false" ht="12.75" hidden="false" customHeight="false" outlineLevel="0" collapsed="false">
      <c r="B145" s="305" t="s">
        <v>200</v>
      </c>
      <c r="C145" s="305" t="s">
        <v>491</v>
      </c>
      <c r="D145" s="306" t="n">
        <v>1703</v>
      </c>
      <c r="E145" s="306" t="n">
        <v>3.25</v>
      </c>
      <c r="F145" s="306" t="s">
        <v>432</v>
      </c>
      <c r="G145" s="307" t="n">
        <v>24</v>
      </c>
      <c r="H145" s="308" t="n">
        <v>1552.89256198347</v>
      </c>
      <c r="I145" s="2"/>
      <c r="J145" s="144" t="s">
        <v>12</v>
      </c>
      <c r="K145" s="309" t="s">
        <v>12</v>
      </c>
      <c r="L145" s="310"/>
      <c r="M145" s="311" t="n">
        <v>709</v>
      </c>
      <c r="N145" s="312" t="n">
        <v>29.4</v>
      </c>
      <c r="O145" s="311" t="n">
        <v>429</v>
      </c>
      <c r="P145" s="312" t="n">
        <v>38.7</v>
      </c>
      <c r="Q145" s="310" t="n">
        <v>429</v>
      </c>
      <c r="R145" s="312" t="n">
        <v>37.9</v>
      </c>
      <c r="S145" s="310"/>
      <c r="T145" s="311" t="n">
        <v>0</v>
      </c>
      <c r="U145" s="312" t="n">
        <v>58.5</v>
      </c>
      <c r="V145" s="311" t="n">
        <v>0</v>
      </c>
      <c r="W145" s="312" t="n">
        <v>52.9</v>
      </c>
      <c r="X145" s="311" t="n">
        <v>0</v>
      </c>
      <c r="Y145" s="312" t="n">
        <v>52.9</v>
      </c>
      <c r="Z145" s="313" t="n">
        <v>0</v>
      </c>
      <c r="AA145" s="314" t="n">
        <v>52.9</v>
      </c>
      <c r="AB145" s="313" t="n">
        <v>0</v>
      </c>
      <c r="AC145" s="314" t="n">
        <v>52.9</v>
      </c>
      <c r="AD145" s="315"/>
      <c r="AE145" s="144" t="n">
        <v>150</v>
      </c>
      <c r="AF145" s="315"/>
      <c r="AG145" s="311" t="n">
        <v>0</v>
      </c>
      <c r="AH145" s="309" t="n">
        <v>0</v>
      </c>
      <c r="AI145" s="310"/>
      <c r="AJ145" s="311" t="n">
        <v>288</v>
      </c>
      <c r="AK145" s="309" t="n">
        <v>705.6</v>
      </c>
      <c r="AL145" s="311" t="n">
        <v>345</v>
      </c>
      <c r="AM145" s="309" t="n">
        <v>928.8</v>
      </c>
      <c r="AN145" s="311" t="n">
        <v>364</v>
      </c>
      <c r="AO145" s="309" t="n">
        <v>909.6</v>
      </c>
      <c r="AP145" s="310"/>
      <c r="AQ145" s="311" t="n">
        <v>299</v>
      </c>
      <c r="AR145" s="309" t="n">
        <v>1404</v>
      </c>
      <c r="AS145" s="311" t="n">
        <v>433</v>
      </c>
      <c r="AT145" s="309" t="n">
        <v>1269.6</v>
      </c>
      <c r="AU145" s="311" t="n">
        <v>433</v>
      </c>
      <c r="AV145" s="309" t="n">
        <v>1269.6</v>
      </c>
      <c r="AW145" s="311" t="n">
        <v>433</v>
      </c>
      <c r="AX145" s="309" t="n">
        <v>1269.6</v>
      </c>
      <c r="AY145" s="311" t="n">
        <v>433</v>
      </c>
      <c r="AZ145" s="309" t="n">
        <v>1269.6</v>
      </c>
      <c r="BB145" s="144" t="n">
        <v>0</v>
      </c>
      <c r="BC145" s="315"/>
      <c r="BD145" s="311" t="n">
        <v>0</v>
      </c>
      <c r="BE145" s="316" t="n">
        <v>0</v>
      </c>
      <c r="BF145" s="310"/>
      <c r="BG145" s="317" t="n">
        <v>0</v>
      </c>
      <c r="BH145" s="318" t="n">
        <v>0.400000000000002</v>
      </c>
      <c r="BI145" s="317" t="n">
        <v>0</v>
      </c>
      <c r="BJ145" s="318" t="n">
        <v>0.800000000000004</v>
      </c>
      <c r="BK145" s="317" t="n">
        <v>0</v>
      </c>
      <c r="BL145" s="318" t="n">
        <v>0.899999999999999</v>
      </c>
      <c r="BM145" s="310"/>
      <c r="BN145" s="317" t="n">
        <v>0</v>
      </c>
      <c r="BO145" s="318" t="n">
        <v>0</v>
      </c>
      <c r="BP145" s="317" t="n">
        <v>0</v>
      </c>
      <c r="BQ145" s="318" t="n">
        <v>0.200000000000003</v>
      </c>
      <c r="BR145" s="317" t="n">
        <v>0</v>
      </c>
      <c r="BS145" s="318" t="n">
        <v>0.200000000000003</v>
      </c>
      <c r="BT145" s="317" t="n">
        <v>0</v>
      </c>
      <c r="BU145" s="318" t="n">
        <v>0.200000000000003</v>
      </c>
      <c r="BV145" s="317" t="n">
        <v>0</v>
      </c>
      <c r="BW145" s="318" t="n">
        <v>0.200000000000003</v>
      </c>
      <c r="BY145" s="143"/>
      <c r="BZ145" s="315"/>
      <c r="CA145" s="144" t="s">
        <v>12</v>
      </c>
      <c r="CB145" s="315"/>
      <c r="CC145" s="144" t="n">
        <v>-138.292561983471</v>
      </c>
      <c r="CD145" s="144" t="n">
        <v>-195.092561983471</v>
      </c>
      <c r="CE145" s="144" t="n">
        <v>-214.292561983471</v>
      </c>
      <c r="CF145" s="315"/>
      <c r="CG145" s="144" t="n">
        <v>-148.892561983471</v>
      </c>
      <c r="CH145" s="144" t="n">
        <v>-283.292561983471</v>
      </c>
      <c r="CI145" s="144" t="n">
        <v>-283.292561983471</v>
      </c>
      <c r="CJ145" s="144" t="n">
        <v>-283.292561983471</v>
      </c>
      <c r="CK145" s="144" t="n">
        <v>-283.292561983471</v>
      </c>
      <c r="CM145" s="144" t="n">
        <v>1657.0826446281</v>
      </c>
      <c r="CO145" s="319"/>
      <c r="CP145" s="320"/>
      <c r="CQ145" s="321" t="s">
        <v>12</v>
      </c>
      <c r="CR145" s="320"/>
      <c r="CS145" s="322" t="n">
        <v>-242.482644628099</v>
      </c>
      <c r="CT145" s="322" t="n">
        <v>-299.282644628099</v>
      </c>
      <c r="CU145" s="322" t="n">
        <v>-318.482644628099</v>
      </c>
      <c r="CV145" s="323"/>
      <c r="CW145" s="322" t="n">
        <v>-253.082644628099</v>
      </c>
      <c r="CX145" s="322" t="n">
        <v>-387.482644628099</v>
      </c>
      <c r="CY145" s="322" t="n">
        <v>-387.482644628099</v>
      </c>
      <c r="CZ145" s="322" t="n">
        <v>-387.482644628099</v>
      </c>
      <c r="DA145" s="322" t="n">
        <v>-387.482644628099</v>
      </c>
    </row>
    <row r="146" customFormat="false" ht="12.75" hidden="false" customHeight="false" outlineLevel="0" collapsed="false">
      <c r="B146" s="305" t="s">
        <v>200</v>
      </c>
      <c r="C146" s="305" t="s">
        <v>491</v>
      </c>
      <c r="D146" s="306" t="n">
        <v>1703</v>
      </c>
      <c r="E146" s="306" t="n">
        <v>3.25</v>
      </c>
      <c r="F146" s="324" t="s">
        <v>432</v>
      </c>
      <c r="G146" s="144" t="n">
        <v>48</v>
      </c>
      <c r="H146" s="325" t="n">
        <v>1552.89256198347</v>
      </c>
      <c r="I146" s="2"/>
      <c r="J146" s="144" t="s">
        <v>12</v>
      </c>
      <c r="K146" s="309" t="s">
        <v>12</v>
      </c>
      <c r="L146" s="310"/>
      <c r="M146" s="311" t="n">
        <v>709</v>
      </c>
      <c r="N146" s="312" t="n">
        <v>14.7</v>
      </c>
      <c r="O146" s="311" t="n">
        <v>429</v>
      </c>
      <c r="P146" s="312" t="n">
        <v>19.4</v>
      </c>
      <c r="Q146" s="310" t="n">
        <v>429</v>
      </c>
      <c r="R146" s="312" t="n">
        <v>19</v>
      </c>
      <c r="S146" s="310"/>
      <c r="T146" s="311" t="n">
        <v>0</v>
      </c>
      <c r="U146" s="312" t="n">
        <v>29.3</v>
      </c>
      <c r="V146" s="311" t="n">
        <v>0</v>
      </c>
      <c r="W146" s="312" t="n">
        <v>26.5</v>
      </c>
      <c r="X146" s="311" t="n">
        <v>0</v>
      </c>
      <c r="Y146" s="312" t="n">
        <v>26.5</v>
      </c>
      <c r="Z146" s="313" t="n">
        <v>0</v>
      </c>
      <c r="AA146" s="314" t="n">
        <v>26.5</v>
      </c>
      <c r="AB146" s="313" t="n">
        <v>0</v>
      </c>
      <c r="AC146" s="314" t="n">
        <v>26.5</v>
      </c>
      <c r="AD146" s="315"/>
      <c r="AE146" s="144" t="n">
        <v>150</v>
      </c>
      <c r="AF146" s="315"/>
      <c r="AG146" s="311" t="n">
        <v>0</v>
      </c>
      <c r="AH146" s="309" t="n">
        <v>0</v>
      </c>
      <c r="AI146" s="310"/>
      <c r="AJ146" s="311" t="n">
        <v>288</v>
      </c>
      <c r="AK146" s="309" t="n">
        <v>705.6</v>
      </c>
      <c r="AL146" s="311" t="n">
        <v>343</v>
      </c>
      <c r="AM146" s="309" t="n">
        <v>931.2</v>
      </c>
      <c r="AN146" s="310" t="n">
        <v>362</v>
      </c>
      <c r="AO146" s="309" t="n">
        <v>912</v>
      </c>
      <c r="AP146" s="310"/>
      <c r="AQ146" s="311" t="n">
        <v>297</v>
      </c>
      <c r="AR146" s="309" t="n">
        <v>1406.4</v>
      </c>
      <c r="AS146" s="311" t="n">
        <v>431</v>
      </c>
      <c r="AT146" s="309" t="n">
        <v>1272</v>
      </c>
      <c r="AU146" s="310" t="n">
        <v>431</v>
      </c>
      <c r="AV146" s="309" t="n">
        <v>1272</v>
      </c>
      <c r="AW146" s="310" t="n">
        <v>431</v>
      </c>
      <c r="AX146" s="309" t="n">
        <v>1272</v>
      </c>
      <c r="AY146" s="310" t="n">
        <v>431</v>
      </c>
      <c r="AZ146" s="309" t="n">
        <v>1272</v>
      </c>
      <c r="BB146" s="144" t="n">
        <v>0</v>
      </c>
      <c r="BC146" s="315"/>
      <c r="BD146" s="311" t="n">
        <v>0</v>
      </c>
      <c r="BE146" s="316" t="n">
        <v>0</v>
      </c>
      <c r="BF146" s="310"/>
      <c r="BG146" s="317" t="n">
        <v>0</v>
      </c>
      <c r="BH146" s="318" t="n">
        <v>0</v>
      </c>
      <c r="BI146" s="317" t="n">
        <v>0</v>
      </c>
      <c r="BJ146" s="318" t="n">
        <v>0</v>
      </c>
      <c r="BK146" s="317" t="n">
        <v>0</v>
      </c>
      <c r="BL146" s="318" t="n">
        <v>0</v>
      </c>
      <c r="BM146" s="310"/>
      <c r="BN146" s="317" t="n">
        <v>0</v>
      </c>
      <c r="BO146" s="318" t="n">
        <v>0</v>
      </c>
      <c r="BP146" s="317" t="n">
        <v>0</v>
      </c>
      <c r="BQ146" s="318" t="n">
        <v>0</v>
      </c>
      <c r="BR146" s="317" t="n">
        <v>0</v>
      </c>
      <c r="BS146" s="318" t="n">
        <v>0</v>
      </c>
      <c r="BT146" s="317" t="n">
        <v>0</v>
      </c>
      <c r="BU146" s="318" t="n">
        <v>0</v>
      </c>
      <c r="BV146" s="317" t="n">
        <v>0</v>
      </c>
      <c r="BW146" s="318" t="n">
        <v>0</v>
      </c>
      <c r="BY146" s="143"/>
      <c r="BZ146" s="315"/>
      <c r="CA146" s="144" t="s">
        <v>12</v>
      </c>
      <c r="CB146" s="315"/>
      <c r="CC146" s="144" t="n">
        <v>-138.292561983471</v>
      </c>
      <c r="CD146" s="144" t="n">
        <v>-192.692561983471</v>
      </c>
      <c r="CE146" s="144" t="n">
        <v>-211.892561983471</v>
      </c>
      <c r="CF146" s="315"/>
      <c r="CG146" s="144" t="n">
        <v>-146.492561983471</v>
      </c>
      <c r="CH146" s="144" t="n">
        <v>-280.892561983471</v>
      </c>
      <c r="CI146" s="144" t="n">
        <v>-280.892561983471</v>
      </c>
      <c r="CJ146" s="144" t="n">
        <v>-280.892561983471</v>
      </c>
      <c r="CK146" s="144" t="n">
        <v>-280.892561983471</v>
      </c>
      <c r="CM146" s="144" t="n">
        <v>1657.0826446281</v>
      </c>
      <c r="CO146" s="319"/>
      <c r="CP146" s="320"/>
      <c r="CQ146" s="321" t="s">
        <v>12</v>
      </c>
      <c r="CR146" s="320"/>
      <c r="CS146" s="322" t="n">
        <v>-242.482644628099</v>
      </c>
      <c r="CT146" s="322" t="n">
        <v>-296.882644628099</v>
      </c>
      <c r="CU146" s="322" t="n">
        <v>-316.082644628099</v>
      </c>
      <c r="CV146" s="323"/>
      <c r="CW146" s="322" t="n">
        <v>-250.682644628099</v>
      </c>
      <c r="CX146" s="322" t="n">
        <v>-385.082644628099</v>
      </c>
      <c r="CY146" s="322" t="n">
        <v>-385.082644628099</v>
      </c>
      <c r="CZ146" s="322" t="n">
        <v>-385.082644628099</v>
      </c>
      <c r="DA146" s="322" t="n">
        <v>-385.082644628099</v>
      </c>
    </row>
    <row r="147" customFormat="false" ht="12.75" hidden="false" customHeight="true" outlineLevel="0" collapsed="false">
      <c r="B147" s="305" t="s">
        <v>200</v>
      </c>
      <c r="C147" s="305" t="s">
        <v>492</v>
      </c>
      <c r="D147" s="306" t="n">
        <v>1796</v>
      </c>
      <c r="E147" s="306" t="n">
        <v>3.25</v>
      </c>
      <c r="F147" s="306" t="s">
        <v>432</v>
      </c>
      <c r="G147" s="307" t="n">
        <v>24</v>
      </c>
      <c r="H147" s="308" t="n">
        <v>1644.62809917355</v>
      </c>
      <c r="I147" s="2"/>
      <c r="J147" s="144" t="s">
        <v>12</v>
      </c>
      <c r="K147" s="309" t="s">
        <v>12</v>
      </c>
      <c r="L147" s="310"/>
      <c r="M147" s="311" t="n">
        <v>749</v>
      </c>
      <c r="N147" s="312" t="n">
        <v>31.5</v>
      </c>
      <c r="O147" s="311" t="n">
        <v>449</v>
      </c>
      <c r="P147" s="312" t="n">
        <v>41.4</v>
      </c>
      <c r="Q147" s="310" t="n">
        <v>449</v>
      </c>
      <c r="R147" s="312" t="n">
        <v>40.5</v>
      </c>
      <c r="S147" s="310"/>
      <c r="T147" s="311" t="n">
        <v>0</v>
      </c>
      <c r="U147" s="312" t="n">
        <v>62.2</v>
      </c>
      <c r="V147" s="311" t="n">
        <v>0</v>
      </c>
      <c r="W147" s="312" t="n">
        <v>56.2</v>
      </c>
      <c r="X147" s="311" t="n">
        <v>0</v>
      </c>
      <c r="Y147" s="312" t="n">
        <v>56</v>
      </c>
      <c r="Z147" s="313" t="n">
        <v>0</v>
      </c>
      <c r="AA147" s="314" t="n">
        <v>56</v>
      </c>
      <c r="AB147" s="313" t="n">
        <v>0</v>
      </c>
      <c r="AC147" s="314" t="n">
        <v>56</v>
      </c>
      <c r="AD147" s="315"/>
      <c r="AE147" s="144" t="n">
        <v>151</v>
      </c>
      <c r="AF147" s="315"/>
      <c r="AG147" s="311" t="n">
        <v>0</v>
      </c>
      <c r="AH147" s="309" t="n">
        <v>0</v>
      </c>
      <c r="AI147" s="310"/>
      <c r="AJ147" s="311" t="n">
        <v>291</v>
      </c>
      <c r="AK147" s="309" t="n">
        <v>756</v>
      </c>
      <c r="AL147" s="311" t="n">
        <v>353</v>
      </c>
      <c r="AM147" s="309" t="n">
        <v>993.6</v>
      </c>
      <c r="AN147" s="311" t="n">
        <v>375</v>
      </c>
      <c r="AO147" s="309" t="n">
        <v>972</v>
      </c>
      <c r="AP147" s="310"/>
      <c r="AQ147" s="311" t="n">
        <v>303</v>
      </c>
      <c r="AR147" s="309" t="n">
        <v>1492.8</v>
      </c>
      <c r="AS147" s="311" t="n">
        <v>447</v>
      </c>
      <c r="AT147" s="309" t="n">
        <v>1348.8</v>
      </c>
      <c r="AU147" s="311" t="n">
        <v>452</v>
      </c>
      <c r="AV147" s="309" t="n">
        <v>1344</v>
      </c>
      <c r="AW147" s="311" t="n">
        <v>452</v>
      </c>
      <c r="AX147" s="309" t="n">
        <v>1344</v>
      </c>
      <c r="AY147" s="311" t="n">
        <v>452</v>
      </c>
      <c r="AZ147" s="309" t="n">
        <v>1344</v>
      </c>
      <c r="BB147" s="144" t="n">
        <v>0</v>
      </c>
      <c r="BC147" s="315"/>
      <c r="BD147" s="311" t="n">
        <v>0</v>
      </c>
      <c r="BE147" s="316" t="n">
        <v>0</v>
      </c>
      <c r="BF147" s="310"/>
      <c r="BG147" s="317" t="n">
        <v>0</v>
      </c>
      <c r="BH147" s="318" t="n">
        <v>0.5</v>
      </c>
      <c r="BI147" s="317" t="n">
        <v>0</v>
      </c>
      <c r="BJ147" s="318" t="n">
        <v>0.600000000000001</v>
      </c>
      <c r="BK147" s="317" t="n">
        <v>0</v>
      </c>
      <c r="BL147" s="318" t="n">
        <v>0.599999999999994</v>
      </c>
      <c r="BM147" s="310"/>
      <c r="BN147" s="317" t="n">
        <v>0</v>
      </c>
      <c r="BO147" s="318" t="n">
        <v>-0.200000000000003</v>
      </c>
      <c r="BP147" s="317" t="n">
        <v>0</v>
      </c>
      <c r="BQ147" s="318" t="n">
        <v>0.399999999999999</v>
      </c>
      <c r="BR147" s="317" t="n">
        <v>0</v>
      </c>
      <c r="BS147" s="318" t="n">
        <v>0.199999999999996</v>
      </c>
      <c r="BT147" s="317" t="n">
        <v>0</v>
      </c>
      <c r="BU147" s="318" t="n">
        <v>0.199999999999996</v>
      </c>
      <c r="BV147" s="317" t="n">
        <v>0</v>
      </c>
      <c r="BW147" s="318" t="n">
        <v>0.199999999999996</v>
      </c>
      <c r="BY147" s="143"/>
      <c r="BZ147" s="315"/>
      <c r="CA147" s="144" t="s">
        <v>12</v>
      </c>
      <c r="CB147" s="315"/>
      <c r="CC147" s="144" t="n">
        <v>-139.628099173554</v>
      </c>
      <c r="CD147" s="144" t="n">
        <v>-202.028099173553</v>
      </c>
      <c r="CE147" s="144" t="n">
        <v>-223.628099173554</v>
      </c>
      <c r="CF147" s="315"/>
      <c r="CG147" s="144" t="n">
        <v>-151.828099173553</v>
      </c>
      <c r="CH147" s="144" t="n">
        <v>-295.828099173553</v>
      </c>
      <c r="CI147" s="144" t="n">
        <v>-300.628099173554</v>
      </c>
      <c r="CJ147" s="144" t="n">
        <v>-300.628099173554</v>
      </c>
      <c r="CK147" s="144" t="n">
        <v>-300.628099173554</v>
      </c>
      <c r="CM147" s="144" t="n">
        <v>1756.25619834711</v>
      </c>
      <c r="CO147" s="319"/>
      <c r="CP147" s="320"/>
      <c r="CQ147" s="321" t="s">
        <v>12</v>
      </c>
      <c r="CR147" s="320"/>
      <c r="CS147" s="322" t="n">
        <v>-251.256198347108</v>
      </c>
      <c r="CT147" s="322" t="n">
        <v>-313.656198347107</v>
      </c>
      <c r="CU147" s="322" t="n">
        <v>-335.256198347108</v>
      </c>
      <c r="CV147" s="323"/>
      <c r="CW147" s="322" t="n">
        <v>-263.456198347107</v>
      </c>
      <c r="CX147" s="322" t="n">
        <v>-407.456198347107</v>
      </c>
      <c r="CY147" s="322" t="n">
        <v>-412.256198347108</v>
      </c>
      <c r="CZ147" s="322" t="n">
        <v>-412.256198347108</v>
      </c>
      <c r="DA147" s="322" t="n">
        <v>-412.256198347108</v>
      </c>
    </row>
    <row r="148" customFormat="false" ht="12.75" hidden="false" customHeight="false" outlineLevel="0" collapsed="false">
      <c r="B148" s="305" t="s">
        <v>200</v>
      </c>
      <c r="C148" s="305" t="s">
        <v>492</v>
      </c>
      <c r="D148" s="306" t="n">
        <v>1796</v>
      </c>
      <c r="E148" s="306" t="n">
        <v>3.25</v>
      </c>
      <c r="F148" s="324" t="s">
        <v>432</v>
      </c>
      <c r="G148" s="144" t="n">
        <v>48</v>
      </c>
      <c r="H148" s="325" t="n">
        <v>1644.62809917355</v>
      </c>
      <c r="I148" s="2"/>
      <c r="J148" s="144" t="s">
        <v>12</v>
      </c>
      <c r="K148" s="309" t="s">
        <v>12</v>
      </c>
      <c r="L148" s="310"/>
      <c r="M148" s="311" t="n">
        <v>749</v>
      </c>
      <c r="N148" s="312" t="n">
        <v>15.8</v>
      </c>
      <c r="O148" s="311" t="n">
        <v>449</v>
      </c>
      <c r="P148" s="312" t="n">
        <v>20.7</v>
      </c>
      <c r="Q148" s="310" t="n">
        <v>449</v>
      </c>
      <c r="R148" s="312" t="n">
        <v>20.3</v>
      </c>
      <c r="S148" s="310"/>
      <c r="T148" s="311" t="n">
        <v>0</v>
      </c>
      <c r="U148" s="312" t="n">
        <v>31.1</v>
      </c>
      <c r="V148" s="311" t="n">
        <v>0</v>
      </c>
      <c r="W148" s="312" t="n">
        <v>28.1</v>
      </c>
      <c r="X148" s="311" t="n">
        <v>0</v>
      </c>
      <c r="Y148" s="312" t="n">
        <v>28</v>
      </c>
      <c r="Z148" s="313" t="n">
        <v>0</v>
      </c>
      <c r="AA148" s="314" t="n">
        <v>28</v>
      </c>
      <c r="AB148" s="313" t="n">
        <v>0</v>
      </c>
      <c r="AC148" s="314" t="n">
        <v>28</v>
      </c>
      <c r="AD148" s="315"/>
      <c r="AE148" s="144" t="n">
        <v>151</v>
      </c>
      <c r="AF148" s="315"/>
      <c r="AG148" s="311" t="n">
        <v>0</v>
      </c>
      <c r="AH148" s="309" t="n">
        <v>0</v>
      </c>
      <c r="AI148" s="310"/>
      <c r="AJ148" s="311" t="n">
        <v>289</v>
      </c>
      <c r="AK148" s="309" t="n">
        <v>758.4</v>
      </c>
      <c r="AL148" s="311" t="n">
        <v>353</v>
      </c>
      <c r="AM148" s="309" t="n">
        <v>993.6</v>
      </c>
      <c r="AN148" s="310" t="n">
        <v>373</v>
      </c>
      <c r="AO148" s="309" t="n">
        <v>974.4</v>
      </c>
      <c r="AP148" s="310"/>
      <c r="AQ148" s="311" t="n">
        <v>303</v>
      </c>
      <c r="AR148" s="309" t="n">
        <v>1492.8</v>
      </c>
      <c r="AS148" s="311" t="n">
        <v>447</v>
      </c>
      <c r="AT148" s="309" t="n">
        <v>1348.8</v>
      </c>
      <c r="AU148" s="310" t="n">
        <v>452</v>
      </c>
      <c r="AV148" s="309" t="n">
        <v>1344</v>
      </c>
      <c r="AW148" s="310" t="n">
        <v>452</v>
      </c>
      <c r="AX148" s="309" t="n">
        <v>1344</v>
      </c>
      <c r="AY148" s="310" t="n">
        <v>452</v>
      </c>
      <c r="AZ148" s="309" t="n">
        <v>1344</v>
      </c>
      <c r="BB148" s="144" t="n">
        <v>0</v>
      </c>
      <c r="BC148" s="315"/>
      <c r="BD148" s="311" t="n">
        <v>0</v>
      </c>
      <c r="BE148" s="316" t="n">
        <v>0</v>
      </c>
      <c r="BF148" s="310"/>
      <c r="BG148" s="317" t="n">
        <v>0</v>
      </c>
      <c r="BH148" s="318" t="n">
        <v>0</v>
      </c>
      <c r="BI148" s="317" t="n">
        <v>0</v>
      </c>
      <c r="BJ148" s="318" t="n">
        <v>0</v>
      </c>
      <c r="BK148" s="317" t="n">
        <v>0</v>
      </c>
      <c r="BL148" s="318" t="n">
        <v>0</v>
      </c>
      <c r="BM148" s="310"/>
      <c r="BN148" s="317" t="n">
        <v>0</v>
      </c>
      <c r="BO148" s="318" t="n">
        <v>0</v>
      </c>
      <c r="BP148" s="317" t="n">
        <v>0</v>
      </c>
      <c r="BQ148" s="318" t="n">
        <v>0</v>
      </c>
      <c r="BR148" s="317" t="n">
        <v>0</v>
      </c>
      <c r="BS148" s="318" t="n">
        <v>0</v>
      </c>
      <c r="BT148" s="317" t="n">
        <v>0</v>
      </c>
      <c r="BU148" s="318" t="n">
        <v>0</v>
      </c>
      <c r="BV148" s="317" t="n">
        <v>0</v>
      </c>
      <c r="BW148" s="318" t="n">
        <v>0</v>
      </c>
      <c r="BY148" s="143"/>
      <c r="BZ148" s="315"/>
      <c r="CA148" s="144" t="s">
        <v>12</v>
      </c>
      <c r="CB148" s="315"/>
      <c r="CC148" s="144" t="n">
        <v>-137.228099173554</v>
      </c>
      <c r="CD148" s="144" t="n">
        <v>-202.028099173553</v>
      </c>
      <c r="CE148" s="144" t="n">
        <v>-221.228099173554</v>
      </c>
      <c r="CF148" s="315"/>
      <c r="CG148" s="144" t="n">
        <v>-151.828099173553</v>
      </c>
      <c r="CH148" s="144" t="n">
        <v>-295.828099173553</v>
      </c>
      <c r="CI148" s="144" t="n">
        <v>-300.628099173554</v>
      </c>
      <c r="CJ148" s="144" t="n">
        <v>-300.628099173554</v>
      </c>
      <c r="CK148" s="144" t="n">
        <v>-300.628099173554</v>
      </c>
      <c r="CM148" s="144" t="n">
        <v>1756.25619834711</v>
      </c>
      <c r="CO148" s="319"/>
      <c r="CP148" s="320"/>
      <c r="CQ148" s="321" t="s">
        <v>12</v>
      </c>
      <c r="CR148" s="320"/>
      <c r="CS148" s="322" t="n">
        <v>-248.856198347107</v>
      </c>
      <c r="CT148" s="322" t="n">
        <v>-313.656198347107</v>
      </c>
      <c r="CU148" s="322" t="n">
        <v>-332.856198347107</v>
      </c>
      <c r="CV148" s="323"/>
      <c r="CW148" s="322" t="n">
        <v>-263.456198347107</v>
      </c>
      <c r="CX148" s="322" t="n">
        <v>-407.456198347107</v>
      </c>
      <c r="CY148" s="322" t="n">
        <v>-412.256198347108</v>
      </c>
      <c r="CZ148" s="322" t="n">
        <v>-412.256198347108</v>
      </c>
      <c r="DA148" s="322" t="n">
        <v>-412.256198347108</v>
      </c>
    </row>
    <row r="149" customFormat="false" ht="12.75" hidden="false" customHeight="false" outlineLevel="0" collapsed="false">
      <c r="B149" s="305" t="s">
        <v>200</v>
      </c>
      <c r="C149" s="326" t="s">
        <v>493</v>
      </c>
      <c r="D149" s="306" t="n">
        <v>343</v>
      </c>
      <c r="E149" s="306" t="n">
        <v>3.25</v>
      </c>
      <c r="F149" s="306" t="s">
        <v>432</v>
      </c>
      <c r="G149" s="307" t="n">
        <v>24</v>
      </c>
      <c r="H149" s="308" t="n">
        <v>282.644628099174</v>
      </c>
      <c r="I149" s="2"/>
      <c r="J149" s="144" t="s">
        <v>12</v>
      </c>
      <c r="K149" s="309" t="s">
        <v>12</v>
      </c>
      <c r="L149" s="310"/>
      <c r="M149" s="311" t="s">
        <v>12</v>
      </c>
      <c r="N149" s="312" t="s">
        <v>12</v>
      </c>
      <c r="O149" s="311" t="s">
        <v>12</v>
      </c>
      <c r="P149" s="312" t="s">
        <v>12</v>
      </c>
      <c r="Q149" s="310" t="s">
        <v>12</v>
      </c>
      <c r="R149" s="312" t="s">
        <v>12</v>
      </c>
      <c r="S149" s="310"/>
      <c r="T149" s="311" t="n">
        <v>0</v>
      </c>
      <c r="U149" s="312" t="n">
        <v>11.6</v>
      </c>
      <c r="V149" s="311" t="n">
        <v>0</v>
      </c>
      <c r="W149" s="312" t="n">
        <v>10.6</v>
      </c>
      <c r="X149" s="311" t="n">
        <v>0</v>
      </c>
      <c r="Y149" s="312" t="n">
        <v>2.5</v>
      </c>
      <c r="Z149" s="313" t="n">
        <v>0</v>
      </c>
      <c r="AA149" s="314" t="n">
        <v>2.5</v>
      </c>
      <c r="AB149" s="313" t="n">
        <v>0</v>
      </c>
      <c r="AC149" s="314" t="n">
        <v>2.5</v>
      </c>
      <c r="AD149" s="315"/>
      <c r="AE149" s="144" t="n">
        <v>60</v>
      </c>
      <c r="AF149" s="315"/>
      <c r="AG149" s="311" t="n">
        <v>0</v>
      </c>
      <c r="AH149" s="309" t="n">
        <v>0</v>
      </c>
      <c r="AI149" s="310"/>
      <c r="AJ149" s="311" t="s">
        <v>12</v>
      </c>
      <c r="AK149" s="309" t="s">
        <v>12</v>
      </c>
      <c r="AL149" s="311" t="s">
        <v>12</v>
      </c>
      <c r="AM149" s="309" t="s">
        <v>12</v>
      </c>
      <c r="AN149" s="311" t="s">
        <v>12</v>
      </c>
      <c r="AO149" s="309" t="s">
        <v>12</v>
      </c>
      <c r="AP149" s="310"/>
      <c r="AQ149" s="311" t="n">
        <v>65</v>
      </c>
      <c r="AR149" s="309" t="n">
        <v>278.4</v>
      </c>
      <c r="AS149" s="311" t="n">
        <v>89</v>
      </c>
      <c r="AT149" s="309" t="n">
        <v>254.4</v>
      </c>
      <c r="AU149" s="311" t="n">
        <v>283</v>
      </c>
      <c r="AV149" s="309" t="n">
        <v>60</v>
      </c>
      <c r="AW149" s="311" t="n">
        <v>283</v>
      </c>
      <c r="AX149" s="309" t="n">
        <v>60</v>
      </c>
      <c r="AY149" s="311" t="n">
        <v>283</v>
      </c>
      <c r="AZ149" s="309" t="n">
        <v>60</v>
      </c>
      <c r="BB149" s="144" t="n">
        <v>0</v>
      </c>
      <c r="BC149" s="315"/>
      <c r="BD149" s="311" t="n">
        <v>0</v>
      </c>
      <c r="BE149" s="316" t="n">
        <v>0</v>
      </c>
      <c r="BF149" s="310"/>
      <c r="BG149" s="317" t="n">
        <v>0</v>
      </c>
      <c r="BH149" s="318" t="n">
        <v>0</v>
      </c>
      <c r="BI149" s="317" t="n">
        <v>0</v>
      </c>
      <c r="BJ149" s="318" t="n">
        <v>0</v>
      </c>
      <c r="BK149" s="317" t="n">
        <v>0</v>
      </c>
      <c r="BL149" s="318" t="n">
        <v>0</v>
      </c>
      <c r="BM149" s="310"/>
      <c r="BN149" s="317" t="n">
        <v>0</v>
      </c>
      <c r="BO149" s="318" t="n">
        <v>0</v>
      </c>
      <c r="BP149" s="317" t="n">
        <v>0</v>
      </c>
      <c r="BQ149" s="318" t="n">
        <v>0</v>
      </c>
      <c r="BR149" s="317" t="n">
        <v>0</v>
      </c>
      <c r="BS149" s="318" t="n">
        <v>0</v>
      </c>
      <c r="BT149" s="317" t="n">
        <v>0</v>
      </c>
      <c r="BU149" s="318" t="n">
        <v>0</v>
      </c>
      <c r="BV149" s="317" t="n">
        <v>0</v>
      </c>
      <c r="BW149" s="318" t="n">
        <v>0</v>
      </c>
      <c r="BY149" s="143"/>
      <c r="BZ149" s="315"/>
      <c r="CA149" s="144"/>
      <c r="CB149" s="315"/>
      <c r="CC149" s="144" t="s">
        <v>12</v>
      </c>
      <c r="CD149" s="144" t="s">
        <v>12</v>
      </c>
      <c r="CE149" s="144" t="s">
        <v>12</v>
      </c>
      <c r="CF149" s="315"/>
      <c r="CG149" s="144" t="n">
        <v>-4.24462809917355</v>
      </c>
      <c r="CH149" s="144" t="n">
        <v>-28.2446280991736</v>
      </c>
      <c r="CI149" s="144" t="n">
        <v>-222.644628099174</v>
      </c>
      <c r="CJ149" s="144" t="n">
        <v>-222.644628099174</v>
      </c>
      <c r="CK149" s="144" t="n">
        <v>-222.644628099174</v>
      </c>
      <c r="CM149" s="144" t="n">
        <v>238.842975206612</v>
      </c>
      <c r="CO149" s="319"/>
      <c r="CP149" s="320"/>
      <c r="CQ149" s="321"/>
      <c r="CR149" s="320"/>
      <c r="CS149" s="322" t="s">
        <v>12</v>
      </c>
      <c r="CT149" s="322" t="s">
        <v>12</v>
      </c>
      <c r="CU149" s="322" t="s">
        <v>12</v>
      </c>
      <c r="CV149" s="323"/>
      <c r="CW149" s="322" t="n">
        <v>39.5570247933884</v>
      </c>
      <c r="CX149" s="322" t="n">
        <v>15.5570247933885</v>
      </c>
      <c r="CY149" s="322" t="n">
        <v>-178.842975206612</v>
      </c>
      <c r="CZ149" s="322" t="n">
        <v>-178.842975206612</v>
      </c>
      <c r="DA149" s="322" t="n">
        <v>-178.842975206612</v>
      </c>
    </row>
    <row r="150" customFormat="false" ht="12.75" hidden="false" customHeight="false" outlineLevel="0" collapsed="false">
      <c r="B150" s="305" t="s">
        <v>428</v>
      </c>
      <c r="C150" s="305" t="s">
        <v>494</v>
      </c>
      <c r="D150" s="306" t="n">
        <v>162</v>
      </c>
      <c r="E150" s="306" t="n">
        <v>3.25</v>
      </c>
      <c r="F150" s="306" t="s">
        <v>432</v>
      </c>
      <c r="G150" s="307" t="n">
        <v>24</v>
      </c>
      <c r="H150" s="308" t="n">
        <v>114.04958677686</v>
      </c>
      <c r="I150" s="2"/>
      <c r="J150" s="144" t="s">
        <v>12</v>
      </c>
      <c r="K150" s="309" t="s">
        <v>12</v>
      </c>
      <c r="L150" s="310"/>
      <c r="M150" s="311" t="n">
        <v>0</v>
      </c>
      <c r="N150" s="312" t="n">
        <v>1</v>
      </c>
      <c r="O150" s="311" t="n">
        <v>0</v>
      </c>
      <c r="P150" s="312" t="n">
        <v>2.1</v>
      </c>
      <c r="Q150" s="310" t="n">
        <v>0</v>
      </c>
      <c r="R150" s="312" t="n">
        <v>1.3</v>
      </c>
      <c r="S150" s="310"/>
      <c r="T150" s="311" t="n">
        <v>0</v>
      </c>
      <c r="U150" s="312" t="n">
        <v>4.4</v>
      </c>
      <c r="V150" s="311" t="n">
        <v>0</v>
      </c>
      <c r="W150" s="312" t="n">
        <v>1.7</v>
      </c>
      <c r="X150" s="311" t="n">
        <v>0</v>
      </c>
      <c r="Y150" s="312" t="n">
        <v>0.6</v>
      </c>
      <c r="Z150" s="313" t="n">
        <v>0</v>
      </c>
      <c r="AA150" s="314" t="n">
        <v>0.6</v>
      </c>
      <c r="AB150" s="313" t="n">
        <v>0</v>
      </c>
      <c r="AC150" s="314" t="n">
        <v>0.6</v>
      </c>
      <c r="AD150" s="315"/>
      <c r="AE150" s="144" t="n">
        <v>48</v>
      </c>
      <c r="AF150" s="315"/>
      <c r="AG150" s="311" t="n">
        <v>0</v>
      </c>
      <c r="AH150" s="309" t="n">
        <v>0</v>
      </c>
      <c r="AI150" s="310"/>
      <c r="AJ150" s="311" t="n">
        <v>138</v>
      </c>
      <c r="AK150" s="309" t="n">
        <v>24</v>
      </c>
      <c r="AL150" s="311" t="n">
        <v>112</v>
      </c>
      <c r="AM150" s="309" t="n">
        <v>50.4</v>
      </c>
      <c r="AN150" s="311" t="n">
        <v>131</v>
      </c>
      <c r="AO150" s="309" t="n">
        <v>31.2</v>
      </c>
      <c r="AP150" s="310"/>
      <c r="AQ150" s="311" t="n">
        <v>56</v>
      </c>
      <c r="AR150" s="309" t="n">
        <v>105.6</v>
      </c>
      <c r="AS150" s="311" t="n">
        <v>121</v>
      </c>
      <c r="AT150" s="309" t="n">
        <v>40.8</v>
      </c>
      <c r="AU150" s="311" t="n">
        <v>148</v>
      </c>
      <c r="AV150" s="309" t="n">
        <v>14.4</v>
      </c>
      <c r="AW150" s="311" t="n">
        <v>148</v>
      </c>
      <c r="AX150" s="309" t="n">
        <v>14.4</v>
      </c>
      <c r="AY150" s="311" t="n">
        <v>148</v>
      </c>
      <c r="AZ150" s="309" t="n">
        <v>14.4</v>
      </c>
      <c r="BB150" s="144" t="n">
        <v>0</v>
      </c>
      <c r="BC150" s="315"/>
      <c r="BD150" s="311" t="n">
        <v>0</v>
      </c>
      <c r="BE150" s="316" t="n">
        <v>0</v>
      </c>
      <c r="BF150" s="310"/>
      <c r="BG150" s="317" t="n">
        <v>0</v>
      </c>
      <c r="BH150" s="318" t="n">
        <v>0</v>
      </c>
      <c r="BI150" s="317" t="n">
        <v>0</v>
      </c>
      <c r="BJ150" s="318" t="n">
        <v>1.6</v>
      </c>
      <c r="BK150" s="317" t="n">
        <v>0</v>
      </c>
      <c r="BL150" s="318" t="n">
        <v>1</v>
      </c>
      <c r="BM150" s="310"/>
      <c r="BN150" s="317" t="n">
        <v>0</v>
      </c>
      <c r="BO150" s="318" t="n">
        <v>3.5</v>
      </c>
      <c r="BP150" s="317" t="n">
        <v>0</v>
      </c>
      <c r="BQ150" s="318" t="n">
        <v>0.8</v>
      </c>
      <c r="BR150" s="317" t="n">
        <v>0</v>
      </c>
      <c r="BS150" s="318" t="n">
        <v>0.6</v>
      </c>
      <c r="BT150" s="317" t="n">
        <v>0</v>
      </c>
      <c r="BU150" s="318" t="n">
        <v>0.6</v>
      </c>
      <c r="BV150" s="317" t="n">
        <v>0</v>
      </c>
      <c r="BW150" s="318" t="n">
        <v>0.6</v>
      </c>
      <c r="BY150" s="143"/>
      <c r="BZ150" s="315"/>
      <c r="CA150" s="144" t="s">
        <v>12</v>
      </c>
      <c r="CB150" s="315"/>
      <c r="CC150" s="144" t="n">
        <v>-90.0495867768595</v>
      </c>
      <c r="CD150" s="144" t="n">
        <v>-63.6495867768595</v>
      </c>
      <c r="CE150" s="144" t="n">
        <v>-82.8495867768595</v>
      </c>
      <c r="CF150" s="315"/>
      <c r="CG150" s="144" t="n">
        <v>-8.44958677685951</v>
      </c>
      <c r="CH150" s="144" t="n">
        <v>-73.2495867768595</v>
      </c>
      <c r="CI150" s="144" t="n">
        <v>-99.6495867768595</v>
      </c>
      <c r="CJ150" s="144" t="n">
        <v>-99.6495867768595</v>
      </c>
      <c r="CK150" s="144" t="n">
        <v>-99.6495867768595</v>
      </c>
      <c r="CM150" s="144" t="n">
        <v>114.876033057851</v>
      </c>
      <c r="CO150" s="319"/>
      <c r="CP150" s="320"/>
      <c r="CQ150" s="321" t="s">
        <v>12</v>
      </c>
      <c r="CR150" s="320"/>
      <c r="CS150" s="322" t="n">
        <v>-90.8760330578513</v>
      </c>
      <c r="CT150" s="322" t="n">
        <v>-64.4760330578512</v>
      </c>
      <c r="CU150" s="322" t="n">
        <v>-83.6760330578512</v>
      </c>
      <c r="CV150" s="323"/>
      <c r="CW150" s="322" t="n">
        <v>-9.27603305785124</v>
      </c>
      <c r="CX150" s="322" t="n">
        <v>-74.0760330578513</v>
      </c>
      <c r="CY150" s="322" t="n">
        <v>-100.476033057851</v>
      </c>
      <c r="CZ150" s="322" t="n">
        <v>-100.476033057851</v>
      </c>
      <c r="DA150" s="322" t="n">
        <v>-100.476033057851</v>
      </c>
    </row>
    <row r="151" customFormat="false" ht="12.75" hidden="false" customHeight="false" outlineLevel="0" collapsed="false">
      <c r="B151" s="305" t="s">
        <v>428</v>
      </c>
      <c r="C151" s="305" t="s">
        <v>495</v>
      </c>
      <c r="D151" s="306" t="n">
        <v>161</v>
      </c>
      <c r="E151" s="306" t="n">
        <v>3.25</v>
      </c>
      <c r="F151" s="324" t="s">
        <v>432</v>
      </c>
      <c r="G151" s="144" t="n">
        <v>24</v>
      </c>
      <c r="H151" s="325" t="n">
        <v>134.710743801653</v>
      </c>
      <c r="I151" s="2"/>
      <c r="J151" s="144" t="s">
        <v>12</v>
      </c>
      <c r="K151" s="309" t="s">
        <v>12</v>
      </c>
      <c r="L151" s="310"/>
      <c r="M151" s="311" t="n">
        <v>19</v>
      </c>
      <c r="N151" s="312" t="n">
        <v>4.2</v>
      </c>
      <c r="O151" s="311" t="n">
        <v>0</v>
      </c>
      <c r="P151" s="312" t="n">
        <v>2.5</v>
      </c>
      <c r="Q151" s="310" t="n">
        <v>0</v>
      </c>
      <c r="R151" s="312" t="n">
        <v>1.7</v>
      </c>
      <c r="S151" s="310"/>
      <c r="T151" s="311" t="n">
        <v>0</v>
      </c>
      <c r="U151" s="312" t="n">
        <v>3.4</v>
      </c>
      <c r="V151" s="311" t="n">
        <v>0</v>
      </c>
      <c r="W151" s="312" t="n">
        <v>1.7</v>
      </c>
      <c r="X151" s="311" t="n">
        <v>0</v>
      </c>
      <c r="Y151" s="312" t="n">
        <v>0.7</v>
      </c>
      <c r="Z151" s="313" t="n">
        <v>0</v>
      </c>
      <c r="AA151" s="314" t="n">
        <v>0.7</v>
      </c>
      <c r="AB151" s="313" t="n">
        <v>0</v>
      </c>
      <c r="AC151" s="314" t="n">
        <v>0.7</v>
      </c>
      <c r="AD151" s="315"/>
      <c r="AE151" s="144" t="n">
        <v>26</v>
      </c>
      <c r="AF151" s="315"/>
      <c r="AG151" s="311" t="n">
        <v>0</v>
      </c>
      <c r="AH151" s="309" t="n">
        <v>0</v>
      </c>
      <c r="AI151" s="310"/>
      <c r="AJ151" s="311" t="n">
        <v>41</v>
      </c>
      <c r="AK151" s="309" t="n">
        <v>100.8</v>
      </c>
      <c r="AL151" s="311" t="n">
        <v>101</v>
      </c>
      <c r="AM151" s="309" t="n">
        <v>60</v>
      </c>
      <c r="AN151" s="310" t="n">
        <v>120</v>
      </c>
      <c r="AO151" s="309" t="n">
        <v>40.8</v>
      </c>
      <c r="AP151" s="310"/>
      <c r="AQ151" s="311" t="n">
        <v>79</v>
      </c>
      <c r="AR151" s="309" t="n">
        <v>81.6</v>
      </c>
      <c r="AS151" s="311" t="n">
        <v>120</v>
      </c>
      <c r="AT151" s="309" t="n">
        <v>40.8</v>
      </c>
      <c r="AU151" s="310" t="n">
        <v>144</v>
      </c>
      <c r="AV151" s="309" t="n">
        <v>16.8</v>
      </c>
      <c r="AW151" s="310" t="n">
        <v>144</v>
      </c>
      <c r="AX151" s="309" t="n">
        <v>16.8</v>
      </c>
      <c r="AY151" s="310" t="n">
        <v>144</v>
      </c>
      <c r="AZ151" s="309" t="n">
        <v>16.8</v>
      </c>
      <c r="BB151" s="144" t="n">
        <v>0</v>
      </c>
      <c r="BC151" s="315"/>
      <c r="BD151" s="311" t="n">
        <v>0</v>
      </c>
      <c r="BE151" s="316" t="n">
        <v>0</v>
      </c>
      <c r="BF151" s="310"/>
      <c r="BG151" s="317" t="n">
        <v>0</v>
      </c>
      <c r="BH151" s="318" t="n">
        <v>0.2</v>
      </c>
      <c r="BI151" s="317" t="n">
        <v>0</v>
      </c>
      <c r="BJ151" s="318" t="n">
        <v>0.8</v>
      </c>
      <c r="BK151" s="317" t="n">
        <v>0</v>
      </c>
      <c r="BL151" s="318" t="n">
        <v>0.8</v>
      </c>
      <c r="BM151" s="310"/>
      <c r="BN151" s="317" t="n">
        <v>0</v>
      </c>
      <c r="BO151" s="318" t="n">
        <v>1.3</v>
      </c>
      <c r="BP151" s="317" t="n">
        <v>0</v>
      </c>
      <c r="BQ151" s="318" t="n">
        <v>0.6</v>
      </c>
      <c r="BR151" s="317" t="n">
        <v>0</v>
      </c>
      <c r="BS151" s="318" t="n">
        <v>0</v>
      </c>
      <c r="BT151" s="317" t="n">
        <v>0</v>
      </c>
      <c r="BU151" s="318" t="n">
        <v>0</v>
      </c>
      <c r="BV151" s="317" t="n">
        <v>0</v>
      </c>
      <c r="BW151" s="318" t="n">
        <v>0</v>
      </c>
      <c r="BY151" s="143"/>
      <c r="BZ151" s="315"/>
      <c r="CA151" s="144" t="s">
        <v>12</v>
      </c>
      <c r="CB151" s="315"/>
      <c r="CC151" s="144" t="n">
        <v>-14.9107438016529</v>
      </c>
      <c r="CD151" s="144" t="n">
        <v>-74.7107438016529</v>
      </c>
      <c r="CE151" s="144" t="n">
        <v>-93.9107438016529</v>
      </c>
      <c r="CF151" s="315"/>
      <c r="CG151" s="144" t="n">
        <v>-53.1107438016529</v>
      </c>
      <c r="CH151" s="144" t="n">
        <v>-93.9107438016529</v>
      </c>
      <c r="CI151" s="144" t="n">
        <v>-117.910743801653</v>
      </c>
      <c r="CJ151" s="144" t="n">
        <v>-117.910743801653</v>
      </c>
      <c r="CK151" s="144" t="n">
        <v>-117.910743801653</v>
      </c>
      <c r="CM151" s="144" t="n">
        <v>131.404958677686</v>
      </c>
      <c r="CO151" s="319"/>
      <c r="CP151" s="320"/>
      <c r="CQ151" s="321" t="s">
        <v>12</v>
      </c>
      <c r="CR151" s="320"/>
      <c r="CS151" s="322" t="n">
        <v>-11.6049586776859</v>
      </c>
      <c r="CT151" s="322" t="n">
        <v>-71.404958677686</v>
      </c>
      <c r="CU151" s="322" t="n">
        <v>-90.6049586776859</v>
      </c>
      <c r="CV151" s="323"/>
      <c r="CW151" s="322" t="n">
        <v>-49.8049586776859</v>
      </c>
      <c r="CX151" s="322" t="n">
        <v>-90.6049586776859</v>
      </c>
      <c r="CY151" s="322" t="n">
        <v>-114.604958677686</v>
      </c>
      <c r="CZ151" s="322" t="n">
        <v>-114.604958677686</v>
      </c>
      <c r="DA151" s="322" t="n">
        <v>-114.604958677686</v>
      </c>
    </row>
    <row r="152" customFormat="false" ht="12.75" hidden="false" customHeight="false" outlineLevel="0" collapsed="false">
      <c r="B152" s="305" t="s">
        <v>428</v>
      </c>
      <c r="C152" s="305" t="s">
        <v>495</v>
      </c>
      <c r="D152" s="306" t="n">
        <v>161</v>
      </c>
      <c r="E152" s="306" t="n">
        <v>3.25</v>
      </c>
      <c r="F152" s="306" t="s">
        <v>432</v>
      </c>
      <c r="G152" s="307" t="n">
        <v>48</v>
      </c>
      <c r="H152" s="308" t="n">
        <v>134.710743801653</v>
      </c>
      <c r="I152" s="2"/>
      <c r="J152" s="144" t="s">
        <v>12</v>
      </c>
      <c r="K152" s="309" t="s">
        <v>12</v>
      </c>
      <c r="L152" s="310"/>
      <c r="M152" s="311" t="n">
        <v>19</v>
      </c>
      <c r="N152" s="312" t="n">
        <v>2.1</v>
      </c>
      <c r="O152" s="311" t="n">
        <v>0</v>
      </c>
      <c r="P152" s="312" t="n">
        <v>1.3</v>
      </c>
      <c r="Q152" s="310" t="n">
        <v>0</v>
      </c>
      <c r="R152" s="312" t="n">
        <v>0.9</v>
      </c>
      <c r="S152" s="310"/>
      <c r="T152" s="311" t="n">
        <v>0</v>
      </c>
      <c r="U152" s="312" t="n">
        <v>1.7</v>
      </c>
      <c r="V152" s="311" t="n">
        <v>0</v>
      </c>
      <c r="W152" s="312" t="n">
        <v>0.9</v>
      </c>
      <c r="X152" s="311" t="n">
        <v>0</v>
      </c>
      <c r="Y152" s="312" t="n">
        <v>0.4</v>
      </c>
      <c r="Z152" s="313" t="n">
        <v>0</v>
      </c>
      <c r="AA152" s="314" t="n">
        <v>0.4</v>
      </c>
      <c r="AB152" s="313" t="n">
        <v>0</v>
      </c>
      <c r="AC152" s="314" t="n">
        <v>0.4</v>
      </c>
      <c r="AD152" s="315"/>
      <c r="AE152" s="144" t="n">
        <v>26</v>
      </c>
      <c r="AF152" s="315"/>
      <c r="AG152" s="311" t="n">
        <v>0</v>
      </c>
      <c r="AH152" s="309" t="n">
        <v>0</v>
      </c>
      <c r="AI152" s="310"/>
      <c r="AJ152" s="311" t="n">
        <v>41</v>
      </c>
      <c r="AK152" s="309" t="n">
        <v>100.8</v>
      </c>
      <c r="AL152" s="311" t="n">
        <v>99</v>
      </c>
      <c r="AM152" s="309" t="n">
        <v>62.4</v>
      </c>
      <c r="AN152" s="311" t="n">
        <v>118</v>
      </c>
      <c r="AO152" s="309" t="n">
        <v>43.2</v>
      </c>
      <c r="AP152" s="310"/>
      <c r="AQ152" s="311" t="n">
        <v>79</v>
      </c>
      <c r="AR152" s="309" t="n">
        <v>81.6</v>
      </c>
      <c r="AS152" s="311" t="n">
        <v>118</v>
      </c>
      <c r="AT152" s="309" t="n">
        <v>43.2</v>
      </c>
      <c r="AU152" s="311" t="n">
        <v>142</v>
      </c>
      <c r="AV152" s="309" t="n">
        <v>19.2</v>
      </c>
      <c r="AW152" s="311" t="n">
        <v>142</v>
      </c>
      <c r="AX152" s="309" t="n">
        <v>19.2</v>
      </c>
      <c r="AY152" s="311" t="n">
        <v>142</v>
      </c>
      <c r="AZ152" s="309" t="n">
        <v>19.2</v>
      </c>
      <c r="BB152" s="144" t="n">
        <v>0</v>
      </c>
      <c r="BC152" s="315"/>
      <c r="BD152" s="311" t="n">
        <v>0</v>
      </c>
      <c r="BE152" s="316" t="n">
        <v>0</v>
      </c>
      <c r="BF152" s="310"/>
      <c r="BG152" s="317" t="n">
        <v>0</v>
      </c>
      <c r="BH152" s="318" t="n">
        <v>0</v>
      </c>
      <c r="BI152" s="317" t="n">
        <v>0</v>
      </c>
      <c r="BJ152" s="318" t="n">
        <v>0</v>
      </c>
      <c r="BK152" s="317" t="n">
        <v>0</v>
      </c>
      <c r="BL152" s="318" t="n">
        <v>0</v>
      </c>
      <c r="BM152" s="310"/>
      <c r="BN152" s="317" t="n">
        <v>0</v>
      </c>
      <c r="BO152" s="318" t="n">
        <v>0</v>
      </c>
      <c r="BP152" s="317" t="n">
        <v>0</v>
      </c>
      <c r="BQ152" s="318" t="n">
        <v>0</v>
      </c>
      <c r="BR152" s="317" t="n">
        <v>0</v>
      </c>
      <c r="BS152" s="318" t="n">
        <v>0</v>
      </c>
      <c r="BT152" s="317" t="n">
        <v>0</v>
      </c>
      <c r="BU152" s="318" t="n">
        <v>0</v>
      </c>
      <c r="BV152" s="317" t="n">
        <v>0</v>
      </c>
      <c r="BW152" s="318" t="n">
        <v>0</v>
      </c>
      <c r="BY152" s="143"/>
      <c r="BZ152" s="315"/>
      <c r="CA152" s="144" t="s">
        <v>12</v>
      </c>
      <c r="CB152" s="315"/>
      <c r="CC152" s="144" t="n">
        <v>-14.9107438016529</v>
      </c>
      <c r="CD152" s="144" t="n">
        <v>-72.3107438016529</v>
      </c>
      <c r="CE152" s="144" t="n">
        <v>-91.5107438016529</v>
      </c>
      <c r="CF152" s="315"/>
      <c r="CG152" s="144" t="n">
        <v>-53.1107438016529</v>
      </c>
      <c r="CH152" s="144" t="n">
        <v>-91.5107438016529</v>
      </c>
      <c r="CI152" s="144" t="n">
        <v>-115.510743801653</v>
      </c>
      <c r="CJ152" s="144" t="n">
        <v>-115.510743801653</v>
      </c>
      <c r="CK152" s="144" t="n">
        <v>-115.510743801653</v>
      </c>
      <c r="CM152" s="144" t="n">
        <v>131.404958677686</v>
      </c>
      <c r="CO152" s="319"/>
      <c r="CP152" s="320"/>
      <c r="CQ152" s="321" t="s">
        <v>12</v>
      </c>
      <c r="CR152" s="320"/>
      <c r="CS152" s="322" t="n">
        <v>-11.6049586776859</v>
      </c>
      <c r="CT152" s="322" t="n">
        <v>-69.004958677686</v>
      </c>
      <c r="CU152" s="322" t="n">
        <v>-88.204958677686</v>
      </c>
      <c r="CV152" s="323"/>
      <c r="CW152" s="322" t="n">
        <v>-49.8049586776859</v>
      </c>
      <c r="CX152" s="322" t="n">
        <v>-88.204958677686</v>
      </c>
      <c r="CY152" s="322" t="n">
        <v>-112.204958677686</v>
      </c>
      <c r="CZ152" s="322" t="n">
        <v>-112.204958677686</v>
      </c>
      <c r="DA152" s="322" t="n">
        <v>-112.204958677686</v>
      </c>
    </row>
    <row r="153" customFormat="false" ht="12.75" hidden="false" customHeight="false" outlineLevel="0" collapsed="false">
      <c r="B153" s="305" t="s">
        <v>428</v>
      </c>
      <c r="C153" s="305" t="s">
        <v>496</v>
      </c>
      <c r="D153" s="306" t="n">
        <v>294</v>
      </c>
      <c r="E153" s="306" t="n">
        <v>3.25</v>
      </c>
      <c r="F153" s="324" t="s">
        <v>432</v>
      </c>
      <c r="G153" s="144" t="n">
        <v>24</v>
      </c>
      <c r="H153" s="325" t="n">
        <v>248.760330578512</v>
      </c>
      <c r="I153" s="2"/>
      <c r="J153" s="144" t="s">
        <v>12</v>
      </c>
      <c r="K153" s="309" t="s">
        <v>12</v>
      </c>
      <c r="L153" s="310"/>
      <c r="M153" s="311" t="n">
        <v>39</v>
      </c>
      <c r="N153" s="312" t="n">
        <v>7.3</v>
      </c>
      <c r="O153" s="311" t="n">
        <v>0</v>
      </c>
      <c r="P153" s="312" t="n">
        <v>6</v>
      </c>
      <c r="Q153" s="310" t="n">
        <v>0</v>
      </c>
      <c r="R153" s="312" t="n">
        <v>5.2</v>
      </c>
      <c r="S153" s="310"/>
      <c r="T153" s="311" t="n">
        <v>0</v>
      </c>
      <c r="U153" s="312" t="n">
        <v>8.5</v>
      </c>
      <c r="V153" s="311" t="n">
        <v>0</v>
      </c>
      <c r="W153" s="312" t="n">
        <v>5</v>
      </c>
      <c r="X153" s="311" t="n">
        <v>0</v>
      </c>
      <c r="Y153" s="312" t="n">
        <v>5</v>
      </c>
      <c r="Z153" s="313" t="n">
        <v>0</v>
      </c>
      <c r="AA153" s="314" t="n">
        <v>5</v>
      </c>
      <c r="AB153" s="313" t="n">
        <v>0</v>
      </c>
      <c r="AC153" s="314" t="n">
        <v>5</v>
      </c>
      <c r="AD153" s="315"/>
      <c r="AE153" s="144" t="n">
        <v>45</v>
      </c>
      <c r="AF153" s="315"/>
      <c r="AG153" s="311" t="n">
        <v>0</v>
      </c>
      <c r="AH153" s="309" t="n">
        <v>0</v>
      </c>
      <c r="AI153" s="310"/>
      <c r="AJ153" s="311" t="n">
        <v>80</v>
      </c>
      <c r="AK153" s="309" t="n">
        <v>175.2</v>
      </c>
      <c r="AL153" s="311" t="n">
        <v>150</v>
      </c>
      <c r="AM153" s="309" t="n">
        <v>144</v>
      </c>
      <c r="AN153" s="310" t="n">
        <v>169</v>
      </c>
      <c r="AO153" s="309" t="n">
        <v>124.8</v>
      </c>
      <c r="AP153" s="310"/>
      <c r="AQ153" s="311" t="n">
        <v>90</v>
      </c>
      <c r="AR153" s="309" t="n">
        <v>204</v>
      </c>
      <c r="AS153" s="311" t="n">
        <v>174</v>
      </c>
      <c r="AT153" s="309" t="n">
        <v>120</v>
      </c>
      <c r="AU153" s="310" t="n">
        <v>174</v>
      </c>
      <c r="AV153" s="309" t="n">
        <v>120</v>
      </c>
      <c r="AW153" s="310" t="n">
        <v>174</v>
      </c>
      <c r="AX153" s="309" t="n">
        <v>120</v>
      </c>
      <c r="AY153" s="310" t="n">
        <v>174</v>
      </c>
      <c r="AZ153" s="309" t="n">
        <v>120</v>
      </c>
      <c r="BB153" s="144" t="n">
        <v>0</v>
      </c>
      <c r="BC153" s="315"/>
      <c r="BD153" s="311" t="n">
        <v>0</v>
      </c>
      <c r="BE153" s="316" t="n">
        <v>0</v>
      </c>
      <c r="BF153" s="310"/>
      <c r="BG153" s="317" t="n">
        <v>0</v>
      </c>
      <c r="BH153" s="318" t="n">
        <v>0.4</v>
      </c>
      <c r="BI153" s="317" t="n">
        <v>0</v>
      </c>
      <c r="BJ153" s="318" t="n">
        <v>0.8</v>
      </c>
      <c r="BK153" s="317" t="n">
        <v>0</v>
      </c>
      <c r="BL153" s="318" t="n">
        <v>0.6</v>
      </c>
      <c r="BM153" s="310"/>
      <c r="BN153" s="317" t="n">
        <v>0</v>
      </c>
      <c r="BO153" s="318" t="n">
        <v>-0.200000000000001</v>
      </c>
      <c r="BP153" s="317" t="n">
        <v>0</v>
      </c>
      <c r="BQ153" s="318" t="n">
        <v>0.8</v>
      </c>
      <c r="BR153" s="317" t="n">
        <v>0</v>
      </c>
      <c r="BS153" s="318" t="n">
        <v>0.8</v>
      </c>
      <c r="BT153" s="317" t="n">
        <v>0</v>
      </c>
      <c r="BU153" s="318" t="n">
        <v>0.9</v>
      </c>
      <c r="BV153" s="317" t="n">
        <v>0</v>
      </c>
      <c r="BW153" s="318" t="n">
        <v>0.9</v>
      </c>
      <c r="BY153" s="143"/>
      <c r="BZ153" s="315"/>
      <c r="CA153" s="144" t="s">
        <v>12</v>
      </c>
      <c r="CB153" s="315"/>
      <c r="CC153" s="144" t="n">
        <v>-34.5603305785124</v>
      </c>
      <c r="CD153" s="144" t="n">
        <v>-104.760330578512</v>
      </c>
      <c r="CE153" s="144" t="n">
        <v>-123.960330578512</v>
      </c>
      <c r="CF153" s="315"/>
      <c r="CG153" s="144" t="n">
        <v>-44.7603305785124</v>
      </c>
      <c r="CH153" s="144" t="n">
        <v>-128.760330578512</v>
      </c>
      <c r="CI153" s="144" t="n">
        <v>-128.760330578512</v>
      </c>
      <c r="CJ153" s="144" t="n">
        <v>-128.760330578512</v>
      </c>
      <c r="CK153" s="144" t="n">
        <v>-128.760330578512</v>
      </c>
      <c r="CM153" s="144" t="n">
        <v>222.314049586777</v>
      </c>
      <c r="CO153" s="319"/>
      <c r="CP153" s="320"/>
      <c r="CQ153" s="321" t="s">
        <v>12</v>
      </c>
      <c r="CR153" s="320"/>
      <c r="CS153" s="322" t="n">
        <v>-8.11404958677684</v>
      </c>
      <c r="CT153" s="322" t="n">
        <v>-78.3140495867769</v>
      </c>
      <c r="CU153" s="322" t="n">
        <v>-97.5140495867769</v>
      </c>
      <c r="CV153" s="323"/>
      <c r="CW153" s="322" t="n">
        <v>-18.3140495867769</v>
      </c>
      <c r="CX153" s="322" t="n">
        <v>-102.314049586777</v>
      </c>
      <c r="CY153" s="322" t="n">
        <v>-102.314049586777</v>
      </c>
      <c r="CZ153" s="322" t="n">
        <v>-102.314049586777</v>
      </c>
      <c r="DA153" s="322" t="n">
        <v>-102.314049586777</v>
      </c>
    </row>
    <row r="154" customFormat="false" ht="12.75" hidden="false" customHeight="false" outlineLevel="0" collapsed="false">
      <c r="B154" s="305" t="s">
        <v>428</v>
      </c>
      <c r="C154" s="305" t="s">
        <v>496</v>
      </c>
      <c r="D154" s="306" t="n">
        <v>294</v>
      </c>
      <c r="E154" s="306" t="n">
        <v>3.25</v>
      </c>
      <c r="F154" s="306" t="s">
        <v>432</v>
      </c>
      <c r="G154" s="307" t="n">
        <v>48</v>
      </c>
      <c r="H154" s="308" t="n">
        <v>248.760330578512</v>
      </c>
      <c r="I154" s="2"/>
      <c r="J154" s="144" t="s">
        <v>12</v>
      </c>
      <c r="K154" s="309" t="s">
        <v>12</v>
      </c>
      <c r="L154" s="310"/>
      <c r="M154" s="311" t="n">
        <v>39</v>
      </c>
      <c r="N154" s="312" t="n">
        <v>3.7</v>
      </c>
      <c r="O154" s="311" t="n">
        <v>0</v>
      </c>
      <c r="P154" s="312" t="n">
        <v>3</v>
      </c>
      <c r="Q154" s="310" t="n">
        <v>0</v>
      </c>
      <c r="R154" s="312" t="n">
        <v>2.6</v>
      </c>
      <c r="S154" s="310"/>
      <c r="T154" s="311" t="n">
        <v>0</v>
      </c>
      <c r="U154" s="312" t="n">
        <v>4.3</v>
      </c>
      <c r="V154" s="311" t="n">
        <v>0</v>
      </c>
      <c r="W154" s="312" t="n">
        <v>2.5</v>
      </c>
      <c r="X154" s="311" t="n">
        <v>0</v>
      </c>
      <c r="Y154" s="312" t="n">
        <v>2.5</v>
      </c>
      <c r="Z154" s="313" t="n">
        <v>0</v>
      </c>
      <c r="AA154" s="314" t="n">
        <v>2.5</v>
      </c>
      <c r="AB154" s="313" t="n">
        <v>0</v>
      </c>
      <c r="AC154" s="314" t="n">
        <v>2.5</v>
      </c>
      <c r="AD154" s="315"/>
      <c r="AE154" s="144" t="n">
        <v>45</v>
      </c>
      <c r="AF154" s="315"/>
      <c r="AG154" s="311" t="n">
        <v>0</v>
      </c>
      <c r="AH154" s="309" t="n">
        <v>0</v>
      </c>
      <c r="AI154" s="310"/>
      <c r="AJ154" s="311" t="n">
        <v>77</v>
      </c>
      <c r="AK154" s="309" t="n">
        <v>177.6</v>
      </c>
      <c r="AL154" s="311" t="n">
        <v>150</v>
      </c>
      <c r="AM154" s="309" t="n">
        <v>144</v>
      </c>
      <c r="AN154" s="311" t="n">
        <v>169</v>
      </c>
      <c r="AO154" s="309" t="n">
        <v>124.8</v>
      </c>
      <c r="AP154" s="310"/>
      <c r="AQ154" s="311" t="n">
        <v>88</v>
      </c>
      <c r="AR154" s="309" t="n">
        <v>206.4</v>
      </c>
      <c r="AS154" s="311" t="n">
        <v>174</v>
      </c>
      <c r="AT154" s="309" t="n">
        <v>120</v>
      </c>
      <c r="AU154" s="311" t="n">
        <v>174</v>
      </c>
      <c r="AV154" s="309" t="n">
        <v>120</v>
      </c>
      <c r="AW154" s="311" t="n">
        <v>174</v>
      </c>
      <c r="AX154" s="309" t="n">
        <v>120</v>
      </c>
      <c r="AY154" s="311" t="n">
        <v>174</v>
      </c>
      <c r="AZ154" s="309" t="n">
        <v>120</v>
      </c>
      <c r="BB154" s="144" t="n">
        <v>0</v>
      </c>
      <c r="BC154" s="315"/>
      <c r="BD154" s="311" t="n">
        <v>0</v>
      </c>
      <c r="BE154" s="316" t="n">
        <v>0</v>
      </c>
      <c r="BF154" s="310"/>
      <c r="BG154" s="317" t="n">
        <v>0</v>
      </c>
      <c r="BH154" s="318" t="n">
        <v>0</v>
      </c>
      <c r="BI154" s="317" t="n">
        <v>0</v>
      </c>
      <c r="BJ154" s="318" t="n">
        <v>0</v>
      </c>
      <c r="BK154" s="317" t="n">
        <v>0</v>
      </c>
      <c r="BL154" s="318" t="n">
        <v>0</v>
      </c>
      <c r="BM154" s="310"/>
      <c r="BN154" s="317" t="n">
        <v>0</v>
      </c>
      <c r="BO154" s="318" t="n">
        <v>0</v>
      </c>
      <c r="BP154" s="317" t="n">
        <v>0</v>
      </c>
      <c r="BQ154" s="318" t="n">
        <v>0</v>
      </c>
      <c r="BR154" s="317" t="n">
        <v>0</v>
      </c>
      <c r="BS154" s="318" t="n">
        <v>0</v>
      </c>
      <c r="BT154" s="317" t="n">
        <v>0</v>
      </c>
      <c r="BU154" s="318" t="n">
        <v>0</v>
      </c>
      <c r="BV154" s="317" t="n">
        <v>0</v>
      </c>
      <c r="BW154" s="318" t="n">
        <v>0</v>
      </c>
      <c r="BY154" s="143"/>
      <c r="BZ154" s="315"/>
      <c r="CA154" s="144" t="s">
        <v>12</v>
      </c>
      <c r="CB154" s="315"/>
      <c r="CC154" s="144" t="n">
        <v>-32.1603305785124</v>
      </c>
      <c r="CD154" s="144" t="n">
        <v>-104.760330578512</v>
      </c>
      <c r="CE154" s="144" t="n">
        <v>-123.960330578512</v>
      </c>
      <c r="CF154" s="315"/>
      <c r="CG154" s="144" t="n">
        <v>-42.3603305785124</v>
      </c>
      <c r="CH154" s="144" t="n">
        <v>-128.760330578512</v>
      </c>
      <c r="CI154" s="144" t="n">
        <v>-128.760330578512</v>
      </c>
      <c r="CJ154" s="144" t="n">
        <v>-128.760330578512</v>
      </c>
      <c r="CK154" s="144" t="n">
        <v>-128.760330578512</v>
      </c>
      <c r="CM154" s="144" t="n">
        <v>222.314049586777</v>
      </c>
      <c r="CO154" s="319"/>
      <c r="CP154" s="320"/>
      <c r="CQ154" s="321" t="s">
        <v>12</v>
      </c>
      <c r="CR154" s="320"/>
      <c r="CS154" s="322" t="n">
        <v>-5.71404958677684</v>
      </c>
      <c r="CT154" s="322" t="n">
        <v>-78.3140495867769</v>
      </c>
      <c r="CU154" s="322" t="n">
        <v>-97.5140495867769</v>
      </c>
      <c r="CV154" s="323"/>
      <c r="CW154" s="322" t="n">
        <v>-15.9140495867769</v>
      </c>
      <c r="CX154" s="322" t="n">
        <v>-102.314049586777</v>
      </c>
      <c r="CY154" s="322" t="n">
        <v>-102.314049586777</v>
      </c>
      <c r="CZ154" s="322" t="n">
        <v>-102.314049586777</v>
      </c>
      <c r="DA154" s="322" t="n">
        <v>-102.314049586777</v>
      </c>
    </row>
    <row r="155" customFormat="false" ht="12.75" hidden="false" customHeight="false" outlineLevel="0" collapsed="false">
      <c r="B155" s="305" t="s">
        <v>497</v>
      </c>
      <c r="C155" s="305" t="s">
        <v>498</v>
      </c>
      <c r="D155" s="306" t="n">
        <v>174</v>
      </c>
      <c r="E155" s="306" t="n">
        <v>3.25</v>
      </c>
      <c r="F155" s="324" t="s">
        <v>432</v>
      </c>
      <c r="G155" s="144" t="n">
        <v>24</v>
      </c>
      <c r="H155" s="325" t="n">
        <v>88.4297520661157</v>
      </c>
      <c r="I155" s="2"/>
      <c r="J155" s="144" t="s">
        <v>12</v>
      </c>
      <c r="K155" s="309" t="s">
        <v>12</v>
      </c>
      <c r="L155" s="310"/>
      <c r="M155" s="311" t="n">
        <v>0</v>
      </c>
      <c r="N155" s="312" t="n">
        <v>1</v>
      </c>
      <c r="O155" s="311" t="n">
        <v>0</v>
      </c>
      <c r="P155" s="312" t="n">
        <v>0.9</v>
      </c>
      <c r="Q155" s="310" t="n">
        <v>0</v>
      </c>
      <c r="R155" s="312" t="n">
        <v>0.3</v>
      </c>
      <c r="S155" s="310"/>
      <c r="T155" s="311" t="n">
        <v>0</v>
      </c>
      <c r="U155" s="312" t="n">
        <v>0.9</v>
      </c>
      <c r="V155" s="311" t="n">
        <v>0</v>
      </c>
      <c r="W155" s="312" t="n">
        <v>0</v>
      </c>
      <c r="X155" s="311" t="n">
        <v>0</v>
      </c>
      <c r="Y155" s="312" t="n">
        <v>0</v>
      </c>
      <c r="Z155" s="313" t="n">
        <v>0</v>
      </c>
      <c r="AA155" s="314" t="n">
        <v>0</v>
      </c>
      <c r="AB155" s="313" t="n">
        <v>0</v>
      </c>
      <c r="AC155" s="314" t="n">
        <v>0</v>
      </c>
      <c r="AD155" s="315"/>
      <c r="AE155" s="144" t="n">
        <v>86</v>
      </c>
      <c r="AF155" s="315"/>
      <c r="AG155" s="311" t="n">
        <v>0</v>
      </c>
      <c r="AH155" s="309" t="n">
        <v>0</v>
      </c>
      <c r="AI155" s="310"/>
      <c r="AJ155" s="311" t="n">
        <v>150</v>
      </c>
      <c r="AK155" s="309" t="n">
        <v>24</v>
      </c>
      <c r="AL155" s="311" t="n">
        <v>152</v>
      </c>
      <c r="AM155" s="309" t="n">
        <v>21.6</v>
      </c>
      <c r="AN155" s="310" t="n">
        <v>167</v>
      </c>
      <c r="AO155" s="309" t="n">
        <v>7.2</v>
      </c>
      <c r="AP155" s="310"/>
      <c r="AQ155" s="311" t="n">
        <v>152</v>
      </c>
      <c r="AR155" s="309" t="n">
        <v>21.6</v>
      </c>
      <c r="AS155" s="311" t="n">
        <v>174</v>
      </c>
      <c r="AT155" s="309" t="n">
        <v>0</v>
      </c>
      <c r="AU155" s="310" t="n">
        <v>174</v>
      </c>
      <c r="AV155" s="309" t="n">
        <v>0</v>
      </c>
      <c r="AW155" s="310" t="n">
        <v>174</v>
      </c>
      <c r="AX155" s="309" t="n">
        <v>0</v>
      </c>
      <c r="AY155" s="310" t="n">
        <v>174</v>
      </c>
      <c r="AZ155" s="309" t="n">
        <v>0</v>
      </c>
      <c r="BB155" s="144" t="n">
        <v>0</v>
      </c>
      <c r="BC155" s="315"/>
      <c r="BD155" s="311" t="n">
        <v>0</v>
      </c>
      <c r="BE155" s="316" t="n">
        <v>0</v>
      </c>
      <c r="BF155" s="310"/>
      <c r="BG155" s="317" t="n">
        <v>0</v>
      </c>
      <c r="BH155" s="318" t="n">
        <v>0</v>
      </c>
      <c r="BI155" s="317" t="n">
        <v>0</v>
      </c>
      <c r="BJ155" s="318" t="n">
        <v>0.6</v>
      </c>
      <c r="BK155" s="317" t="n">
        <v>0</v>
      </c>
      <c r="BL155" s="318" t="n">
        <v>0</v>
      </c>
      <c r="BM155" s="310"/>
      <c r="BN155" s="317" t="n">
        <v>0</v>
      </c>
      <c r="BO155" s="318" t="n">
        <v>0</v>
      </c>
      <c r="BP155" s="317" t="n">
        <v>0</v>
      </c>
      <c r="BQ155" s="318" t="n">
        <v>0</v>
      </c>
      <c r="BR155" s="317" t="n">
        <v>0</v>
      </c>
      <c r="BS155" s="318" t="n">
        <v>0</v>
      </c>
      <c r="BT155" s="317" t="n">
        <v>0</v>
      </c>
      <c r="BU155" s="318" t="n">
        <v>0</v>
      </c>
      <c r="BV155" s="317" t="n">
        <v>0</v>
      </c>
      <c r="BW155" s="318" t="n">
        <v>0</v>
      </c>
      <c r="BY155" s="143"/>
      <c r="BZ155" s="315"/>
      <c r="CA155" s="144" t="s">
        <v>12</v>
      </c>
      <c r="CB155" s="315"/>
      <c r="CC155" s="144" t="n">
        <v>-64.4297520661157</v>
      </c>
      <c r="CD155" s="144" t="n">
        <v>-66.8297520661157</v>
      </c>
      <c r="CE155" s="144" t="n">
        <v>-81.2297520661157</v>
      </c>
      <c r="CF155" s="315"/>
      <c r="CG155" s="144" t="n">
        <v>-66.8297520661157</v>
      </c>
      <c r="CH155" s="144" t="n">
        <v>-88.4297520661157</v>
      </c>
      <c r="CI155" s="144" t="n">
        <v>-88.4297520661157</v>
      </c>
      <c r="CJ155" s="144" t="n">
        <v>-88.4297520661157</v>
      </c>
      <c r="CK155" s="144" t="n">
        <v>-88.4297520661157</v>
      </c>
      <c r="CM155" s="144" t="n">
        <v>131.404958677686</v>
      </c>
      <c r="CO155" s="319"/>
      <c r="CP155" s="320"/>
      <c r="CQ155" s="321" t="s">
        <v>12</v>
      </c>
      <c r="CR155" s="320"/>
      <c r="CS155" s="322" t="n">
        <v>-107.404958677686</v>
      </c>
      <c r="CT155" s="322" t="n">
        <v>-109.804958677686</v>
      </c>
      <c r="CU155" s="322" t="n">
        <v>-124.204958677686</v>
      </c>
      <c r="CV155" s="323"/>
      <c r="CW155" s="322" t="n">
        <v>-109.804958677686</v>
      </c>
      <c r="CX155" s="322" t="n">
        <v>-131.404958677686</v>
      </c>
      <c r="CY155" s="322" t="n">
        <v>-131.404958677686</v>
      </c>
      <c r="CZ155" s="322" t="n">
        <v>-131.404958677686</v>
      </c>
      <c r="DA155" s="322" t="n">
        <v>-131.404958677686</v>
      </c>
    </row>
    <row r="156" customFormat="false" ht="12.75" hidden="false" customHeight="false" outlineLevel="0" collapsed="false">
      <c r="B156" s="305" t="s">
        <v>497</v>
      </c>
      <c r="C156" s="305" t="s">
        <v>499</v>
      </c>
      <c r="D156" s="306" t="n">
        <v>638</v>
      </c>
      <c r="E156" s="306" t="n">
        <v>3.25</v>
      </c>
      <c r="F156" s="306" t="s">
        <v>432</v>
      </c>
      <c r="G156" s="307" t="n">
        <v>24</v>
      </c>
      <c r="H156" s="308" t="n">
        <v>507.438016528926</v>
      </c>
      <c r="I156" s="2"/>
      <c r="J156" s="144" t="s">
        <v>12</v>
      </c>
      <c r="K156" s="309" t="s">
        <v>12</v>
      </c>
      <c r="L156" s="310"/>
      <c r="M156" s="311" t="n">
        <v>169</v>
      </c>
      <c r="N156" s="312" t="n">
        <v>11</v>
      </c>
      <c r="O156" s="311" t="n">
        <v>19</v>
      </c>
      <c r="P156" s="312" t="n">
        <v>17</v>
      </c>
      <c r="Q156" s="310" t="n">
        <v>19</v>
      </c>
      <c r="R156" s="312" t="n">
        <v>16</v>
      </c>
      <c r="S156" s="310"/>
      <c r="T156" s="311" t="n">
        <v>0</v>
      </c>
      <c r="U156" s="312" t="n">
        <v>17.2</v>
      </c>
      <c r="V156" s="311" t="n">
        <v>0</v>
      </c>
      <c r="W156" s="312" t="n">
        <v>12.4</v>
      </c>
      <c r="X156" s="311" t="n">
        <v>0</v>
      </c>
      <c r="Y156" s="312" t="n">
        <v>9</v>
      </c>
      <c r="Z156" s="313" t="n">
        <v>0</v>
      </c>
      <c r="AA156" s="314" t="n">
        <v>9</v>
      </c>
      <c r="AB156" s="313" t="n">
        <v>0</v>
      </c>
      <c r="AC156" s="314" t="n">
        <v>9</v>
      </c>
      <c r="AD156" s="315"/>
      <c r="AE156" s="144" t="n">
        <v>131</v>
      </c>
      <c r="AF156" s="315"/>
      <c r="AG156" s="311" t="n">
        <v>0</v>
      </c>
      <c r="AH156" s="309" t="n">
        <v>0</v>
      </c>
      <c r="AI156" s="310"/>
      <c r="AJ156" s="311" t="n">
        <v>205</v>
      </c>
      <c r="AK156" s="309" t="n">
        <v>264</v>
      </c>
      <c r="AL156" s="311" t="n">
        <v>211</v>
      </c>
      <c r="AM156" s="309" t="n">
        <v>408</v>
      </c>
      <c r="AN156" s="311" t="n">
        <v>235</v>
      </c>
      <c r="AO156" s="309" t="n">
        <v>384</v>
      </c>
      <c r="AP156" s="310"/>
      <c r="AQ156" s="311" t="n">
        <v>225</v>
      </c>
      <c r="AR156" s="309" t="n">
        <v>412.8</v>
      </c>
      <c r="AS156" s="311" t="n">
        <v>340</v>
      </c>
      <c r="AT156" s="309" t="n">
        <v>297.6</v>
      </c>
      <c r="AU156" s="311" t="n">
        <v>422</v>
      </c>
      <c r="AV156" s="309" t="n">
        <v>216</v>
      </c>
      <c r="AW156" s="311" t="n">
        <v>422</v>
      </c>
      <c r="AX156" s="309" t="n">
        <v>216</v>
      </c>
      <c r="AY156" s="311" t="n">
        <v>422</v>
      </c>
      <c r="AZ156" s="309" t="n">
        <v>216</v>
      </c>
      <c r="BB156" s="144" t="n">
        <v>0</v>
      </c>
      <c r="BC156" s="315"/>
      <c r="BD156" s="311" t="n">
        <v>0</v>
      </c>
      <c r="BE156" s="316" t="n">
        <v>0</v>
      </c>
      <c r="BF156" s="310"/>
      <c r="BG156" s="317" t="n">
        <v>0</v>
      </c>
      <c r="BH156" s="318" t="n">
        <v>0</v>
      </c>
      <c r="BI156" s="317" t="n">
        <v>0</v>
      </c>
      <c r="BJ156" s="318" t="n">
        <v>0</v>
      </c>
      <c r="BK156" s="317" t="n">
        <v>0</v>
      </c>
      <c r="BL156" s="318" t="n">
        <v>0</v>
      </c>
      <c r="BM156" s="310"/>
      <c r="BN156" s="317" t="n">
        <v>0</v>
      </c>
      <c r="BO156" s="318" t="n">
        <v>0</v>
      </c>
      <c r="BP156" s="317" t="n">
        <v>0</v>
      </c>
      <c r="BQ156" s="318" t="n">
        <v>3.1</v>
      </c>
      <c r="BR156" s="317" t="n">
        <v>0</v>
      </c>
      <c r="BS156" s="318" t="n">
        <v>1.5</v>
      </c>
      <c r="BT156" s="317" t="n">
        <v>0</v>
      </c>
      <c r="BU156" s="318" t="n">
        <v>1.5</v>
      </c>
      <c r="BV156" s="317" t="n">
        <v>0</v>
      </c>
      <c r="BW156" s="318" t="n">
        <v>1.5</v>
      </c>
      <c r="BY156" s="143"/>
      <c r="BZ156" s="315"/>
      <c r="CA156" s="144" t="s">
        <v>12</v>
      </c>
      <c r="CB156" s="315"/>
      <c r="CC156" s="144" t="n">
        <v>-74.4380165289256</v>
      </c>
      <c r="CD156" s="144" t="n">
        <v>-80.4380165289256</v>
      </c>
      <c r="CE156" s="144" t="n">
        <v>-104.438016528926</v>
      </c>
      <c r="CF156" s="315"/>
      <c r="CG156" s="144" t="n">
        <v>-94.6380165289257</v>
      </c>
      <c r="CH156" s="144" t="n">
        <v>-209.838016528926</v>
      </c>
      <c r="CI156" s="144" t="n">
        <v>-291.438016528926</v>
      </c>
      <c r="CJ156" s="144" t="n">
        <v>-291.438016528926</v>
      </c>
      <c r="CK156" s="144" t="n">
        <v>-291.438016528926</v>
      </c>
      <c r="CM156" s="144" t="n">
        <v>536.363636363636</v>
      </c>
      <c r="CO156" s="319"/>
      <c r="CP156" s="320"/>
      <c r="CQ156" s="321" t="s">
        <v>12</v>
      </c>
      <c r="CR156" s="320"/>
      <c r="CS156" s="322" t="n">
        <v>-103.363636363636</v>
      </c>
      <c r="CT156" s="322" t="n">
        <v>-109.363636363636</v>
      </c>
      <c r="CU156" s="322" t="n">
        <v>-133.363636363636</v>
      </c>
      <c r="CV156" s="323"/>
      <c r="CW156" s="322" t="n">
        <v>-123.563636363636</v>
      </c>
      <c r="CX156" s="322" t="n">
        <v>-238.763636363636</v>
      </c>
      <c r="CY156" s="322" t="n">
        <v>-320.363636363636</v>
      </c>
      <c r="CZ156" s="322" t="n">
        <v>-320.363636363636</v>
      </c>
      <c r="DA156" s="322" t="n">
        <v>-320.363636363636</v>
      </c>
    </row>
    <row r="157" customFormat="false" ht="12.75" hidden="false" customHeight="false" outlineLevel="0" collapsed="false">
      <c r="B157" s="305" t="s">
        <v>497</v>
      </c>
      <c r="C157" s="305" t="s">
        <v>499</v>
      </c>
      <c r="D157" s="306" t="n">
        <v>638</v>
      </c>
      <c r="E157" s="306" t="n">
        <v>3.25</v>
      </c>
      <c r="F157" s="324" t="s">
        <v>432</v>
      </c>
      <c r="G157" s="144" t="n">
        <v>48</v>
      </c>
      <c r="H157" s="325" t="n">
        <v>507.438016528926</v>
      </c>
      <c r="I157" s="2"/>
      <c r="J157" s="144" t="s">
        <v>12</v>
      </c>
      <c r="K157" s="309" t="s">
        <v>12</v>
      </c>
      <c r="L157" s="310"/>
      <c r="M157" s="311" t="n">
        <v>169</v>
      </c>
      <c r="N157" s="312" t="n">
        <v>5.5</v>
      </c>
      <c r="O157" s="311" t="n">
        <v>19</v>
      </c>
      <c r="P157" s="312" t="n">
        <v>8.5</v>
      </c>
      <c r="Q157" s="310" t="n">
        <v>19</v>
      </c>
      <c r="R157" s="312" t="n">
        <v>8</v>
      </c>
      <c r="S157" s="310"/>
      <c r="T157" s="311" t="n">
        <v>0</v>
      </c>
      <c r="U157" s="312" t="n">
        <v>8.6</v>
      </c>
      <c r="V157" s="311" t="n">
        <v>0</v>
      </c>
      <c r="W157" s="312" t="n">
        <v>6.2</v>
      </c>
      <c r="X157" s="311" t="n">
        <v>0</v>
      </c>
      <c r="Y157" s="312" t="n">
        <v>4.5</v>
      </c>
      <c r="Z157" s="313" t="n">
        <v>0</v>
      </c>
      <c r="AA157" s="314" t="n">
        <v>4.5</v>
      </c>
      <c r="AB157" s="313" t="n">
        <v>0</v>
      </c>
      <c r="AC157" s="314" t="n">
        <v>4.5</v>
      </c>
      <c r="AD157" s="315"/>
      <c r="AE157" s="144" t="n">
        <v>131</v>
      </c>
      <c r="AF157" s="315"/>
      <c r="AG157" s="311" t="n">
        <v>0</v>
      </c>
      <c r="AH157" s="309" t="n">
        <v>0</v>
      </c>
      <c r="AI157" s="310"/>
      <c r="AJ157" s="311" t="n">
        <v>205</v>
      </c>
      <c r="AK157" s="309" t="n">
        <v>264</v>
      </c>
      <c r="AL157" s="311" t="n">
        <v>211</v>
      </c>
      <c r="AM157" s="309" t="n">
        <v>408</v>
      </c>
      <c r="AN157" s="310" t="n">
        <v>235</v>
      </c>
      <c r="AO157" s="309" t="n">
        <v>384</v>
      </c>
      <c r="AP157" s="310"/>
      <c r="AQ157" s="311" t="n">
        <v>225</v>
      </c>
      <c r="AR157" s="309" t="n">
        <v>412.8</v>
      </c>
      <c r="AS157" s="311" t="n">
        <v>340</v>
      </c>
      <c r="AT157" s="309" t="n">
        <v>297.6</v>
      </c>
      <c r="AU157" s="310" t="n">
        <v>422</v>
      </c>
      <c r="AV157" s="309" t="n">
        <v>216</v>
      </c>
      <c r="AW157" s="310" t="n">
        <v>422</v>
      </c>
      <c r="AX157" s="309" t="n">
        <v>216</v>
      </c>
      <c r="AY157" s="310" t="n">
        <v>422</v>
      </c>
      <c r="AZ157" s="309" t="n">
        <v>216</v>
      </c>
      <c r="BB157" s="144" t="n">
        <v>0</v>
      </c>
      <c r="BC157" s="315"/>
      <c r="BD157" s="311" t="n">
        <v>0</v>
      </c>
      <c r="BE157" s="316" t="n">
        <v>0</v>
      </c>
      <c r="BF157" s="310"/>
      <c r="BG157" s="317" t="n">
        <v>0</v>
      </c>
      <c r="BH157" s="318" t="n">
        <v>0</v>
      </c>
      <c r="BI157" s="317" t="n">
        <v>0</v>
      </c>
      <c r="BJ157" s="318" t="n">
        <v>0</v>
      </c>
      <c r="BK157" s="317" t="n">
        <v>0</v>
      </c>
      <c r="BL157" s="318" t="n">
        <v>0</v>
      </c>
      <c r="BM157" s="310"/>
      <c r="BN157" s="317" t="n">
        <v>0</v>
      </c>
      <c r="BO157" s="318" t="n">
        <v>0</v>
      </c>
      <c r="BP157" s="317" t="n">
        <v>0</v>
      </c>
      <c r="BQ157" s="318" t="n">
        <v>0</v>
      </c>
      <c r="BR157" s="317" t="n">
        <v>0</v>
      </c>
      <c r="BS157" s="318" t="n">
        <v>0</v>
      </c>
      <c r="BT157" s="317" t="n">
        <v>0</v>
      </c>
      <c r="BU157" s="318" t="n">
        <v>0</v>
      </c>
      <c r="BV157" s="317" t="n">
        <v>0</v>
      </c>
      <c r="BW157" s="318" t="n">
        <v>0</v>
      </c>
      <c r="BY157" s="143"/>
      <c r="BZ157" s="315"/>
      <c r="CA157" s="144" t="s">
        <v>12</v>
      </c>
      <c r="CB157" s="315"/>
      <c r="CC157" s="144" t="n">
        <v>-74.4380165289256</v>
      </c>
      <c r="CD157" s="144" t="n">
        <v>-80.4380165289256</v>
      </c>
      <c r="CE157" s="144" t="n">
        <v>-104.438016528926</v>
      </c>
      <c r="CF157" s="315"/>
      <c r="CG157" s="144" t="n">
        <v>-94.6380165289257</v>
      </c>
      <c r="CH157" s="144" t="n">
        <v>-209.838016528926</v>
      </c>
      <c r="CI157" s="144" t="n">
        <v>-291.438016528926</v>
      </c>
      <c r="CJ157" s="144" t="n">
        <v>-291.438016528926</v>
      </c>
      <c r="CK157" s="144" t="n">
        <v>-291.438016528926</v>
      </c>
      <c r="CM157" s="144" t="n">
        <v>536.363636363636</v>
      </c>
      <c r="CO157" s="319"/>
      <c r="CP157" s="320"/>
      <c r="CQ157" s="321" t="s">
        <v>12</v>
      </c>
      <c r="CR157" s="320"/>
      <c r="CS157" s="322" t="n">
        <v>-103.363636363636</v>
      </c>
      <c r="CT157" s="322" t="n">
        <v>-109.363636363636</v>
      </c>
      <c r="CU157" s="322" t="n">
        <v>-133.363636363636</v>
      </c>
      <c r="CV157" s="323"/>
      <c r="CW157" s="322" t="n">
        <v>-123.563636363636</v>
      </c>
      <c r="CX157" s="322" t="n">
        <v>-238.763636363636</v>
      </c>
      <c r="CY157" s="322" t="n">
        <v>-320.363636363636</v>
      </c>
      <c r="CZ157" s="322" t="n">
        <v>-320.363636363636</v>
      </c>
      <c r="DA157" s="322" t="n">
        <v>-320.363636363636</v>
      </c>
    </row>
    <row r="158" customFormat="false" ht="12.75" hidden="false" customHeight="false" outlineLevel="0" collapsed="false">
      <c r="B158" s="305" t="s">
        <v>497</v>
      </c>
      <c r="C158" s="305" t="s">
        <v>500</v>
      </c>
      <c r="D158" s="306" t="n">
        <v>801</v>
      </c>
      <c r="E158" s="306" t="n">
        <v>3.25</v>
      </c>
      <c r="F158" s="306" t="s">
        <v>432</v>
      </c>
      <c r="G158" s="307" t="n">
        <v>24</v>
      </c>
      <c r="H158" s="308" t="n">
        <v>529.752066115703</v>
      </c>
      <c r="I158" s="2"/>
      <c r="J158" s="144" t="s">
        <v>12</v>
      </c>
      <c r="K158" s="309" t="s">
        <v>12</v>
      </c>
      <c r="L158" s="310"/>
      <c r="M158" s="311" t="n">
        <v>219</v>
      </c>
      <c r="N158" s="312" t="n">
        <v>9.1</v>
      </c>
      <c r="O158" s="311" t="n">
        <v>139</v>
      </c>
      <c r="P158" s="312" t="n">
        <v>10.2</v>
      </c>
      <c r="Q158" s="310" t="n">
        <v>139</v>
      </c>
      <c r="R158" s="312" t="n">
        <v>9.3</v>
      </c>
      <c r="S158" s="310"/>
      <c r="T158" s="311" t="n">
        <v>0</v>
      </c>
      <c r="U158" s="312" t="n">
        <v>18</v>
      </c>
      <c r="V158" s="311" t="n">
        <v>0</v>
      </c>
      <c r="W158" s="312" t="n">
        <v>13.3</v>
      </c>
      <c r="X158" s="311" t="n">
        <v>0</v>
      </c>
      <c r="Y158" s="312" t="n">
        <v>11</v>
      </c>
      <c r="Z158" s="313" t="n">
        <v>0</v>
      </c>
      <c r="AA158" s="314" t="n">
        <v>11</v>
      </c>
      <c r="AB158" s="313" t="n">
        <v>0</v>
      </c>
      <c r="AC158" s="314" t="n">
        <v>11</v>
      </c>
      <c r="AD158" s="315"/>
      <c r="AE158" s="144" t="n">
        <v>271</v>
      </c>
      <c r="AF158" s="315"/>
      <c r="AG158" s="311" t="n">
        <v>0</v>
      </c>
      <c r="AH158" s="309" t="n">
        <v>0</v>
      </c>
      <c r="AI158" s="310"/>
      <c r="AJ158" s="311" t="n">
        <v>364</v>
      </c>
      <c r="AK158" s="309" t="n">
        <v>218.4</v>
      </c>
      <c r="AL158" s="311" t="n">
        <v>417</v>
      </c>
      <c r="AM158" s="309" t="n">
        <v>244.8</v>
      </c>
      <c r="AN158" s="311" t="n">
        <v>439</v>
      </c>
      <c r="AO158" s="309" t="n">
        <v>223.2</v>
      </c>
      <c r="AP158" s="310"/>
      <c r="AQ158" s="311" t="n">
        <v>369</v>
      </c>
      <c r="AR158" s="309" t="n">
        <v>432</v>
      </c>
      <c r="AS158" s="311" t="n">
        <v>482</v>
      </c>
      <c r="AT158" s="309" t="n">
        <v>319.2</v>
      </c>
      <c r="AU158" s="311" t="n">
        <v>537</v>
      </c>
      <c r="AV158" s="309" t="n">
        <v>264</v>
      </c>
      <c r="AW158" s="311" t="n">
        <v>537</v>
      </c>
      <c r="AX158" s="309" t="n">
        <v>264</v>
      </c>
      <c r="AY158" s="311" t="n">
        <v>537</v>
      </c>
      <c r="AZ158" s="309" t="n">
        <v>264</v>
      </c>
      <c r="BB158" s="144" t="n">
        <v>0</v>
      </c>
      <c r="BC158" s="315"/>
      <c r="BD158" s="311" t="n">
        <v>0</v>
      </c>
      <c r="BE158" s="316" t="n">
        <v>0</v>
      </c>
      <c r="BF158" s="310"/>
      <c r="BG158" s="317" t="n">
        <v>0</v>
      </c>
      <c r="BH158" s="318" t="n">
        <v>0.199999999999999</v>
      </c>
      <c r="BI158" s="317" t="n">
        <v>0</v>
      </c>
      <c r="BJ158" s="318" t="n">
        <v>0.9</v>
      </c>
      <c r="BK158" s="317" t="n">
        <v>0</v>
      </c>
      <c r="BL158" s="318" t="n">
        <v>0.6</v>
      </c>
      <c r="BM158" s="310"/>
      <c r="BN158" s="317" t="n">
        <v>0</v>
      </c>
      <c r="BO158" s="318" t="n">
        <v>-0.199999999999999</v>
      </c>
      <c r="BP158" s="317" t="n">
        <v>0</v>
      </c>
      <c r="BQ158" s="318" t="n">
        <v>2.9</v>
      </c>
      <c r="BR158" s="317" t="n">
        <v>0</v>
      </c>
      <c r="BS158" s="318" t="n">
        <v>0</v>
      </c>
      <c r="BT158" s="317" t="n">
        <v>0</v>
      </c>
      <c r="BU158" s="318" t="n">
        <v>0</v>
      </c>
      <c r="BV158" s="317" t="n">
        <v>0</v>
      </c>
      <c r="BW158" s="318" t="n">
        <v>0</v>
      </c>
      <c r="BY158" s="143"/>
      <c r="BZ158" s="315"/>
      <c r="CA158" s="144" t="s">
        <v>12</v>
      </c>
      <c r="CB158" s="315"/>
      <c r="CC158" s="144" t="n">
        <v>-92.3520661157025</v>
      </c>
      <c r="CD158" s="144" t="n">
        <v>-145.952066115703</v>
      </c>
      <c r="CE158" s="144" t="n">
        <v>-167.552066115702</v>
      </c>
      <c r="CF158" s="315"/>
      <c r="CG158" s="144" t="n">
        <v>-97.7520661157025</v>
      </c>
      <c r="CH158" s="144" t="n">
        <v>-210.552066115702</v>
      </c>
      <c r="CI158" s="144" t="n">
        <v>-265.752066115702</v>
      </c>
      <c r="CJ158" s="144" t="n">
        <v>-265.752066115702</v>
      </c>
      <c r="CK158" s="144" t="n">
        <v>-265.752066115702</v>
      </c>
      <c r="CM158" s="144" t="n">
        <v>660.330578512397</v>
      </c>
      <c r="CO158" s="319"/>
      <c r="CP158" s="320"/>
      <c r="CQ158" s="321" t="s">
        <v>12</v>
      </c>
      <c r="CR158" s="320"/>
      <c r="CS158" s="322" t="n">
        <v>-222.930578512397</v>
      </c>
      <c r="CT158" s="322" t="n">
        <v>-276.530578512397</v>
      </c>
      <c r="CU158" s="322" t="n">
        <v>-298.130578512397</v>
      </c>
      <c r="CV158" s="323"/>
      <c r="CW158" s="322" t="n">
        <v>-228.330578512397</v>
      </c>
      <c r="CX158" s="322" t="n">
        <v>-341.130578512397</v>
      </c>
      <c r="CY158" s="322" t="n">
        <v>-396.330578512397</v>
      </c>
      <c r="CZ158" s="322" t="n">
        <v>-396.330578512397</v>
      </c>
      <c r="DA158" s="322" t="n">
        <v>-396.330578512397</v>
      </c>
    </row>
    <row r="159" customFormat="false" ht="12.75" hidden="false" customHeight="false" outlineLevel="0" collapsed="false">
      <c r="B159" s="305" t="s">
        <v>497</v>
      </c>
      <c r="C159" s="305" t="s">
        <v>500</v>
      </c>
      <c r="D159" s="306" t="n">
        <v>801</v>
      </c>
      <c r="E159" s="306" t="n">
        <v>3.25</v>
      </c>
      <c r="F159" s="324" t="s">
        <v>432</v>
      </c>
      <c r="G159" s="144" t="n">
        <v>48</v>
      </c>
      <c r="H159" s="325" t="n">
        <v>529.752066115703</v>
      </c>
      <c r="I159" s="2"/>
      <c r="J159" s="144" t="s">
        <v>12</v>
      </c>
      <c r="K159" s="309" t="s">
        <v>12</v>
      </c>
      <c r="L159" s="310"/>
      <c r="M159" s="311" t="n">
        <v>219</v>
      </c>
      <c r="N159" s="312" t="n">
        <v>4.6</v>
      </c>
      <c r="O159" s="311" t="n">
        <v>139</v>
      </c>
      <c r="P159" s="312" t="n">
        <v>5.1</v>
      </c>
      <c r="Q159" s="310" t="n">
        <v>139</v>
      </c>
      <c r="R159" s="312" t="n">
        <v>4.7</v>
      </c>
      <c r="S159" s="310"/>
      <c r="T159" s="311" t="n">
        <v>0</v>
      </c>
      <c r="U159" s="312" t="n">
        <v>9</v>
      </c>
      <c r="V159" s="311" t="n">
        <v>0</v>
      </c>
      <c r="W159" s="312" t="n">
        <v>6.7</v>
      </c>
      <c r="X159" s="311" t="n">
        <v>0</v>
      </c>
      <c r="Y159" s="312" t="n">
        <v>5.5</v>
      </c>
      <c r="Z159" s="313" t="n">
        <v>0</v>
      </c>
      <c r="AA159" s="314" t="n">
        <v>5.5</v>
      </c>
      <c r="AB159" s="313" t="n">
        <v>0</v>
      </c>
      <c r="AC159" s="314" t="n">
        <v>5.5</v>
      </c>
      <c r="AD159" s="315"/>
      <c r="AE159" s="144" t="n">
        <v>271</v>
      </c>
      <c r="AF159" s="315"/>
      <c r="AG159" s="311" t="n">
        <v>0</v>
      </c>
      <c r="AH159" s="309" t="n">
        <v>0</v>
      </c>
      <c r="AI159" s="310"/>
      <c r="AJ159" s="311" t="n">
        <v>361</v>
      </c>
      <c r="AK159" s="309" t="n">
        <v>220.8</v>
      </c>
      <c r="AL159" s="311" t="n">
        <v>417</v>
      </c>
      <c r="AM159" s="309" t="n">
        <v>244.8</v>
      </c>
      <c r="AN159" s="310" t="n">
        <v>436</v>
      </c>
      <c r="AO159" s="309" t="n">
        <v>225.6</v>
      </c>
      <c r="AP159" s="310"/>
      <c r="AQ159" s="311" t="n">
        <v>369</v>
      </c>
      <c r="AR159" s="309" t="n">
        <v>432</v>
      </c>
      <c r="AS159" s="311" t="n">
        <v>479</v>
      </c>
      <c r="AT159" s="309" t="n">
        <v>321.6</v>
      </c>
      <c r="AU159" s="310" t="n">
        <v>537</v>
      </c>
      <c r="AV159" s="309" t="n">
        <v>264</v>
      </c>
      <c r="AW159" s="310" t="n">
        <v>537</v>
      </c>
      <c r="AX159" s="309" t="n">
        <v>264</v>
      </c>
      <c r="AY159" s="310" t="n">
        <v>537</v>
      </c>
      <c r="AZ159" s="309" t="n">
        <v>264</v>
      </c>
      <c r="BB159" s="144" t="n">
        <v>0</v>
      </c>
      <c r="BC159" s="315"/>
      <c r="BD159" s="311" t="n">
        <v>0</v>
      </c>
      <c r="BE159" s="316" t="n">
        <v>0</v>
      </c>
      <c r="BF159" s="310"/>
      <c r="BG159" s="317" t="n">
        <v>0</v>
      </c>
      <c r="BH159" s="318" t="n">
        <v>0</v>
      </c>
      <c r="BI159" s="317" t="n">
        <v>0</v>
      </c>
      <c r="BJ159" s="318" t="n">
        <v>0</v>
      </c>
      <c r="BK159" s="317" t="n">
        <v>0</v>
      </c>
      <c r="BL159" s="318" t="n">
        <v>0</v>
      </c>
      <c r="BM159" s="310"/>
      <c r="BN159" s="317" t="n">
        <v>0</v>
      </c>
      <c r="BO159" s="318" t="n">
        <v>0</v>
      </c>
      <c r="BP159" s="317" t="n">
        <v>0</v>
      </c>
      <c r="BQ159" s="318" t="n">
        <v>0</v>
      </c>
      <c r="BR159" s="317" t="n">
        <v>0</v>
      </c>
      <c r="BS159" s="318" t="n">
        <v>0</v>
      </c>
      <c r="BT159" s="317" t="n">
        <v>0</v>
      </c>
      <c r="BU159" s="318" t="n">
        <v>0</v>
      </c>
      <c r="BV159" s="317" t="n">
        <v>0</v>
      </c>
      <c r="BW159" s="318" t="n">
        <v>0</v>
      </c>
      <c r="BY159" s="143"/>
      <c r="BZ159" s="315"/>
      <c r="CA159" s="144" t="s">
        <v>12</v>
      </c>
      <c r="CB159" s="315"/>
      <c r="CC159" s="144" t="n">
        <v>-89.9520661157025</v>
      </c>
      <c r="CD159" s="144" t="n">
        <v>-145.952066115703</v>
      </c>
      <c r="CE159" s="144" t="n">
        <v>-165.152066115703</v>
      </c>
      <c r="CF159" s="315"/>
      <c r="CG159" s="144" t="n">
        <v>-97.7520661157025</v>
      </c>
      <c r="CH159" s="144" t="n">
        <v>-208.152066115702</v>
      </c>
      <c r="CI159" s="144" t="n">
        <v>-265.752066115702</v>
      </c>
      <c r="CJ159" s="144" t="n">
        <v>-265.752066115702</v>
      </c>
      <c r="CK159" s="144" t="n">
        <v>-265.752066115702</v>
      </c>
      <c r="CM159" s="144" t="n">
        <v>660.330578512397</v>
      </c>
      <c r="CO159" s="319"/>
      <c r="CP159" s="320"/>
      <c r="CQ159" s="321" t="s">
        <v>12</v>
      </c>
      <c r="CR159" s="320"/>
      <c r="CS159" s="322" t="n">
        <v>-220.530578512397</v>
      </c>
      <c r="CT159" s="322" t="n">
        <v>-276.530578512397</v>
      </c>
      <c r="CU159" s="322" t="n">
        <v>-295.730578512397</v>
      </c>
      <c r="CV159" s="323"/>
      <c r="CW159" s="322" t="n">
        <v>-228.330578512397</v>
      </c>
      <c r="CX159" s="322" t="n">
        <v>-338.730578512397</v>
      </c>
      <c r="CY159" s="322" t="n">
        <v>-396.330578512397</v>
      </c>
      <c r="CZ159" s="322" t="n">
        <v>-396.330578512397</v>
      </c>
      <c r="DA159" s="322" t="n">
        <v>-396.330578512397</v>
      </c>
    </row>
    <row r="160" customFormat="false" ht="12.75" hidden="false" customHeight="false" outlineLevel="0" collapsed="false">
      <c r="B160" s="305" t="s">
        <v>497</v>
      </c>
      <c r="C160" s="305" t="s">
        <v>501</v>
      </c>
      <c r="D160" s="306" t="n">
        <v>895</v>
      </c>
      <c r="E160" s="306" t="n">
        <v>3.25</v>
      </c>
      <c r="F160" s="306" t="s">
        <v>432</v>
      </c>
      <c r="G160" s="307" t="n">
        <v>24</v>
      </c>
      <c r="H160" s="308" t="n">
        <v>761.157024793388</v>
      </c>
      <c r="I160" s="2"/>
      <c r="J160" s="144" t="s">
        <v>12</v>
      </c>
      <c r="K160" s="309" t="s">
        <v>12</v>
      </c>
      <c r="L160" s="310"/>
      <c r="M160" s="311" t="n">
        <v>319</v>
      </c>
      <c r="N160" s="312" t="n">
        <v>5</v>
      </c>
      <c r="O160" s="311" t="n">
        <v>189</v>
      </c>
      <c r="P160" s="312" t="n">
        <v>9</v>
      </c>
      <c r="Q160" s="310" t="n">
        <v>189</v>
      </c>
      <c r="R160" s="312" t="n">
        <v>8</v>
      </c>
      <c r="S160" s="310"/>
      <c r="T160" s="311" t="n">
        <v>0</v>
      </c>
      <c r="U160" s="312" t="n">
        <v>26.1</v>
      </c>
      <c r="V160" s="311" t="n">
        <v>0</v>
      </c>
      <c r="W160" s="312" t="n">
        <v>12.5</v>
      </c>
      <c r="X160" s="311" t="n">
        <v>0</v>
      </c>
      <c r="Y160" s="312" t="n">
        <v>12.5</v>
      </c>
      <c r="Z160" s="313" t="n">
        <v>0</v>
      </c>
      <c r="AA160" s="314" t="n">
        <v>12.5</v>
      </c>
      <c r="AB160" s="313" t="n">
        <v>0</v>
      </c>
      <c r="AC160" s="314" t="n">
        <v>12.5</v>
      </c>
      <c r="AD160" s="315"/>
      <c r="AE160" s="144" t="n">
        <v>134</v>
      </c>
      <c r="AF160" s="315"/>
      <c r="AG160" s="311" t="n">
        <v>0</v>
      </c>
      <c r="AH160" s="309" t="n">
        <v>0</v>
      </c>
      <c r="AI160" s="310"/>
      <c r="AJ160" s="311" t="n">
        <v>456</v>
      </c>
      <c r="AK160" s="309" t="n">
        <v>120</v>
      </c>
      <c r="AL160" s="311" t="n">
        <v>490</v>
      </c>
      <c r="AM160" s="309" t="n">
        <v>216</v>
      </c>
      <c r="AN160" s="311" t="n">
        <v>514</v>
      </c>
      <c r="AO160" s="309" t="n">
        <v>192</v>
      </c>
      <c r="AP160" s="310"/>
      <c r="AQ160" s="311" t="n">
        <v>269</v>
      </c>
      <c r="AR160" s="309" t="n">
        <v>626.4</v>
      </c>
      <c r="AS160" s="311" t="n">
        <v>595</v>
      </c>
      <c r="AT160" s="309" t="n">
        <v>300</v>
      </c>
      <c r="AU160" s="311" t="n">
        <v>595</v>
      </c>
      <c r="AV160" s="309" t="n">
        <v>300</v>
      </c>
      <c r="AW160" s="311" t="n">
        <v>595</v>
      </c>
      <c r="AX160" s="309" t="n">
        <v>300</v>
      </c>
      <c r="AY160" s="311" t="n">
        <v>595</v>
      </c>
      <c r="AZ160" s="309" t="n">
        <v>300</v>
      </c>
      <c r="BB160" s="144" t="n">
        <v>0</v>
      </c>
      <c r="BC160" s="315"/>
      <c r="BD160" s="311" t="n">
        <v>0</v>
      </c>
      <c r="BE160" s="316" t="n">
        <v>0</v>
      </c>
      <c r="BF160" s="310"/>
      <c r="BG160" s="317" t="n">
        <v>0</v>
      </c>
      <c r="BH160" s="318" t="n">
        <v>0</v>
      </c>
      <c r="BI160" s="317" t="n">
        <v>0</v>
      </c>
      <c r="BJ160" s="318" t="n">
        <v>0</v>
      </c>
      <c r="BK160" s="317" t="n">
        <v>0</v>
      </c>
      <c r="BL160" s="318" t="n">
        <v>0</v>
      </c>
      <c r="BM160" s="310"/>
      <c r="BN160" s="317" t="n">
        <v>0</v>
      </c>
      <c r="BO160" s="318" t="n">
        <v>-0.199999999999999</v>
      </c>
      <c r="BP160" s="317" t="n">
        <v>0</v>
      </c>
      <c r="BQ160" s="318" t="n">
        <v>-9.2</v>
      </c>
      <c r="BR160" s="317" t="n">
        <v>0</v>
      </c>
      <c r="BS160" s="318" t="n">
        <v>0</v>
      </c>
      <c r="BT160" s="317" t="n">
        <v>0</v>
      </c>
      <c r="BU160" s="318" t="n">
        <v>0</v>
      </c>
      <c r="BV160" s="317" t="n">
        <v>0</v>
      </c>
      <c r="BW160" s="318" t="n">
        <v>0</v>
      </c>
      <c r="BY160" s="143"/>
      <c r="BZ160" s="315"/>
      <c r="CA160" s="144" t="s">
        <v>12</v>
      </c>
      <c r="CB160" s="315"/>
      <c r="CC160" s="144" t="n">
        <v>-322.157024793388</v>
      </c>
      <c r="CD160" s="144" t="n">
        <v>-356.157024793388</v>
      </c>
      <c r="CE160" s="144" t="n">
        <v>-380.157024793388</v>
      </c>
      <c r="CF160" s="315"/>
      <c r="CG160" s="144" t="n">
        <v>-134.757024793388</v>
      </c>
      <c r="CH160" s="144" t="n">
        <v>-461.157024793388</v>
      </c>
      <c r="CI160" s="144" t="n">
        <v>-461.157024793388</v>
      </c>
      <c r="CJ160" s="144" t="n">
        <v>-461.157024793388</v>
      </c>
      <c r="CK160" s="144" t="n">
        <v>-461.157024793388</v>
      </c>
      <c r="CM160" s="144" t="n">
        <v>742.97520661157</v>
      </c>
      <c r="CO160" s="319"/>
      <c r="CP160" s="320"/>
      <c r="CQ160" s="321" t="s">
        <v>12</v>
      </c>
      <c r="CR160" s="320"/>
      <c r="CS160" s="322" t="n">
        <v>-303.97520661157</v>
      </c>
      <c r="CT160" s="322" t="n">
        <v>-337.97520661157</v>
      </c>
      <c r="CU160" s="322" t="n">
        <v>-361.97520661157</v>
      </c>
      <c r="CV160" s="323"/>
      <c r="CW160" s="322" t="n">
        <v>-116.57520661157</v>
      </c>
      <c r="CX160" s="322" t="n">
        <v>-442.97520661157</v>
      </c>
      <c r="CY160" s="322" t="n">
        <v>-442.97520661157</v>
      </c>
      <c r="CZ160" s="322" t="n">
        <v>-442.97520661157</v>
      </c>
      <c r="DA160" s="322" t="n">
        <v>-442.97520661157</v>
      </c>
    </row>
    <row r="161" customFormat="false" ht="12.75" hidden="false" customHeight="false" outlineLevel="0" collapsed="false">
      <c r="B161" s="305" t="s">
        <v>497</v>
      </c>
      <c r="C161" s="305" t="s">
        <v>501</v>
      </c>
      <c r="D161" s="306" t="n">
        <v>895</v>
      </c>
      <c r="E161" s="306" t="n">
        <v>3.25</v>
      </c>
      <c r="F161" s="324" t="s">
        <v>432</v>
      </c>
      <c r="G161" s="144" t="n">
        <v>48</v>
      </c>
      <c r="H161" s="325" t="n">
        <v>761.157024793388</v>
      </c>
      <c r="I161" s="2"/>
      <c r="J161" s="144" t="s">
        <v>12</v>
      </c>
      <c r="K161" s="309" t="s">
        <v>12</v>
      </c>
      <c r="L161" s="310"/>
      <c r="M161" s="311" t="n">
        <v>319</v>
      </c>
      <c r="N161" s="312" t="n">
        <v>2.5</v>
      </c>
      <c r="O161" s="311" t="n">
        <v>189</v>
      </c>
      <c r="P161" s="312" t="n">
        <v>4.5</v>
      </c>
      <c r="Q161" s="310" t="n">
        <v>189</v>
      </c>
      <c r="R161" s="312" t="n">
        <v>4</v>
      </c>
      <c r="S161" s="310"/>
      <c r="T161" s="311" t="n">
        <v>0</v>
      </c>
      <c r="U161" s="312" t="n">
        <v>13.1</v>
      </c>
      <c r="V161" s="311" t="n">
        <v>0</v>
      </c>
      <c r="W161" s="312" t="n">
        <v>6.3</v>
      </c>
      <c r="X161" s="311" t="n">
        <v>0</v>
      </c>
      <c r="Y161" s="312" t="n">
        <v>6.3</v>
      </c>
      <c r="Z161" s="313" t="n">
        <v>0</v>
      </c>
      <c r="AA161" s="314" t="n">
        <v>6.3</v>
      </c>
      <c r="AB161" s="313" t="n">
        <v>0</v>
      </c>
      <c r="AC161" s="314" t="n">
        <v>6.3</v>
      </c>
      <c r="AD161" s="315"/>
      <c r="AE161" s="144" t="n">
        <v>134</v>
      </c>
      <c r="AF161" s="315"/>
      <c r="AG161" s="311" t="n">
        <v>0</v>
      </c>
      <c r="AH161" s="309" t="n">
        <v>0</v>
      </c>
      <c r="AI161" s="310"/>
      <c r="AJ161" s="311" t="n">
        <v>456</v>
      </c>
      <c r="AK161" s="309" t="n">
        <v>120</v>
      </c>
      <c r="AL161" s="311" t="n">
        <v>490</v>
      </c>
      <c r="AM161" s="309" t="n">
        <v>216</v>
      </c>
      <c r="AN161" s="310" t="n">
        <v>514</v>
      </c>
      <c r="AO161" s="309" t="n">
        <v>192</v>
      </c>
      <c r="AP161" s="310"/>
      <c r="AQ161" s="311" t="n">
        <v>266</v>
      </c>
      <c r="AR161" s="309" t="n">
        <v>628.8</v>
      </c>
      <c r="AS161" s="311" t="n">
        <v>593</v>
      </c>
      <c r="AT161" s="309" t="n">
        <v>302.4</v>
      </c>
      <c r="AU161" s="310" t="n">
        <v>593</v>
      </c>
      <c r="AV161" s="309" t="n">
        <v>302.4</v>
      </c>
      <c r="AW161" s="310" t="n">
        <v>593</v>
      </c>
      <c r="AX161" s="309" t="n">
        <v>302.4</v>
      </c>
      <c r="AY161" s="310" t="n">
        <v>593</v>
      </c>
      <c r="AZ161" s="309" t="n">
        <v>302.4</v>
      </c>
      <c r="BB161" s="144" t="n">
        <v>0</v>
      </c>
      <c r="BC161" s="315"/>
      <c r="BD161" s="311" t="n">
        <v>0</v>
      </c>
      <c r="BE161" s="316" t="n">
        <v>0</v>
      </c>
      <c r="BF161" s="310"/>
      <c r="BG161" s="317" t="n">
        <v>0</v>
      </c>
      <c r="BH161" s="318" t="n">
        <v>0</v>
      </c>
      <c r="BI161" s="317" t="n">
        <v>0</v>
      </c>
      <c r="BJ161" s="318" t="n">
        <v>0</v>
      </c>
      <c r="BK161" s="317" t="n">
        <v>0</v>
      </c>
      <c r="BL161" s="318" t="n">
        <v>0</v>
      </c>
      <c r="BM161" s="310"/>
      <c r="BN161" s="317" t="n">
        <v>0</v>
      </c>
      <c r="BO161" s="318" t="n">
        <v>0</v>
      </c>
      <c r="BP161" s="317" t="n">
        <v>0</v>
      </c>
      <c r="BQ161" s="318" t="n">
        <v>0</v>
      </c>
      <c r="BR161" s="317" t="n">
        <v>0</v>
      </c>
      <c r="BS161" s="318" t="n">
        <v>0</v>
      </c>
      <c r="BT161" s="317" t="n">
        <v>0</v>
      </c>
      <c r="BU161" s="318" t="n">
        <v>0</v>
      </c>
      <c r="BV161" s="317" t="n">
        <v>0</v>
      </c>
      <c r="BW161" s="318" t="n">
        <v>0</v>
      </c>
      <c r="BY161" s="143"/>
      <c r="BZ161" s="315"/>
      <c r="CA161" s="144" t="s">
        <v>12</v>
      </c>
      <c r="CB161" s="315"/>
      <c r="CC161" s="144" t="n">
        <v>-322.157024793388</v>
      </c>
      <c r="CD161" s="144" t="n">
        <v>-356.157024793388</v>
      </c>
      <c r="CE161" s="144" t="n">
        <v>-380.157024793388</v>
      </c>
      <c r="CF161" s="315"/>
      <c r="CG161" s="144" t="n">
        <v>-132.357024793388</v>
      </c>
      <c r="CH161" s="144" t="n">
        <v>-458.757024793388</v>
      </c>
      <c r="CI161" s="144" t="n">
        <v>-458.757024793388</v>
      </c>
      <c r="CJ161" s="144" t="n">
        <v>-458.757024793388</v>
      </c>
      <c r="CK161" s="144" t="n">
        <v>-458.757024793388</v>
      </c>
      <c r="CM161" s="144" t="n">
        <v>742.97520661157</v>
      </c>
      <c r="CO161" s="319"/>
      <c r="CP161" s="320"/>
      <c r="CQ161" s="321" t="s">
        <v>12</v>
      </c>
      <c r="CR161" s="320"/>
      <c r="CS161" s="322" t="n">
        <v>-303.97520661157</v>
      </c>
      <c r="CT161" s="322" t="n">
        <v>-337.97520661157</v>
      </c>
      <c r="CU161" s="322" t="n">
        <v>-361.97520661157</v>
      </c>
      <c r="CV161" s="323"/>
      <c r="CW161" s="322" t="n">
        <v>-114.17520661157</v>
      </c>
      <c r="CX161" s="322" t="n">
        <v>-440.57520661157</v>
      </c>
      <c r="CY161" s="322" t="n">
        <v>-440.57520661157</v>
      </c>
      <c r="CZ161" s="322" t="n">
        <v>-440.57520661157</v>
      </c>
      <c r="DA161" s="322" t="n">
        <v>-440.57520661157</v>
      </c>
    </row>
    <row r="162" customFormat="false" ht="12.75" hidden="false" customHeight="false" outlineLevel="0" collapsed="false">
      <c r="B162" s="305" t="s">
        <v>497</v>
      </c>
      <c r="C162" s="305" t="s">
        <v>502</v>
      </c>
      <c r="D162" s="306" t="n">
        <v>1139</v>
      </c>
      <c r="E162" s="306" t="n">
        <v>3.25</v>
      </c>
      <c r="F162" s="306" t="s">
        <v>432</v>
      </c>
      <c r="G162" s="307" t="n">
        <v>24</v>
      </c>
      <c r="H162" s="308" t="n">
        <v>942.97520661157</v>
      </c>
      <c r="I162" s="2"/>
      <c r="J162" s="144" t="s">
        <v>12</v>
      </c>
      <c r="K162" s="309" t="s">
        <v>12</v>
      </c>
      <c r="L162" s="310"/>
      <c r="M162" s="311" t="n">
        <v>399</v>
      </c>
      <c r="N162" s="312" t="n">
        <v>16.6</v>
      </c>
      <c r="O162" s="311" t="n">
        <v>239</v>
      </c>
      <c r="P162" s="312" t="n">
        <v>20.7</v>
      </c>
      <c r="Q162" s="310" t="n">
        <v>239</v>
      </c>
      <c r="R162" s="312" t="n">
        <v>19.9</v>
      </c>
      <c r="S162" s="310"/>
      <c r="T162" s="311" t="n">
        <v>0</v>
      </c>
      <c r="U162" s="312" t="n">
        <v>33.1</v>
      </c>
      <c r="V162" s="311" t="n">
        <v>0</v>
      </c>
      <c r="W162" s="312" t="n">
        <v>28.1</v>
      </c>
      <c r="X162" s="311" t="n">
        <v>0</v>
      </c>
      <c r="Y162" s="312" t="n">
        <v>28.1</v>
      </c>
      <c r="Z162" s="313" t="n">
        <v>0</v>
      </c>
      <c r="AA162" s="314" t="n">
        <v>28.1</v>
      </c>
      <c r="AB162" s="313" t="n">
        <v>0</v>
      </c>
      <c r="AC162" s="314" t="n">
        <v>28.1</v>
      </c>
      <c r="AD162" s="315"/>
      <c r="AE162" s="144" t="n">
        <v>196</v>
      </c>
      <c r="AF162" s="315"/>
      <c r="AG162" s="311" t="n">
        <v>0</v>
      </c>
      <c r="AH162" s="309" t="n">
        <v>0</v>
      </c>
      <c r="AI162" s="310"/>
      <c r="AJ162" s="311" t="n">
        <v>342</v>
      </c>
      <c r="AK162" s="309" t="n">
        <v>398.4</v>
      </c>
      <c r="AL162" s="311" t="n">
        <v>403</v>
      </c>
      <c r="AM162" s="309" t="n">
        <v>496.8</v>
      </c>
      <c r="AN162" s="311" t="n">
        <v>422</v>
      </c>
      <c r="AO162" s="309" t="n">
        <v>477.6</v>
      </c>
      <c r="AP162" s="310"/>
      <c r="AQ162" s="311" t="n">
        <v>345</v>
      </c>
      <c r="AR162" s="309" t="n">
        <v>794.4</v>
      </c>
      <c r="AS162" s="311" t="n">
        <v>465</v>
      </c>
      <c r="AT162" s="309" t="n">
        <v>674.4</v>
      </c>
      <c r="AU162" s="311" t="n">
        <v>465</v>
      </c>
      <c r="AV162" s="309" t="n">
        <v>674.4</v>
      </c>
      <c r="AW162" s="311" t="n">
        <v>465</v>
      </c>
      <c r="AX162" s="309" t="n">
        <v>674.4</v>
      </c>
      <c r="AY162" s="311" t="n">
        <v>465</v>
      </c>
      <c r="AZ162" s="309" t="n">
        <v>674.4</v>
      </c>
      <c r="BB162" s="144" t="n">
        <v>0</v>
      </c>
      <c r="BC162" s="315"/>
      <c r="BD162" s="311" t="n">
        <v>0</v>
      </c>
      <c r="BE162" s="316" t="n">
        <v>0</v>
      </c>
      <c r="BF162" s="310"/>
      <c r="BG162" s="317" t="n">
        <v>0</v>
      </c>
      <c r="BH162" s="318" t="n">
        <v>0.199999999999999</v>
      </c>
      <c r="BI162" s="317" t="n">
        <v>0</v>
      </c>
      <c r="BJ162" s="318" t="n">
        <v>0.600000000000001</v>
      </c>
      <c r="BK162" s="317" t="n">
        <v>0</v>
      </c>
      <c r="BL162" s="318" t="n">
        <v>0.600000000000001</v>
      </c>
      <c r="BM162" s="310"/>
      <c r="BN162" s="317" t="n">
        <v>0</v>
      </c>
      <c r="BO162" s="318" t="n">
        <v>0</v>
      </c>
      <c r="BP162" s="317" t="n">
        <v>0</v>
      </c>
      <c r="BQ162" s="318" t="n">
        <v>1.6</v>
      </c>
      <c r="BR162" s="317" t="n">
        <v>0</v>
      </c>
      <c r="BS162" s="318" t="n">
        <v>1.6</v>
      </c>
      <c r="BT162" s="317" t="n">
        <v>0</v>
      </c>
      <c r="BU162" s="318" t="n">
        <v>1.6</v>
      </c>
      <c r="BV162" s="317" t="n">
        <v>0</v>
      </c>
      <c r="BW162" s="318" t="n">
        <v>1.6</v>
      </c>
      <c r="BY162" s="143"/>
      <c r="BZ162" s="315"/>
      <c r="CA162" s="144" t="s">
        <v>12</v>
      </c>
      <c r="CB162" s="315"/>
      <c r="CC162" s="144" t="n">
        <v>-145.57520661157</v>
      </c>
      <c r="CD162" s="144" t="n">
        <v>-207.17520661157</v>
      </c>
      <c r="CE162" s="144" t="n">
        <v>-226.37520661157</v>
      </c>
      <c r="CF162" s="315"/>
      <c r="CG162" s="144" t="n">
        <v>-148.57520661157</v>
      </c>
      <c r="CH162" s="144" t="n">
        <v>-268.57520661157</v>
      </c>
      <c r="CI162" s="144" t="n">
        <v>-268.57520661157</v>
      </c>
      <c r="CJ162" s="144" t="n">
        <v>-268.57520661157</v>
      </c>
      <c r="CK162" s="144" t="n">
        <v>-268.57520661157</v>
      </c>
      <c r="CM162" s="144" t="n">
        <v>908.264462809917</v>
      </c>
      <c r="CO162" s="319"/>
      <c r="CP162" s="320"/>
      <c r="CQ162" s="321" t="s">
        <v>12</v>
      </c>
      <c r="CR162" s="320"/>
      <c r="CS162" s="322" t="n">
        <v>-110.864462809917</v>
      </c>
      <c r="CT162" s="322" t="n">
        <v>-172.464462809917</v>
      </c>
      <c r="CU162" s="322" t="n">
        <v>-191.664462809917</v>
      </c>
      <c r="CV162" s="323"/>
      <c r="CW162" s="322" t="n">
        <v>-113.864462809917</v>
      </c>
      <c r="CX162" s="322" t="n">
        <v>-233.864462809917</v>
      </c>
      <c r="CY162" s="322" t="n">
        <v>-233.864462809917</v>
      </c>
      <c r="CZ162" s="322" t="n">
        <v>-233.864462809917</v>
      </c>
      <c r="DA162" s="322" t="n">
        <v>-233.864462809917</v>
      </c>
    </row>
    <row r="163" customFormat="false" ht="12.75" hidden="false" customHeight="false" outlineLevel="0" collapsed="false">
      <c r="B163" s="305" t="s">
        <v>497</v>
      </c>
      <c r="C163" s="305" t="s">
        <v>502</v>
      </c>
      <c r="D163" s="306" t="n">
        <v>1139</v>
      </c>
      <c r="E163" s="306" t="n">
        <v>3.25</v>
      </c>
      <c r="F163" s="324" t="s">
        <v>432</v>
      </c>
      <c r="G163" s="144" t="n">
        <v>48</v>
      </c>
      <c r="H163" s="325" t="n">
        <v>942.97520661157</v>
      </c>
      <c r="I163" s="2"/>
      <c r="J163" s="144" t="s">
        <v>12</v>
      </c>
      <c r="K163" s="309" t="s">
        <v>12</v>
      </c>
      <c r="L163" s="310"/>
      <c r="M163" s="311" t="n">
        <v>399</v>
      </c>
      <c r="N163" s="312" t="n">
        <v>8.3</v>
      </c>
      <c r="O163" s="311" t="n">
        <v>239</v>
      </c>
      <c r="P163" s="312" t="n">
        <v>10.4</v>
      </c>
      <c r="Q163" s="310" t="n">
        <v>239</v>
      </c>
      <c r="R163" s="312" t="n">
        <v>10</v>
      </c>
      <c r="S163" s="310"/>
      <c r="T163" s="311" t="n">
        <v>0</v>
      </c>
      <c r="U163" s="312" t="n">
        <v>16.6</v>
      </c>
      <c r="V163" s="311" t="n">
        <v>0</v>
      </c>
      <c r="W163" s="312" t="n">
        <v>14.1</v>
      </c>
      <c r="X163" s="311" t="n">
        <v>0</v>
      </c>
      <c r="Y163" s="312" t="n">
        <v>14.1</v>
      </c>
      <c r="Z163" s="313" t="n">
        <v>0</v>
      </c>
      <c r="AA163" s="314" t="n">
        <v>14.1</v>
      </c>
      <c r="AB163" s="313" t="n">
        <v>0</v>
      </c>
      <c r="AC163" s="314" t="n">
        <v>14.1</v>
      </c>
      <c r="AD163" s="315"/>
      <c r="AE163" s="144" t="n">
        <v>196</v>
      </c>
      <c r="AF163" s="315"/>
      <c r="AG163" s="311" t="n">
        <v>0</v>
      </c>
      <c r="AH163" s="309" t="n">
        <v>0</v>
      </c>
      <c r="AI163" s="310"/>
      <c r="AJ163" s="311" t="n">
        <v>342</v>
      </c>
      <c r="AK163" s="309" t="n">
        <v>398.4</v>
      </c>
      <c r="AL163" s="311" t="n">
        <v>401</v>
      </c>
      <c r="AM163" s="309" t="n">
        <v>499.2</v>
      </c>
      <c r="AN163" s="310" t="n">
        <v>420</v>
      </c>
      <c r="AO163" s="309" t="n">
        <v>480</v>
      </c>
      <c r="AP163" s="310"/>
      <c r="AQ163" s="311" t="n">
        <v>342</v>
      </c>
      <c r="AR163" s="309" t="n">
        <v>796.8</v>
      </c>
      <c r="AS163" s="311" t="n">
        <v>462</v>
      </c>
      <c r="AT163" s="309" t="n">
        <v>676.8</v>
      </c>
      <c r="AU163" s="310" t="n">
        <v>462</v>
      </c>
      <c r="AV163" s="309" t="n">
        <v>676.8</v>
      </c>
      <c r="AW163" s="310" t="n">
        <v>462</v>
      </c>
      <c r="AX163" s="309" t="n">
        <v>676.8</v>
      </c>
      <c r="AY163" s="310" t="n">
        <v>462</v>
      </c>
      <c r="AZ163" s="309" t="n">
        <v>676.8</v>
      </c>
      <c r="BB163" s="144" t="n">
        <v>0</v>
      </c>
      <c r="BC163" s="315"/>
      <c r="BD163" s="311" t="n">
        <v>0</v>
      </c>
      <c r="BE163" s="316" t="n">
        <v>0</v>
      </c>
      <c r="BF163" s="310"/>
      <c r="BG163" s="317" t="n">
        <v>0</v>
      </c>
      <c r="BH163" s="318" t="n">
        <v>0</v>
      </c>
      <c r="BI163" s="317" t="n">
        <v>0</v>
      </c>
      <c r="BJ163" s="318" t="n">
        <v>0</v>
      </c>
      <c r="BK163" s="317" t="n">
        <v>0</v>
      </c>
      <c r="BL163" s="318" t="n">
        <v>0</v>
      </c>
      <c r="BM163" s="310"/>
      <c r="BN163" s="317" t="n">
        <v>0</v>
      </c>
      <c r="BO163" s="318" t="n">
        <v>0</v>
      </c>
      <c r="BP163" s="317" t="n">
        <v>0</v>
      </c>
      <c r="BQ163" s="318" t="n">
        <v>0</v>
      </c>
      <c r="BR163" s="317" t="n">
        <v>0</v>
      </c>
      <c r="BS163" s="318" t="n">
        <v>0</v>
      </c>
      <c r="BT163" s="317" t="n">
        <v>0</v>
      </c>
      <c r="BU163" s="318" t="n">
        <v>0</v>
      </c>
      <c r="BV163" s="317" t="n">
        <v>0</v>
      </c>
      <c r="BW163" s="318" t="n">
        <v>0</v>
      </c>
      <c r="BY163" s="143"/>
      <c r="BZ163" s="315"/>
      <c r="CA163" s="144" t="s">
        <v>12</v>
      </c>
      <c r="CB163" s="315"/>
      <c r="CC163" s="144" t="n">
        <v>-145.57520661157</v>
      </c>
      <c r="CD163" s="144" t="n">
        <v>-204.77520661157</v>
      </c>
      <c r="CE163" s="144" t="n">
        <v>-223.97520661157</v>
      </c>
      <c r="CF163" s="315"/>
      <c r="CG163" s="144" t="n">
        <v>-146.17520661157</v>
      </c>
      <c r="CH163" s="144" t="n">
        <v>-266.17520661157</v>
      </c>
      <c r="CI163" s="144" t="n">
        <v>-266.17520661157</v>
      </c>
      <c r="CJ163" s="144" t="n">
        <v>-266.17520661157</v>
      </c>
      <c r="CK163" s="144" t="n">
        <v>-266.17520661157</v>
      </c>
      <c r="CM163" s="144" t="n">
        <v>908.264462809917</v>
      </c>
      <c r="CO163" s="319"/>
      <c r="CP163" s="320"/>
      <c r="CQ163" s="321" t="s">
        <v>12</v>
      </c>
      <c r="CR163" s="320"/>
      <c r="CS163" s="322" t="n">
        <v>-110.864462809917</v>
      </c>
      <c r="CT163" s="322" t="n">
        <v>-170.064462809917</v>
      </c>
      <c r="CU163" s="322" t="n">
        <v>-189.264462809917</v>
      </c>
      <c r="CV163" s="323"/>
      <c r="CW163" s="322" t="n">
        <v>-111.464462809917</v>
      </c>
      <c r="CX163" s="322" t="n">
        <v>-231.464462809917</v>
      </c>
      <c r="CY163" s="322" t="n">
        <v>-231.464462809917</v>
      </c>
      <c r="CZ163" s="322" t="n">
        <v>-231.464462809917</v>
      </c>
      <c r="DA163" s="322" t="n">
        <v>-231.464462809917</v>
      </c>
    </row>
    <row r="164" customFormat="false" ht="12.75" hidden="false" customHeight="false" outlineLevel="0" collapsed="false">
      <c r="B164" s="305" t="s">
        <v>497</v>
      </c>
      <c r="C164" s="305" t="s">
        <v>503</v>
      </c>
      <c r="D164" s="306" t="n">
        <v>1465</v>
      </c>
      <c r="E164" s="306" t="n">
        <v>3.25</v>
      </c>
      <c r="F164" s="306" t="s">
        <v>432</v>
      </c>
      <c r="G164" s="307" t="n">
        <v>24</v>
      </c>
      <c r="H164" s="308" t="n">
        <v>1086.77685950413</v>
      </c>
      <c r="I164" s="2"/>
      <c r="J164" s="144" t="s">
        <v>12</v>
      </c>
      <c r="K164" s="309" t="s">
        <v>12</v>
      </c>
      <c r="L164" s="310"/>
      <c r="M164" s="311" t="n">
        <v>479</v>
      </c>
      <c r="N164" s="312" t="n">
        <v>19.5</v>
      </c>
      <c r="O164" s="311" t="n">
        <v>289</v>
      </c>
      <c r="P164" s="312" t="n">
        <v>25</v>
      </c>
      <c r="Q164" s="310" t="n">
        <v>289</v>
      </c>
      <c r="R164" s="312" t="n">
        <v>24.2</v>
      </c>
      <c r="S164" s="310"/>
      <c r="T164" s="311" t="n">
        <v>0</v>
      </c>
      <c r="U164" s="312" t="n">
        <v>39.1</v>
      </c>
      <c r="V164" s="311" t="n">
        <v>0</v>
      </c>
      <c r="W164" s="312" t="n">
        <v>33.9</v>
      </c>
      <c r="X164" s="311" t="n">
        <v>0</v>
      </c>
      <c r="Y164" s="312" t="n">
        <v>33.5</v>
      </c>
      <c r="Z164" s="313" t="n">
        <v>0</v>
      </c>
      <c r="AA164" s="314" t="n">
        <v>33.5</v>
      </c>
      <c r="AB164" s="313" t="n">
        <v>0</v>
      </c>
      <c r="AC164" s="314" t="n">
        <v>33.5</v>
      </c>
      <c r="AD164" s="315"/>
      <c r="AE164" s="144" t="n">
        <v>378</v>
      </c>
      <c r="AF164" s="315"/>
      <c r="AG164" s="311" t="n">
        <v>0</v>
      </c>
      <c r="AH164" s="309" t="n">
        <v>0</v>
      </c>
      <c r="AI164" s="310"/>
      <c r="AJ164" s="311" t="n">
        <v>518</v>
      </c>
      <c r="AK164" s="309" t="n">
        <v>468</v>
      </c>
      <c r="AL164" s="311" t="n">
        <v>576</v>
      </c>
      <c r="AM164" s="309" t="n">
        <v>600</v>
      </c>
      <c r="AN164" s="311" t="n">
        <v>595</v>
      </c>
      <c r="AO164" s="309" t="n">
        <v>580.8</v>
      </c>
      <c r="AP164" s="310"/>
      <c r="AQ164" s="311" t="n">
        <v>527</v>
      </c>
      <c r="AR164" s="309" t="n">
        <v>938.4</v>
      </c>
      <c r="AS164" s="311" t="n">
        <v>651</v>
      </c>
      <c r="AT164" s="309" t="n">
        <v>813.6</v>
      </c>
      <c r="AU164" s="311" t="n">
        <v>661</v>
      </c>
      <c r="AV164" s="309" t="n">
        <v>804</v>
      </c>
      <c r="AW164" s="311" t="n">
        <v>661</v>
      </c>
      <c r="AX164" s="309" t="n">
        <v>804</v>
      </c>
      <c r="AY164" s="311" t="n">
        <v>661</v>
      </c>
      <c r="AZ164" s="309" t="n">
        <v>804</v>
      </c>
      <c r="BB164" s="144" t="n">
        <v>0</v>
      </c>
      <c r="BC164" s="315"/>
      <c r="BD164" s="311" t="n">
        <v>0</v>
      </c>
      <c r="BE164" s="316" t="n">
        <v>0</v>
      </c>
      <c r="BF164" s="310"/>
      <c r="BG164" s="317" t="n">
        <v>0</v>
      </c>
      <c r="BH164" s="318" t="n">
        <v>0.199999999999999</v>
      </c>
      <c r="BI164" s="317" t="n">
        <v>0</v>
      </c>
      <c r="BJ164" s="318" t="n">
        <v>0.599999999999998</v>
      </c>
      <c r="BK164" s="317" t="n">
        <v>0</v>
      </c>
      <c r="BL164" s="318" t="n">
        <v>0.800000000000001</v>
      </c>
      <c r="BM164" s="310"/>
      <c r="BN164" s="317" t="n">
        <v>0</v>
      </c>
      <c r="BO164" s="318" t="n">
        <v>0</v>
      </c>
      <c r="BP164" s="317" t="n">
        <v>0</v>
      </c>
      <c r="BQ164" s="318" t="n">
        <v>1.9</v>
      </c>
      <c r="BR164" s="317" t="n">
        <v>0</v>
      </c>
      <c r="BS164" s="318" t="n">
        <v>1.5</v>
      </c>
      <c r="BT164" s="317" t="n">
        <v>0</v>
      </c>
      <c r="BU164" s="318" t="n">
        <v>1.5</v>
      </c>
      <c r="BV164" s="317" t="n">
        <v>0</v>
      </c>
      <c r="BW164" s="318" t="n">
        <v>1.5</v>
      </c>
      <c r="BY164" s="143"/>
      <c r="BZ164" s="315"/>
      <c r="CA164" s="144" t="s">
        <v>12</v>
      </c>
      <c r="CB164" s="315"/>
      <c r="CC164" s="144" t="n">
        <v>-139.776859504132</v>
      </c>
      <c r="CD164" s="144" t="n">
        <v>-197.776859504132</v>
      </c>
      <c r="CE164" s="144" t="n">
        <v>-216.976859504132</v>
      </c>
      <c r="CF164" s="315"/>
      <c r="CG164" s="144" t="n">
        <v>-148.376859504132</v>
      </c>
      <c r="CH164" s="144" t="n">
        <v>-273.176859504132</v>
      </c>
      <c r="CI164" s="144" t="n">
        <v>-282.776859504132</v>
      </c>
      <c r="CJ164" s="144" t="n">
        <v>-282.776859504132</v>
      </c>
      <c r="CK164" s="144" t="n">
        <v>-282.776859504132</v>
      </c>
      <c r="CM164" s="144" t="n">
        <v>1238.84297520661</v>
      </c>
      <c r="CO164" s="319"/>
      <c r="CP164" s="320"/>
      <c r="CQ164" s="321" t="s">
        <v>12</v>
      </c>
      <c r="CR164" s="320"/>
      <c r="CS164" s="322" t="n">
        <v>-291.842975206612</v>
      </c>
      <c r="CT164" s="322" t="n">
        <v>-349.842975206612</v>
      </c>
      <c r="CU164" s="322" t="n">
        <v>-369.042975206611</v>
      </c>
      <c r="CV164" s="323"/>
      <c r="CW164" s="322" t="n">
        <v>-300.442975206611</v>
      </c>
      <c r="CX164" s="322" t="n">
        <v>-425.242975206612</v>
      </c>
      <c r="CY164" s="322" t="n">
        <v>-434.842975206612</v>
      </c>
      <c r="CZ164" s="322" t="n">
        <v>-434.842975206612</v>
      </c>
      <c r="DA164" s="322" t="n">
        <v>-434.842975206612</v>
      </c>
    </row>
    <row r="165" customFormat="false" ht="12.75" hidden="false" customHeight="false" outlineLevel="0" collapsed="false">
      <c r="B165" s="305" t="s">
        <v>497</v>
      </c>
      <c r="C165" s="305" t="s">
        <v>503</v>
      </c>
      <c r="D165" s="306" t="n">
        <v>1465</v>
      </c>
      <c r="E165" s="306" t="n">
        <v>3.25</v>
      </c>
      <c r="F165" s="324" t="s">
        <v>432</v>
      </c>
      <c r="G165" s="144" t="n">
        <v>48</v>
      </c>
      <c r="H165" s="325" t="n">
        <v>1086.77685950413</v>
      </c>
      <c r="I165" s="2"/>
      <c r="J165" s="144" t="s">
        <v>12</v>
      </c>
      <c r="K165" s="309" t="s">
        <v>12</v>
      </c>
      <c r="L165" s="310"/>
      <c r="M165" s="311" t="n">
        <v>479</v>
      </c>
      <c r="N165" s="312" t="n">
        <v>9.8</v>
      </c>
      <c r="O165" s="311" t="n">
        <v>289</v>
      </c>
      <c r="P165" s="312" t="n">
        <v>12.5</v>
      </c>
      <c r="Q165" s="310" t="n">
        <v>289</v>
      </c>
      <c r="R165" s="312" t="n">
        <v>12.1</v>
      </c>
      <c r="S165" s="310"/>
      <c r="T165" s="311" t="n">
        <v>0</v>
      </c>
      <c r="U165" s="312" t="n">
        <v>19.6</v>
      </c>
      <c r="V165" s="311" t="n">
        <v>0</v>
      </c>
      <c r="W165" s="312" t="n">
        <v>17</v>
      </c>
      <c r="X165" s="311" t="n">
        <v>0</v>
      </c>
      <c r="Y165" s="312" t="n">
        <v>16.8</v>
      </c>
      <c r="Z165" s="313" t="n">
        <v>0</v>
      </c>
      <c r="AA165" s="314" t="n">
        <v>16.8</v>
      </c>
      <c r="AB165" s="313" t="n">
        <v>0</v>
      </c>
      <c r="AC165" s="314" t="n">
        <v>16.8</v>
      </c>
      <c r="AD165" s="315"/>
      <c r="AE165" s="144" t="n">
        <v>378</v>
      </c>
      <c r="AF165" s="315"/>
      <c r="AG165" s="311" t="n">
        <v>0</v>
      </c>
      <c r="AH165" s="309" t="n">
        <v>0</v>
      </c>
      <c r="AI165" s="310"/>
      <c r="AJ165" s="311" t="n">
        <v>516</v>
      </c>
      <c r="AK165" s="309" t="n">
        <v>470.4</v>
      </c>
      <c r="AL165" s="311" t="n">
        <v>576</v>
      </c>
      <c r="AM165" s="309" t="n">
        <v>600</v>
      </c>
      <c r="AN165" s="310" t="n">
        <v>595</v>
      </c>
      <c r="AO165" s="309" t="n">
        <v>580.8</v>
      </c>
      <c r="AP165" s="310"/>
      <c r="AQ165" s="311" t="n">
        <v>524</v>
      </c>
      <c r="AR165" s="309" t="n">
        <v>940.8</v>
      </c>
      <c r="AS165" s="311" t="n">
        <v>649</v>
      </c>
      <c r="AT165" s="309" t="n">
        <v>816</v>
      </c>
      <c r="AU165" s="310" t="n">
        <v>659</v>
      </c>
      <c r="AV165" s="309" t="n">
        <v>806.4</v>
      </c>
      <c r="AW165" s="310" t="n">
        <v>659</v>
      </c>
      <c r="AX165" s="309" t="n">
        <v>806.4</v>
      </c>
      <c r="AY165" s="310" t="n">
        <v>659</v>
      </c>
      <c r="AZ165" s="309" t="n">
        <v>806.4</v>
      </c>
      <c r="BB165" s="144" t="n">
        <v>0</v>
      </c>
      <c r="BC165" s="315"/>
      <c r="BD165" s="311" t="n">
        <v>0</v>
      </c>
      <c r="BE165" s="316" t="n">
        <v>0</v>
      </c>
      <c r="BF165" s="310"/>
      <c r="BG165" s="317" t="n">
        <v>0</v>
      </c>
      <c r="BH165" s="318" t="n">
        <v>0</v>
      </c>
      <c r="BI165" s="317" t="n">
        <v>0</v>
      </c>
      <c r="BJ165" s="318" t="n">
        <v>0</v>
      </c>
      <c r="BK165" s="317" t="n">
        <v>0</v>
      </c>
      <c r="BL165" s="318" t="n">
        <v>0</v>
      </c>
      <c r="BM165" s="310"/>
      <c r="BN165" s="317" t="n">
        <v>0</v>
      </c>
      <c r="BO165" s="318" t="n">
        <v>0</v>
      </c>
      <c r="BP165" s="317" t="n">
        <v>0</v>
      </c>
      <c r="BQ165" s="318" t="n">
        <v>0</v>
      </c>
      <c r="BR165" s="317" t="n">
        <v>0</v>
      </c>
      <c r="BS165" s="318" t="n">
        <v>0</v>
      </c>
      <c r="BT165" s="317" t="n">
        <v>0</v>
      </c>
      <c r="BU165" s="318" t="n">
        <v>0</v>
      </c>
      <c r="BV165" s="317" t="n">
        <v>0</v>
      </c>
      <c r="BW165" s="318" t="n">
        <v>0</v>
      </c>
      <c r="BY165" s="143"/>
      <c r="BZ165" s="315"/>
      <c r="CA165" s="144" t="s">
        <v>12</v>
      </c>
      <c r="CB165" s="315"/>
      <c r="CC165" s="144" t="n">
        <v>-137.376859504132</v>
      </c>
      <c r="CD165" s="144" t="n">
        <v>-197.776859504132</v>
      </c>
      <c r="CE165" s="144" t="n">
        <v>-216.976859504132</v>
      </c>
      <c r="CF165" s="315"/>
      <c r="CG165" s="144" t="n">
        <v>-145.976859504132</v>
      </c>
      <c r="CH165" s="144" t="n">
        <v>-270.776859504132</v>
      </c>
      <c r="CI165" s="144" t="n">
        <v>-280.376859504132</v>
      </c>
      <c r="CJ165" s="144" t="n">
        <v>-280.376859504132</v>
      </c>
      <c r="CK165" s="144" t="n">
        <v>-280.376859504132</v>
      </c>
      <c r="CM165" s="144" t="n">
        <v>1238.84297520661</v>
      </c>
      <c r="CO165" s="319"/>
      <c r="CP165" s="320"/>
      <c r="CQ165" s="321" t="s">
        <v>12</v>
      </c>
      <c r="CR165" s="320"/>
      <c r="CS165" s="322" t="n">
        <v>-289.442975206611</v>
      </c>
      <c r="CT165" s="322" t="n">
        <v>-349.842975206612</v>
      </c>
      <c r="CU165" s="322" t="n">
        <v>-369.042975206611</v>
      </c>
      <c r="CV165" s="323"/>
      <c r="CW165" s="322" t="n">
        <v>-298.042975206611</v>
      </c>
      <c r="CX165" s="322" t="n">
        <v>-422.842975206612</v>
      </c>
      <c r="CY165" s="322" t="n">
        <v>-432.442975206611</v>
      </c>
      <c r="CZ165" s="322" t="n">
        <v>-432.442975206611</v>
      </c>
      <c r="DA165" s="322" t="n">
        <v>-432.442975206611</v>
      </c>
    </row>
    <row r="166" customFormat="false" ht="12.75" hidden="false" customHeight="false" outlineLevel="0" collapsed="false">
      <c r="B166" s="305" t="s">
        <v>497</v>
      </c>
      <c r="C166" s="305" t="s">
        <v>504</v>
      </c>
      <c r="D166" s="306" t="n">
        <v>205</v>
      </c>
      <c r="E166" s="306" t="n">
        <v>3.25</v>
      </c>
      <c r="F166" s="306" t="s">
        <v>432</v>
      </c>
      <c r="G166" s="144" t="n">
        <v>24</v>
      </c>
      <c r="H166" s="308" t="n">
        <v>128.925619834711</v>
      </c>
      <c r="I166" s="2"/>
      <c r="J166" s="144" t="s">
        <v>12</v>
      </c>
      <c r="K166" s="309" t="s">
        <v>12</v>
      </c>
      <c r="L166" s="310"/>
      <c r="M166" s="311" t="n">
        <v>19</v>
      </c>
      <c r="N166" s="312" t="n">
        <v>1.5</v>
      </c>
      <c r="O166" s="311" t="n">
        <v>0</v>
      </c>
      <c r="P166" s="312" t="n">
        <v>0.5</v>
      </c>
      <c r="Q166" s="310" t="n">
        <v>0</v>
      </c>
      <c r="R166" s="312" t="n">
        <v>0</v>
      </c>
      <c r="S166" s="310"/>
      <c r="T166" s="311" t="n">
        <v>0</v>
      </c>
      <c r="U166" s="312" t="n">
        <v>2.5</v>
      </c>
      <c r="V166" s="311" t="n">
        <v>0</v>
      </c>
      <c r="W166" s="312" t="n">
        <v>1.7</v>
      </c>
      <c r="X166" s="311" t="n">
        <v>0</v>
      </c>
      <c r="Y166" s="312" t="n">
        <v>0.7</v>
      </c>
      <c r="Z166" s="313" t="n">
        <v>0</v>
      </c>
      <c r="AA166" s="314" t="n">
        <v>0.7</v>
      </c>
      <c r="AB166" s="313" t="n">
        <v>0</v>
      </c>
      <c r="AC166" s="314" t="n">
        <v>0.7</v>
      </c>
      <c r="AD166" s="315"/>
      <c r="AE166" s="144" t="n">
        <v>76</v>
      </c>
      <c r="AF166" s="315"/>
      <c r="AG166" s="311" t="n">
        <v>0</v>
      </c>
      <c r="AH166" s="309" t="n">
        <v>0</v>
      </c>
      <c r="AI166" s="310"/>
      <c r="AJ166" s="311" t="n">
        <v>150</v>
      </c>
      <c r="AK166" s="309" t="n">
        <v>36</v>
      </c>
      <c r="AL166" s="311" t="n">
        <v>193</v>
      </c>
      <c r="AM166" s="309" t="n">
        <v>12</v>
      </c>
      <c r="AN166" s="311" t="n">
        <v>205</v>
      </c>
      <c r="AO166" s="309" t="n">
        <v>0</v>
      </c>
      <c r="AP166" s="310"/>
      <c r="AQ166" s="311" t="n">
        <v>145</v>
      </c>
      <c r="AR166" s="309" t="n">
        <v>60</v>
      </c>
      <c r="AS166" s="311" t="n">
        <v>164</v>
      </c>
      <c r="AT166" s="309" t="n">
        <v>40.8</v>
      </c>
      <c r="AU166" s="311" t="n">
        <v>188</v>
      </c>
      <c r="AV166" s="309" t="n">
        <v>16.8</v>
      </c>
      <c r="AW166" s="311" t="n">
        <v>188</v>
      </c>
      <c r="AX166" s="309" t="n">
        <v>16.8</v>
      </c>
      <c r="AY166" s="311" t="n">
        <v>188</v>
      </c>
      <c r="AZ166" s="309" t="n">
        <v>16.8</v>
      </c>
      <c r="BB166" s="144" t="n">
        <v>0</v>
      </c>
      <c r="BC166" s="315"/>
      <c r="BD166" s="311" t="n">
        <v>0</v>
      </c>
      <c r="BE166" s="316" t="n">
        <v>0</v>
      </c>
      <c r="BF166" s="310"/>
      <c r="BG166" s="317" t="n">
        <v>19</v>
      </c>
      <c r="BH166" s="318" t="n">
        <v>0</v>
      </c>
      <c r="BI166" s="317" t="n">
        <v>0</v>
      </c>
      <c r="BJ166" s="318" t="n">
        <v>0</v>
      </c>
      <c r="BK166" s="317" t="n">
        <v>0</v>
      </c>
      <c r="BL166" s="318" t="n">
        <v>0</v>
      </c>
      <c r="BM166" s="310"/>
      <c r="BN166" s="317" t="n">
        <v>0</v>
      </c>
      <c r="BO166" s="318" t="n">
        <v>0.4</v>
      </c>
      <c r="BP166" s="317" t="n">
        <v>0</v>
      </c>
      <c r="BQ166" s="318" t="n">
        <v>0.6</v>
      </c>
      <c r="BR166" s="317" t="n">
        <v>0</v>
      </c>
      <c r="BS166" s="318" t="n">
        <v>0.2</v>
      </c>
      <c r="BT166" s="317" t="n">
        <v>0</v>
      </c>
      <c r="BU166" s="318" t="n">
        <v>0.2</v>
      </c>
      <c r="BV166" s="317" t="n">
        <v>0</v>
      </c>
      <c r="BW166" s="318" t="n">
        <v>0.2</v>
      </c>
      <c r="BY166" s="143"/>
      <c r="BZ166" s="315"/>
      <c r="CA166" s="144" t="s">
        <v>12</v>
      </c>
      <c r="CB166" s="315"/>
      <c r="CC166" s="144" t="n">
        <v>-73.9256198347107</v>
      </c>
      <c r="CD166" s="144" t="n">
        <v>-116.925619834711</v>
      </c>
      <c r="CE166" s="144" t="n">
        <v>-128.925619834711</v>
      </c>
      <c r="CF166" s="315"/>
      <c r="CG166" s="144" t="n">
        <v>-68.9256198347107</v>
      </c>
      <c r="CH166" s="144" t="n">
        <v>-88.1256198347107</v>
      </c>
      <c r="CI166" s="144" t="n">
        <v>-112.125619834711</v>
      </c>
      <c r="CJ166" s="144" t="n">
        <v>-112.125619834711</v>
      </c>
      <c r="CK166" s="144" t="n">
        <v>-112.125619834711</v>
      </c>
      <c r="CM166" s="144" t="n">
        <v>164.462809917355</v>
      </c>
      <c r="CO166" s="319"/>
      <c r="CP166" s="320"/>
      <c r="CQ166" s="321" t="s">
        <v>12</v>
      </c>
      <c r="CR166" s="320"/>
      <c r="CS166" s="322" t="n">
        <v>-109.462809917355</v>
      </c>
      <c r="CT166" s="322" t="n">
        <v>-152.462809917355</v>
      </c>
      <c r="CU166" s="322" t="n">
        <v>-164.462809917355</v>
      </c>
      <c r="CV166" s="323"/>
      <c r="CW166" s="322" t="n">
        <v>-104.462809917355</v>
      </c>
      <c r="CX166" s="322" t="n">
        <v>-123.662809917355</v>
      </c>
      <c r="CY166" s="322" t="n">
        <v>-147.662809917355</v>
      </c>
      <c r="CZ166" s="322" t="n">
        <v>-147.662809917355</v>
      </c>
      <c r="DA166" s="322" t="n">
        <v>-147.662809917355</v>
      </c>
    </row>
    <row r="167" customFormat="false" ht="12.75" hidden="false" customHeight="false" outlineLevel="0" collapsed="false">
      <c r="B167" s="305" t="s">
        <v>497</v>
      </c>
      <c r="C167" s="305" t="s">
        <v>504</v>
      </c>
      <c r="D167" s="306" t="n">
        <v>205</v>
      </c>
      <c r="E167" s="306" t="n">
        <v>3.25</v>
      </c>
      <c r="F167" s="324" t="s">
        <v>432</v>
      </c>
      <c r="G167" s="144" t="n">
        <v>48</v>
      </c>
      <c r="H167" s="325" t="n">
        <v>128.925619834711</v>
      </c>
      <c r="I167" s="2"/>
      <c r="J167" s="144" t="s">
        <v>12</v>
      </c>
      <c r="K167" s="309" t="s">
        <v>12</v>
      </c>
      <c r="L167" s="310"/>
      <c r="M167" s="311" t="n">
        <v>19</v>
      </c>
      <c r="N167" s="312" t="n">
        <v>0.8</v>
      </c>
      <c r="O167" s="311" t="n">
        <v>0</v>
      </c>
      <c r="P167" s="312" t="n">
        <v>0.3</v>
      </c>
      <c r="Q167" s="310" t="n">
        <v>0</v>
      </c>
      <c r="R167" s="312" t="n">
        <v>0</v>
      </c>
      <c r="S167" s="310"/>
      <c r="T167" s="311" t="n">
        <v>0</v>
      </c>
      <c r="U167" s="312" t="n">
        <v>1.3</v>
      </c>
      <c r="V167" s="311" t="n">
        <v>0</v>
      </c>
      <c r="W167" s="312" t="n">
        <v>0.9</v>
      </c>
      <c r="X167" s="311" t="n">
        <v>0</v>
      </c>
      <c r="Y167" s="312" t="n">
        <v>0.4</v>
      </c>
      <c r="Z167" s="313" t="n">
        <v>0</v>
      </c>
      <c r="AA167" s="314" t="n">
        <v>0.4</v>
      </c>
      <c r="AB167" s="313" t="n">
        <v>0</v>
      </c>
      <c r="AC167" s="314" t="n">
        <v>0.4</v>
      </c>
      <c r="AD167" s="315"/>
      <c r="AE167" s="144" t="n">
        <v>76</v>
      </c>
      <c r="AF167" s="315"/>
      <c r="AG167" s="311" t="n">
        <v>0</v>
      </c>
      <c r="AH167" s="309" t="n">
        <v>0</v>
      </c>
      <c r="AI167" s="310"/>
      <c r="AJ167" s="311" t="n">
        <v>148</v>
      </c>
      <c r="AK167" s="309" t="n">
        <v>38.4</v>
      </c>
      <c r="AL167" s="311" t="n">
        <v>191</v>
      </c>
      <c r="AM167" s="309" t="n">
        <v>14.4</v>
      </c>
      <c r="AN167" s="310" t="n">
        <v>205</v>
      </c>
      <c r="AO167" s="309" t="n">
        <v>0</v>
      </c>
      <c r="AP167" s="310"/>
      <c r="AQ167" s="311" t="n">
        <v>143</v>
      </c>
      <c r="AR167" s="309" t="n">
        <v>62.4</v>
      </c>
      <c r="AS167" s="311" t="n">
        <v>162</v>
      </c>
      <c r="AT167" s="309" t="n">
        <v>43.2</v>
      </c>
      <c r="AU167" s="310" t="n">
        <v>186</v>
      </c>
      <c r="AV167" s="309" t="n">
        <v>19.2</v>
      </c>
      <c r="AW167" s="310" t="n">
        <v>186</v>
      </c>
      <c r="AX167" s="309" t="n">
        <v>19.2</v>
      </c>
      <c r="AY167" s="310" t="n">
        <v>186</v>
      </c>
      <c r="AZ167" s="309" t="n">
        <v>19.2</v>
      </c>
      <c r="BB167" s="144" t="n">
        <v>0</v>
      </c>
      <c r="BC167" s="315"/>
      <c r="BD167" s="311" t="n">
        <v>0</v>
      </c>
      <c r="BE167" s="316" t="n">
        <v>0</v>
      </c>
      <c r="BF167" s="310"/>
      <c r="BG167" s="317" t="n">
        <v>0</v>
      </c>
      <c r="BH167" s="318" t="n">
        <v>0</v>
      </c>
      <c r="BI167" s="317" t="n">
        <v>0</v>
      </c>
      <c r="BJ167" s="318" t="n">
        <v>0</v>
      </c>
      <c r="BK167" s="317" t="n">
        <v>0</v>
      </c>
      <c r="BL167" s="318" t="n">
        <v>0</v>
      </c>
      <c r="BM167" s="310"/>
      <c r="BN167" s="317" t="n">
        <v>0</v>
      </c>
      <c r="BO167" s="318" t="n">
        <v>0</v>
      </c>
      <c r="BP167" s="317" t="n">
        <v>0</v>
      </c>
      <c r="BQ167" s="318" t="n">
        <v>0</v>
      </c>
      <c r="BR167" s="317" t="n">
        <v>0</v>
      </c>
      <c r="BS167" s="318" t="n">
        <v>0</v>
      </c>
      <c r="BT167" s="317" t="n">
        <v>0</v>
      </c>
      <c r="BU167" s="318" t="n">
        <v>0</v>
      </c>
      <c r="BV167" s="317" t="n">
        <v>0</v>
      </c>
      <c r="BW167" s="318" t="n">
        <v>0</v>
      </c>
      <c r="BY167" s="143"/>
      <c r="BZ167" s="315"/>
      <c r="CA167" s="144" t="s">
        <v>12</v>
      </c>
      <c r="CB167" s="315"/>
      <c r="CC167" s="144" t="n">
        <v>-71.5256198347107</v>
      </c>
      <c r="CD167" s="144" t="n">
        <v>-114.525619834711</v>
      </c>
      <c r="CE167" s="144" t="n">
        <v>-128.925619834711</v>
      </c>
      <c r="CF167" s="315"/>
      <c r="CG167" s="144" t="n">
        <v>-66.5256198347107</v>
      </c>
      <c r="CH167" s="144" t="n">
        <v>-85.7256198347107</v>
      </c>
      <c r="CI167" s="144" t="n">
        <v>-109.725619834711</v>
      </c>
      <c r="CJ167" s="144" t="n">
        <v>-109.725619834711</v>
      </c>
      <c r="CK167" s="144" t="n">
        <v>-109.725619834711</v>
      </c>
      <c r="CM167" s="144" t="n">
        <v>164.462809917355</v>
      </c>
      <c r="CO167" s="319"/>
      <c r="CP167" s="320"/>
      <c r="CQ167" s="321" t="s">
        <v>12</v>
      </c>
      <c r="CR167" s="320"/>
      <c r="CS167" s="322" t="n">
        <v>-107.062809917355</v>
      </c>
      <c r="CT167" s="322" t="n">
        <v>-150.062809917355</v>
      </c>
      <c r="CU167" s="322" t="n">
        <v>-164.462809917355</v>
      </c>
      <c r="CV167" s="323"/>
      <c r="CW167" s="322" t="n">
        <v>-102.062809917355</v>
      </c>
      <c r="CX167" s="322" t="n">
        <v>-121.262809917355</v>
      </c>
      <c r="CY167" s="322" t="n">
        <v>-145.262809917355</v>
      </c>
      <c r="CZ167" s="322" t="n">
        <v>-145.262809917355</v>
      </c>
      <c r="DA167" s="322" t="n">
        <v>-145.262809917355</v>
      </c>
    </row>
    <row r="168" customFormat="false" ht="12.75" hidden="false" customHeight="false" outlineLevel="0" collapsed="false">
      <c r="B168" s="305" t="s">
        <v>497</v>
      </c>
      <c r="C168" s="305" t="s">
        <v>505</v>
      </c>
      <c r="D168" s="306" t="n">
        <v>281</v>
      </c>
      <c r="E168" s="306" t="n">
        <v>3.25</v>
      </c>
      <c r="F168" s="306" t="s">
        <v>432</v>
      </c>
      <c r="G168" s="307" t="n">
        <v>24</v>
      </c>
      <c r="H168" s="308" t="n">
        <v>154.545454545455</v>
      </c>
      <c r="I168" s="2"/>
      <c r="J168" s="144" t="s">
        <v>12</v>
      </c>
      <c r="K168" s="309" t="s">
        <v>12</v>
      </c>
      <c r="L168" s="310"/>
      <c r="M168" s="311" t="n">
        <v>29</v>
      </c>
      <c r="N168" s="312" t="n">
        <v>4.4</v>
      </c>
      <c r="O168" s="311" t="n">
        <v>0</v>
      </c>
      <c r="P168" s="312" t="n">
        <v>2.9</v>
      </c>
      <c r="Q168" s="310" t="n">
        <v>0</v>
      </c>
      <c r="R168" s="312" t="n">
        <v>2.1</v>
      </c>
      <c r="S168" s="310"/>
      <c r="T168" s="311" t="n">
        <v>0</v>
      </c>
      <c r="U168" s="312" t="n">
        <v>4.2</v>
      </c>
      <c r="V168" s="311" t="n">
        <v>0</v>
      </c>
      <c r="W168" s="312" t="n">
        <v>2.5</v>
      </c>
      <c r="X168" s="311" t="n">
        <v>0</v>
      </c>
      <c r="Y168" s="312" t="n">
        <v>1.5</v>
      </c>
      <c r="Z168" s="313" t="n">
        <v>0</v>
      </c>
      <c r="AA168" s="314" t="n">
        <v>1.5</v>
      </c>
      <c r="AB168" s="313" t="n">
        <v>0</v>
      </c>
      <c r="AC168" s="314" t="n">
        <v>1.5</v>
      </c>
      <c r="AD168" s="315"/>
      <c r="AE168" s="144" t="n">
        <v>126</v>
      </c>
      <c r="AF168" s="315"/>
      <c r="AG168" s="311" t="n">
        <v>0</v>
      </c>
      <c r="AH168" s="309" t="n">
        <v>0</v>
      </c>
      <c r="AI168" s="310"/>
      <c r="AJ168" s="311" t="n">
        <v>146</v>
      </c>
      <c r="AK168" s="309" t="n">
        <v>105.6</v>
      </c>
      <c r="AL168" s="311" t="n">
        <v>211</v>
      </c>
      <c r="AM168" s="309" t="n">
        <v>69.6</v>
      </c>
      <c r="AN168" s="311" t="n">
        <v>231</v>
      </c>
      <c r="AO168" s="309" t="n">
        <v>50.4</v>
      </c>
      <c r="AP168" s="310"/>
      <c r="AQ168" s="311" t="n">
        <v>180</v>
      </c>
      <c r="AR168" s="309" t="n">
        <v>100.8</v>
      </c>
      <c r="AS168" s="311" t="n">
        <v>221</v>
      </c>
      <c r="AT168" s="309" t="n">
        <v>60</v>
      </c>
      <c r="AU168" s="311" t="n">
        <v>245</v>
      </c>
      <c r="AV168" s="309" t="n">
        <v>36</v>
      </c>
      <c r="AW168" s="311" t="n">
        <v>245</v>
      </c>
      <c r="AX168" s="309" t="n">
        <v>36</v>
      </c>
      <c r="AY168" s="311" t="n">
        <v>245</v>
      </c>
      <c r="AZ168" s="309" t="n">
        <v>36</v>
      </c>
      <c r="BB168" s="144" t="n">
        <v>0</v>
      </c>
      <c r="BC168" s="315"/>
      <c r="BD168" s="311" t="n">
        <v>0</v>
      </c>
      <c r="BE168" s="316" t="n">
        <v>0</v>
      </c>
      <c r="BF168" s="310"/>
      <c r="BG168" s="317" t="n">
        <v>0</v>
      </c>
      <c r="BH168" s="318" t="n">
        <v>0.4</v>
      </c>
      <c r="BI168" s="317" t="n">
        <v>0</v>
      </c>
      <c r="BJ168" s="318" t="n">
        <v>0.8</v>
      </c>
      <c r="BK168" s="317" t="n">
        <v>0</v>
      </c>
      <c r="BL168" s="318" t="n">
        <v>0.6</v>
      </c>
      <c r="BM168" s="310"/>
      <c r="BN168" s="317" t="n">
        <v>0</v>
      </c>
      <c r="BO168" s="318" t="n">
        <v>0</v>
      </c>
      <c r="BP168" s="317" t="n">
        <v>0</v>
      </c>
      <c r="BQ168" s="318" t="n">
        <v>1.4</v>
      </c>
      <c r="BR168" s="317" t="n">
        <v>0</v>
      </c>
      <c r="BS168" s="318" t="n">
        <v>0</v>
      </c>
      <c r="BT168" s="317" t="n">
        <v>0</v>
      </c>
      <c r="BU168" s="318" t="n">
        <v>0</v>
      </c>
      <c r="BV168" s="317" t="n">
        <v>0</v>
      </c>
      <c r="BW168" s="318" t="n">
        <v>0</v>
      </c>
      <c r="BY168" s="143"/>
      <c r="BZ168" s="315"/>
      <c r="CA168" s="144" t="s">
        <v>12</v>
      </c>
      <c r="CB168" s="315"/>
      <c r="CC168" s="144" t="n">
        <v>-19.9454545454545</v>
      </c>
      <c r="CD168" s="144" t="n">
        <v>-84.9454545454546</v>
      </c>
      <c r="CE168" s="144" t="n">
        <v>-104.145454545455</v>
      </c>
      <c r="CF168" s="315"/>
      <c r="CG168" s="144" t="n">
        <v>-53.7454545454546</v>
      </c>
      <c r="CH168" s="144" t="n">
        <v>-94.5454545454546</v>
      </c>
      <c r="CI168" s="144" t="n">
        <v>-118.545454545455</v>
      </c>
      <c r="CJ168" s="144" t="n">
        <v>-118.545454545455</v>
      </c>
      <c r="CK168" s="144" t="n">
        <v>-118.545454545455</v>
      </c>
      <c r="CM168" s="144" t="n">
        <v>205.785123966942</v>
      </c>
      <c r="CO168" s="319"/>
      <c r="CP168" s="320"/>
      <c r="CQ168" s="321" t="s">
        <v>12</v>
      </c>
      <c r="CR168" s="320"/>
      <c r="CS168" s="322" t="n">
        <v>-71.1851239669421</v>
      </c>
      <c r="CT168" s="322" t="n">
        <v>-136.185123966942</v>
      </c>
      <c r="CU168" s="322" t="n">
        <v>-155.385123966942</v>
      </c>
      <c r="CV168" s="323"/>
      <c r="CW168" s="322" t="n">
        <v>-104.985123966942</v>
      </c>
      <c r="CX168" s="322" t="n">
        <v>-145.785123966942</v>
      </c>
      <c r="CY168" s="322" t="n">
        <v>-169.785123966942</v>
      </c>
      <c r="CZ168" s="322" t="n">
        <v>-169.785123966942</v>
      </c>
      <c r="DA168" s="322" t="n">
        <v>-169.785123966942</v>
      </c>
    </row>
    <row r="169" customFormat="false" ht="12.75" hidden="false" customHeight="false" outlineLevel="0" collapsed="false">
      <c r="B169" s="305" t="s">
        <v>497</v>
      </c>
      <c r="C169" s="305" t="s">
        <v>505</v>
      </c>
      <c r="D169" s="306" t="n">
        <v>281</v>
      </c>
      <c r="E169" s="306" t="n">
        <v>3.25</v>
      </c>
      <c r="F169" s="324" t="s">
        <v>432</v>
      </c>
      <c r="G169" s="144" t="n">
        <v>48</v>
      </c>
      <c r="H169" s="325" t="n">
        <v>154.545454545455</v>
      </c>
      <c r="I169" s="2"/>
      <c r="J169" s="144" t="s">
        <v>12</v>
      </c>
      <c r="K169" s="309" t="s">
        <v>12</v>
      </c>
      <c r="L169" s="310"/>
      <c r="M169" s="311" t="n">
        <v>29</v>
      </c>
      <c r="N169" s="312" t="n">
        <v>2.2</v>
      </c>
      <c r="O169" s="311" t="n">
        <v>0</v>
      </c>
      <c r="P169" s="312" t="n">
        <v>1.5</v>
      </c>
      <c r="Q169" s="310" t="n">
        <v>0</v>
      </c>
      <c r="R169" s="312" t="n">
        <v>1.1</v>
      </c>
      <c r="S169" s="310"/>
      <c r="T169" s="311" t="n">
        <v>0</v>
      </c>
      <c r="U169" s="312" t="n">
        <v>2.1</v>
      </c>
      <c r="V169" s="311" t="n">
        <v>0</v>
      </c>
      <c r="W169" s="312" t="n">
        <v>1.3</v>
      </c>
      <c r="X169" s="311" t="n">
        <v>0</v>
      </c>
      <c r="Y169" s="312" t="n">
        <v>0.8</v>
      </c>
      <c r="Z169" s="313" t="n">
        <v>0</v>
      </c>
      <c r="AA169" s="314" t="n">
        <v>0.8</v>
      </c>
      <c r="AB169" s="313" t="n">
        <v>0</v>
      </c>
      <c r="AC169" s="314" t="n">
        <v>0.8</v>
      </c>
      <c r="AD169" s="315"/>
      <c r="AE169" s="144" t="n">
        <v>126</v>
      </c>
      <c r="AF169" s="315"/>
      <c r="AG169" s="311" t="n">
        <v>0</v>
      </c>
      <c r="AH169" s="309" t="n">
        <v>0</v>
      </c>
      <c r="AI169" s="310"/>
      <c r="AJ169" s="311" t="n">
        <v>146</v>
      </c>
      <c r="AK169" s="309" t="n">
        <v>105.6</v>
      </c>
      <c r="AL169" s="311" t="n">
        <v>209</v>
      </c>
      <c r="AM169" s="309" t="n">
        <v>72</v>
      </c>
      <c r="AN169" s="310" t="n">
        <v>228</v>
      </c>
      <c r="AO169" s="309" t="n">
        <v>52.8</v>
      </c>
      <c r="AP169" s="310"/>
      <c r="AQ169" s="311" t="n">
        <v>180</v>
      </c>
      <c r="AR169" s="309" t="n">
        <v>100.8</v>
      </c>
      <c r="AS169" s="311" t="n">
        <v>219</v>
      </c>
      <c r="AT169" s="309" t="n">
        <v>62.4</v>
      </c>
      <c r="AU169" s="310" t="n">
        <v>243</v>
      </c>
      <c r="AV169" s="309" t="n">
        <v>38.4</v>
      </c>
      <c r="AW169" s="310" t="n">
        <v>243</v>
      </c>
      <c r="AX169" s="309" t="n">
        <v>38.4</v>
      </c>
      <c r="AY169" s="310" t="n">
        <v>243</v>
      </c>
      <c r="AZ169" s="309" t="n">
        <v>38.4</v>
      </c>
      <c r="BB169" s="144" t="n">
        <v>0</v>
      </c>
      <c r="BC169" s="315"/>
      <c r="BD169" s="311" t="n">
        <v>0</v>
      </c>
      <c r="BE169" s="316" t="n">
        <v>0</v>
      </c>
      <c r="BF169" s="310"/>
      <c r="BG169" s="317" t="n">
        <v>0</v>
      </c>
      <c r="BH169" s="318" t="n">
        <v>0</v>
      </c>
      <c r="BI169" s="317" t="n">
        <v>0</v>
      </c>
      <c r="BJ169" s="318" t="n">
        <v>0</v>
      </c>
      <c r="BK169" s="317" t="n">
        <v>0</v>
      </c>
      <c r="BL169" s="318" t="n">
        <v>0</v>
      </c>
      <c r="BM169" s="310"/>
      <c r="BN169" s="317" t="n">
        <v>0</v>
      </c>
      <c r="BO169" s="318" t="n">
        <v>0</v>
      </c>
      <c r="BP169" s="317" t="n">
        <v>0</v>
      </c>
      <c r="BQ169" s="318" t="n">
        <v>0</v>
      </c>
      <c r="BR169" s="317" t="n">
        <v>0</v>
      </c>
      <c r="BS169" s="318" t="n">
        <v>0</v>
      </c>
      <c r="BT169" s="317" t="n">
        <v>0</v>
      </c>
      <c r="BU169" s="318" t="n">
        <v>0</v>
      </c>
      <c r="BV169" s="317" t="n">
        <v>0</v>
      </c>
      <c r="BW169" s="318" t="n">
        <v>0</v>
      </c>
      <c r="BY169" s="143"/>
      <c r="BZ169" s="315"/>
      <c r="CA169" s="144" t="s">
        <v>12</v>
      </c>
      <c r="CB169" s="315"/>
      <c r="CC169" s="144" t="n">
        <v>-19.9454545454545</v>
      </c>
      <c r="CD169" s="144" t="n">
        <v>-82.5454545454546</v>
      </c>
      <c r="CE169" s="144" t="n">
        <v>-101.745454545455</v>
      </c>
      <c r="CF169" s="315"/>
      <c r="CG169" s="144" t="n">
        <v>-53.7454545454546</v>
      </c>
      <c r="CH169" s="144" t="n">
        <v>-92.1454545454546</v>
      </c>
      <c r="CI169" s="144" t="n">
        <v>-116.145454545455</v>
      </c>
      <c r="CJ169" s="144" t="n">
        <v>-116.145454545455</v>
      </c>
      <c r="CK169" s="144" t="n">
        <v>-116.145454545455</v>
      </c>
      <c r="CM169" s="144" t="n">
        <v>205.785123966942</v>
      </c>
      <c r="CO169" s="319"/>
      <c r="CP169" s="320"/>
      <c r="CQ169" s="321" t="s">
        <v>12</v>
      </c>
      <c r="CR169" s="320"/>
      <c r="CS169" s="322" t="n">
        <v>-71.1851239669421</v>
      </c>
      <c r="CT169" s="322" t="n">
        <v>-133.785123966942</v>
      </c>
      <c r="CU169" s="322" t="n">
        <v>-152.985123966942</v>
      </c>
      <c r="CV169" s="323"/>
      <c r="CW169" s="322" t="n">
        <v>-104.985123966942</v>
      </c>
      <c r="CX169" s="322" t="n">
        <v>-143.385123966942</v>
      </c>
      <c r="CY169" s="322" t="n">
        <v>-167.385123966942</v>
      </c>
      <c r="CZ169" s="322" t="n">
        <v>-167.385123966942</v>
      </c>
      <c r="DA169" s="322" t="n">
        <v>-167.385123966942</v>
      </c>
    </row>
    <row r="170" customFormat="false" ht="12.75" hidden="false" customHeight="false" outlineLevel="0" collapsed="false">
      <c r="B170" s="305" t="s">
        <v>497</v>
      </c>
      <c r="C170" s="327" t="s">
        <v>506</v>
      </c>
      <c r="D170" s="306" t="n">
        <v>164</v>
      </c>
      <c r="E170" s="306" t="n">
        <v>3.25</v>
      </c>
      <c r="F170" s="306" t="s">
        <v>432</v>
      </c>
      <c r="G170" s="307" t="n">
        <v>24</v>
      </c>
      <c r="H170" s="308" t="n">
        <v>87.603305785124</v>
      </c>
      <c r="I170" s="2"/>
      <c r="J170" s="144" t="s">
        <v>12</v>
      </c>
      <c r="K170" s="309" t="s">
        <v>12</v>
      </c>
      <c r="L170" s="310"/>
      <c r="M170" s="311" t="n">
        <v>0</v>
      </c>
      <c r="N170" s="312" t="n">
        <v>3.4</v>
      </c>
      <c r="O170" s="311" t="n">
        <v>0</v>
      </c>
      <c r="P170" s="312" t="n">
        <v>0.9</v>
      </c>
      <c r="Q170" s="310" t="n">
        <v>0</v>
      </c>
      <c r="R170" s="312" t="n">
        <v>0.3</v>
      </c>
      <c r="S170" s="310"/>
      <c r="T170" s="311" t="n">
        <v>0</v>
      </c>
      <c r="U170" s="312" t="n">
        <v>3.4</v>
      </c>
      <c r="V170" s="311" t="n">
        <v>0</v>
      </c>
      <c r="W170" s="312" t="n">
        <v>0.9</v>
      </c>
      <c r="X170" s="311" t="n">
        <v>0</v>
      </c>
      <c r="Y170" s="312" t="n">
        <v>0</v>
      </c>
      <c r="Z170" s="313" t="n">
        <v>0</v>
      </c>
      <c r="AA170" s="314" t="n">
        <v>0</v>
      </c>
      <c r="AB170" s="313" t="n">
        <v>0</v>
      </c>
      <c r="AC170" s="314" t="n">
        <v>0</v>
      </c>
      <c r="AD170" s="315"/>
      <c r="AE170" s="144" t="n">
        <v>76</v>
      </c>
      <c r="AF170" s="315"/>
      <c r="AG170" s="311" t="n">
        <v>0</v>
      </c>
      <c r="AH170" s="309" t="n">
        <v>0</v>
      </c>
      <c r="AI170" s="310"/>
      <c r="AJ170" s="311" t="n">
        <v>82</v>
      </c>
      <c r="AK170" s="309" t="n">
        <v>81.6</v>
      </c>
      <c r="AL170" s="311" t="n">
        <v>142</v>
      </c>
      <c r="AM170" s="309" t="n">
        <v>21.6</v>
      </c>
      <c r="AN170" s="311" t="n">
        <v>157</v>
      </c>
      <c r="AO170" s="309" t="n">
        <v>7.2</v>
      </c>
      <c r="AP170" s="310"/>
      <c r="AQ170" s="311" t="n">
        <v>82</v>
      </c>
      <c r="AR170" s="309" t="n">
        <v>81.6</v>
      </c>
      <c r="AS170" s="311" t="n">
        <v>142</v>
      </c>
      <c r="AT170" s="309" t="n">
        <v>21.6</v>
      </c>
      <c r="AU170" s="311" t="n">
        <v>164</v>
      </c>
      <c r="AV170" s="309" t="n">
        <v>0</v>
      </c>
      <c r="AW170" s="311" t="n">
        <v>164</v>
      </c>
      <c r="AX170" s="309" t="n">
        <v>0</v>
      </c>
      <c r="AY170" s="311" t="n">
        <v>164</v>
      </c>
      <c r="AZ170" s="309" t="n">
        <v>0</v>
      </c>
      <c r="BB170" s="144" t="n">
        <v>0</v>
      </c>
      <c r="BC170" s="315"/>
      <c r="BD170" s="311" t="n">
        <v>0</v>
      </c>
      <c r="BE170" s="316" t="n">
        <v>0</v>
      </c>
      <c r="BF170" s="310"/>
      <c r="BG170" s="317" t="n">
        <v>0</v>
      </c>
      <c r="BH170" s="318" t="n">
        <v>0</v>
      </c>
      <c r="BI170" s="317" t="n">
        <v>0</v>
      </c>
      <c r="BJ170" s="318" t="n">
        <v>0</v>
      </c>
      <c r="BK170" s="317" t="n">
        <v>0</v>
      </c>
      <c r="BL170" s="318" t="n">
        <v>0</v>
      </c>
      <c r="BM170" s="310"/>
      <c r="BN170" s="317" t="n">
        <v>0</v>
      </c>
      <c r="BO170" s="318" t="n">
        <v>0</v>
      </c>
      <c r="BP170" s="317" t="n">
        <v>0</v>
      </c>
      <c r="BQ170" s="318" t="n">
        <v>0</v>
      </c>
      <c r="BR170" s="317" t="n">
        <v>0</v>
      </c>
      <c r="BS170" s="318" t="n">
        <v>0</v>
      </c>
      <c r="BT170" s="317" t="n">
        <v>0</v>
      </c>
      <c r="BU170" s="318" t="n">
        <v>0</v>
      </c>
      <c r="BV170" s="317" t="n">
        <v>0</v>
      </c>
      <c r="BW170" s="318" t="n">
        <v>0</v>
      </c>
      <c r="BY170" s="143"/>
      <c r="BZ170" s="315"/>
      <c r="CA170" s="144" t="s">
        <v>12</v>
      </c>
      <c r="CB170" s="315"/>
      <c r="CC170" s="144" t="n">
        <v>-6.00330578512396</v>
      </c>
      <c r="CD170" s="144" t="n">
        <v>-66.003305785124</v>
      </c>
      <c r="CE170" s="144" t="n">
        <v>-80.403305785124</v>
      </c>
      <c r="CF170" s="315"/>
      <c r="CG170" s="144" t="n">
        <v>-6.00330578512396</v>
      </c>
      <c r="CH170" s="144" t="n">
        <v>-66.003305785124</v>
      </c>
      <c r="CI170" s="144" t="n">
        <v>-87.603305785124</v>
      </c>
      <c r="CJ170" s="144" t="n">
        <v>-87.603305785124</v>
      </c>
      <c r="CK170" s="144" t="n">
        <v>-87.603305785124</v>
      </c>
      <c r="CM170" s="144" t="n">
        <v>123.140495867769</v>
      </c>
      <c r="CO170" s="319"/>
      <c r="CP170" s="320"/>
      <c r="CQ170" s="321" t="s">
        <v>12</v>
      </c>
      <c r="CR170" s="320"/>
      <c r="CS170" s="322" t="n">
        <v>-41.5404958677686</v>
      </c>
      <c r="CT170" s="322" t="n">
        <v>-101.540495867769</v>
      </c>
      <c r="CU170" s="322" t="n">
        <v>-115.940495867769</v>
      </c>
      <c r="CV170" s="323"/>
      <c r="CW170" s="322" t="n">
        <v>-41.5404958677686</v>
      </c>
      <c r="CX170" s="322" t="n">
        <v>-101.540495867769</v>
      </c>
      <c r="CY170" s="322" t="n">
        <v>-123.140495867769</v>
      </c>
      <c r="CZ170" s="322" t="n">
        <v>-123.140495867769</v>
      </c>
      <c r="DA170" s="322" t="n">
        <v>-123.140495867769</v>
      </c>
    </row>
    <row r="171" customFormat="false" ht="12.75" hidden="false" customHeight="false" outlineLevel="0" collapsed="false">
      <c r="B171" s="305" t="s">
        <v>497</v>
      </c>
      <c r="C171" s="305" t="s">
        <v>507</v>
      </c>
      <c r="D171" s="306" t="n">
        <v>323</v>
      </c>
      <c r="E171" s="306" t="n">
        <v>3.25</v>
      </c>
      <c r="F171" s="324" t="s">
        <v>432</v>
      </c>
      <c r="G171" s="144" t="n">
        <v>24</v>
      </c>
      <c r="H171" s="325" t="n">
        <v>286.776859504132</v>
      </c>
      <c r="I171" s="2"/>
      <c r="J171" s="144" t="s">
        <v>12</v>
      </c>
      <c r="K171" s="309" t="s">
        <v>12</v>
      </c>
      <c r="L171" s="310"/>
      <c r="M171" s="311" t="n">
        <v>99</v>
      </c>
      <c r="N171" s="312" t="n">
        <v>5.6</v>
      </c>
      <c r="O171" s="311" t="n">
        <v>19</v>
      </c>
      <c r="P171" s="312" t="n">
        <v>6.9</v>
      </c>
      <c r="Q171" s="310" t="n">
        <v>19</v>
      </c>
      <c r="R171" s="312" t="n">
        <v>6</v>
      </c>
      <c r="S171" s="310"/>
      <c r="T171" s="311" t="n">
        <v>0</v>
      </c>
      <c r="U171" s="312" t="n">
        <v>7.3</v>
      </c>
      <c r="V171" s="311" t="n">
        <v>0</v>
      </c>
      <c r="W171" s="312" t="n">
        <v>5.8</v>
      </c>
      <c r="X171" s="311" t="n">
        <v>0</v>
      </c>
      <c r="Y171" s="312" t="n">
        <v>3.5</v>
      </c>
      <c r="Z171" s="313" t="n">
        <v>0</v>
      </c>
      <c r="AA171" s="314" t="n">
        <v>3.5</v>
      </c>
      <c r="AB171" s="313" t="n">
        <v>0</v>
      </c>
      <c r="AC171" s="314" t="n">
        <v>3.5</v>
      </c>
      <c r="AD171" s="315"/>
      <c r="AE171" s="144" t="n">
        <v>36</v>
      </c>
      <c r="AF171" s="315"/>
      <c r="AG171" s="311" t="n">
        <v>0</v>
      </c>
      <c r="AH171" s="309" t="n">
        <v>0</v>
      </c>
      <c r="AI171" s="310"/>
      <c r="AJ171" s="311" t="n">
        <v>90</v>
      </c>
      <c r="AK171" s="309" t="n">
        <v>134.4</v>
      </c>
      <c r="AL171" s="311" t="n">
        <v>138</v>
      </c>
      <c r="AM171" s="309" t="n">
        <v>165.6</v>
      </c>
      <c r="AN171" s="310" t="n">
        <v>160</v>
      </c>
      <c r="AO171" s="309" t="n">
        <v>144</v>
      </c>
      <c r="AP171" s="310"/>
      <c r="AQ171" s="311" t="n">
        <v>148</v>
      </c>
      <c r="AR171" s="309" t="n">
        <v>175.2</v>
      </c>
      <c r="AS171" s="311" t="n">
        <v>184</v>
      </c>
      <c r="AT171" s="309" t="n">
        <v>139.2</v>
      </c>
      <c r="AU171" s="310" t="n">
        <v>239</v>
      </c>
      <c r="AV171" s="309" t="n">
        <v>84</v>
      </c>
      <c r="AW171" s="310" t="n">
        <v>239</v>
      </c>
      <c r="AX171" s="309" t="n">
        <v>84</v>
      </c>
      <c r="AY171" s="310" t="n">
        <v>239</v>
      </c>
      <c r="AZ171" s="309" t="n">
        <v>84</v>
      </c>
      <c r="BB171" s="144" t="n">
        <v>0</v>
      </c>
      <c r="BC171" s="315"/>
      <c r="BD171" s="311" t="n">
        <v>0</v>
      </c>
      <c r="BE171" s="316" t="n">
        <v>0</v>
      </c>
      <c r="BF171" s="310"/>
      <c r="BG171" s="317" t="n">
        <v>0</v>
      </c>
      <c r="BH171" s="318" t="n">
        <v>0.4</v>
      </c>
      <c r="BI171" s="317" t="n">
        <v>0</v>
      </c>
      <c r="BJ171" s="318" t="n">
        <v>1.3</v>
      </c>
      <c r="BK171" s="317" t="n">
        <v>0</v>
      </c>
      <c r="BL171" s="318" t="n">
        <v>1.2</v>
      </c>
      <c r="BM171" s="310"/>
      <c r="BN171" s="317" t="n">
        <v>0</v>
      </c>
      <c r="BO171" s="318" t="n">
        <v>0</v>
      </c>
      <c r="BP171" s="317" t="n">
        <v>0</v>
      </c>
      <c r="BQ171" s="318" t="n">
        <v>1.6</v>
      </c>
      <c r="BR171" s="317" t="n">
        <v>0</v>
      </c>
      <c r="BS171" s="318" t="n">
        <v>1</v>
      </c>
      <c r="BT171" s="317" t="n">
        <v>0</v>
      </c>
      <c r="BU171" s="318" t="n">
        <v>1</v>
      </c>
      <c r="BV171" s="317" t="n">
        <v>0</v>
      </c>
      <c r="BW171" s="318" t="n">
        <v>1</v>
      </c>
      <c r="BY171" s="143"/>
      <c r="BZ171" s="315"/>
      <c r="CA171" s="144" t="s">
        <v>12</v>
      </c>
      <c r="CB171" s="315"/>
      <c r="CC171" s="144" t="n">
        <v>-53.3768595041322</v>
      </c>
      <c r="CD171" s="144" t="n">
        <v>-102.176859504132</v>
      </c>
      <c r="CE171" s="144" t="n">
        <v>-123.776859504132</v>
      </c>
      <c r="CF171" s="315"/>
      <c r="CG171" s="144" t="n">
        <v>-111.576859504132</v>
      </c>
      <c r="CH171" s="144" t="n">
        <v>-147.576859504132</v>
      </c>
      <c r="CI171" s="144" t="n">
        <v>-202.776859504132</v>
      </c>
      <c r="CJ171" s="144" t="n">
        <v>-202.776859504132</v>
      </c>
      <c r="CK171" s="144" t="n">
        <v>-202.776859504132</v>
      </c>
      <c r="CM171" s="144" t="n">
        <v>247.107438016529</v>
      </c>
      <c r="CO171" s="319"/>
      <c r="CP171" s="320"/>
      <c r="CQ171" s="321" t="s">
        <v>12</v>
      </c>
      <c r="CR171" s="320"/>
      <c r="CS171" s="322" t="n">
        <v>-13.7074380165289</v>
      </c>
      <c r="CT171" s="322" t="n">
        <v>-62.5074380165289</v>
      </c>
      <c r="CU171" s="322" t="n">
        <v>-84.1074380165289</v>
      </c>
      <c r="CV171" s="323"/>
      <c r="CW171" s="322" t="n">
        <v>-71.9074380165289</v>
      </c>
      <c r="CX171" s="322" t="n">
        <v>-107.907438016529</v>
      </c>
      <c r="CY171" s="322" t="n">
        <v>-163.107438016529</v>
      </c>
      <c r="CZ171" s="322" t="n">
        <v>-163.107438016529</v>
      </c>
      <c r="DA171" s="322" t="n">
        <v>-163.107438016529</v>
      </c>
    </row>
    <row r="172" customFormat="false" ht="12.75" hidden="false" customHeight="false" outlineLevel="0" collapsed="false">
      <c r="B172" s="305" t="s">
        <v>497</v>
      </c>
      <c r="C172" s="305" t="s">
        <v>507</v>
      </c>
      <c r="D172" s="306" t="n">
        <v>323</v>
      </c>
      <c r="E172" s="306" t="n">
        <v>3.25</v>
      </c>
      <c r="F172" s="306" t="s">
        <v>432</v>
      </c>
      <c r="G172" s="307" t="n">
        <v>48</v>
      </c>
      <c r="H172" s="308" t="n">
        <v>286.776859504132</v>
      </c>
      <c r="I172" s="2"/>
      <c r="J172" s="144" t="s">
        <v>12</v>
      </c>
      <c r="K172" s="309" t="s">
        <v>12</v>
      </c>
      <c r="L172" s="310"/>
      <c r="M172" s="311" t="n">
        <v>99</v>
      </c>
      <c r="N172" s="312" t="n">
        <v>2.8</v>
      </c>
      <c r="O172" s="311" t="n">
        <v>19</v>
      </c>
      <c r="P172" s="312" t="n">
        <v>3.5</v>
      </c>
      <c r="Q172" s="310" t="n">
        <v>19</v>
      </c>
      <c r="R172" s="312" t="n">
        <v>3</v>
      </c>
      <c r="S172" s="310"/>
      <c r="T172" s="311" t="n">
        <v>0</v>
      </c>
      <c r="U172" s="312" t="n">
        <v>3.7</v>
      </c>
      <c r="V172" s="311" t="n">
        <v>0</v>
      </c>
      <c r="W172" s="312" t="n">
        <v>2.9</v>
      </c>
      <c r="X172" s="311" t="n">
        <v>0</v>
      </c>
      <c r="Y172" s="312" t="n">
        <v>1.8</v>
      </c>
      <c r="Z172" s="313" t="n">
        <v>0</v>
      </c>
      <c r="AA172" s="314" t="n">
        <v>1.8</v>
      </c>
      <c r="AB172" s="313" t="n">
        <v>0</v>
      </c>
      <c r="AC172" s="314" t="n">
        <v>1.8</v>
      </c>
      <c r="AD172" s="315"/>
      <c r="AE172" s="144" t="n">
        <v>36</v>
      </c>
      <c r="AF172" s="315"/>
      <c r="AG172" s="311" t="n">
        <v>0</v>
      </c>
      <c r="AH172" s="309" t="n">
        <v>0</v>
      </c>
      <c r="AI172" s="310"/>
      <c r="AJ172" s="311" t="n">
        <v>90</v>
      </c>
      <c r="AK172" s="309" t="n">
        <v>134.4</v>
      </c>
      <c r="AL172" s="311" t="n">
        <v>136</v>
      </c>
      <c r="AM172" s="309" t="n">
        <v>168</v>
      </c>
      <c r="AN172" s="311" t="n">
        <v>160</v>
      </c>
      <c r="AO172" s="309" t="n">
        <v>144</v>
      </c>
      <c r="AP172" s="310"/>
      <c r="AQ172" s="311" t="n">
        <v>145</v>
      </c>
      <c r="AR172" s="309" t="n">
        <v>177.6</v>
      </c>
      <c r="AS172" s="311" t="n">
        <v>184</v>
      </c>
      <c r="AT172" s="309" t="n">
        <v>139.2</v>
      </c>
      <c r="AU172" s="311" t="n">
        <v>237</v>
      </c>
      <c r="AV172" s="309" t="n">
        <v>86.4</v>
      </c>
      <c r="AW172" s="311" t="n">
        <v>237</v>
      </c>
      <c r="AX172" s="309" t="n">
        <v>86.4</v>
      </c>
      <c r="AY172" s="311" t="n">
        <v>237</v>
      </c>
      <c r="AZ172" s="309" t="n">
        <v>86.4</v>
      </c>
      <c r="BB172" s="144" t="n">
        <v>0</v>
      </c>
      <c r="BC172" s="315"/>
      <c r="BD172" s="311" t="n">
        <v>0</v>
      </c>
      <c r="BE172" s="316" t="n">
        <v>0</v>
      </c>
      <c r="BF172" s="310"/>
      <c r="BG172" s="317" t="n">
        <v>0</v>
      </c>
      <c r="BH172" s="318" t="n">
        <v>0</v>
      </c>
      <c r="BI172" s="317" t="n">
        <v>0</v>
      </c>
      <c r="BJ172" s="318" t="n">
        <v>0</v>
      </c>
      <c r="BK172" s="317" t="n">
        <v>0</v>
      </c>
      <c r="BL172" s="318" t="n">
        <v>0</v>
      </c>
      <c r="BM172" s="310"/>
      <c r="BN172" s="317" t="n">
        <v>0</v>
      </c>
      <c r="BO172" s="318" t="n">
        <v>0</v>
      </c>
      <c r="BP172" s="317" t="n">
        <v>0</v>
      </c>
      <c r="BQ172" s="318" t="n">
        <v>0</v>
      </c>
      <c r="BR172" s="317" t="n">
        <v>0</v>
      </c>
      <c r="BS172" s="318" t="n">
        <v>0</v>
      </c>
      <c r="BT172" s="317" t="n">
        <v>0</v>
      </c>
      <c r="BU172" s="318" t="n">
        <v>0</v>
      </c>
      <c r="BV172" s="317" t="n">
        <v>0</v>
      </c>
      <c r="BW172" s="318" t="n">
        <v>0</v>
      </c>
      <c r="BY172" s="143"/>
      <c r="BZ172" s="315"/>
      <c r="CA172" s="144" t="s">
        <v>12</v>
      </c>
      <c r="CB172" s="315"/>
      <c r="CC172" s="144" t="n">
        <v>-53.3768595041322</v>
      </c>
      <c r="CD172" s="144" t="n">
        <v>-99.7768595041322</v>
      </c>
      <c r="CE172" s="144" t="n">
        <v>-123.776859504132</v>
      </c>
      <c r="CF172" s="315"/>
      <c r="CG172" s="144" t="n">
        <v>-109.176859504132</v>
      </c>
      <c r="CH172" s="144" t="n">
        <v>-147.576859504132</v>
      </c>
      <c r="CI172" s="144" t="n">
        <v>-200.376859504132</v>
      </c>
      <c r="CJ172" s="144" t="n">
        <v>-200.376859504132</v>
      </c>
      <c r="CK172" s="144" t="n">
        <v>-200.376859504132</v>
      </c>
      <c r="CM172" s="144" t="n">
        <v>247.107438016529</v>
      </c>
      <c r="CO172" s="319"/>
      <c r="CP172" s="320"/>
      <c r="CQ172" s="321" t="s">
        <v>12</v>
      </c>
      <c r="CR172" s="320"/>
      <c r="CS172" s="322" t="n">
        <v>-13.7074380165289</v>
      </c>
      <c r="CT172" s="322" t="n">
        <v>-60.1074380165289</v>
      </c>
      <c r="CU172" s="322" t="n">
        <v>-84.1074380165289</v>
      </c>
      <c r="CV172" s="323"/>
      <c r="CW172" s="322" t="n">
        <v>-69.5074380165289</v>
      </c>
      <c r="CX172" s="322" t="n">
        <v>-107.907438016529</v>
      </c>
      <c r="CY172" s="322" t="n">
        <v>-160.707438016529</v>
      </c>
      <c r="CZ172" s="322" t="n">
        <v>-160.707438016529</v>
      </c>
      <c r="DA172" s="322" t="n">
        <v>-160.707438016529</v>
      </c>
    </row>
    <row r="173" customFormat="false" ht="12.75" hidden="false" customHeight="false" outlineLevel="0" collapsed="false">
      <c r="B173" s="305" t="s">
        <v>497</v>
      </c>
      <c r="C173" s="305" t="s">
        <v>508</v>
      </c>
      <c r="D173" s="306" t="n">
        <v>415</v>
      </c>
      <c r="E173" s="306" t="n">
        <v>3.25</v>
      </c>
      <c r="F173" s="324" t="s">
        <v>432</v>
      </c>
      <c r="G173" s="144" t="n">
        <v>24</v>
      </c>
      <c r="H173" s="325" t="n">
        <v>303.305785123967</v>
      </c>
      <c r="I173" s="2"/>
      <c r="J173" s="144" t="s">
        <v>12</v>
      </c>
      <c r="K173" s="309" t="s">
        <v>12</v>
      </c>
      <c r="L173" s="310"/>
      <c r="M173" s="311" t="n">
        <v>99</v>
      </c>
      <c r="N173" s="312" t="n">
        <v>5.8</v>
      </c>
      <c r="O173" s="311" t="n">
        <v>19</v>
      </c>
      <c r="P173" s="312" t="n">
        <v>7.5</v>
      </c>
      <c r="Q173" s="310" t="n">
        <v>19</v>
      </c>
      <c r="R173" s="312" t="n">
        <v>6.7</v>
      </c>
      <c r="S173" s="310"/>
      <c r="T173" s="311" t="n">
        <v>0</v>
      </c>
      <c r="U173" s="312" t="n">
        <v>10</v>
      </c>
      <c r="V173" s="311" t="n">
        <v>0</v>
      </c>
      <c r="W173" s="312" t="n">
        <v>6.7</v>
      </c>
      <c r="X173" s="311" t="n">
        <v>0</v>
      </c>
      <c r="Y173" s="312" t="n">
        <v>5</v>
      </c>
      <c r="Z173" s="313" t="n">
        <v>0</v>
      </c>
      <c r="AA173" s="314" t="n">
        <v>5</v>
      </c>
      <c r="AB173" s="313" t="n">
        <v>0</v>
      </c>
      <c r="AC173" s="314" t="n">
        <v>5</v>
      </c>
      <c r="AD173" s="315"/>
      <c r="AE173" s="144" t="n">
        <v>112</v>
      </c>
      <c r="AF173" s="315"/>
      <c r="AG173" s="311" t="n">
        <v>0</v>
      </c>
      <c r="AH173" s="309" t="n">
        <v>0</v>
      </c>
      <c r="AI173" s="310"/>
      <c r="AJ173" s="311" t="n">
        <v>177</v>
      </c>
      <c r="AK173" s="309" t="n">
        <v>139.2</v>
      </c>
      <c r="AL173" s="311" t="n">
        <v>216</v>
      </c>
      <c r="AM173" s="309" t="n">
        <v>180</v>
      </c>
      <c r="AN173" s="310" t="n">
        <v>235</v>
      </c>
      <c r="AO173" s="309" t="n">
        <v>160.8</v>
      </c>
      <c r="AP173" s="310"/>
      <c r="AQ173" s="311" t="n">
        <v>175</v>
      </c>
      <c r="AR173" s="309" t="n">
        <v>240</v>
      </c>
      <c r="AS173" s="311" t="n">
        <v>254</v>
      </c>
      <c r="AT173" s="309" t="n">
        <v>160.8</v>
      </c>
      <c r="AU173" s="310" t="n">
        <v>295</v>
      </c>
      <c r="AV173" s="309" t="n">
        <v>120</v>
      </c>
      <c r="AW173" s="310" t="n">
        <v>295</v>
      </c>
      <c r="AX173" s="309" t="n">
        <v>120</v>
      </c>
      <c r="AY173" s="310" t="n">
        <v>295</v>
      </c>
      <c r="AZ173" s="309" t="n">
        <v>120</v>
      </c>
      <c r="BB173" s="144" t="n">
        <v>0</v>
      </c>
      <c r="BC173" s="315"/>
      <c r="BD173" s="311" t="n">
        <v>0</v>
      </c>
      <c r="BE173" s="316" t="n">
        <v>0</v>
      </c>
      <c r="BF173" s="310"/>
      <c r="BG173" s="317" t="n">
        <v>-10</v>
      </c>
      <c r="BH173" s="318" t="n">
        <v>-0.9</v>
      </c>
      <c r="BI173" s="317" t="n">
        <v>0</v>
      </c>
      <c r="BJ173" s="318" t="n">
        <v>0.199999999999999</v>
      </c>
      <c r="BK173" s="317" t="n">
        <v>0</v>
      </c>
      <c r="BL173" s="318" t="n">
        <v>-0.600000000000001</v>
      </c>
      <c r="BM173" s="310"/>
      <c r="BN173" s="317" t="n">
        <v>0</v>
      </c>
      <c r="BO173" s="318" t="n">
        <v>-1.2</v>
      </c>
      <c r="BP173" s="317" t="n">
        <v>0</v>
      </c>
      <c r="BQ173" s="318" t="n">
        <v>1.9</v>
      </c>
      <c r="BR173" s="317" t="n">
        <v>0</v>
      </c>
      <c r="BS173" s="318" t="n">
        <v>0.5</v>
      </c>
      <c r="BT173" s="317" t="n">
        <v>0</v>
      </c>
      <c r="BU173" s="318" t="n">
        <v>0.5</v>
      </c>
      <c r="BV173" s="317" t="n">
        <v>0</v>
      </c>
      <c r="BW173" s="318" t="n">
        <v>0.5</v>
      </c>
      <c r="BY173" s="143"/>
      <c r="BZ173" s="315"/>
      <c r="CA173" s="144" t="s">
        <v>12</v>
      </c>
      <c r="CB173" s="315"/>
      <c r="CC173" s="144" t="n">
        <v>-65.1057851239669</v>
      </c>
      <c r="CD173" s="144" t="n">
        <v>-104.305785123967</v>
      </c>
      <c r="CE173" s="144" t="n">
        <v>-123.505785123967</v>
      </c>
      <c r="CF173" s="315"/>
      <c r="CG173" s="144" t="n">
        <v>-63.3057851239669</v>
      </c>
      <c r="CH173" s="144" t="n">
        <v>-142.505785123967</v>
      </c>
      <c r="CI173" s="144" t="n">
        <v>-183.305785123967</v>
      </c>
      <c r="CJ173" s="144" t="n">
        <v>-183.305785123967</v>
      </c>
      <c r="CK173" s="144" t="n">
        <v>-183.305785123967</v>
      </c>
      <c r="CM173" s="144" t="n">
        <v>329.752066115702</v>
      </c>
      <c r="CO173" s="319"/>
      <c r="CP173" s="320"/>
      <c r="CQ173" s="321" t="s">
        <v>12</v>
      </c>
      <c r="CR173" s="320"/>
      <c r="CS173" s="322" t="n">
        <v>-91.5520661157025</v>
      </c>
      <c r="CT173" s="322" t="n">
        <v>-130.752066115702</v>
      </c>
      <c r="CU173" s="322" t="n">
        <v>-149.952066115702</v>
      </c>
      <c r="CV173" s="323"/>
      <c r="CW173" s="322" t="n">
        <v>-89.7520661157025</v>
      </c>
      <c r="CX173" s="322" t="n">
        <v>-168.952066115702</v>
      </c>
      <c r="CY173" s="322" t="n">
        <v>-209.752066115702</v>
      </c>
      <c r="CZ173" s="322" t="n">
        <v>-209.752066115702</v>
      </c>
      <c r="DA173" s="322" t="n">
        <v>-209.752066115702</v>
      </c>
    </row>
    <row r="174" customFormat="false" ht="12.75" hidden="false" customHeight="false" outlineLevel="0" collapsed="false">
      <c r="B174" s="305" t="s">
        <v>497</v>
      </c>
      <c r="C174" s="305" t="s">
        <v>508</v>
      </c>
      <c r="D174" s="306" t="n">
        <v>415</v>
      </c>
      <c r="E174" s="306" t="n">
        <v>3.25</v>
      </c>
      <c r="F174" s="306" t="s">
        <v>432</v>
      </c>
      <c r="G174" s="307" t="n">
        <v>48</v>
      </c>
      <c r="H174" s="308" t="n">
        <v>303.305785123967</v>
      </c>
      <c r="I174" s="2"/>
      <c r="J174" s="144" t="s">
        <v>12</v>
      </c>
      <c r="K174" s="309" t="s">
        <v>12</v>
      </c>
      <c r="L174" s="310"/>
      <c r="M174" s="311" t="n">
        <v>99</v>
      </c>
      <c r="N174" s="312" t="n">
        <v>2.9</v>
      </c>
      <c r="O174" s="311" t="n">
        <v>19</v>
      </c>
      <c r="P174" s="312" t="n">
        <v>3.8</v>
      </c>
      <c r="Q174" s="310" t="n">
        <v>19</v>
      </c>
      <c r="R174" s="312" t="n">
        <v>3.4</v>
      </c>
      <c r="S174" s="310"/>
      <c r="T174" s="311" t="n">
        <v>0</v>
      </c>
      <c r="U174" s="312" t="n">
        <v>5</v>
      </c>
      <c r="V174" s="311" t="n">
        <v>0</v>
      </c>
      <c r="W174" s="312" t="n">
        <v>3.4</v>
      </c>
      <c r="X174" s="311" t="n">
        <v>0</v>
      </c>
      <c r="Y174" s="312" t="n">
        <v>2.5</v>
      </c>
      <c r="Z174" s="313" t="n">
        <v>0</v>
      </c>
      <c r="AA174" s="314" t="n">
        <v>2.5</v>
      </c>
      <c r="AB174" s="313" t="n">
        <v>0</v>
      </c>
      <c r="AC174" s="314" t="n">
        <v>2.5</v>
      </c>
      <c r="AD174" s="315"/>
      <c r="AE174" s="144" t="n">
        <v>112</v>
      </c>
      <c r="AF174" s="315"/>
      <c r="AG174" s="311" t="n">
        <v>0</v>
      </c>
      <c r="AH174" s="309" t="n">
        <v>0</v>
      </c>
      <c r="AI174" s="310"/>
      <c r="AJ174" s="311" t="n">
        <v>177</v>
      </c>
      <c r="AK174" s="309" t="n">
        <v>139.2</v>
      </c>
      <c r="AL174" s="311" t="n">
        <v>214</v>
      </c>
      <c r="AM174" s="309" t="n">
        <v>182.4</v>
      </c>
      <c r="AN174" s="311" t="n">
        <v>233</v>
      </c>
      <c r="AO174" s="309" t="n">
        <v>163.2</v>
      </c>
      <c r="AP174" s="310"/>
      <c r="AQ174" s="311" t="n">
        <v>175</v>
      </c>
      <c r="AR174" s="309" t="n">
        <v>240</v>
      </c>
      <c r="AS174" s="311" t="n">
        <v>252</v>
      </c>
      <c r="AT174" s="309" t="n">
        <v>163.2</v>
      </c>
      <c r="AU174" s="311" t="n">
        <v>295</v>
      </c>
      <c r="AV174" s="309" t="n">
        <v>120</v>
      </c>
      <c r="AW174" s="311" t="n">
        <v>295</v>
      </c>
      <c r="AX174" s="309" t="n">
        <v>120</v>
      </c>
      <c r="AY174" s="311" t="n">
        <v>295</v>
      </c>
      <c r="AZ174" s="309" t="n">
        <v>120</v>
      </c>
      <c r="BB174" s="144" t="n">
        <v>0</v>
      </c>
      <c r="BC174" s="315"/>
      <c r="BD174" s="311" t="n">
        <v>0</v>
      </c>
      <c r="BE174" s="316" t="n">
        <v>0</v>
      </c>
      <c r="BF174" s="310"/>
      <c r="BG174" s="317" t="n">
        <v>0</v>
      </c>
      <c r="BH174" s="318" t="n">
        <v>0</v>
      </c>
      <c r="BI174" s="317" t="n">
        <v>0</v>
      </c>
      <c r="BJ174" s="318" t="n">
        <v>0</v>
      </c>
      <c r="BK174" s="317" t="n">
        <v>0</v>
      </c>
      <c r="BL174" s="318" t="n">
        <v>0</v>
      </c>
      <c r="BM174" s="310"/>
      <c r="BN174" s="317" t="n">
        <v>0</v>
      </c>
      <c r="BO174" s="318" t="n">
        <v>0</v>
      </c>
      <c r="BP174" s="317" t="n">
        <v>0</v>
      </c>
      <c r="BQ174" s="318" t="n">
        <v>0</v>
      </c>
      <c r="BR174" s="317" t="n">
        <v>0</v>
      </c>
      <c r="BS174" s="318" t="n">
        <v>0</v>
      </c>
      <c r="BT174" s="317" t="n">
        <v>0</v>
      </c>
      <c r="BU174" s="318" t="n">
        <v>0</v>
      </c>
      <c r="BV174" s="317" t="n">
        <v>0</v>
      </c>
      <c r="BW174" s="318" t="n">
        <v>0</v>
      </c>
      <c r="BY174" s="143"/>
      <c r="BZ174" s="315"/>
      <c r="CA174" s="144" t="s">
        <v>12</v>
      </c>
      <c r="CB174" s="315"/>
      <c r="CC174" s="144" t="n">
        <v>-65.1057851239669</v>
      </c>
      <c r="CD174" s="144" t="n">
        <v>-101.905785123967</v>
      </c>
      <c r="CE174" s="144" t="n">
        <v>-121.105785123967</v>
      </c>
      <c r="CF174" s="315"/>
      <c r="CG174" s="144" t="n">
        <v>-63.3057851239669</v>
      </c>
      <c r="CH174" s="144" t="n">
        <v>-140.105785123967</v>
      </c>
      <c r="CI174" s="144" t="n">
        <v>-183.305785123967</v>
      </c>
      <c r="CJ174" s="144" t="n">
        <v>-183.305785123967</v>
      </c>
      <c r="CK174" s="144" t="n">
        <v>-183.305785123967</v>
      </c>
      <c r="CM174" s="144" t="n">
        <v>329.752066115702</v>
      </c>
      <c r="CO174" s="319"/>
      <c r="CP174" s="320"/>
      <c r="CQ174" s="321" t="s">
        <v>12</v>
      </c>
      <c r="CR174" s="320"/>
      <c r="CS174" s="322" t="n">
        <v>-91.5520661157025</v>
      </c>
      <c r="CT174" s="322" t="n">
        <v>-128.352066115702</v>
      </c>
      <c r="CU174" s="322" t="n">
        <v>-147.552066115702</v>
      </c>
      <c r="CV174" s="323"/>
      <c r="CW174" s="322" t="n">
        <v>-89.7520661157025</v>
      </c>
      <c r="CX174" s="322" t="n">
        <v>-166.552066115702</v>
      </c>
      <c r="CY174" s="322" t="n">
        <v>-209.752066115702</v>
      </c>
      <c r="CZ174" s="322" t="n">
        <v>-209.752066115702</v>
      </c>
      <c r="DA174" s="322" t="n">
        <v>-209.752066115702</v>
      </c>
    </row>
    <row r="175" customFormat="false" ht="12.75" hidden="false" customHeight="false" outlineLevel="0" collapsed="false">
      <c r="B175" s="305" t="s">
        <v>497</v>
      </c>
      <c r="C175" s="305" t="s">
        <v>509</v>
      </c>
      <c r="D175" s="306" t="n">
        <v>516</v>
      </c>
      <c r="E175" s="306" t="n">
        <v>3.25</v>
      </c>
      <c r="F175" s="324" t="s">
        <v>432</v>
      </c>
      <c r="G175" s="144" t="n">
        <v>24</v>
      </c>
      <c r="H175" s="325" t="n">
        <v>385.123966942149</v>
      </c>
      <c r="I175" s="2"/>
      <c r="J175" s="144" t="s">
        <v>12</v>
      </c>
      <c r="K175" s="309" t="s">
        <v>12</v>
      </c>
      <c r="L175" s="310"/>
      <c r="M175" s="311" t="n">
        <v>129</v>
      </c>
      <c r="N175" s="312" t="n">
        <v>7.5</v>
      </c>
      <c r="O175" s="311" t="n">
        <v>19</v>
      </c>
      <c r="P175" s="312" t="n">
        <v>10.2</v>
      </c>
      <c r="Q175" s="310" t="n">
        <v>19</v>
      </c>
      <c r="R175" s="312" t="n">
        <v>9.3</v>
      </c>
      <c r="S175" s="310"/>
      <c r="T175" s="311" t="n">
        <v>0</v>
      </c>
      <c r="U175" s="312" t="n">
        <v>13.3</v>
      </c>
      <c r="V175" s="311" t="n">
        <v>0</v>
      </c>
      <c r="W175" s="312" t="n">
        <v>10</v>
      </c>
      <c r="X175" s="311" t="n">
        <v>0</v>
      </c>
      <c r="Y175" s="312" t="n">
        <v>8</v>
      </c>
      <c r="Z175" s="313" t="n">
        <v>0</v>
      </c>
      <c r="AA175" s="314" t="n">
        <v>8</v>
      </c>
      <c r="AB175" s="313" t="n">
        <v>0</v>
      </c>
      <c r="AC175" s="314" t="n">
        <v>8</v>
      </c>
      <c r="AD175" s="315"/>
      <c r="AE175" s="144" t="n">
        <v>131</v>
      </c>
      <c r="AF175" s="315"/>
      <c r="AG175" s="311" t="n">
        <v>0</v>
      </c>
      <c r="AH175" s="309" t="n">
        <v>0</v>
      </c>
      <c r="AI175" s="310"/>
      <c r="AJ175" s="311" t="n">
        <v>207</v>
      </c>
      <c r="AK175" s="309" t="n">
        <v>180</v>
      </c>
      <c r="AL175" s="311" t="n">
        <v>252</v>
      </c>
      <c r="AM175" s="309" t="n">
        <v>244.8</v>
      </c>
      <c r="AN175" s="310" t="n">
        <v>274</v>
      </c>
      <c r="AO175" s="309" t="n">
        <v>223.2</v>
      </c>
      <c r="AP175" s="310"/>
      <c r="AQ175" s="311" t="n">
        <v>197</v>
      </c>
      <c r="AR175" s="309" t="n">
        <v>319.2</v>
      </c>
      <c r="AS175" s="311" t="n">
        <v>276</v>
      </c>
      <c r="AT175" s="309" t="n">
        <v>240</v>
      </c>
      <c r="AU175" s="310" t="n">
        <v>324</v>
      </c>
      <c r="AV175" s="309" t="n">
        <v>192</v>
      </c>
      <c r="AW175" s="310" t="n">
        <v>324</v>
      </c>
      <c r="AX175" s="309" t="n">
        <v>192</v>
      </c>
      <c r="AY175" s="310" t="n">
        <v>324</v>
      </c>
      <c r="AZ175" s="309" t="n">
        <v>192</v>
      </c>
      <c r="BB175" s="144" t="n">
        <v>0</v>
      </c>
      <c r="BC175" s="315"/>
      <c r="BD175" s="311" t="n">
        <v>0</v>
      </c>
      <c r="BE175" s="316" t="n">
        <v>0</v>
      </c>
      <c r="BF175" s="310"/>
      <c r="BG175" s="317" t="n">
        <v>0</v>
      </c>
      <c r="BH175" s="318" t="n">
        <v>-0.6</v>
      </c>
      <c r="BI175" s="317" t="n">
        <v>0</v>
      </c>
      <c r="BJ175" s="318" t="n">
        <v>0.4</v>
      </c>
      <c r="BK175" s="317" t="n">
        <v>0</v>
      </c>
      <c r="BL175" s="318" t="n">
        <v>0.6</v>
      </c>
      <c r="BM175" s="310"/>
      <c r="BN175" s="317" t="n">
        <v>0</v>
      </c>
      <c r="BO175" s="318" t="n">
        <v>0</v>
      </c>
      <c r="BP175" s="317" t="n">
        <v>0</v>
      </c>
      <c r="BQ175" s="318" t="n">
        <v>2.7</v>
      </c>
      <c r="BR175" s="317" t="n">
        <v>0</v>
      </c>
      <c r="BS175" s="318" t="n">
        <v>1</v>
      </c>
      <c r="BT175" s="317" t="n">
        <v>0</v>
      </c>
      <c r="BU175" s="318" t="n">
        <v>1</v>
      </c>
      <c r="BV175" s="317" t="n">
        <v>0</v>
      </c>
      <c r="BW175" s="318" t="n">
        <v>1</v>
      </c>
      <c r="BY175" s="143"/>
      <c r="BZ175" s="315"/>
      <c r="CA175" s="144" t="s">
        <v>12</v>
      </c>
      <c r="CB175" s="315"/>
      <c r="CC175" s="144" t="n">
        <v>-76.1239669421488</v>
      </c>
      <c r="CD175" s="144" t="n">
        <v>-121.323966942149</v>
      </c>
      <c r="CE175" s="144" t="n">
        <v>-142.923966942149</v>
      </c>
      <c r="CF175" s="315"/>
      <c r="CG175" s="144" t="n">
        <v>-65.9239669421488</v>
      </c>
      <c r="CH175" s="144" t="n">
        <v>-145.123966942149</v>
      </c>
      <c r="CI175" s="144" t="n">
        <v>-193.123966942149</v>
      </c>
      <c r="CJ175" s="144" t="n">
        <v>-193.123966942149</v>
      </c>
      <c r="CK175" s="144" t="n">
        <v>-193.123966942149</v>
      </c>
      <c r="CM175" s="144" t="n">
        <v>412.396694214876</v>
      </c>
      <c r="CO175" s="319"/>
      <c r="CP175" s="320"/>
      <c r="CQ175" s="321" t="s">
        <v>12</v>
      </c>
      <c r="CR175" s="320"/>
      <c r="CS175" s="322" t="n">
        <v>-103.396694214876</v>
      </c>
      <c r="CT175" s="322" t="n">
        <v>-148.596694214876</v>
      </c>
      <c r="CU175" s="322" t="n">
        <v>-170.196694214876</v>
      </c>
      <c r="CV175" s="323"/>
      <c r="CW175" s="322" t="n">
        <v>-93.196694214876</v>
      </c>
      <c r="CX175" s="322" t="n">
        <v>-172.396694214876</v>
      </c>
      <c r="CY175" s="322" t="n">
        <v>-220.396694214876</v>
      </c>
      <c r="CZ175" s="322" t="n">
        <v>-220.396694214876</v>
      </c>
      <c r="DA175" s="322" t="n">
        <v>-220.396694214876</v>
      </c>
    </row>
    <row r="176" customFormat="false" ht="12.75" hidden="false" customHeight="false" outlineLevel="0" collapsed="false">
      <c r="B176" s="305" t="s">
        <v>497</v>
      </c>
      <c r="C176" s="305" t="s">
        <v>509</v>
      </c>
      <c r="D176" s="306" t="n">
        <v>516</v>
      </c>
      <c r="E176" s="306" t="n">
        <v>3.25</v>
      </c>
      <c r="F176" s="306" t="s">
        <v>432</v>
      </c>
      <c r="G176" s="307" t="n">
        <v>48</v>
      </c>
      <c r="H176" s="308" t="n">
        <v>385.123966942149</v>
      </c>
      <c r="I176" s="2"/>
      <c r="J176" s="144" t="s">
        <v>12</v>
      </c>
      <c r="K176" s="309" t="s">
        <v>12</v>
      </c>
      <c r="L176" s="310"/>
      <c r="M176" s="311" t="n">
        <v>129</v>
      </c>
      <c r="N176" s="312" t="n">
        <v>3.8</v>
      </c>
      <c r="O176" s="311" t="n">
        <v>19</v>
      </c>
      <c r="P176" s="312" t="n">
        <v>5.1</v>
      </c>
      <c r="Q176" s="310" t="n">
        <v>19</v>
      </c>
      <c r="R176" s="312" t="n">
        <v>4.7</v>
      </c>
      <c r="S176" s="310"/>
      <c r="T176" s="311" t="n">
        <v>0</v>
      </c>
      <c r="U176" s="312" t="n">
        <v>6.7</v>
      </c>
      <c r="V176" s="311" t="n">
        <v>0</v>
      </c>
      <c r="W176" s="312" t="n">
        <v>5</v>
      </c>
      <c r="X176" s="311" t="n">
        <v>0</v>
      </c>
      <c r="Y176" s="312" t="n">
        <v>4</v>
      </c>
      <c r="Z176" s="313" t="n">
        <v>0</v>
      </c>
      <c r="AA176" s="314" t="n">
        <v>4</v>
      </c>
      <c r="AB176" s="313" t="n">
        <v>0</v>
      </c>
      <c r="AC176" s="314" t="n">
        <v>4</v>
      </c>
      <c r="AD176" s="315"/>
      <c r="AE176" s="144" t="n">
        <v>131</v>
      </c>
      <c r="AF176" s="315"/>
      <c r="AG176" s="311" t="n">
        <v>0</v>
      </c>
      <c r="AH176" s="309" t="n">
        <v>0</v>
      </c>
      <c r="AI176" s="310"/>
      <c r="AJ176" s="311" t="n">
        <v>205</v>
      </c>
      <c r="AK176" s="309" t="n">
        <v>182.4</v>
      </c>
      <c r="AL176" s="311" t="n">
        <v>252</v>
      </c>
      <c r="AM176" s="309" t="n">
        <v>244.8</v>
      </c>
      <c r="AN176" s="311" t="n">
        <v>271</v>
      </c>
      <c r="AO176" s="309" t="n">
        <v>225.6</v>
      </c>
      <c r="AP176" s="310"/>
      <c r="AQ176" s="311" t="n">
        <v>194</v>
      </c>
      <c r="AR176" s="309" t="n">
        <v>321.6</v>
      </c>
      <c r="AS176" s="311" t="n">
        <v>276</v>
      </c>
      <c r="AT176" s="309" t="n">
        <v>240</v>
      </c>
      <c r="AU176" s="311" t="n">
        <v>324</v>
      </c>
      <c r="AV176" s="309" t="n">
        <v>192</v>
      </c>
      <c r="AW176" s="311" t="n">
        <v>324</v>
      </c>
      <c r="AX176" s="309" t="n">
        <v>192</v>
      </c>
      <c r="AY176" s="311" t="n">
        <v>324</v>
      </c>
      <c r="AZ176" s="309" t="n">
        <v>192</v>
      </c>
      <c r="BB176" s="144" t="n">
        <v>0</v>
      </c>
      <c r="BC176" s="315"/>
      <c r="BD176" s="311" t="n">
        <v>0</v>
      </c>
      <c r="BE176" s="316" t="n">
        <v>0</v>
      </c>
      <c r="BF176" s="310"/>
      <c r="BG176" s="317" t="n">
        <v>0</v>
      </c>
      <c r="BH176" s="318" t="n">
        <v>0</v>
      </c>
      <c r="BI176" s="317" t="n">
        <v>0</v>
      </c>
      <c r="BJ176" s="318" t="n">
        <v>0</v>
      </c>
      <c r="BK176" s="317" t="n">
        <v>0</v>
      </c>
      <c r="BL176" s="318" t="n">
        <v>0</v>
      </c>
      <c r="BM176" s="310"/>
      <c r="BN176" s="317" t="n">
        <v>0</v>
      </c>
      <c r="BO176" s="318" t="n">
        <v>0</v>
      </c>
      <c r="BP176" s="317" t="n">
        <v>0</v>
      </c>
      <c r="BQ176" s="318" t="n">
        <v>0</v>
      </c>
      <c r="BR176" s="317" t="n">
        <v>0</v>
      </c>
      <c r="BS176" s="318" t="n">
        <v>0</v>
      </c>
      <c r="BT176" s="317" t="n">
        <v>0</v>
      </c>
      <c r="BU176" s="318" t="n">
        <v>0</v>
      </c>
      <c r="BV176" s="317" t="n">
        <v>0</v>
      </c>
      <c r="BW176" s="318" t="n">
        <v>0</v>
      </c>
      <c r="BY176" s="143"/>
      <c r="BZ176" s="315"/>
      <c r="CA176" s="144" t="s">
        <v>12</v>
      </c>
      <c r="CB176" s="315"/>
      <c r="CC176" s="144" t="n">
        <v>-73.7239669421488</v>
      </c>
      <c r="CD176" s="144" t="n">
        <v>-121.323966942149</v>
      </c>
      <c r="CE176" s="144" t="n">
        <v>-140.523966942149</v>
      </c>
      <c r="CF176" s="315"/>
      <c r="CG176" s="144" t="n">
        <v>-63.5239669421488</v>
      </c>
      <c r="CH176" s="144" t="n">
        <v>-145.123966942149</v>
      </c>
      <c r="CI176" s="144" t="n">
        <v>-193.123966942149</v>
      </c>
      <c r="CJ176" s="144" t="n">
        <v>-193.123966942149</v>
      </c>
      <c r="CK176" s="144" t="n">
        <v>-193.123966942149</v>
      </c>
      <c r="CM176" s="144" t="n">
        <v>412.396694214876</v>
      </c>
      <c r="CO176" s="319"/>
      <c r="CP176" s="320"/>
      <c r="CQ176" s="321" t="s">
        <v>12</v>
      </c>
      <c r="CR176" s="320"/>
      <c r="CS176" s="322" t="n">
        <v>-100.996694214876</v>
      </c>
      <c r="CT176" s="322" t="n">
        <v>-148.596694214876</v>
      </c>
      <c r="CU176" s="322" t="n">
        <v>-167.796694214876</v>
      </c>
      <c r="CV176" s="323"/>
      <c r="CW176" s="322" t="n">
        <v>-90.796694214876</v>
      </c>
      <c r="CX176" s="322" t="n">
        <v>-172.396694214876</v>
      </c>
      <c r="CY176" s="322" t="n">
        <v>-220.396694214876</v>
      </c>
      <c r="CZ176" s="322" t="n">
        <v>-220.396694214876</v>
      </c>
      <c r="DA176" s="322" t="n">
        <v>-220.396694214876</v>
      </c>
    </row>
    <row r="177" customFormat="false" ht="12.75" hidden="false" customHeight="false" outlineLevel="0" collapsed="false">
      <c r="B177" s="305" t="s">
        <v>510</v>
      </c>
      <c r="C177" s="305" t="s">
        <v>511</v>
      </c>
      <c r="D177" s="306" t="n">
        <v>148</v>
      </c>
      <c r="E177" s="306" t="n">
        <v>3.25</v>
      </c>
      <c r="F177" s="324" t="s">
        <v>432</v>
      </c>
      <c r="G177" s="144" t="n">
        <v>24</v>
      </c>
      <c r="H177" s="325" t="n">
        <v>96.6942148760331</v>
      </c>
      <c r="I177" s="2"/>
      <c r="J177" s="144" t="s">
        <v>12</v>
      </c>
      <c r="K177" s="309" t="s">
        <v>12</v>
      </c>
      <c r="L177" s="310"/>
      <c r="M177" s="311" t="n">
        <v>0</v>
      </c>
      <c r="N177" s="312" t="n">
        <v>1.5</v>
      </c>
      <c r="O177" s="311" t="n">
        <v>0</v>
      </c>
      <c r="P177" s="312" t="n">
        <v>1.3</v>
      </c>
      <c r="Q177" s="310" t="n">
        <v>0</v>
      </c>
      <c r="R177" s="312" t="n">
        <v>0.5</v>
      </c>
      <c r="S177" s="310"/>
      <c r="T177" s="311" t="n">
        <v>0</v>
      </c>
      <c r="U177" s="312" t="n">
        <v>2.1</v>
      </c>
      <c r="V177" s="311" t="n">
        <v>0</v>
      </c>
      <c r="W177" s="312" t="n">
        <v>0.3</v>
      </c>
      <c r="X177" s="311" t="n">
        <v>0</v>
      </c>
      <c r="Y177" s="312" t="n">
        <v>0.3</v>
      </c>
      <c r="Z177" s="313" t="n">
        <v>0</v>
      </c>
      <c r="AA177" s="314" t="n">
        <v>0.3</v>
      </c>
      <c r="AB177" s="313" t="n">
        <v>0</v>
      </c>
      <c r="AC177" s="314" t="n">
        <v>0.3</v>
      </c>
      <c r="AD177" s="315"/>
      <c r="AE177" s="144" t="n">
        <v>51</v>
      </c>
      <c r="AF177" s="315"/>
      <c r="AG177" s="311" t="n">
        <v>0</v>
      </c>
      <c r="AH177" s="309" t="n">
        <v>0</v>
      </c>
      <c r="AI177" s="310"/>
      <c r="AJ177" s="311" t="n">
        <v>112</v>
      </c>
      <c r="AK177" s="309" t="n">
        <v>36</v>
      </c>
      <c r="AL177" s="311" t="n">
        <v>117</v>
      </c>
      <c r="AM177" s="309" t="n">
        <v>31.2</v>
      </c>
      <c r="AN177" s="310" t="n">
        <v>136</v>
      </c>
      <c r="AO177" s="309" t="n">
        <v>12</v>
      </c>
      <c r="AP177" s="310"/>
      <c r="AQ177" s="311" t="n">
        <v>98</v>
      </c>
      <c r="AR177" s="309" t="n">
        <v>50.4</v>
      </c>
      <c r="AS177" s="311" t="n">
        <v>141</v>
      </c>
      <c r="AT177" s="309" t="n">
        <v>7.2</v>
      </c>
      <c r="AU177" s="310" t="n">
        <v>141</v>
      </c>
      <c r="AV177" s="309" t="n">
        <v>7.2</v>
      </c>
      <c r="AW177" s="310" t="n">
        <v>141</v>
      </c>
      <c r="AX177" s="309" t="n">
        <v>7.2</v>
      </c>
      <c r="AY177" s="310" t="n">
        <v>141</v>
      </c>
      <c r="AZ177" s="309" t="n">
        <v>7.2</v>
      </c>
      <c r="BB177" s="144" t="n">
        <v>0</v>
      </c>
      <c r="BC177" s="315"/>
      <c r="BD177" s="311" t="n">
        <v>0</v>
      </c>
      <c r="BE177" s="316" t="n">
        <v>0</v>
      </c>
      <c r="BF177" s="310"/>
      <c r="BG177" s="317" t="n">
        <v>0</v>
      </c>
      <c r="BH177" s="318" t="n">
        <v>0</v>
      </c>
      <c r="BI177" s="317" t="n">
        <v>0</v>
      </c>
      <c r="BJ177" s="318" t="n">
        <v>0.6</v>
      </c>
      <c r="BK177" s="317" t="n">
        <v>0</v>
      </c>
      <c r="BL177" s="318" t="n">
        <v>0</v>
      </c>
      <c r="BM177" s="310"/>
      <c r="BN177" s="317" t="n">
        <v>0</v>
      </c>
      <c r="BO177" s="318" t="n">
        <v>0</v>
      </c>
      <c r="BP177" s="317" t="n">
        <v>0</v>
      </c>
      <c r="BQ177" s="318" t="n">
        <v>-0.8</v>
      </c>
      <c r="BR177" s="317" t="n">
        <v>0</v>
      </c>
      <c r="BS177" s="318" t="n">
        <v>-0.2</v>
      </c>
      <c r="BT177" s="317" t="n">
        <v>0</v>
      </c>
      <c r="BU177" s="318" t="n">
        <v>-0.2</v>
      </c>
      <c r="BV177" s="317" t="n">
        <v>0</v>
      </c>
      <c r="BW177" s="318" t="n">
        <v>-0.2</v>
      </c>
      <c r="BY177" s="143"/>
      <c r="BZ177" s="315"/>
      <c r="CA177" s="144" t="s">
        <v>12</v>
      </c>
      <c r="CB177" s="315"/>
      <c r="CC177" s="144" t="n">
        <v>-60.6942148760331</v>
      </c>
      <c r="CD177" s="144" t="n">
        <v>-65.4942148760331</v>
      </c>
      <c r="CE177" s="144" t="n">
        <v>-84.6942148760331</v>
      </c>
      <c r="CF177" s="315"/>
      <c r="CG177" s="144" t="n">
        <v>-46.2942148760331</v>
      </c>
      <c r="CH177" s="144" t="n">
        <v>-89.4942148760331</v>
      </c>
      <c r="CI177" s="144" t="n">
        <v>-89.4942148760331</v>
      </c>
      <c r="CJ177" s="144" t="n">
        <v>-89.4942148760331</v>
      </c>
      <c r="CK177" s="144" t="n">
        <v>-89.4942148760331</v>
      </c>
      <c r="CM177" s="144" t="n">
        <v>147.933884297521</v>
      </c>
      <c r="CO177" s="319"/>
      <c r="CP177" s="320"/>
      <c r="CQ177" s="321" t="s">
        <v>12</v>
      </c>
      <c r="CR177" s="320"/>
      <c r="CS177" s="322" t="n">
        <v>-111.933884297521</v>
      </c>
      <c r="CT177" s="322" t="n">
        <v>-116.733884297521</v>
      </c>
      <c r="CU177" s="322" t="n">
        <v>-135.933884297521</v>
      </c>
      <c r="CV177" s="323"/>
      <c r="CW177" s="322" t="n">
        <v>-97.5338842975207</v>
      </c>
      <c r="CX177" s="322" t="n">
        <v>-140.733884297521</v>
      </c>
      <c r="CY177" s="322" t="n">
        <v>-140.733884297521</v>
      </c>
      <c r="CZ177" s="322" t="n">
        <v>-140.733884297521</v>
      </c>
      <c r="DA177" s="322" t="n">
        <v>-140.733884297521</v>
      </c>
    </row>
    <row r="178" customFormat="false" ht="12.75" hidden="false" customHeight="false" outlineLevel="0" collapsed="false">
      <c r="B178" s="305" t="s">
        <v>510</v>
      </c>
      <c r="C178" s="305" t="s">
        <v>511</v>
      </c>
      <c r="D178" s="306" t="n">
        <v>148</v>
      </c>
      <c r="E178" s="306" t="n">
        <v>3.25</v>
      </c>
      <c r="F178" s="306" t="s">
        <v>432</v>
      </c>
      <c r="G178" s="307" t="n">
        <v>48</v>
      </c>
      <c r="H178" s="308" t="n">
        <v>96.6942148760331</v>
      </c>
      <c r="I178" s="2"/>
      <c r="J178" s="144" t="s">
        <v>12</v>
      </c>
      <c r="K178" s="309" t="s">
        <v>12</v>
      </c>
      <c r="L178" s="310"/>
      <c r="M178" s="311" t="n">
        <v>0</v>
      </c>
      <c r="N178" s="312" t="n">
        <v>0.8</v>
      </c>
      <c r="O178" s="311" t="n">
        <v>0</v>
      </c>
      <c r="P178" s="312" t="n">
        <v>0.7</v>
      </c>
      <c r="Q178" s="310" t="n">
        <v>0</v>
      </c>
      <c r="R178" s="312" t="n">
        <v>0.3</v>
      </c>
      <c r="S178" s="310"/>
      <c r="T178" s="311" t="n">
        <v>0</v>
      </c>
      <c r="U178" s="312" t="n">
        <v>1.1</v>
      </c>
      <c r="V178" s="311" t="n">
        <v>0</v>
      </c>
      <c r="W178" s="312" t="n">
        <v>0.2</v>
      </c>
      <c r="X178" s="311" t="n">
        <v>0</v>
      </c>
      <c r="Y178" s="312" t="n">
        <v>0.2</v>
      </c>
      <c r="Z178" s="313" t="n">
        <v>0</v>
      </c>
      <c r="AA178" s="314" t="n">
        <v>0.2</v>
      </c>
      <c r="AB178" s="313" t="n">
        <v>0</v>
      </c>
      <c r="AC178" s="314" t="n">
        <v>0.2</v>
      </c>
      <c r="AD178" s="315"/>
      <c r="AE178" s="144" t="n">
        <v>51</v>
      </c>
      <c r="AF178" s="315"/>
      <c r="AG178" s="311" t="n">
        <v>0</v>
      </c>
      <c r="AH178" s="309" t="n">
        <v>0</v>
      </c>
      <c r="AI178" s="310"/>
      <c r="AJ178" s="311" t="n">
        <v>110</v>
      </c>
      <c r="AK178" s="309" t="n">
        <v>38.4</v>
      </c>
      <c r="AL178" s="311" t="n">
        <v>114</v>
      </c>
      <c r="AM178" s="309" t="n">
        <v>33.6</v>
      </c>
      <c r="AN178" s="311" t="n">
        <v>134</v>
      </c>
      <c r="AO178" s="309" t="n">
        <v>14.4</v>
      </c>
      <c r="AP178" s="310"/>
      <c r="AQ178" s="311" t="n">
        <v>95</v>
      </c>
      <c r="AR178" s="309" t="n">
        <v>52.8</v>
      </c>
      <c r="AS178" s="311" t="n">
        <v>138</v>
      </c>
      <c r="AT178" s="309" t="n">
        <v>9.6</v>
      </c>
      <c r="AU178" s="311" t="n">
        <v>138</v>
      </c>
      <c r="AV178" s="309" t="n">
        <v>9.6</v>
      </c>
      <c r="AW178" s="311" t="n">
        <v>138</v>
      </c>
      <c r="AX178" s="309" t="n">
        <v>9.6</v>
      </c>
      <c r="AY178" s="311" t="n">
        <v>138</v>
      </c>
      <c r="AZ178" s="309" t="n">
        <v>9.6</v>
      </c>
      <c r="BB178" s="144" t="n">
        <v>0</v>
      </c>
      <c r="BC178" s="315"/>
      <c r="BD178" s="311" t="n">
        <v>0</v>
      </c>
      <c r="BE178" s="316" t="n">
        <v>0</v>
      </c>
      <c r="BF178" s="310"/>
      <c r="BG178" s="317" t="n">
        <v>0</v>
      </c>
      <c r="BH178" s="318" t="n">
        <v>0</v>
      </c>
      <c r="BI178" s="317" t="n">
        <v>0</v>
      </c>
      <c r="BJ178" s="318" t="n">
        <v>0</v>
      </c>
      <c r="BK178" s="317" t="n">
        <v>0</v>
      </c>
      <c r="BL178" s="318" t="n">
        <v>0</v>
      </c>
      <c r="BM178" s="310"/>
      <c r="BN178" s="317" t="n">
        <v>0</v>
      </c>
      <c r="BO178" s="318" t="n">
        <v>0</v>
      </c>
      <c r="BP178" s="317" t="n">
        <v>0</v>
      </c>
      <c r="BQ178" s="318" t="n">
        <v>0</v>
      </c>
      <c r="BR178" s="317" t="n">
        <v>0</v>
      </c>
      <c r="BS178" s="318" t="n">
        <v>0</v>
      </c>
      <c r="BT178" s="317" t="n">
        <v>0</v>
      </c>
      <c r="BU178" s="318" t="n">
        <v>0</v>
      </c>
      <c r="BV178" s="317" t="n">
        <v>0</v>
      </c>
      <c r="BW178" s="318" t="n">
        <v>0</v>
      </c>
      <c r="BY178" s="143"/>
      <c r="BZ178" s="315"/>
      <c r="CA178" s="144" t="s">
        <v>12</v>
      </c>
      <c r="CB178" s="315"/>
      <c r="CC178" s="144" t="n">
        <v>-58.2942148760331</v>
      </c>
      <c r="CD178" s="144" t="n">
        <v>-63.0942148760331</v>
      </c>
      <c r="CE178" s="144" t="n">
        <v>-82.2942148760331</v>
      </c>
      <c r="CF178" s="315"/>
      <c r="CG178" s="144" t="n">
        <v>-43.8942148760331</v>
      </c>
      <c r="CH178" s="144" t="n">
        <v>-87.094214876033</v>
      </c>
      <c r="CI178" s="144" t="n">
        <v>-87.094214876033</v>
      </c>
      <c r="CJ178" s="144" t="n">
        <v>-87.094214876033</v>
      </c>
      <c r="CK178" s="144" t="n">
        <v>-87.094214876033</v>
      </c>
      <c r="CM178" s="144" t="n">
        <v>147.933884297521</v>
      </c>
      <c r="CO178" s="319"/>
      <c r="CP178" s="320"/>
      <c r="CQ178" s="321" t="s">
        <v>12</v>
      </c>
      <c r="CR178" s="320"/>
      <c r="CS178" s="322" t="n">
        <v>-109.533884297521</v>
      </c>
      <c r="CT178" s="322" t="n">
        <v>-114.333884297521</v>
      </c>
      <c r="CU178" s="322" t="n">
        <v>-133.533884297521</v>
      </c>
      <c r="CV178" s="323"/>
      <c r="CW178" s="322" t="n">
        <v>-95.1338842975207</v>
      </c>
      <c r="CX178" s="322" t="n">
        <v>-138.333884297521</v>
      </c>
      <c r="CY178" s="322" t="n">
        <v>-138.333884297521</v>
      </c>
      <c r="CZ178" s="322" t="n">
        <v>-138.333884297521</v>
      </c>
      <c r="DA178" s="322" t="n">
        <v>-138.333884297521</v>
      </c>
    </row>
    <row r="179" customFormat="false" ht="12.75" hidden="false" customHeight="false" outlineLevel="0" collapsed="false">
      <c r="B179" s="305" t="s">
        <v>510</v>
      </c>
      <c r="C179" s="327" t="s">
        <v>512</v>
      </c>
      <c r="D179" s="306" t="n">
        <v>647</v>
      </c>
      <c r="E179" s="306" t="n">
        <v>3.25</v>
      </c>
      <c r="F179" s="324" t="s">
        <v>432</v>
      </c>
      <c r="G179" s="144" t="n">
        <v>24</v>
      </c>
      <c r="H179" s="325" t="n">
        <v>571.900826446281</v>
      </c>
      <c r="I179" s="2"/>
      <c r="J179" s="144" t="s">
        <v>12</v>
      </c>
      <c r="K179" s="309" t="s">
        <v>12</v>
      </c>
      <c r="L179" s="310"/>
      <c r="M179" s="311" t="n">
        <v>239</v>
      </c>
      <c r="N179" s="312" t="n">
        <v>10</v>
      </c>
      <c r="O179" s="311" t="n">
        <v>139</v>
      </c>
      <c r="P179" s="312" t="n">
        <v>11.6</v>
      </c>
      <c r="Q179" s="310" t="n">
        <v>139</v>
      </c>
      <c r="R179" s="312" t="n">
        <v>10.8</v>
      </c>
      <c r="S179" s="310"/>
      <c r="T179" s="311" t="n">
        <v>0</v>
      </c>
      <c r="U179" s="312" t="n">
        <v>19.9</v>
      </c>
      <c r="V179" s="311" t="n">
        <v>0</v>
      </c>
      <c r="W179" s="312" t="n">
        <v>18.9</v>
      </c>
      <c r="X179" s="311" t="n">
        <v>0</v>
      </c>
      <c r="Y179" s="312" t="n">
        <v>14</v>
      </c>
      <c r="Z179" s="313" t="n">
        <v>0</v>
      </c>
      <c r="AA179" s="314" t="n">
        <v>14</v>
      </c>
      <c r="AB179" s="313" t="n">
        <v>0</v>
      </c>
      <c r="AC179" s="314" t="n">
        <v>14</v>
      </c>
      <c r="AD179" s="315"/>
      <c r="AE179" s="144" t="n">
        <v>75</v>
      </c>
      <c r="AF179" s="315"/>
      <c r="AG179" s="311" t="n">
        <v>0</v>
      </c>
      <c r="AH179" s="309" t="n">
        <v>0</v>
      </c>
      <c r="AI179" s="310"/>
      <c r="AJ179" s="311" t="n">
        <v>168</v>
      </c>
      <c r="AK179" s="309" t="n">
        <v>240</v>
      </c>
      <c r="AL179" s="311" t="n">
        <v>230</v>
      </c>
      <c r="AM179" s="309" t="n">
        <v>278.4</v>
      </c>
      <c r="AN179" s="310" t="n">
        <v>249</v>
      </c>
      <c r="AO179" s="309" t="n">
        <v>259.2</v>
      </c>
      <c r="AP179" s="310"/>
      <c r="AQ179" s="311" t="n">
        <v>169</v>
      </c>
      <c r="AR179" s="309" t="n">
        <v>477.6</v>
      </c>
      <c r="AS179" s="311" t="n">
        <v>193</v>
      </c>
      <c r="AT179" s="309" t="n">
        <v>453.6</v>
      </c>
      <c r="AU179" s="310" t="n">
        <v>311</v>
      </c>
      <c r="AV179" s="309" t="n">
        <v>336</v>
      </c>
      <c r="AW179" s="310" t="n">
        <v>311</v>
      </c>
      <c r="AX179" s="309" t="n">
        <v>336</v>
      </c>
      <c r="AY179" s="310" t="n">
        <v>311</v>
      </c>
      <c r="AZ179" s="309" t="n">
        <v>336</v>
      </c>
      <c r="BB179" s="144" t="n">
        <v>0</v>
      </c>
      <c r="BC179" s="315"/>
      <c r="BD179" s="311" t="n">
        <v>0</v>
      </c>
      <c r="BE179" s="316" t="n">
        <v>0</v>
      </c>
      <c r="BF179" s="310"/>
      <c r="BG179" s="317" t="n">
        <v>0</v>
      </c>
      <c r="BH179" s="318" t="n">
        <v>0</v>
      </c>
      <c r="BI179" s="317" t="n">
        <v>0</v>
      </c>
      <c r="BJ179" s="318" t="n">
        <v>0</v>
      </c>
      <c r="BK179" s="317" t="n">
        <v>0</v>
      </c>
      <c r="BL179" s="318" t="n">
        <v>0</v>
      </c>
      <c r="BM179" s="310"/>
      <c r="BN179" s="317" t="n">
        <v>0</v>
      </c>
      <c r="BO179" s="318" t="n">
        <v>0</v>
      </c>
      <c r="BP179" s="317" t="n">
        <v>0</v>
      </c>
      <c r="BQ179" s="318" t="n">
        <v>0</v>
      </c>
      <c r="BR179" s="317" t="n">
        <v>0</v>
      </c>
      <c r="BS179" s="318" t="n">
        <v>0</v>
      </c>
      <c r="BT179" s="317" t="n">
        <v>0</v>
      </c>
      <c r="BU179" s="318" t="n">
        <v>0</v>
      </c>
      <c r="BV179" s="317" t="n">
        <v>0</v>
      </c>
      <c r="BW179" s="318" t="n">
        <v>0</v>
      </c>
      <c r="BY179" s="143"/>
      <c r="BZ179" s="315"/>
      <c r="CA179" s="144" t="s">
        <v>12</v>
      </c>
      <c r="CB179" s="315"/>
      <c r="CC179" s="144" t="n">
        <v>-92.900826446281</v>
      </c>
      <c r="CD179" s="144" t="n">
        <v>-154.500826446281</v>
      </c>
      <c r="CE179" s="144" t="n">
        <v>-173.700826446281</v>
      </c>
      <c r="CF179" s="315"/>
      <c r="CG179" s="144" t="n">
        <v>-94.300826446281</v>
      </c>
      <c r="CH179" s="144" t="n">
        <v>-118.300826446281</v>
      </c>
      <c r="CI179" s="144" t="n">
        <v>-235.900826446281</v>
      </c>
      <c r="CJ179" s="144" t="n">
        <v>-235.900826446281</v>
      </c>
      <c r="CK179" s="144" t="n">
        <v>-235.900826446281</v>
      </c>
      <c r="CM179" s="144" t="n">
        <v>577.685950413223</v>
      </c>
      <c r="CO179" s="319"/>
      <c r="CP179" s="320"/>
      <c r="CQ179" s="321" t="s">
        <v>12</v>
      </c>
      <c r="CR179" s="320"/>
      <c r="CS179" s="322" t="n">
        <v>-98.6859504132232</v>
      </c>
      <c r="CT179" s="322" t="n">
        <v>-160.285950413223</v>
      </c>
      <c r="CU179" s="322" t="n">
        <v>-179.485950413223</v>
      </c>
      <c r="CV179" s="323"/>
      <c r="CW179" s="322" t="n">
        <v>-100.085950413223</v>
      </c>
      <c r="CX179" s="322" t="n">
        <v>-124.085950413223</v>
      </c>
      <c r="CY179" s="322" t="n">
        <v>-241.685950413223</v>
      </c>
      <c r="CZ179" s="322" t="n">
        <v>-241.685950413223</v>
      </c>
      <c r="DA179" s="322" t="n">
        <v>-241.685950413223</v>
      </c>
    </row>
    <row r="180" customFormat="false" ht="12.75" hidden="false" customHeight="false" outlineLevel="0" collapsed="false">
      <c r="B180" s="305" t="s">
        <v>510</v>
      </c>
      <c r="C180" s="327" t="s">
        <v>512</v>
      </c>
      <c r="D180" s="306" t="n">
        <v>647</v>
      </c>
      <c r="E180" s="306" t="n">
        <v>3.25</v>
      </c>
      <c r="F180" s="306" t="s">
        <v>432</v>
      </c>
      <c r="G180" s="307" t="n">
        <v>48</v>
      </c>
      <c r="H180" s="308" t="n">
        <v>571.900826446281</v>
      </c>
      <c r="I180" s="2"/>
      <c r="J180" s="144" t="s">
        <v>12</v>
      </c>
      <c r="K180" s="309" t="s">
        <v>12</v>
      </c>
      <c r="L180" s="310"/>
      <c r="M180" s="311" t="n">
        <v>239</v>
      </c>
      <c r="N180" s="312" t="n">
        <v>5</v>
      </c>
      <c r="O180" s="311" t="n">
        <v>139</v>
      </c>
      <c r="P180" s="312" t="n">
        <v>5.8</v>
      </c>
      <c r="Q180" s="310" t="n">
        <v>139</v>
      </c>
      <c r="R180" s="312" t="n">
        <v>5.4</v>
      </c>
      <c r="S180" s="310"/>
      <c r="T180" s="311" t="n">
        <v>0</v>
      </c>
      <c r="U180" s="312" t="n">
        <v>10</v>
      </c>
      <c r="V180" s="311" t="n">
        <v>0</v>
      </c>
      <c r="W180" s="312" t="n">
        <v>9.5</v>
      </c>
      <c r="X180" s="311" t="n">
        <v>0</v>
      </c>
      <c r="Y180" s="312" t="n">
        <v>7</v>
      </c>
      <c r="Z180" s="313" t="n">
        <v>0</v>
      </c>
      <c r="AA180" s="314" t="n">
        <v>7</v>
      </c>
      <c r="AB180" s="313" t="n">
        <v>0</v>
      </c>
      <c r="AC180" s="314" t="n">
        <v>7</v>
      </c>
      <c r="AD180" s="315"/>
      <c r="AE180" s="144" t="n">
        <v>75</v>
      </c>
      <c r="AF180" s="315"/>
      <c r="AG180" s="311" t="n">
        <v>0</v>
      </c>
      <c r="AH180" s="309" t="n">
        <v>0</v>
      </c>
      <c r="AI180" s="310"/>
      <c r="AJ180" s="311" t="n">
        <v>168</v>
      </c>
      <c r="AK180" s="309" t="n">
        <v>240</v>
      </c>
      <c r="AL180" s="311" t="n">
        <v>230</v>
      </c>
      <c r="AM180" s="309" t="n">
        <v>278.4</v>
      </c>
      <c r="AN180" s="311" t="n">
        <v>249</v>
      </c>
      <c r="AO180" s="309" t="n">
        <v>259.2</v>
      </c>
      <c r="AP180" s="310"/>
      <c r="AQ180" s="311" t="n">
        <v>167</v>
      </c>
      <c r="AR180" s="309" t="n">
        <v>480</v>
      </c>
      <c r="AS180" s="311" t="n">
        <v>191</v>
      </c>
      <c r="AT180" s="309" t="n">
        <v>456</v>
      </c>
      <c r="AU180" s="311" t="n">
        <v>311</v>
      </c>
      <c r="AV180" s="309" t="n">
        <v>336</v>
      </c>
      <c r="AW180" s="311" t="n">
        <v>311</v>
      </c>
      <c r="AX180" s="309" t="n">
        <v>336</v>
      </c>
      <c r="AY180" s="311" t="n">
        <v>311</v>
      </c>
      <c r="AZ180" s="309" t="n">
        <v>336</v>
      </c>
      <c r="BB180" s="144" t="n">
        <v>0</v>
      </c>
      <c r="BC180" s="315"/>
      <c r="BD180" s="311" t="n">
        <v>0</v>
      </c>
      <c r="BE180" s="316" t="n">
        <v>0</v>
      </c>
      <c r="BF180" s="310"/>
      <c r="BG180" s="317" t="n">
        <v>0</v>
      </c>
      <c r="BH180" s="318" t="n">
        <v>0</v>
      </c>
      <c r="BI180" s="317" t="n">
        <v>0</v>
      </c>
      <c r="BJ180" s="318" t="n">
        <v>0</v>
      </c>
      <c r="BK180" s="317" t="n">
        <v>0</v>
      </c>
      <c r="BL180" s="318" t="n">
        <v>0</v>
      </c>
      <c r="BM180" s="310"/>
      <c r="BN180" s="317" t="n">
        <v>0</v>
      </c>
      <c r="BO180" s="318" t="n">
        <v>0</v>
      </c>
      <c r="BP180" s="317" t="n">
        <v>0</v>
      </c>
      <c r="BQ180" s="318" t="n">
        <v>0</v>
      </c>
      <c r="BR180" s="317" t="n">
        <v>0</v>
      </c>
      <c r="BS180" s="318" t="n">
        <v>0</v>
      </c>
      <c r="BT180" s="317" t="n">
        <v>0</v>
      </c>
      <c r="BU180" s="318" t="n">
        <v>0</v>
      </c>
      <c r="BV180" s="317" t="n">
        <v>0</v>
      </c>
      <c r="BW180" s="318" t="n">
        <v>0</v>
      </c>
      <c r="BY180" s="143"/>
      <c r="BZ180" s="315"/>
      <c r="CA180" s="144" t="s">
        <v>12</v>
      </c>
      <c r="CB180" s="315"/>
      <c r="CC180" s="144" t="n">
        <v>-92.900826446281</v>
      </c>
      <c r="CD180" s="144" t="n">
        <v>-154.500826446281</v>
      </c>
      <c r="CE180" s="144" t="n">
        <v>-173.700826446281</v>
      </c>
      <c r="CF180" s="315"/>
      <c r="CG180" s="144" t="n">
        <v>-91.900826446281</v>
      </c>
      <c r="CH180" s="144" t="n">
        <v>-115.900826446281</v>
      </c>
      <c r="CI180" s="144" t="n">
        <v>-235.900826446281</v>
      </c>
      <c r="CJ180" s="144" t="n">
        <v>-235.900826446281</v>
      </c>
      <c r="CK180" s="144" t="n">
        <v>-235.900826446281</v>
      </c>
      <c r="CM180" s="144" t="n">
        <v>577.685950413223</v>
      </c>
      <c r="CO180" s="319"/>
      <c r="CP180" s="320"/>
      <c r="CQ180" s="321" t="s">
        <v>12</v>
      </c>
      <c r="CR180" s="320"/>
      <c r="CS180" s="322" t="n">
        <v>-98.6859504132232</v>
      </c>
      <c r="CT180" s="322" t="n">
        <v>-160.285950413223</v>
      </c>
      <c r="CU180" s="322" t="n">
        <v>-179.485950413223</v>
      </c>
      <c r="CV180" s="323"/>
      <c r="CW180" s="322" t="n">
        <v>-97.6859504132232</v>
      </c>
      <c r="CX180" s="322" t="n">
        <v>-121.685950413223</v>
      </c>
      <c r="CY180" s="322" t="n">
        <v>-241.685950413223</v>
      </c>
      <c r="CZ180" s="322" t="n">
        <v>-241.685950413223</v>
      </c>
      <c r="DA180" s="322" t="n">
        <v>-241.685950413223</v>
      </c>
    </row>
    <row r="181" customFormat="false" ht="12.75" hidden="false" customHeight="false" outlineLevel="0" collapsed="false">
      <c r="B181" s="305" t="s">
        <v>190</v>
      </c>
      <c r="C181" s="305" t="s">
        <v>513</v>
      </c>
      <c r="D181" s="306" t="n">
        <v>215</v>
      </c>
      <c r="E181" s="306" t="n">
        <v>0</v>
      </c>
      <c r="F181" s="324" t="s">
        <v>514</v>
      </c>
      <c r="G181" s="144" t="n">
        <v>24</v>
      </c>
      <c r="H181" s="325" t="n">
        <v>214.04958677686</v>
      </c>
      <c r="I181" s="2"/>
      <c r="J181" s="144" t="s">
        <v>12</v>
      </c>
      <c r="K181" s="309" t="s">
        <v>12</v>
      </c>
      <c r="L181" s="310"/>
      <c r="M181" s="311" t="n">
        <v>29</v>
      </c>
      <c r="N181" s="312" t="n">
        <v>5.4</v>
      </c>
      <c r="O181" s="311" t="n">
        <v>0</v>
      </c>
      <c r="P181" s="312" t="n">
        <v>4</v>
      </c>
      <c r="Q181" s="310" t="n">
        <v>0</v>
      </c>
      <c r="R181" s="312" t="n">
        <v>3.1</v>
      </c>
      <c r="S181" s="310"/>
      <c r="T181" s="311" t="n">
        <v>0</v>
      </c>
      <c r="U181" s="312" t="n">
        <v>6.5</v>
      </c>
      <c r="V181" s="311" t="n">
        <v>0</v>
      </c>
      <c r="W181" s="312" t="n">
        <v>2</v>
      </c>
      <c r="X181" s="311" t="n">
        <v>0</v>
      </c>
      <c r="Y181" s="312" t="n">
        <v>1</v>
      </c>
      <c r="Z181" s="313" t="n">
        <v>0</v>
      </c>
      <c r="AA181" s="314" t="n">
        <v>1</v>
      </c>
      <c r="AB181" s="313" t="n">
        <v>0</v>
      </c>
      <c r="AC181" s="314" t="n">
        <v>1</v>
      </c>
      <c r="AD181" s="315"/>
      <c r="AE181" s="144" t="n">
        <v>1</v>
      </c>
      <c r="AF181" s="315"/>
      <c r="AG181" s="311" t="n">
        <v>0</v>
      </c>
      <c r="AH181" s="309" t="n">
        <v>0</v>
      </c>
      <c r="AI181" s="310"/>
      <c r="AJ181" s="311" t="n">
        <v>56</v>
      </c>
      <c r="AK181" s="309" t="n">
        <v>129.6</v>
      </c>
      <c r="AL181" s="311" t="n">
        <v>119</v>
      </c>
      <c r="AM181" s="309" t="n">
        <v>96</v>
      </c>
      <c r="AN181" s="310" t="n">
        <v>141</v>
      </c>
      <c r="AO181" s="309" t="n">
        <v>74.4</v>
      </c>
      <c r="AP181" s="310"/>
      <c r="AQ181" s="311" t="n">
        <v>59</v>
      </c>
      <c r="AR181" s="309" t="n">
        <v>156</v>
      </c>
      <c r="AS181" s="311" t="n">
        <v>167</v>
      </c>
      <c r="AT181" s="309" t="n">
        <v>48</v>
      </c>
      <c r="AU181" s="310" t="n">
        <v>191</v>
      </c>
      <c r="AV181" s="309" t="n">
        <v>24</v>
      </c>
      <c r="AW181" s="310" t="n">
        <v>191</v>
      </c>
      <c r="AX181" s="309" t="n">
        <v>24</v>
      </c>
      <c r="AY181" s="310" t="n">
        <v>191</v>
      </c>
      <c r="AZ181" s="309" t="n">
        <v>24</v>
      </c>
      <c r="BB181" s="144" t="n">
        <v>0</v>
      </c>
      <c r="BC181" s="315"/>
      <c r="BD181" s="311" t="n">
        <v>0</v>
      </c>
      <c r="BE181" s="316" t="n">
        <v>0</v>
      </c>
      <c r="BF181" s="310"/>
      <c r="BG181" s="317" t="n">
        <v>0</v>
      </c>
      <c r="BH181" s="318" t="n">
        <v>0.2</v>
      </c>
      <c r="BI181" s="317" t="n">
        <v>0</v>
      </c>
      <c r="BJ181" s="318" t="n">
        <v>0.9</v>
      </c>
      <c r="BK181" s="317" t="n">
        <v>0</v>
      </c>
      <c r="BL181" s="318" t="n">
        <v>0.8</v>
      </c>
      <c r="BM181" s="310"/>
      <c r="BN181" s="317" t="n">
        <v>0</v>
      </c>
      <c r="BO181" s="318" t="n">
        <v>0</v>
      </c>
      <c r="BP181" s="317" t="n">
        <v>0</v>
      </c>
      <c r="BQ181" s="318" t="n">
        <v>0</v>
      </c>
      <c r="BR181" s="317" t="n">
        <v>0</v>
      </c>
      <c r="BS181" s="318" t="n">
        <v>0</v>
      </c>
      <c r="BT181" s="317" t="n">
        <v>0</v>
      </c>
      <c r="BU181" s="318" t="n">
        <v>0</v>
      </c>
      <c r="BV181" s="317" t="n">
        <v>0</v>
      </c>
      <c r="BW181" s="318" t="n">
        <v>0</v>
      </c>
      <c r="BY181" s="143"/>
      <c r="BZ181" s="315"/>
      <c r="CA181" s="144" t="s">
        <v>12</v>
      </c>
      <c r="CB181" s="315"/>
      <c r="CC181" s="144" t="n">
        <v>-55.4495867768595</v>
      </c>
      <c r="CD181" s="144" t="n">
        <v>-118.04958677686</v>
      </c>
      <c r="CE181" s="144" t="n">
        <v>-139.64958677686</v>
      </c>
      <c r="CF181" s="315"/>
      <c r="CG181" s="144" t="n">
        <v>-58.0495867768595</v>
      </c>
      <c r="CH181" s="144" t="n">
        <v>-166.04958677686</v>
      </c>
      <c r="CI181" s="144" t="n">
        <v>-190.04958677686</v>
      </c>
      <c r="CJ181" s="144" t="n">
        <v>-190.04958677686</v>
      </c>
      <c r="CK181" s="144" t="n">
        <v>-190.04958677686</v>
      </c>
      <c r="CM181" s="144" t="n">
        <v>214.04958677686</v>
      </c>
      <c r="CO181" s="319"/>
      <c r="CP181" s="320"/>
      <c r="CQ181" s="321" t="s">
        <v>12</v>
      </c>
      <c r="CR181" s="320"/>
      <c r="CS181" s="322" t="n">
        <v>-55.4495867768595</v>
      </c>
      <c r="CT181" s="322" t="n">
        <v>-118.04958677686</v>
      </c>
      <c r="CU181" s="322" t="n">
        <v>-139.64958677686</v>
      </c>
      <c r="CV181" s="323"/>
      <c r="CW181" s="322" t="n">
        <v>-58.0495867768595</v>
      </c>
      <c r="CX181" s="322" t="n">
        <v>-166.04958677686</v>
      </c>
      <c r="CY181" s="322" t="n">
        <v>-190.04958677686</v>
      </c>
      <c r="CZ181" s="322" t="n">
        <v>-190.04958677686</v>
      </c>
      <c r="DA181" s="322" t="n">
        <v>-190.04958677686</v>
      </c>
    </row>
    <row r="182" customFormat="false" ht="12.75" hidden="false" customHeight="false" outlineLevel="0" collapsed="false">
      <c r="B182" s="305" t="s">
        <v>190</v>
      </c>
      <c r="C182" s="305" t="s">
        <v>515</v>
      </c>
      <c r="D182" s="306" t="n">
        <v>396</v>
      </c>
      <c r="E182" s="306" t="n">
        <v>0</v>
      </c>
      <c r="F182" s="306" t="s">
        <v>514</v>
      </c>
      <c r="G182" s="307" t="n">
        <v>24</v>
      </c>
      <c r="H182" s="308" t="n">
        <v>395.867768595041</v>
      </c>
      <c r="I182" s="2"/>
      <c r="J182" s="144" t="s">
        <v>12</v>
      </c>
      <c r="K182" s="309" t="s">
        <v>12</v>
      </c>
      <c r="L182" s="310"/>
      <c r="M182" s="311" t="n">
        <v>109</v>
      </c>
      <c r="N182" s="312" t="n">
        <v>6.7</v>
      </c>
      <c r="O182" s="311" t="n">
        <v>19</v>
      </c>
      <c r="P182" s="312" t="n">
        <v>8.1</v>
      </c>
      <c r="Q182" s="310" t="n">
        <v>19</v>
      </c>
      <c r="R182" s="312" t="n">
        <v>7.3</v>
      </c>
      <c r="S182" s="310"/>
      <c r="T182" s="311" t="n">
        <v>0</v>
      </c>
      <c r="U182" s="312" t="n">
        <v>11.2</v>
      </c>
      <c r="V182" s="311" t="n">
        <v>0</v>
      </c>
      <c r="W182" s="312" t="n">
        <v>6</v>
      </c>
      <c r="X182" s="311" t="n">
        <v>0</v>
      </c>
      <c r="Y182" s="312" t="n">
        <v>6</v>
      </c>
      <c r="Z182" s="313" t="n">
        <v>0</v>
      </c>
      <c r="AA182" s="314" t="n">
        <v>7.4</v>
      </c>
      <c r="AB182" s="313" t="n">
        <v>0</v>
      </c>
      <c r="AC182" s="314" t="n">
        <v>7.4</v>
      </c>
      <c r="AD182" s="315"/>
      <c r="AE182" s="144" t="n">
        <v>0</v>
      </c>
      <c r="AF182" s="315"/>
      <c r="AG182" s="311" t="n">
        <v>0</v>
      </c>
      <c r="AH182" s="309" t="n">
        <v>0</v>
      </c>
      <c r="AI182" s="310"/>
      <c r="AJ182" s="311" t="n">
        <v>126</v>
      </c>
      <c r="AK182" s="309" t="n">
        <v>160.8</v>
      </c>
      <c r="AL182" s="311" t="n">
        <v>183</v>
      </c>
      <c r="AM182" s="309" t="n">
        <v>194.4</v>
      </c>
      <c r="AN182" s="311" t="n">
        <v>202</v>
      </c>
      <c r="AO182" s="309" t="n">
        <v>175.2</v>
      </c>
      <c r="AP182" s="310"/>
      <c r="AQ182" s="311" t="n">
        <v>127</v>
      </c>
      <c r="AR182" s="309" t="n">
        <v>268.8</v>
      </c>
      <c r="AS182" s="311" t="n">
        <v>252</v>
      </c>
      <c r="AT182" s="309" t="n">
        <v>144</v>
      </c>
      <c r="AU182" s="311" t="n">
        <v>252</v>
      </c>
      <c r="AV182" s="309" t="n">
        <v>144</v>
      </c>
      <c r="AW182" s="311" t="n">
        <v>218</v>
      </c>
      <c r="AX182" s="309" t="n">
        <v>177.6</v>
      </c>
      <c r="AY182" s="311" t="n">
        <v>218</v>
      </c>
      <c r="AZ182" s="309" t="n">
        <v>177.6</v>
      </c>
      <c r="BB182" s="144" t="n">
        <v>0</v>
      </c>
      <c r="BC182" s="315"/>
      <c r="BD182" s="311" t="n">
        <v>0</v>
      </c>
      <c r="BE182" s="316" t="n">
        <v>0</v>
      </c>
      <c r="BF182" s="310"/>
      <c r="BG182" s="317" t="n">
        <v>0</v>
      </c>
      <c r="BH182" s="318" t="n">
        <v>0</v>
      </c>
      <c r="BI182" s="317" t="n">
        <v>0</v>
      </c>
      <c r="BJ182" s="318" t="n">
        <v>0.799999999999999</v>
      </c>
      <c r="BK182" s="317" t="n">
        <v>0</v>
      </c>
      <c r="BL182" s="318" t="n">
        <v>0.600000000000001</v>
      </c>
      <c r="BM182" s="310"/>
      <c r="BN182" s="317" t="n">
        <v>0</v>
      </c>
      <c r="BO182" s="318" t="n">
        <v>0</v>
      </c>
      <c r="BP182" s="317" t="n">
        <v>0</v>
      </c>
      <c r="BQ182" s="318" t="n">
        <v>0</v>
      </c>
      <c r="BR182" s="317" t="n">
        <v>0</v>
      </c>
      <c r="BS182" s="318" t="n">
        <v>0</v>
      </c>
      <c r="BT182" s="317" t="n">
        <v>0</v>
      </c>
      <c r="BU182" s="318" t="n">
        <v>1.2</v>
      </c>
      <c r="BV182" s="317" t="n">
        <v>0</v>
      </c>
      <c r="BW182" s="318" t="n">
        <v>1.2</v>
      </c>
      <c r="BY182" s="143"/>
      <c r="BZ182" s="315"/>
      <c r="CA182" s="144" t="s">
        <v>12</v>
      </c>
      <c r="CB182" s="315"/>
      <c r="CC182" s="144" t="n">
        <v>-126.067768595041</v>
      </c>
      <c r="CD182" s="144" t="n">
        <v>-182.467768595041</v>
      </c>
      <c r="CE182" s="144" t="n">
        <v>-201.667768595041</v>
      </c>
      <c r="CF182" s="315"/>
      <c r="CG182" s="144" t="n">
        <v>-127.067768595041</v>
      </c>
      <c r="CH182" s="144" t="n">
        <v>-251.867768595041</v>
      </c>
      <c r="CI182" s="144" t="n">
        <v>-251.867768595041</v>
      </c>
      <c r="CJ182" s="144" t="n">
        <v>-218.267768595041</v>
      </c>
      <c r="CK182" s="144" t="n">
        <v>-218.267768595041</v>
      </c>
      <c r="CM182" s="144" t="n">
        <v>395.867768595041</v>
      </c>
      <c r="CO182" s="319"/>
      <c r="CP182" s="320"/>
      <c r="CQ182" s="321" t="s">
        <v>12</v>
      </c>
      <c r="CR182" s="320"/>
      <c r="CS182" s="322" t="n">
        <v>-126.067768595041</v>
      </c>
      <c r="CT182" s="322" t="n">
        <v>-182.467768595041</v>
      </c>
      <c r="CU182" s="322" t="n">
        <v>-201.667768595041</v>
      </c>
      <c r="CV182" s="323"/>
      <c r="CW182" s="322" t="n">
        <v>-127.067768595041</v>
      </c>
      <c r="CX182" s="322" t="n">
        <v>-251.867768595041</v>
      </c>
      <c r="CY182" s="322" t="n">
        <v>-251.867768595041</v>
      </c>
      <c r="CZ182" s="322" t="n">
        <v>-218.267768595041</v>
      </c>
      <c r="DA182" s="322" t="n">
        <v>-218.267768595041</v>
      </c>
    </row>
    <row r="183" customFormat="false" ht="12.75" hidden="false" customHeight="false" outlineLevel="0" collapsed="false">
      <c r="B183" s="305" t="s">
        <v>190</v>
      </c>
      <c r="C183" s="305" t="s">
        <v>515</v>
      </c>
      <c r="D183" s="306" t="n">
        <v>396</v>
      </c>
      <c r="E183" s="306" t="n">
        <v>0</v>
      </c>
      <c r="F183" s="324" t="s">
        <v>514</v>
      </c>
      <c r="G183" s="144" t="n">
        <v>48</v>
      </c>
      <c r="H183" s="325" t="n">
        <v>395.867768595041</v>
      </c>
      <c r="I183" s="2"/>
      <c r="J183" s="144" t="s">
        <v>12</v>
      </c>
      <c r="K183" s="309" t="s">
        <v>12</v>
      </c>
      <c r="L183" s="310"/>
      <c r="M183" s="311" t="n">
        <v>109</v>
      </c>
      <c r="N183" s="312" t="n">
        <v>3.4</v>
      </c>
      <c r="O183" s="311" t="n">
        <v>19</v>
      </c>
      <c r="P183" s="312" t="n">
        <v>4.1</v>
      </c>
      <c r="Q183" s="310" t="n">
        <v>19</v>
      </c>
      <c r="R183" s="312" t="n">
        <v>3.7</v>
      </c>
      <c r="S183" s="310"/>
      <c r="T183" s="311" t="n">
        <v>0</v>
      </c>
      <c r="U183" s="312" t="n">
        <v>5.6</v>
      </c>
      <c r="V183" s="311" t="n">
        <v>0</v>
      </c>
      <c r="W183" s="312" t="n">
        <v>3</v>
      </c>
      <c r="X183" s="311" t="n">
        <v>0</v>
      </c>
      <c r="Y183" s="312" t="n">
        <v>3</v>
      </c>
      <c r="Z183" s="313" t="n">
        <v>0</v>
      </c>
      <c r="AA183" s="314" t="n">
        <v>3.7</v>
      </c>
      <c r="AB183" s="313" t="n">
        <v>0</v>
      </c>
      <c r="AC183" s="314" t="n">
        <v>3.7</v>
      </c>
      <c r="AD183" s="315"/>
      <c r="AE183" s="144" t="n">
        <v>0</v>
      </c>
      <c r="AF183" s="315"/>
      <c r="AG183" s="311" t="n">
        <v>0</v>
      </c>
      <c r="AH183" s="309" t="n">
        <v>0</v>
      </c>
      <c r="AI183" s="310"/>
      <c r="AJ183" s="311" t="n">
        <v>124</v>
      </c>
      <c r="AK183" s="309" t="n">
        <v>163.2</v>
      </c>
      <c r="AL183" s="311" t="n">
        <v>180</v>
      </c>
      <c r="AM183" s="309" t="n">
        <v>196.8</v>
      </c>
      <c r="AN183" s="310" t="n">
        <v>199</v>
      </c>
      <c r="AO183" s="309" t="n">
        <v>177.6</v>
      </c>
      <c r="AP183" s="310"/>
      <c r="AQ183" s="311" t="n">
        <v>127</v>
      </c>
      <c r="AR183" s="309" t="n">
        <v>268.8</v>
      </c>
      <c r="AS183" s="311" t="n">
        <v>252</v>
      </c>
      <c r="AT183" s="309" t="n">
        <v>144</v>
      </c>
      <c r="AU183" s="310" t="n">
        <v>252</v>
      </c>
      <c r="AV183" s="309" t="n">
        <v>144</v>
      </c>
      <c r="AW183" s="310" t="n">
        <v>218</v>
      </c>
      <c r="AX183" s="309" t="n">
        <v>177.6</v>
      </c>
      <c r="AY183" s="310" t="n">
        <v>218</v>
      </c>
      <c r="AZ183" s="309" t="n">
        <v>177.6</v>
      </c>
      <c r="BB183" s="144" t="n">
        <v>0</v>
      </c>
      <c r="BC183" s="315"/>
      <c r="BD183" s="311" t="n">
        <v>0</v>
      </c>
      <c r="BE183" s="316" t="n">
        <v>0</v>
      </c>
      <c r="BF183" s="310"/>
      <c r="BG183" s="317" t="n">
        <v>0</v>
      </c>
      <c r="BH183" s="318" t="n">
        <v>0</v>
      </c>
      <c r="BI183" s="317" t="n">
        <v>0</v>
      </c>
      <c r="BJ183" s="318" t="n">
        <v>0</v>
      </c>
      <c r="BK183" s="317" t="n">
        <v>0</v>
      </c>
      <c r="BL183" s="318" t="n">
        <v>0</v>
      </c>
      <c r="BM183" s="310"/>
      <c r="BN183" s="317" t="n">
        <v>0</v>
      </c>
      <c r="BO183" s="318" t="n">
        <v>0</v>
      </c>
      <c r="BP183" s="317" t="n">
        <v>0</v>
      </c>
      <c r="BQ183" s="318" t="n">
        <v>0</v>
      </c>
      <c r="BR183" s="317" t="n">
        <v>0</v>
      </c>
      <c r="BS183" s="318" t="n">
        <v>0</v>
      </c>
      <c r="BT183" s="317" t="n">
        <v>0</v>
      </c>
      <c r="BU183" s="318" t="n">
        <v>0</v>
      </c>
      <c r="BV183" s="317" t="n">
        <v>0</v>
      </c>
      <c r="BW183" s="318" t="n">
        <v>0</v>
      </c>
      <c r="BY183" s="143"/>
      <c r="BZ183" s="315"/>
      <c r="CA183" s="144" t="s">
        <v>12</v>
      </c>
      <c r="CB183" s="315"/>
      <c r="CC183" s="144" t="n">
        <v>-123.667768595041</v>
      </c>
      <c r="CD183" s="144" t="n">
        <v>-180.067768595041</v>
      </c>
      <c r="CE183" s="144" t="n">
        <v>-199.267768595041</v>
      </c>
      <c r="CF183" s="315"/>
      <c r="CG183" s="144" t="n">
        <v>-127.067768595041</v>
      </c>
      <c r="CH183" s="144" t="n">
        <v>-251.867768595041</v>
      </c>
      <c r="CI183" s="144" t="n">
        <v>-251.867768595041</v>
      </c>
      <c r="CJ183" s="144" t="n">
        <v>-218.267768595041</v>
      </c>
      <c r="CK183" s="144" t="n">
        <v>-218.267768595041</v>
      </c>
      <c r="CM183" s="144" t="n">
        <v>395.867768595041</v>
      </c>
      <c r="CO183" s="319"/>
      <c r="CP183" s="320"/>
      <c r="CQ183" s="321" t="s">
        <v>12</v>
      </c>
      <c r="CR183" s="320"/>
      <c r="CS183" s="322" t="n">
        <v>-123.667768595041</v>
      </c>
      <c r="CT183" s="322" t="n">
        <v>-180.067768595041</v>
      </c>
      <c r="CU183" s="322" t="n">
        <v>-199.267768595041</v>
      </c>
      <c r="CV183" s="323"/>
      <c r="CW183" s="322" t="n">
        <v>-127.067768595041</v>
      </c>
      <c r="CX183" s="322" t="n">
        <v>-251.867768595041</v>
      </c>
      <c r="CY183" s="322" t="n">
        <v>-251.867768595041</v>
      </c>
      <c r="CZ183" s="322" t="n">
        <v>-218.267768595041</v>
      </c>
      <c r="DA183" s="322" t="n">
        <v>-218.267768595041</v>
      </c>
    </row>
    <row r="184" customFormat="false" ht="12.75" hidden="false" customHeight="false" outlineLevel="0" collapsed="false">
      <c r="B184" s="305" t="s">
        <v>190</v>
      </c>
      <c r="C184" s="305" t="s">
        <v>516</v>
      </c>
      <c r="D184" s="306" t="n">
        <v>479</v>
      </c>
      <c r="E184" s="306" t="n">
        <v>0</v>
      </c>
      <c r="F184" s="306" t="s">
        <v>514</v>
      </c>
      <c r="G184" s="307" t="n">
        <v>24</v>
      </c>
      <c r="H184" s="308" t="n">
        <v>478.512396694215</v>
      </c>
      <c r="I184" s="2"/>
      <c r="J184" s="144" t="s">
        <v>12</v>
      </c>
      <c r="K184" s="309" t="s">
        <v>12</v>
      </c>
      <c r="L184" s="310"/>
      <c r="M184" s="311" t="n">
        <v>139</v>
      </c>
      <c r="N184" s="312" t="n">
        <v>8.3</v>
      </c>
      <c r="O184" s="311" t="n">
        <v>19</v>
      </c>
      <c r="P184" s="312" t="n">
        <v>10.8</v>
      </c>
      <c r="Q184" s="310" t="n">
        <v>19</v>
      </c>
      <c r="R184" s="312" t="n">
        <v>10</v>
      </c>
      <c r="S184" s="310"/>
      <c r="T184" s="311" t="n">
        <v>0</v>
      </c>
      <c r="U184" s="312" t="n">
        <v>13.7</v>
      </c>
      <c r="V184" s="311" t="n">
        <v>0</v>
      </c>
      <c r="W184" s="312" t="n">
        <v>10.7</v>
      </c>
      <c r="X184" s="311" t="n">
        <v>0</v>
      </c>
      <c r="Y184" s="312" t="n">
        <v>10.7</v>
      </c>
      <c r="Z184" s="313" t="n">
        <v>0</v>
      </c>
      <c r="AA184" s="314" t="n">
        <v>10.7</v>
      </c>
      <c r="AB184" s="313" t="n">
        <v>0</v>
      </c>
      <c r="AC184" s="314" t="n">
        <v>10.7</v>
      </c>
      <c r="AD184" s="315"/>
      <c r="AE184" s="144" t="n">
        <v>0</v>
      </c>
      <c r="AF184" s="315"/>
      <c r="AG184" s="311" t="n">
        <v>0</v>
      </c>
      <c r="AH184" s="309" t="n">
        <v>0</v>
      </c>
      <c r="AI184" s="310"/>
      <c r="AJ184" s="311" t="n">
        <v>141</v>
      </c>
      <c r="AK184" s="309" t="n">
        <v>199.2</v>
      </c>
      <c r="AL184" s="311" t="n">
        <v>201</v>
      </c>
      <c r="AM184" s="309" t="n">
        <v>259.2</v>
      </c>
      <c r="AN184" s="311" t="n">
        <v>220</v>
      </c>
      <c r="AO184" s="309" t="n">
        <v>240</v>
      </c>
      <c r="AP184" s="310"/>
      <c r="AQ184" s="311" t="n">
        <v>150</v>
      </c>
      <c r="AR184" s="309" t="n">
        <v>328.8</v>
      </c>
      <c r="AS184" s="311" t="n">
        <v>222</v>
      </c>
      <c r="AT184" s="309" t="n">
        <v>256.8</v>
      </c>
      <c r="AU184" s="311" t="n">
        <v>222</v>
      </c>
      <c r="AV184" s="309" t="n">
        <v>256.8</v>
      </c>
      <c r="AW184" s="311" t="n">
        <v>222</v>
      </c>
      <c r="AX184" s="309" t="n">
        <v>256.8</v>
      </c>
      <c r="AY184" s="311" t="n">
        <v>222</v>
      </c>
      <c r="AZ184" s="309" t="n">
        <v>256.8</v>
      </c>
      <c r="BB184" s="144" t="n">
        <v>0</v>
      </c>
      <c r="BC184" s="315"/>
      <c r="BD184" s="311" t="n">
        <v>0</v>
      </c>
      <c r="BE184" s="316" t="n">
        <v>0</v>
      </c>
      <c r="BF184" s="310"/>
      <c r="BG184" s="317" t="n">
        <v>0</v>
      </c>
      <c r="BH184" s="318" t="n">
        <v>0.200000000000001</v>
      </c>
      <c r="BI184" s="317" t="n">
        <v>0</v>
      </c>
      <c r="BJ184" s="318" t="n">
        <v>0.800000000000001</v>
      </c>
      <c r="BK184" s="317" t="n">
        <v>0</v>
      </c>
      <c r="BL184" s="318" t="n">
        <v>0.9</v>
      </c>
      <c r="BM184" s="310"/>
      <c r="BN184" s="317" t="n">
        <v>0</v>
      </c>
      <c r="BO184" s="318" t="n">
        <v>-0.199999999999999</v>
      </c>
      <c r="BP184" s="317" t="n">
        <v>0</v>
      </c>
      <c r="BQ184" s="318" t="n">
        <v>1.4</v>
      </c>
      <c r="BR184" s="317" t="n">
        <v>0</v>
      </c>
      <c r="BS184" s="318" t="n">
        <v>3.7</v>
      </c>
      <c r="BT184" s="317" t="n">
        <v>0</v>
      </c>
      <c r="BU184" s="318" t="n">
        <v>1.4</v>
      </c>
      <c r="BV184" s="317" t="n">
        <v>0</v>
      </c>
      <c r="BW184" s="318" t="n">
        <v>1.4</v>
      </c>
      <c r="BY184" s="143"/>
      <c r="BZ184" s="315"/>
      <c r="CA184" s="144" t="s">
        <v>12</v>
      </c>
      <c r="CB184" s="315"/>
      <c r="CC184" s="144" t="n">
        <v>-140.312396694215</v>
      </c>
      <c r="CD184" s="144" t="n">
        <v>-200.312396694215</v>
      </c>
      <c r="CE184" s="144" t="n">
        <v>-219.512396694215</v>
      </c>
      <c r="CF184" s="315"/>
      <c r="CG184" s="144" t="n">
        <v>-149.712396694215</v>
      </c>
      <c r="CH184" s="144" t="n">
        <v>-221.712396694215</v>
      </c>
      <c r="CI184" s="144" t="n">
        <v>-221.712396694215</v>
      </c>
      <c r="CJ184" s="144" t="n">
        <v>-221.712396694215</v>
      </c>
      <c r="CK184" s="144" t="n">
        <v>-221.712396694215</v>
      </c>
      <c r="CM184" s="144" t="n">
        <v>478.512396694215</v>
      </c>
      <c r="CO184" s="319"/>
      <c r="CP184" s="320"/>
      <c r="CQ184" s="321" t="s">
        <v>12</v>
      </c>
      <c r="CR184" s="320"/>
      <c r="CS184" s="322" t="n">
        <v>-140.312396694215</v>
      </c>
      <c r="CT184" s="322" t="n">
        <v>-200.312396694215</v>
      </c>
      <c r="CU184" s="322" t="n">
        <v>-219.512396694215</v>
      </c>
      <c r="CV184" s="323"/>
      <c r="CW184" s="322" t="n">
        <v>-149.712396694215</v>
      </c>
      <c r="CX184" s="322" t="n">
        <v>-221.712396694215</v>
      </c>
      <c r="CY184" s="322" t="n">
        <v>-221.712396694215</v>
      </c>
      <c r="CZ184" s="322" t="n">
        <v>-221.712396694215</v>
      </c>
      <c r="DA184" s="322" t="n">
        <v>-221.712396694215</v>
      </c>
    </row>
    <row r="185" customFormat="false" ht="12.75" hidden="false" customHeight="false" outlineLevel="0" collapsed="false">
      <c r="B185" s="305" t="s">
        <v>190</v>
      </c>
      <c r="C185" s="305" t="s">
        <v>516</v>
      </c>
      <c r="D185" s="306" t="n">
        <v>479</v>
      </c>
      <c r="E185" s="306" t="n">
        <v>0</v>
      </c>
      <c r="F185" s="324" t="s">
        <v>514</v>
      </c>
      <c r="G185" s="144" t="n">
        <v>48</v>
      </c>
      <c r="H185" s="325" t="n">
        <v>478.512396694215</v>
      </c>
      <c r="I185" s="2"/>
      <c r="J185" s="144" t="s">
        <v>12</v>
      </c>
      <c r="K185" s="309" t="s">
        <v>12</v>
      </c>
      <c r="L185" s="310"/>
      <c r="M185" s="311" t="n">
        <v>139</v>
      </c>
      <c r="N185" s="312" t="n">
        <v>4.2</v>
      </c>
      <c r="O185" s="311" t="n">
        <v>19</v>
      </c>
      <c r="P185" s="312" t="n">
        <v>5.4</v>
      </c>
      <c r="Q185" s="310" t="n">
        <v>19</v>
      </c>
      <c r="R185" s="312" t="n">
        <v>5</v>
      </c>
      <c r="S185" s="310"/>
      <c r="T185" s="311" t="n">
        <v>0</v>
      </c>
      <c r="U185" s="312" t="n">
        <v>6.9</v>
      </c>
      <c r="V185" s="311" t="n">
        <v>0</v>
      </c>
      <c r="W185" s="312" t="n">
        <v>5.4</v>
      </c>
      <c r="X185" s="311" t="n">
        <v>0</v>
      </c>
      <c r="Y185" s="328" t="n">
        <v>5.4</v>
      </c>
      <c r="Z185" s="313" t="n">
        <v>0</v>
      </c>
      <c r="AA185" s="314" t="n">
        <v>5.4</v>
      </c>
      <c r="AB185" s="313" t="n">
        <v>0</v>
      </c>
      <c r="AC185" s="314" t="n">
        <v>5.4</v>
      </c>
      <c r="AD185" s="315"/>
      <c r="AE185" s="144" t="n">
        <v>0</v>
      </c>
      <c r="AF185" s="315"/>
      <c r="AG185" s="311" t="n">
        <v>0</v>
      </c>
      <c r="AH185" s="309" t="n">
        <v>0</v>
      </c>
      <c r="AI185" s="310"/>
      <c r="AJ185" s="311" t="n">
        <v>138</v>
      </c>
      <c r="AK185" s="309" t="n">
        <v>201.6</v>
      </c>
      <c r="AL185" s="311" t="n">
        <v>201</v>
      </c>
      <c r="AM185" s="309" t="n">
        <v>259.2</v>
      </c>
      <c r="AN185" s="310" t="n">
        <v>220</v>
      </c>
      <c r="AO185" s="309" t="n">
        <v>240</v>
      </c>
      <c r="AP185" s="310"/>
      <c r="AQ185" s="311" t="n">
        <v>148</v>
      </c>
      <c r="AR185" s="309" t="n">
        <v>331.2</v>
      </c>
      <c r="AS185" s="311" t="n">
        <v>220</v>
      </c>
      <c r="AT185" s="309" t="n">
        <v>259.2</v>
      </c>
      <c r="AU185" s="310" t="n">
        <v>220</v>
      </c>
      <c r="AV185" s="309" t="n">
        <v>259.2</v>
      </c>
      <c r="AW185" s="310" t="n">
        <v>220</v>
      </c>
      <c r="AX185" s="309" t="n">
        <v>259.2</v>
      </c>
      <c r="AY185" s="310" t="n">
        <v>220</v>
      </c>
      <c r="AZ185" s="309" t="n">
        <v>259.2</v>
      </c>
      <c r="BB185" s="144" t="n">
        <v>0</v>
      </c>
      <c r="BC185" s="315"/>
      <c r="BD185" s="311" t="n">
        <v>0</v>
      </c>
      <c r="BE185" s="316" t="n">
        <v>0</v>
      </c>
      <c r="BF185" s="310"/>
      <c r="BG185" s="317" t="n">
        <v>0</v>
      </c>
      <c r="BH185" s="318" t="n">
        <v>0</v>
      </c>
      <c r="BI185" s="317" t="n">
        <v>0</v>
      </c>
      <c r="BJ185" s="318" t="n">
        <v>0</v>
      </c>
      <c r="BK185" s="317" t="n">
        <v>0</v>
      </c>
      <c r="BL185" s="318" t="n">
        <v>0</v>
      </c>
      <c r="BM185" s="310"/>
      <c r="BN185" s="317" t="n">
        <v>0</v>
      </c>
      <c r="BO185" s="318" t="n">
        <v>0</v>
      </c>
      <c r="BP185" s="317" t="n">
        <v>0</v>
      </c>
      <c r="BQ185" s="318" t="n">
        <v>0</v>
      </c>
      <c r="BR185" s="317" t="n">
        <v>0</v>
      </c>
      <c r="BS185" s="318" t="n">
        <v>0</v>
      </c>
      <c r="BT185" s="317" t="n">
        <v>0</v>
      </c>
      <c r="BU185" s="318" t="n">
        <v>0</v>
      </c>
      <c r="BV185" s="317" t="n">
        <v>0</v>
      </c>
      <c r="BW185" s="318" t="n">
        <v>0</v>
      </c>
      <c r="BY185" s="143"/>
      <c r="BZ185" s="315"/>
      <c r="CA185" s="144" t="s">
        <v>12</v>
      </c>
      <c r="CB185" s="315"/>
      <c r="CC185" s="144" t="n">
        <v>-137.912396694215</v>
      </c>
      <c r="CD185" s="144" t="n">
        <v>-200.312396694215</v>
      </c>
      <c r="CE185" s="144" t="n">
        <v>-219.512396694215</v>
      </c>
      <c r="CF185" s="315"/>
      <c r="CG185" s="144" t="n">
        <v>-147.312396694215</v>
      </c>
      <c r="CH185" s="144" t="n">
        <v>-219.312396694215</v>
      </c>
      <c r="CI185" s="144" t="n">
        <v>-219.312396694215</v>
      </c>
      <c r="CJ185" s="144" t="n">
        <v>-219.312396694215</v>
      </c>
      <c r="CK185" s="144" t="n">
        <v>-219.312396694215</v>
      </c>
      <c r="CM185" s="144" t="n">
        <v>478.512396694215</v>
      </c>
      <c r="CO185" s="319"/>
      <c r="CP185" s="320"/>
      <c r="CQ185" s="321" t="s">
        <v>12</v>
      </c>
      <c r="CR185" s="320"/>
      <c r="CS185" s="322" t="n">
        <v>-137.912396694215</v>
      </c>
      <c r="CT185" s="322" t="n">
        <v>-200.312396694215</v>
      </c>
      <c r="CU185" s="322" t="n">
        <v>-219.512396694215</v>
      </c>
      <c r="CV185" s="323"/>
      <c r="CW185" s="322" t="n">
        <v>-147.312396694215</v>
      </c>
      <c r="CX185" s="322" t="n">
        <v>-219.312396694215</v>
      </c>
      <c r="CY185" s="322" t="n">
        <v>-219.312396694215</v>
      </c>
      <c r="CZ185" s="322" t="n">
        <v>-219.312396694215</v>
      </c>
      <c r="DA185" s="322" t="n">
        <v>-219.312396694215</v>
      </c>
    </row>
    <row r="186" customFormat="false" ht="12.75" hidden="false" customHeight="false" outlineLevel="0" collapsed="false">
      <c r="B186" s="305" t="s">
        <v>190</v>
      </c>
      <c r="C186" s="305" t="s">
        <v>517</v>
      </c>
      <c r="D186" s="306" t="n">
        <v>1735</v>
      </c>
      <c r="E186" s="306" t="n">
        <v>0</v>
      </c>
      <c r="F186" s="306" t="s">
        <v>514</v>
      </c>
      <c r="G186" s="307" t="n">
        <v>24</v>
      </c>
      <c r="H186" s="308" t="n">
        <v>1569.42148760331</v>
      </c>
      <c r="I186" s="2"/>
      <c r="J186" s="144" t="s">
        <v>12</v>
      </c>
      <c r="K186" s="309" t="s">
        <v>12</v>
      </c>
      <c r="L186" s="310"/>
      <c r="M186" s="311" t="n">
        <v>469</v>
      </c>
      <c r="N186" s="312" t="n">
        <v>19.3</v>
      </c>
      <c r="O186" s="311" t="n">
        <v>289</v>
      </c>
      <c r="P186" s="312" t="n">
        <v>24.4</v>
      </c>
      <c r="Q186" s="310" t="n">
        <v>289</v>
      </c>
      <c r="R186" s="312" t="n">
        <v>23.6</v>
      </c>
      <c r="S186" s="310"/>
      <c r="T186" s="311" t="n">
        <v>39</v>
      </c>
      <c r="U186" s="312" t="n">
        <v>37.2</v>
      </c>
      <c r="V186" s="311" t="n">
        <v>39</v>
      </c>
      <c r="W186" s="312" t="n">
        <v>34.7</v>
      </c>
      <c r="X186" s="311" t="n">
        <v>39</v>
      </c>
      <c r="Y186" s="312" t="n">
        <v>34.7</v>
      </c>
      <c r="Z186" s="313" t="n">
        <v>39</v>
      </c>
      <c r="AA186" s="314" t="n">
        <v>34.7</v>
      </c>
      <c r="AB186" s="313" t="n">
        <v>39</v>
      </c>
      <c r="AC186" s="314" t="n">
        <v>34.7</v>
      </c>
      <c r="AD186" s="315"/>
      <c r="AE186" s="144" t="n">
        <v>166</v>
      </c>
      <c r="AF186" s="315"/>
      <c r="AG186" s="311" t="n">
        <v>0</v>
      </c>
      <c r="AH186" s="309" t="n">
        <v>0</v>
      </c>
      <c r="AI186" s="310"/>
      <c r="AJ186" s="311" t="n">
        <v>803</v>
      </c>
      <c r="AK186" s="309" t="n">
        <v>463.2</v>
      </c>
      <c r="AL186" s="311" t="n">
        <v>860</v>
      </c>
      <c r="AM186" s="309" t="n">
        <v>585.6</v>
      </c>
      <c r="AN186" s="311" t="n">
        <v>880</v>
      </c>
      <c r="AO186" s="309" t="n">
        <v>566.4</v>
      </c>
      <c r="AP186" s="310"/>
      <c r="AQ186" s="311" t="n">
        <v>803</v>
      </c>
      <c r="AR186" s="309" t="n">
        <v>892.8</v>
      </c>
      <c r="AS186" s="311" t="n">
        <v>863</v>
      </c>
      <c r="AT186" s="309" t="n">
        <v>832.8</v>
      </c>
      <c r="AU186" s="311" t="n">
        <v>863</v>
      </c>
      <c r="AV186" s="309" t="n">
        <v>832.8</v>
      </c>
      <c r="AW186" s="311" t="n">
        <v>863</v>
      </c>
      <c r="AX186" s="309" t="n">
        <v>832.8</v>
      </c>
      <c r="AY186" s="311" t="n">
        <v>863</v>
      </c>
      <c r="AZ186" s="309" t="n">
        <v>832.8</v>
      </c>
      <c r="BB186" s="144" t="n">
        <v>0</v>
      </c>
      <c r="BC186" s="315"/>
      <c r="BD186" s="311" t="n">
        <v>0</v>
      </c>
      <c r="BE186" s="316" t="n">
        <v>0</v>
      </c>
      <c r="BF186" s="310"/>
      <c r="BG186" s="317" t="n">
        <v>0</v>
      </c>
      <c r="BH186" s="318" t="n">
        <v>0</v>
      </c>
      <c r="BI186" s="317" t="n">
        <v>0</v>
      </c>
      <c r="BJ186" s="318" t="n">
        <v>0.600000000000001</v>
      </c>
      <c r="BK186" s="317" t="n">
        <v>0</v>
      </c>
      <c r="BL186" s="318" t="n">
        <v>0.800000000000001</v>
      </c>
      <c r="BM186" s="310"/>
      <c r="BN186" s="317" t="n">
        <v>0</v>
      </c>
      <c r="BO186" s="318" t="n">
        <v>0</v>
      </c>
      <c r="BP186" s="317" t="n">
        <v>0</v>
      </c>
      <c r="BQ186" s="318" t="n">
        <v>0.600000000000001</v>
      </c>
      <c r="BR186" s="317" t="n">
        <v>0</v>
      </c>
      <c r="BS186" s="318" t="n">
        <v>0.600000000000001</v>
      </c>
      <c r="BT186" s="317" t="n">
        <v>0</v>
      </c>
      <c r="BU186" s="318" t="n">
        <v>0.600000000000001</v>
      </c>
      <c r="BV186" s="317" t="n">
        <v>0</v>
      </c>
      <c r="BW186" s="318" t="n">
        <v>0.600000000000001</v>
      </c>
      <c r="BY186" s="143"/>
      <c r="BZ186" s="315"/>
      <c r="CA186" s="144" t="s">
        <v>12</v>
      </c>
      <c r="CB186" s="315"/>
      <c r="CC186" s="144" t="n">
        <v>-637.221487603306</v>
      </c>
      <c r="CD186" s="144" t="n">
        <v>-694.821487603306</v>
      </c>
      <c r="CE186" s="144" t="n">
        <v>-714.021487603306</v>
      </c>
      <c r="CF186" s="315"/>
      <c r="CG186" s="144" t="n">
        <v>-637.621487603306</v>
      </c>
      <c r="CH186" s="144" t="n">
        <v>-697.621487603306</v>
      </c>
      <c r="CI186" s="144" t="n">
        <v>-697.621487603306</v>
      </c>
      <c r="CJ186" s="144" t="n">
        <v>-697.621487603306</v>
      </c>
      <c r="CK186" s="144" t="n">
        <v>-697.621487603306</v>
      </c>
      <c r="CM186" s="144" t="n">
        <v>1569.42148760331</v>
      </c>
      <c r="CO186" s="319"/>
      <c r="CP186" s="320"/>
      <c r="CQ186" s="321" t="s">
        <v>12</v>
      </c>
      <c r="CR186" s="320"/>
      <c r="CS186" s="322" t="n">
        <v>-637.221487603306</v>
      </c>
      <c r="CT186" s="322" t="n">
        <v>-694.821487603306</v>
      </c>
      <c r="CU186" s="322" t="n">
        <v>-714.021487603306</v>
      </c>
      <c r="CV186" s="323"/>
      <c r="CW186" s="322" t="n">
        <v>-637.621487603306</v>
      </c>
      <c r="CX186" s="322" t="n">
        <v>-697.621487603306</v>
      </c>
      <c r="CY186" s="322" t="n">
        <v>-697.621487603306</v>
      </c>
      <c r="CZ186" s="322" t="n">
        <v>-697.621487603306</v>
      </c>
      <c r="DA186" s="322" t="n">
        <v>-697.621487603306</v>
      </c>
    </row>
    <row r="187" customFormat="false" ht="12.75" hidden="false" customHeight="false" outlineLevel="0" collapsed="false">
      <c r="B187" s="305" t="s">
        <v>190</v>
      </c>
      <c r="C187" s="305" t="s">
        <v>517</v>
      </c>
      <c r="D187" s="306" t="n">
        <v>1735</v>
      </c>
      <c r="E187" s="306" t="n">
        <v>0</v>
      </c>
      <c r="F187" s="324" t="s">
        <v>514</v>
      </c>
      <c r="G187" s="144" t="n">
        <v>48</v>
      </c>
      <c r="H187" s="325" t="n">
        <v>1569.42148760331</v>
      </c>
      <c r="I187" s="2"/>
      <c r="J187" s="144" t="s">
        <v>12</v>
      </c>
      <c r="K187" s="309" t="s">
        <v>12</v>
      </c>
      <c r="L187" s="310"/>
      <c r="M187" s="311" t="n">
        <v>469</v>
      </c>
      <c r="N187" s="312" t="n">
        <v>9.7</v>
      </c>
      <c r="O187" s="311" t="n">
        <v>289</v>
      </c>
      <c r="P187" s="312" t="n">
        <v>12.2</v>
      </c>
      <c r="Q187" s="310" t="n">
        <v>289</v>
      </c>
      <c r="R187" s="312" t="n">
        <v>11.8</v>
      </c>
      <c r="S187" s="310"/>
      <c r="T187" s="311" t="n">
        <v>39</v>
      </c>
      <c r="U187" s="312" t="n">
        <v>18.6</v>
      </c>
      <c r="V187" s="311" t="n">
        <v>39</v>
      </c>
      <c r="W187" s="312" t="n">
        <v>17.4</v>
      </c>
      <c r="X187" s="311" t="n">
        <v>39</v>
      </c>
      <c r="Y187" s="312" t="n">
        <v>17.4</v>
      </c>
      <c r="Z187" s="313" t="n">
        <v>39</v>
      </c>
      <c r="AA187" s="314" t="n">
        <v>17.4</v>
      </c>
      <c r="AB187" s="313" t="n">
        <v>39</v>
      </c>
      <c r="AC187" s="314" t="n">
        <v>17.4</v>
      </c>
      <c r="AD187" s="315"/>
      <c r="AE187" s="144" t="n">
        <v>166</v>
      </c>
      <c r="AF187" s="315"/>
      <c r="AG187" s="311" t="n">
        <v>0</v>
      </c>
      <c r="AH187" s="309" t="n">
        <v>0</v>
      </c>
      <c r="AI187" s="310"/>
      <c r="AJ187" s="311" t="n">
        <v>800</v>
      </c>
      <c r="AK187" s="309" t="n">
        <v>465.6</v>
      </c>
      <c r="AL187" s="311" t="n">
        <v>860</v>
      </c>
      <c r="AM187" s="309" t="n">
        <v>585.6</v>
      </c>
      <c r="AN187" s="310" t="n">
        <v>880</v>
      </c>
      <c r="AO187" s="309" t="n">
        <v>566.4</v>
      </c>
      <c r="AP187" s="310"/>
      <c r="AQ187" s="311" t="n">
        <v>803</v>
      </c>
      <c r="AR187" s="309" t="n">
        <v>892.8</v>
      </c>
      <c r="AS187" s="311" t="n">
        <v>861</v>
      </c>
      <c r="AT187" s="309" t="n">
        <v>835.2</v>
      </c>
      <c r="AU187" s="310" t="n">
        <v>861</v>
      </c>
      <c r="AV187" s="309" t="n">
        <v>835.2</v>
      </c>
      <c r="AW187" s="310" t="n">
        <v>861</v>
      </c>
      <c r="AX187" s="309" t="n">
        <v>835.2</v>
      </c>
      <c r="AY187" s="310" t="n">
        <v>861</v>
      </c>
      <c r="AZ187" s="309" t="n">
        <v>835.2</v>
      </c>
      <c r="BB187" s="144" t="n">
        <v>0</v>
      </c>
      <c r="BC187" s="315"/>
      <c r="BD187" s="311" t="n">
        <v>0</v>
      </c>
      <c r="BE187" s="316" t="n">
        <v>0</v>
      </c>
      <c r="BF187" s="310"/>
      <c r="BG187" s="317" t="n">
        <v>0</v>
      </c>
      <c r="BH187" s="318" t="n">
        <v>0</v>
      </c>
      <c r="BI187" s="317" t="n">
        <v>0</v>
      </c>
      <c r="BJ187" s="318" t="n">
        <v>0</v>
      </c>
      <c r="BK187" s="317" t="n">
        <v>0</v>
      </c>
      <c r="BL187" s="318" t="n">
        <v>0</v>
      </c>
      <c r="BM187" s="310"/>
      <c r="BN187" s="317" t="n">
        <v>0</v>
      </c>
      <c r="BO187" s="318" t="n">
        <v>0</v>
      </c>
      <c r="BP187" s="317" t="n">
        <v>0</v>
      </c>
      <c r="BQ187" s="318" t="n">
        <v>0</v>
      </c>
      <c r="BR187" s="317" t="n">
        <v>0</v>
      </c>
      <c r="BS187" s="318" t="n">
        <v>0</v>
      </c>
      <c r="BT187" s="317" t="n">
        <v>0</v>
      </c>
      <c r="BU187" s="318" t="n">
        <v>0</v>
      </c>
      <c r="BV187" s="317" t="n">
        <v>0</v>
      </c>
      <c r="BW187" s="318" t="n">
        <v>0</v>
      </c>
      <c r="BY187" s="143"/>
      <c r="BZ187" s="315"/>
      <c r="CA187" s="144" t="s">
        <v>12</v>
      </c>
      <c r="CB187" s="315"/>
      <c r="CC187" s="144" t="n">
        <v>-634.821487603306</v>
      </c>
      <c r="CD187" s="144" t="n">
        <v>-694.821487603306</v>
      </c>
      <c r="CE187" s="144" t="n">
        <v>-714.021487603306</v>
      </c>
      <c r="CF187" s="315"/>
      <c r="CG187" s="144" t="n">
        <v>-637.621487603306</v>
      </c>
      <c r="CH187" s="144" t="n">
        <v>-695.221487603306</v>
      </c>
      <c r="CI187" s="144" t="n">
        <v>-695.221487603306</v>
      </c>
      <c r="CJ187" s="144" t="n">
        <v>-695.221487603306</v>
      </c>
      <c r="CK187" s="144" t="n">
        <v>-695.221487603306</v>
      </c>
      <c r="CM187" s="144" t="n">
        <v>1569.42148760331</v>
      </c>
      <c r="CO187" s="319"/>
      <c r="CP187" s="320"/>
      <c r="CQ187" s="321" t="s">
        <v>12</v>
      </c>
      <c r="CR187" s="320"/>
      <c r="CS187" s="322" t="n">
        <v>-634.821487603306</v>
      </c>
      <c r="CT187" s="322" t="n">
        <v>-694.821487603306</v>
      </c>
      <c r="CU187" s="322" t="n">
        <v>-714.021487603306</v>
      </c>
      <c r="CV187" s="323"/>
      <c r="CW187" s="322" t="n">
        <v>-637.621487603306</v>
      </c>
      <c r="CX187" s="322" t="n">
        <v>-695.221487603306</v>
      </c>
      <c r="CY187" s="322" t="n">
        <v>-695.221487603306</v>
      </c>
      <c r="CZ187" s="322" t="n">
        <v>-695.221487603306</v>
      </c>
      <c r="DA187" s="322" t="n">
        <v>-695.221487603306</v>
      </c>
    </row>
    <row r="188" customFormat="false" ht="12.75" hidden="false" customHeight="false" outlineLevel="0" collapsed="false">
      <c r="B188" s="305" t="s">
        <v>190</v>
      </c>
      <c r="C188" s="305" t="s">
        <v>518</v>
      </c>
      <c r="D188" s="306" t="n">
        <v>537</v>
      </c>
      <c r="E188" s="306" t="n">
        <v>0</v>
      </c>
      <c r="F188" s="306" t="s">
        <v>514</v>
      </c>
      <c r="G188" s="307" t="n">
        <v>24</v>
      </c>
      <c r="H188" s="308" t="n">
        <v>519.834710743802</v>
      </c>
      <c r="I188" s="2"/>
      <c r="J188" s="144" t="s">
        <v>12</v>
      </c>
      <c r="K188" s="309" t="s">
        <v>12</v>
      </c>
      <c r="L188" s="310"/>
      <c r="M188" s="311" t="n">
        <v>159</v>
      </c>
      <c r="N188" s="312" t="n">
        <v>10</v>
      </c>
      <c r="O188" s="311" t="n">
        <v>19</v>
      </c>
      <c r="P188" s="312" t="n">
        <v>13.5</v>
      </c>
      <c r="Q188" s="310" t="n">
        <v>19</v>
      </c>
      <c r="R188" s="312" t="n">
        <v>12.7</v>
      </c>
      <c r="S188" s="310"/>
      <c r="T188" s="311" t="n">
        <v>0</v>
      </c>
      <c r="U188" s="312" t="n">
        <v>16.4</v>
      </c>
      <c r="V188" s="311" t="n">
        <v>0</v>
      </c>
      <c r="W188" s="312" t="n">
        <v>12.4</v>
      </c>
      <c r="X188" s="311" t="n">
        <v>0</v>
      </c>
      <c r="Y188" s="312" t="n">
        <v>12.4</v>
      </c>
      <c r="Z188" s="313" t="n">
        <v>0</v>
      </c>
      <c r="AA188" s="314" t="n">
        <v>12.4</v>
      </c>
      <c r="AB188" s="313" t="n">
        <v>0</v>
      </c>
      <c r="AC188" s="314" t="n">
        <v>12.4</v>
      </c>
      <c r="AD188" s="315"/>
      <c r="AE188" s="144" t="n">
        <v>17</v>
      </c>
      <c r="AF188" s="315"/>
      <c r="AG188" s="311" t="n">
        <v>0</v>
      </c>
      <c r="AH188" s="309" t="n">
        <v>0</v>
      </c>
      <c r="AI188" s="310"/>
      <c r="AJ188" s="311" t="n">
        <v>138</v>
      </c>
      <c r="AK188" s="309" t="n">
        <v>240</v>
      </c>
      <c r="AL188" s="311" t="n">
        <v>194</v>
      </c>
      <c r="AM188" s="309" t="n">
        <v>324</v>
      </c>
      <c r="AN188" s="311" t="n">
        <v>213</v>
      </c>
      <c r="AO188" s="309" t="n">
        <v>304.8</v>
      </c>
      <c r="AP188" s="310"/>
      <c r="AQ188" s="311" t="n">
        <v>143</v>
      </c>
      <c r="AR188" s="309" t="n">
        <v>393.6</v>
      </c>
      <c r="AS188" s="311" t="n">
        <v>239</v>
      </c>
      <c r="AT188" s="309" t="n">
        <v>297.6</v>
      </c>
      <c r="AU188" s="311" t="n">
        <v>239</v>
      </c>
      <c r="AV188" s="309" t="n">
        <v>297.6</v>
      </c>
      <c r="AW188" s="311" t="n">
        <v>239</v>
      </c>
      <c r="AX188" s="309" t="n">
        <v>297.6</v>
      </c>
      <c r="AY188" s="311" t="n">
        <v>239</v>
      </c>
      <c r="AZ188" s="309" t="n">
        <v>297.6</v>
      </c>
      <c r="BB188" s="144" t="n">
        <v>0</v>
      </c>
      <c r="BC188" s="315"/>
      <c r="BD188" s="311" t="n">
        <v>0</v>
      </c>
      <c r="BE188" s="316" t="n">
        <v>0</v>
      </c>
      <c r="BF188" s="310"/>
      <c r="BG188" s="317" t="n">
        <v>0</v>
      </c>
      <c r="BH188" s="318" t="n">
        <v>0.199999999999999</v>
      </c>
      <c r="BI188" s="317" t="n">
        <v>0</v>
      </c>
      <c r="BJ188" s="318" t="n">
        <v>0.6</v>
      </c>
      <c r="BK188" s="317" t="n">
        <v>0</v>
      </c>
      <c r="BL188" s="318" t="n">
        <v>0.700000000000001</v>
      </c>
      <c r="BM188" s="310"/>
      <c r="BN188" s="317" t="n">
        <v>0</v>
      </c>
      <c r="BO188" s="318" t="n">
        <v>-0.199999999999999</v>
      </c>
      <c r="BP188" s="317" t="n">
        <v>0</v>
      </c>
      <c r="BQ188" s="318" t="n">
        <v>0</v>
      </c>
      <c r="BR188" s="317" t="n">
        <v>0</v>
      </c>
      <c r="BS188" s="318" t="n">
        <v>2.2</v>
      </c>
      <c r="BT188" s="317" t="n">
        <v>0</v>
      </c>
      <c r="BU188" s="318" t="n">
        <v>0</v>
      </c>
      <c r="BV188" s="317" t="n">
        <v>0</v>
      </c>
      <c r="BW188" s="318" t="n">
        <v>0</v>
      </c>
      <c r="BY188" s="143"/>
      <c r="BZ188" s="315"/>
      <c r="CA188" s="144" t="s">
        <v>12</v>
      </c>
      <c r="CB188" s="315"/>
      <c r="CC188" s="144" t="n">
        <v>-120.834710743802</v>
      </c>
      <c r="CD188" s="144" t="n">
        <v>-176.834710743802</v>
      </c>
      <c r="CE188" s="144" t="n">
        <v>-196.034710743802</v>
      </c>
      <c r="CF188" s="315"/>
      <c r="CG188" s="144" t="n">
        <v>-126.234710743802</v>
      </c>
      <c r="CH188" s="144" t="n">
        <v>-222.234710743802</v>
      </c>
      <c r="CI188" s="144" t="n">
        <v>-222.234710743802</v>
      </c>
      <c r="CJ188" s="144" t="n">
        <v>-222.234710743802</v>
      </c>
      <c r="CK188" s="144" t="n">
        <v>-222.234710743802</v>
      </c>
      <c r="CM188" s="144" t="n">
        <v>519.834710743802</v>
      </c>
      <c r="CO188" s="319"/>
      <c r="CP188" s="320"/>
      <c r="CQ188" s="321" t="s">
        <v>12</v>
      </c>
      <c r="CR188" s="320"/>
      <c r="CS188" s="322" t="n">
        <v>-120.834710743802</v>
      </c>
      <c r="CT188" s="322" t="n">
        <v>-176.834710743802</v>
      </c>
      <c r="CU188" s="322" t="n">
        <v>-196.034710743802</v>
      </c>
      <c r="CV188" s="323"/>
      <c r="CW188" s="322" t="n">
        <v>-126.234710743802</v>
      </c>
      <c r="CX188" s="322" t="n">
        <v>-222.234710743802</v>
      </c>
      <c r="CY188" s="322" t="n">
        <v>-222.234710743802</v>
      </c>
      <c r="CZ188" s="322" t="n">
        <v>-222.234710743802</v>
      </c>
      <c r="DA188" s="322" t="n">
        <v>-222.234710743802</v>
      </c>
    </row>
    <row r="189" customFormat="false" ht="12.75" hidden="false" customHeight="false" outlineLevel="0" collapsed="false">
      <c r="B189" s="305" t="s">
        <v>190</v>
      </c>
      <c r="C189" s="305" t="s">
        <v>518</v>
      </c>
      <c r="D189" s="306" t="n">
        <v>537</v>
      </c>
      <c r="E189" s="306" t="n">
        <v>0</v>
      </c>
      <c r="F189" s="324" t="s">
        <v>514</v>
      </c>
      <c r="G189" s="144" t="n">
        <v>48</v>
      </c>
      <c r="H189" s="325" t="n">
        <v>519.834710743802</v>
      </c>
      <c r="I189" s="2"/>
      <c r="J189" s="144" t="s">
        <v>12</v>
      </c>
      <c r="K189" s="309" t="s">
        <v>12</v>
      </c>
      <c r="L189" s="310"/>
      <c r="M189" s="311" t="n">
        <v>159</v>
      </c>
      <c r="N189" s="312" t="n">
        <v>5</v>
      </c>
      <c r="O189" s="311" t="n">
        <v>19</v>
      </c>
      <c r="P189" s="312" t="n">
        <v>6.8</v>
      </c>
      <c r="Q189" s="310" t="n">
        <v>19</v>
      </c>
      <c r="R189" s="312" t="n">
        <v>6.4</v>
      </c>
      <c r="S189" s="310"/>
      <c r="T189" s="311" t="n">
        <v>0</v>
      </c>
      <c r="U189" s="312" t="n">
        <v>8.2</v>
      </c>
      <c r="V189" s="311" t="n">
        <v>0</v>
      </c>
      <c r="W189" s="312" t="n">
        <v>6.2</v>
      </c>
      <c r="X189" s="311" t="n">
        <v>0</v>
      </c>
      <c r="Y189" s="312" t="n">
        <v>6.2</v>
      </c>
      <c r="Z189" s="313" t="n">
        <v>0</v>
      </c>
      <c r="AA189" s="314" t="n">
        <v>6.2</v>
      </c>
      <c r="AB189" s="313" t="n">
        <v>0</v>
      </c>
      <c r="AC189" s="314" t="n">
        <v>6.2</v>
      </c>
      <c r="AD189" s="315"/>
      <c r="AE189" s="144" t="n">
        <v>17</v>
      </c>
      <c r="AF189" s="315"/>
      <c r="AG189" s="311" t="n">
        <v>0</v>
      </c>
      <c r="AH189" s="309" t="n">
        <v>0</v>
      </c>
      <c r="AI189" s="310"/>
      <c r="AJ189" s="311" t="n">
        <v>138</v>
      </c>
      <c r="AK189" s="309" t="n">
        <v>240</v>
      </c>
      <c r="AL189" s="311" t="n">
        <v>192</v>
      </c>
      <c r="AM189" s="309" t="n">
        <v>326.4</v>
      </c>
      <c r="AN189" s="310" t="n">
        <v>211</v>
      </c>
      <c r="AO189" s="309" t="n">
        <v>307.2</v>
      </c>
      <c r="AP189" s="310"/>
      <c r="AQ189" s="311" t="n">
        <v>143</v>
      </c>
      <c r="AR189" s="309" t="n">
        <v>393.6</v>
      </c>
      <c r="AS189" s="311" t="n">
        <v>239</v>
      </c>
      <c r="AT189" s="309" t="n">
        <v>297.6</v>
      </c>
      <c r="AU189" s="310" t="n">
        <v>239</v>
      </c>
      <c r="AV189" s="309" t="n">
        <v>297.6</v>
      </c>
      <c r="AW189" s="310" t="n">
        <v>239</v>
      </c>
      <c r="AX189" s="309" t="n">
        <v>297.6</v>
      </c>
      <c r="AY189" s="310" t="n">
        <v>239</v>
      </c>
      <c r="AZ189" s="309" t="n">
        <v>297.6</v>
      </c>
      <c r="BB189" s="144" t="n">
        <v>0</v>
      </c>
      <c r="BC189" s="315"/>
      <c r="BD189" s="311" t="n">
        <v>0</v>
      </c>
      <c r="BE189" s="316" t="n">
        <v>0</v>
      </c>
      <c r="BF189" s="310"/>
      <c r="BG189" s="317" t="n">
        <v>0</v>
      </c>
      <c r="BH189" s="318" t="n">
        <v>0</v>
      </c>
      <c r="BI189" s="317" t="n">
        <v>0</v>
      </c>
      <c r="BJ189" s="318" t="n">
        <v>0</v>
      </c>
      <c r="BK189" s="317" t="n">
        <v>0</v>
      </c>
      <c r="BL189" s="318" t="n">
        <v>0</v>
      </c>
      <c r="BM189" s="310"/>
      <c r="BN189" s="317" t="n">
        <v>0</v>
      </c>
      <c r="BO189" s="318" t="n">
        <v>0</v>
      </c>
      <c r="BP189" s="317" t="n">
        <v>0</v>
      </c>
      <c r="BQ189" s="318" t="n">
        <v>0</v>
      </c>
      <c r="BR189" s="317" t="n">
        <v>0</v>
      </c>
      <c r="BS189" s="318" t="n">
        <v>0</v>
      </c>
      <c r="BT189" s="317" t="n">
        <v>0</v>
      </c>
      <c r="BU189" s="318" t="n">
        <v>0</v>
      </c>
      <c r="BV189" s="317" t="n">
        <v>0</v>
      </c>
      <c r="BW189" s="318" t="n">
        <v>0</v>
      </c>
      <c r="BY189" s="143"/>
      <c r="BZ189" s="315"/>
      <c r="CA189" s="144" t="s">
        <v>12</v>
      </c>
      <c r="CB189" s="315"/>
      <c r="CC189" s="144" t="n">
        <v>-120.834710743802</v>
      </c>
      <c r="CD189" s="144" t="n">
        <v>-174.434710743802</v>
      </c>
      <c r="CE189" s="144" t="n">
        <v>-193.634710743802</v>
      </c>
      <c r="CF189" s="315"/>
      <c r="CG189" s="144" t="n">
        <v>-126.234710743802</v>
      </c>
      <c r="CH189" s="144" t="n">
        <v>-222.234710743802</v>
      </c>
      <c r="CI189" s="144" t="n">
        <v>-222.234710743802</v>
      </c>
      <c r="CJ189" s="144" t="n">
        <v>-222.234710743802</v>
      </c>
      <c r="CK189" s="144" t="n">
        <v>-222.234710743802</v>
      </c>
      <c r="CM189" s="144" t="n">
        <v>519.834710743802</v>
      </c>
      <c r="CO189" s="319"/>
      <c r="CP189" s="320"/>
      <c r="CQ189" s="321" t="s">
        <v>12</v>
      </c>
      <c r="CR189" s="320"/>
      <c r="CS189" s="322" t="n">
        <v>-120.834710743802</v>
      </c>
      <c r="CT189" s="322" t="n">
        <v>-174.434710743802</v>
      </c>
      <c r="CU189" s="322" t="n">
        <v>-193.634710743802</v>
      </c>
      <c r="CV189" s="323"/>
      <c r="CW189" s="322" t="n">
        <v>-126.234710743802</v>
      </c>
      <c r="CX189" s="322" t="n">
        <v>-222.234710743802</v>
      </c>
      <c r="CY189" s="322" t="n">
        <v>-222.234710743802</v>
      </c>
      <c r="CZ189" s="322" t="n">
        <v>-222.234710743802</v>
      </c>
      <c r="DA189" s="322" t="n">
        <v>-222.234710743802</v>
      </c>
    </row>
    <row r="190" customFormat="false" ht="12.75" hidden="false" customHeight="false" outlineLevel="0" collapsed="false">
      <c r="B190" s="305" t="s">
        <v>190</v>
      </c>
      <c r="C190" s="305" t="s">
        <v>519</v>
      </c>
      <c r="D190" s="306" t="n">
        <v>2396</v>
      </c>
      <c r="E190" s="306" t="n">
        <v>0</v>
      </c>
      <c r="F190" s="306" t="s">
        <v>514</v>
      </c>
      <c r="G190" s="307" t="n">
        <v>24</v>
      </c>
      <c r="H190" s="308" t="n">
        <v>2230.57851239669</v>
      </c>
      <c r="I190" s="2"/>
      <c r="J190" s="144" t="s">
        <v>12</v>
      </c>
      <c r="K190" s="309" t="s">
        <v>12</v>
      </c>
      <c r="L190" s="310"/>
      <c r="M190" s="311" t="n">
        <v>629</v>
      </c>
      <c r="N190" s="312" t="n">
        <v>26.1</v>
      </c>
      <c r="O190" s="311" t="n">
        <v>379</v>
      </c>
      <c r="P190" s="312" t="n">
        <v>33.9</v>
      </c>
      <c r="Q190" s="310" t="n">
        <v>379</v>
      </c>
      <c r="R190" s="312" t="n">
        <v>33.1</v>
      </c>
      <c r="S190" s="310"/>
      <c r="T190" s="311" t="n">
        <v>49</v>
      </c>
      <c r="U190" s="312" t="n">
        <v>50.5</v>
      </c>
      <c r="V190" s="311" t="n">
        <v>49</v>
      </c>
      <c r="W190" s="312" t="n">
        <v>44.7</v>
      </c>
      <c r="X190" s="311" t="n">
        <v>49</v>
      </c>
      <c r="Y190" s="312" t="n">
        <v>44.7</v>
      </c>
      <c r="Z190" s="313" t="n">
        <v>49</v>
      </c>
      <c r="AA190" s="314" t="n">
        <v>44.6</v>
      </c>
      <c r="AB190" s="313" t="n">
        <v>49</v>
      </c>
      <c r="AC190" s="314" t="n">
        <v>44.6</v>
      </c>
      <c r="AD190" s="315"/>
      <c r="AE190" s="144" t="n">
        <v>165</v>
      </c>
      <c r="AF190" s="315"/>
      <c r="AG190" s="311" t="n">
        <v>0</v>
      </c>
      <c r="AH190" s="309" t="n">
        <v>0</v>
      </c>
      <c r="AI190" s="310"/>
      <c r="AJ190" s="311" t="n">
        <v>1141</v>
      </c>
      <c r="AK190" s="309" t="n">
        <v>626.4</v>
      </c>
      <c r="AL190" s="311" t="n">
        <v>1203</v>
      </c>
      <c r="AM190" s="309" t="n">
        <v>813.6</v>
      </c>
      <c r="AN190" s="311" t="n">
        <v>1223</v>
      </c>
      <c r="AO190" s="309" t="n">
        <v>794.4</v>
      </c>
      <c r="AP190" s="310"/>
      <c r="AQ190" s="311" t="n">
        <v>1135</v>
      </c>
      <c r="AR190" s="309" t="n">
        <v>1212</v>
      </c>
      <c r="AS190" s="311" t="n">
        <v>1274</v>
      </c>
      <c r="AT190" s="309" t="n">
        <v>1072.8</v>
      </c>
      <c r="AU190" s="311" t="n">
        <v>1274</v>
      </c>
      <c r="AV190" s="309" t="n">
        <v>1072.8</v>
      </c>
      <c r="AW190" s="311" t="n">
        <v>1277</v>
      </c>
      <c r="AX190" s="309" t="n">
        <v>1070.4</v>
      </c>
      <c r="AY190" s="311" t="n">
        <v>1277</v>
      </c>
      <c r="AZ190" s="309" t="n">
        <v>1070.4</v>
      </c>
      <c r="BB190" s="144" t="n">
        <v>0</v>
      </c>
      <c r="BC190" s="315"/>
      <c r="BD190" s="311" t="n">
        <v>0</v>
      </c>
      <c r="BE190" s="316" t="n">
        <v>0</v>
      </c>
      <c r="BF190" s="310"/>
      <c r="BG190" s="317" t="n">
        <v>0</v>
      </c>
      <c r="BH190" s="318" t="n">
        <v>0.399999999999999</v>
      </c>
      <c r="BI190" s="317" t="n">
        <v>0</v>
      </c>
      <c r="BJ190" s="318" t="n">
        <v>0.799999999999997</v>
      </c>
      <c r="BK190" s="317" t="n">
        <v>0</v>
      </c>
      <c r="BL190" s="318" t="n">
        <v>0.600000000000001</v>
      </c>
      <c r="BM190" s="310"/>
      <c r="BN190" s="317" t="n">
        <v>0</v>
      </c>
      <c r="BO190" s="318" t="n">
        <v>0</v>
      </c>
      <c r="BP190" s="317" t="n">
        <v>0</v>
      </c>
      <c r="BQ190" s="318" t="n">
        <v>1.3</v>
      </c>
      <c r="BR190" s="317" t="n">
        <v>0</v>
      </c>
      <c r="BS190" s="318" t="n">
        <v>1.3</v>
      </c>
      <c r="BT190" s="317" t="n">
        <v>0</v>
      </c>
      <c r="BU190" s="318" t="n">
        <v>1.2</v>
      </c>
      <c r="BV190" s="317" t="n">
        <v>0</v>
      </c>
      <c r="BW190" s="318" t="n">
        <v>1.2</v>
      </c>
      <c r="BY190" s="143"/>
      <c r="BZ190" s="315"/>
      <c r="CA190" s="144" t="s">
        <v>12</v>
      </c>
      <c r="CB190" s="315"/>
      <c r="CC190" s="144" t="n">
        <v>-975.178512396694</v>
      </c>
      <c r="CD190" s="144" t="n">
        <v>-1037.97851239669</v>
      </c>
      <c r="CE190" s="144" t="n">
        <v>-1057.17851239669</v>
      </c>
      <c r="CF190" s="315"/>
      <c r="CG190" s="144" t="n">
        <v>-969.578512396694</v>
      </c>
      <c r="CH190" s="144" t="n">
        <v>-1108.77851239669</v>
      </c>
      <c r="CI190" s="144" t="n">
        <v>-1108.77851239669</v>
      </c>
      <c r="CJ190" s="144" t="n">
        <v>-1111.17851239669</v>
      </c>
      <c r="CK190" s="144" t="n">
        <v>-1111.17851239669</v>
      </c>
      <c r="CM190" s="144" t="n">
        <v>2230.57851239669</v>
      </c>
      <c r="CO190" s="319"/>
      <c r="CP190" s="320"/>
      <c r="CQ190" s="321" t="s">
        <v>12</v>
      </c>
      <c r="CR190" s="320"/>
      <c r="CS190" s="322" t="n">
        <v>-975.178512396694</v>
      </c>
      <c r="CT190" s="322" t="n">
        <v>-1037.97851239669</v>
      </c>
      <c r="CU190" s="322" t="n">
        <v>-1057.17851239669</v>
      </c>
      <c r="CV190" s="323"/>
      <c r="CW190" s="322" t="n">
        <v>-969.578512396694</v>
      </c>
      <c r="CX190" s="322" t="n">
        <v>-1108.77851239669</v>
      </c>
      <c r="CY190" s="322" t="n">
        <v>-1108.77851239669</v>
      </c>
      <c r="CZ190" s="322" t="n">
        <v>-1111.17851239669</v>
      </c>
      <c r="DA190" s="322" t="n">
        <v>-1111.17851239669</v>
      </c>
    </row>
    <row r="191" customFormat="false" ht="12.75" hidden="false" customHeight="false" outlineLevel="0" collapsed="false">
      <c r="B191" s="305" t="s">
        <v>190</v>
      </c>
      <c r="C191" s="305" t="s">
        <v>519</v>
      </c>
      <c r="D191" s="306" t="n">
        <v>2396</v>
      </c>
      <c r="E191" s="306" t="n">
        <v>0</v>
      </c>
      <c r="F191" s="324" t="s">
        <v>514</v>
      </c>
      <c r="G191" s="144" t="n">
        <v>48</v>
      </c>
      <c r="H191" s="325" t="n">
        <v>2230.57851239669</v>
      </c>
      <c r="I191" s="2"/>
      <c r="J191" s="144" t="s">
        <v>12</v>
      </c>
      <c r="K191" s="309" t="s">
        <v>12</v>
      </c>
      <c r="L191" s="310"/>
      <c r="M191" s="311" t="n">
        <v>629</v>
      </c>
      <c r="N191" s="312" t="n">
        <v>13.1</v>
      </c>
      <c r="O191" s="311" t="n">
        <v>379</v>
      </c>
      <c r="P191" s="312" t="n">
        <v>17</v>
      </c>
      <c r="Q191" s="310" t="n">
        <v>379</v>
      </c>
      <c r="R191" s="312" t="n">
        <v>16.6</v>
      </c>
      <c r="S191" s="310"/>
      <c r="T191" s="311" t="n">
        <v>49</v>
      </c>
      <c r="U191" s="312" t="n">
        <v>25.3</v>
      </c>
      <c r="V191" s="311" t="n">
        <v>49</v>
      </c>
      <c r="W191" s="312" t="n">
        <v>22.4</v>
      </c>
      <c r="X191" s="311" t="n">
        <v>49</v>
      </c>
      <c r="Y191" s="312" t="n">
        <v>22.4</v>
      </c>
      <c r="Z191" s="313" t="n">
        <v>49</v>
      </c>
      <c r="AA191" s="314" t="n">
        <v>22.3</v>
      </c>
      <c r="AB191" s="313" t="n">
        <v>49</v>
      </c>
      <c r="AC191" s="314" t="n">
        <v>22.3</v>
      </c>
      <c r="AD191" s="315"/>
      <c r="AE191" s="144" t="n">
        <v>165</v>
      </c>
      <c r="AF191" s="315"/>
      <c r="AG191" s="311" t="n">
        <v>0</v>
      </c>
      <c r="AH191" s="309" t="n">
        <v>0</v>
      </c>
      <c r="AI191" s="310"/>
      <c r="AJ191" s="311" t="n">
        <v>1138</v>
      </c>
      <c r="AK191" s="309" t="n">
        <v>628.8</v>
      </c>
      <c r="AL191" s="311" t="n">
        <v>1201</v>
      </c>
      <c r="AM191" s="309" t="n">
        <v>816</v>
      </c>
      <c r="AN191" s="310" t="n">
        <v>1220</v>
      </c>
      <c r="AO191" s="309" t="n">
        <v>796.8</v>
      </c>
      <c r="AP191" s="310"/>
      <c r="AQ191" s="311" t="n">
        <v>1133</v>
      </c>
      <c r="AR191" s="309" t="n">
        <v>1214.4</v>
      </c>
      <c r="AS191" s="311" t="n">
        <v>1272</v>
      </c>
      <c r="AT191" s="309" t="n">
        <v>1075.2</v>
      </c>
      <c r="AU191" s="310" t="n">
        <v>1272</v>
      </c>
      <c r="AV191" s="309" t="n">
        <v>1075.2</v>
      </c>
      <c r="AW191" s="310" t="n">
        <v>1277</v>
      </c>
      <c r="AX191" s="309" t="n">
        <v>1070.4</v>
      </c>
      <c r="AY191" s="310" t="n">
        <v>1277</v>
      </c>
      <c r="AZ191" s="309" t="n">
        <v>1070.4</v>
      </c>
      <c r="BB191" s="144" t="n">
        <v>0</v>
      </c>
      <c r="BC191" s="315"/>
      <c r="BD191" s="311" t="n">
        <v>0</v>
      </c>
      <c r="BE191" s="316" t="n">
        <v>0</v>
      </c>
      <c r="BF191" s="310"/>
      <c r="BG191" s="317" t="n">
        <v>0</v>
      </c>
      <c r="BH191" s="318" t="n">
        <v>0</v>
      </c>
      <c r="BI191" s="317" t="n">
        <v>0</v>
      </c>
      <c r="BJ191" s="318" t="n">
        <v>0</v>
      </c>
      <c r="BK191" s="317" t="n">
        <v>0</v>
      </c>
      <c r="BL191" s="318" t="n">
        <v>0</v>
      </c>
      <c r="BM191" s="310"/>
      <c r="BN191" s="317" t="n">
        <v>0</v>
      </c>
      <c r="BO191" s="318" t="n">
        <v>0</v>
      </c>
      <c r="BP191" s="317" t="n">
        <v>0</v>
      </c>
      <c r="BQ191" s="318" t="n">
        <v>0</v>
      </c>
      <c r="BR191" s="317" t="n">
        <v>0</v>
      </c>
      <c r="BS191" s="318" t="n">
        <v>0</v>
      </c>
      <c r="BT191" s="317" t="n">
        <v>0</v>
      </c>
      <c r="BU191" s="318" t="n">
        <v>0</v>
      </c>
      <c r="BV191" s="317" t="n">
        <v>0</v>
      </c>
      <c r="BW191" s="318" t="n">
        <v>0</v>
      </c>
      <c r="BY191" s="143"/>
      <c r="BZ191" s="315"/>
      <c r="CA191" s="144" t="s">
        <v>12</v>
      </c>
      <c r="CB191" s="315"/>
      <c r="CC191" s="144" t="n">
        <v>-972.778512396694</v>
      </c>
      <c r="CD191" s="144" t="n">
        <v>-1035.57851239669</v>
      </c>
      <c r="CE191" s="144" t="n">
        <v>-1054.77851239669</v>
      </c>
      <c r="CF191" s="315"/>
      <c r="CG191" s="144" t="n">
        <v>-967.178512396694</v>
      </c>
      <c r="CH191" s="144" t="n">
        <v>-1106.37851239669</v>
      </c>
      <c r="CI191" s="144" t="n">
        <v>-1106.37851239669</v>
      </c>
      <c r="CJ191" s="144" t="n">
        <v>-1111.17851239669</v>
      </c>
      <c r="CK191" s="144" t="n">
        <v>-1111.17851239669</v>
      </c>
      <c r="CM191" s="144" t="n">
        <v>2230.57851239669</v>
      </c>
      <c r="CO191" s="319"/>
      <c r="CP191" s="320"/>
      <c r="CQ191" s="321" t="s">
        <v>12</v>
      </c>
      <c r="CR191" s="320"/>
      <c r="CS191" s="322" t="n">
        <v>-972.778512396694</v>
      </c>
      <c r="CT191" s="322" t="n">
        <v>-1035.57851239669</v>
      </c>
      <c r="CU191" s="322" t="n">
        <v>-1054.77851239669</v>
      </c>
      <c r="CV191" s="323"/>
      <c r="CW191" s="322" t="n">
        <v>-967.178512396694</v>
      </c>
      <c r="CX191" s="322" t="n">
        <v>-1106.37851239669</v>
      </c>
      <c r="CY191" s="322" t="n">
        <v>-1106.37851239669</v>
      </c>
      <c r="CZ191" s="322" t="n">
        <v>-1111.17851239669</v>
      </c>
      <c r="DA191" s="322" t="n">
        <v>-1111.17851239669</v>
      </c>
    </row>
    <row r="192" customFormat="false" ht="12.75" hidden="false" customHeight="false" outlineLevel="0" collapsed="false">
      <c r="B192" s="305" t="s">
        <v>190</v>
      </c>
      <c r="C192" s="305" t="s">
        <v>520</v>
      </c>
      <c r="D192" s="306" t="n">
        <v>686</v>
      </c>
      <c r="E192" s="306" t="n">
        <v>0</v>
      </c>
      <c r="F192" s="306" t="s">
        <v>514</v>
      </c>
      <c r="G192" s="307" t="n">
        <v>24</v>
      </c>
      <c r="H192" s="308" t="n">
        <v>685.123966942149</v>
      </c>
      <c r="I192" s="2"/>
      <c r="J192" s="144" t="s">
        <v>12</v>
      </c>
      <c r="K192" s="309" t="s">
        <v>12</v>
      </c>
      <c r="L192" s="310"/>
      <c r="M192" s="311" t="n">
        <v>239</v>
      </c>
      <c r="N192" s="312" t="n">
        <v>10</v>
      </c>
      <c r="O192" s="311" t="n">
        <v>139</v>
      </c>
      <c r="P192" s="312" t="n">
        <v>11.4</v>
      </c>
      <c r="Q192" s="310" t="n">
        <v>139</v>
      </c>
      <c r="R192" s="312" t="n">
        <v>10.6</v>
      </c>
      <c r="S192" s="310"/>
      <c r="T192" s="311" t="n">
        <v>19</v>
      </c>
      <c r="U192" s="312" t="n">
        <v>18.9</v>
      </c>
      <c r="V192" s="311" t="n">
        <v>0</v>
      </c>
      <c r="W192" s="312" t="n">
        <v>14</v>
      </c>
      <c r="X192" s="311" t="n">
        <v>0</v>
      </c>
      <c r="Y192" s="312" t="n">
        <v>14</v>
      </c>
      <c r="Z192" s="313" t="n">
        <v>19</v>
      </c>
      <c r="AA192" s="314" t="n">
        <v>14</v>
      </c>
      <c r="AB192" s="313" t="n">
        <v>19</v>
      </c>
      <c r="AC192" s="314" t="n">
        <v>14</v>
      </c>
      <c r="AD192" s="315"/>
      <c r="AE192" s="144" t="n">
        <v>1</v>
      </c>
      <c r="AF192" s="315"/>
      <c r="AG192" s="311" t="n">
        <v>0</v>
      </c>
      <c r="AH192" s="309" t="n">
        <v>0</v>
      </c>
      <c r="AI192" s="310"/>
      <c r="AJ192" s="311" t="n">
        <v>207</v>
      </c>
      <c r="AK192" s="309" t="n">
        <v>240</v>
      </c>
      <c r="AL192" s="311" t="n">
        <v>273</v>
      </c>
      <c r="AM192" s="309" t="n">
        <v>273.6</v>
      </c>
      <c r="AN192" s="311" t="n">
        <v>293</v>
      </c>
      <c r="AO192" s="309" t="n">
        <v>254.4</v>
      </c>
      <c r="AP192" s="310"/>
      <c r="AQ192" s="311" t="n">
        <v>213</v>
      </c>
      <c r="AR192" s="309" t="n">
        <v>453.6</v>
      </c>
      <c r="AS192" s="311" t="n">
        <v>350</v>
      </c>
      <c r="AT192" s="309" t="n">
        <v>336</v>
      </c>
      <c r="AU192" s="311" t="n">
        <v>350</v>
      </c>
      <c r="AV192" s="309" t="n">
        <v>336</v>
      </c>
      <c r="AW192" s="311" t="n">
        <v>331</v>
      </c>
      <c r="AX192" s="309" t="n">
        <v>336</v>
      </c>
      <c r="AY192" s="311" t="n">
        <v>331</v>
      </c>
      <c r="AZ192" s="309" t="n">
        <v>336</v>
      </c>
      <c r="BB192" s="144" t="n">
        <v>0</v>
      </c>
      <c r="BC192" s="315"/>
      <c r="BD192" s="311" t="n">
        <v>0</v>
      </c>
      <c r="BE192" s="316" t="n">
        <v>0</v>
      </c>
      <c r="BF192" s="310"/>
      <c r="BG192" s="317" t="n">
        <v>0</v>
      </c>
      <c r="BH192" s="318" t="n">
        <v>0.199999999999999</v>
      </c>
      <c r="BI192" s="317" t="n">
        <v>0</v>
      </c>
      <c r="BJ192" s="318" t="n">
        <v>0.6</v>
      </c>
      <c r="BK192" s="317" t="n">
        <v>0</v>
      </c>
      <c r="BL192" s="318" t="n">
        <v>0.600000000000001</v>
      </c>
      <c r="BM192" s="310"/>
      <c r="BN192" s="317" t="n">
        <v>0</v>
      </c>
      <c r="BO192" s="318" t="n">
        <v>-0.199999999999999</v>
      </c>
      <c r="BP192" s="317" t="n">
        <v>0</v>
      </c>
      <c r="BQ192" s="318" t="n">
        <v>-0.5</v>
      </c>
      <c r="BR192" s="317" t="n">
        <v>0</v>
      </c>
      <c r="BS192" s="318" t="n">
        <v>1</v>
      </c>
      <c r="BT192" s="317" t="n">
        <v>19</v>
      </c>
      <c r="BU192" s="318" t="n">
        <v>-0.5</v>
      </c>
      <c r="BV192" s="317" t="n">
        <v>19</v>
      </c>
      <c r="BW192" s="318" t="n">
        <v>-0.5</v>
      </c>
      <c r="BY192" s="143"/>
      <c r="BZ192" s="315"/>
      <c r="CA192" s="144" t="s">
        <v>12</v>
      </c>
      <c r="CB192" s="315"/>
      <c r="CC192" s="144" t="n">
        <v>-206.123966942149</v>
      </c>
      <c r="CD192" s="144" t="n">
        <v>-272.523966942149</v>
      </c>
      <c r="CE192" s="144" t="n">
        <v>-291.723966942149</v>
      </c>
      <c r="CF192" s="315"/>
      <c r="CG192" s="144" t="n">
        <v>-212.523966942149</v>
      </c>
      <c r="CH192" s="144" t="n">
        <v>-349.123966942149</v>
      </c>
      <c r="CI192" s="144" t="n">
        <v>-349.123966942149</v>
      </c>
      <c r="CJ192" s="144" t="n">
        <v>-330.123966942149</v>
      </c>
      <c r="CK192" s="144" t="n">
        <v>-330.123966942149</v>
      </c>
      <c r="CM192" s="144" t="n">
        <v>685.123966942149</v>
      </c>
      <c r="CO192" s="319"/>
      <c r="CP192" s="320"/>
      <c r="CQ192" s="321" t="s">
        <v>12</v>
      </c>
      <c r="CR192" s="320"/>
      <c r="CS192" s="322" t="n">
        <v>-206.123966942149</v>
      </c>
      <c r="CT192" s="322" t="n">
        <v>-272.523966942149</v>
      </c>
      <c r="CU192" s="322" t="n">
        <v>-291.723966942149</v>
      </c>
      <c r="CV192" s="323"/>
      <c r="CW192" s="322" t="n">
        <v>-212.523966942149</v>
      </c>
      <c r="CX192" s="322" t="n">
        <v>-349.123966942149</v>
      </c>
      <c r="CY192" s="322" t="n">
        <v>-349.123966942149</v>
      </c>
      <c r="CZ192" s="322" t="n">
        <v>-330.123966942149</v>
      </c>
      <c r="DA192" s="322" t="n">
        <v>-330.123966942149</v>
      </c>
    </row>
    <row r="193" customFormat="false" ht="12.75" hidden="false" customHeight="false" outlineLevel="0" collapsed="false">
      <c r="B193" s="305" t="s">
        <v>190</v>
      </c>
      <c r="C193" s="305" t="s">
        <v>520</v>
      </c>
      <c r="D193" s="306" t="n">
        <v>686</v>
      </c>
      <c r="E193" s="306" t="n">
        <v>0</v>
      </c>
      <c r="F193" s="324" t="s">
        <v>514</v>
      </c>
      <c r="G193" s="144" t="n">
        <v>48</v>
      </c>
      <c r="H193" s="325" t="n">
        <v>685.123966942149</v>
      </c>
      <c r="I193" s="2"/>
      <c r="J193" s="144" t="s">
        <v>12</v>
      </c>
      <c r="K193" s="309" t="s">
        <v>12</v>
      </c>
      <c r="L193" s="310"/>
      <c r="M193" s="311" t="n">
        <v>239</v>
      </c>
      <c r="N193" s="312" t="n">
        <v>5</v>
      </c>
      <c r="O193" s="311" t="n">
        <v>139</v>
      </c>
      <c r="P193" s="312" t="n">
        <v>5.7</v>
      </c>
      <c r="Q193" s="310" t="n">
        <v>139</v>
      </c>
      <c r="R193" s="312" t="n">
        <v>5.3</v>
      </c>
      <c r="S193" s="310"/>
      <c r="T193" s="311" t="n">
        <v>19</v>
      </c>
      <c r="U193" s="312" t="n">
        <v>9.5</v>
      </c>
      <c r="V193" s="311" t="n">
        <v>0</v>
      </c>
      <c r="W193" s="312" t="n">
        <v>7</v>
      </c>
      <c r="X193" s="311" t="n">
        <v>0</v>
      </c>
      <c r="Y193" s="312" t="n">
        <v>7</v>
      </c>
      <c r="Z193" s="313" t="n">
        <v>19</v>
      </c>
      <c r="AA193" s="314" t="n">
        <v>7</v>
      </c>
      <c r="AB193" s="313" t="n">
        <v>19</v>
      </c>
      <c r="AC193" s="314" t="n">
        <v>7</v>
      </c>
      <c r="AD193" s="315"/>
      <c r="AE193" s="144" t="n">
        <v>1</v>
      </c>
      <c r="AF193" s="315"/>
      <c r="AG193" s="311" t="n">
        <v>0</v>
      </c>
      <c r="AH193" s="309" t="n">
        <v>0</v>
      </c>
      <c r="AI193" s="310"/>
      <c r="AJ193" s="311" t="n">
        <v>207</v>
      </c>
      <c r="AK193" s="309" t="n">
        <v>240</v>
      </c>
      <c r="AL193" s="311" t="n">
        <v>273</v>
      </c>
      <c r="AM193" s="309" t="n">
        <v>273.6</v>
      </c>
      <c r="AN193" s="310" t="n">
        <v>293</v>
      </c>
      <c r="AO193" s="309" t="n">
        <v>254.4</v>
      </c>
      <c r="AP193" s="310"/>
      <c r="AQ193" s="311" t="n">
        <v>211</v>
      </c>
      <c r="AR193" s="309" t="n">
        <v>456</v>
      </c>
      <c r="AS193" s="311" t="n">
        <v>350</v>
      </c>
      <c r="AT193" s="309" t="n">
        <v>336</v>
      </c>
      <c r="AU193" s="310" t="n">
        <v>350</v>
      </c>
      <c r="AV193" s="309" t="n">
        <v>336</v>
      </c>
      <c r="AW193" s="310" t="n">
        <v>331</v>
      </c>
      <c r="AX193" s="309" t="n">
        <v>336</v>
      </c>
      <c r="AY193" s="310" t="n">
        <v>331</v>
      </c>
      <c r="AZ193" s="309" t="n">
        <v>336</v>
      </c>
      <c r="BB193" s="144" t="n">
        <v>0</v>
      </c>
      <c r="BC193" s="315"/>
      <c r="BD193" s="311" t="n">
        <v>0</v>
      </c>
      <c r="BE193" s="316" t="n">
        <v>0</v>
      </c>
      <c r="BF193" s="310"/>
      <c r="BG193" s="317" t="n">
        <v>0</v>
      </c>
      <c r="BH193" s="318" t="n">
        <v>0</v>
      </c>
      <c r="BI193" s="317" t="n">
        <v>0</v>
      </c>
      <c r="BJ193" s="318" t="n">
        <v>0</v>
      </c>
      <c r="BK193" s="317" t="n">
        <v>0</v>
      </c>
      <c r="BL193" s="318" t="n">
        <v>0</v>
      </c>
      <c r="BM193" s="310"/>
      <c r="BN193" s="317" t="n">
        <v>0</v>
      </c>
      <c r="BO193" s="318" t="n">
        <v>0</v>
      </c>
      <c r="BP193" s="317" t="n">
        <v>0</v>
      </c>
      <c r="BQ193" s="318" t="n">
        <v>0</v>
      </c>
      <c r="BR193" s="317" t="n">
        <v>0</v>
      </c>
      <c r="BS193" s="318" t="n">
        <v>0</v>
      </c>
      <c r="BT193" s="317" t="n">
        <v>0</v>
      </c>
      <c r="BU193" s="318" t="n">
        <v>0</v>
      </c>
      <c r="BV193" s="317" t="n">
        <v>0</v>
      </c>
      <c r="BW193" s="318" t="n">
        <v>0</v>
      </c>
      <c r="BY193" s="143"/>
      <c r="BZ193" s="315"/>
      <c r="CA193" s="144" t="s">
        <v>12</v>
      </c>
      <c r="CB193" s="315"/>
      <c r="CC193" s="144" t="n">
        <v>-206.123966942149</v>
      </c>
      <c r="CD193" s="144" t="n">
        <v>-272.523966942149</v>
      </c>
      <c r="CE193" s="144" t="n">
        <v>-291.723966942149</v>
      </c>
      <c r="CF193" s="315"/>
      <c r="CG193" s="144" t="n">
        <v>-210.123966942149</v>
      </c>
      <c r="CH193" s="144" t="n">
        <v>-349.123966942149</v>
      </c>
      <c r="CI193" s="144" t="n">
        <v>-349.123966942149</v>
      </c>
      <c r="CJ193" s="144" t="n">
        <v>-330.123966942149</v>
      </c>
      <c r="CK193" s="144" t="n">
        <v>-330.123966942149</v>
      </c>
      <c r="CM193" s="144" t="n">
        <v>685.123966942149</v>
      </c>
      <c r="CO193" s="319"/>
      <c r="CP193" s="320"/>
      <c r="CQ193" s="321" t="s">
        <v>12</v>
      </c>
      <c r="CR193" s="320"/>
      <c r="CS193" s="322" t="n">
        <v>-206.123966942149</v>
      </c>
      <c r="CT193" s="322" t="n">
        <v>-272.523966942149</v>
      </c>
      <c r="CU193" s="322" t="n">
        <v>-291.723966942149</v>
      </c>
      <c r="CV193" s="323"/>
      <c r="CW193" s="322" t="n">
        <v>-210.123966942149</v>
      </c>
      <c r="CX193" s="322" t="n">
        <v>-349.123966942149</v>
      </c>
      <c r="CY193" s="322" t="n">
        <v>-349.123966942149</v>
      </c>
      <c r="CZ193" s="322" t="n">
        <v>-330.123966942149</v>
      </c>
      <c r="DA193" s="322" t="n">
        <v>-330.123966942149</v>
      </c>
    </row>
    <row r="194" customFormat="false" ht="12.75" hidden="false" customHeight="false" outlineLevel="0" collapsed="false">
      <c r="B194" s="305" t="s">
        <v>190</v>
      </c>
      <c r="C194" s="305" t="s">
        <v>521</v>
      </c>
      <c r="D194" s="306" t="n">
        <v>1157</v>
      </c>
      <c r="E194" s="306" t="n">
        <v>0</v>
      </c>
      <c r="F194" s="306" t="s">
        <v>514</v>
      </c>
      <c r="G194" s="307" t="n">
        <v>24</v>
      </c>
      <c r="H194" s="308" t="n">
        <v>1032.23140495868</v>
      </c>
      <c r="I194" s="2"/>
      <c r="J194" s="144" t="s">
        <v>12</v>
      </c>
      <c r="K194" s="309" t="s">
        <v>12</v>
      </c>
      <c r="L194" s="310"/>
      <c r="M194" s="311" t="n">
        <v>369</v>
      </c>
      <c r="N194" s="312" t="n">
        <v>15.1</v>
      </c>
      <c r="O194" s="311" t="n">
        <v>219</v>
      </c>
      <c r="P194" s="312" t="n">
        <v>18.9</v>
      </c>
      <c r="Q194" s="310" t="n">
        <v>219</v>
      </c>
      <c r="R194" s="312" t="n">
        <v>18</v>
      </c>
      <c r="S194" s="310"/>
      <c r="T194" s="311" t="n">
        <v>29</v>
      </c>
      <c r="U194" s="312" t="n">
        <v>29.2</v>
      </c>
      <c r="V194" s="311" t="n">
        <v>29</v>
      </c>
      <c r="W194" s="312" t="n">
        <v>24</v>
      </c>
      <c r="X194" s="311" t="n">
        <v>29</v>
      </c>
      <c r="Y194" s="312" t="n">
        <v>24</v>
      </c>
      <c r="Z194" s="313" t="n">
        <v>29</v>
      </c>
      <c r="AA194" s="314" t="n">
        <v>24</v>
      </c>
      <c r="AB194" s="313" t="n">
        <v>29</v>
      </c>
      <c r="AC194" s="314" t="n">
        <v>24</v>
      </c>
      <c r="AD194" s="315"/>
      <c r="AE194" s="144" t="n">
        <v>125</v>
      </c>
      <c r="AF194" s="315"/>
      <c r="AG194" s="311" t="n">
        <v>0</v>
      </c>
      <c r="AH194" s="309" t="n">
        <v>0</v>
      </c>
      <c r="AI194" s="310"/>
      <c r="AJ194" s="311" t="n">
        <v>426</v>
      </c>
      <c r="AK194" s="309" t="n">
        <v>362.4</v>
      </c>
      <c r="AL194" s="311" t="n">
        <v>484</v>
      </c>
      <c r="AM194" s="309" t="n">
        <v>453.6</v>
      </c>
      <c r="AN194" s="311" t="n">
        <v>506</v>
      </c>
      <c r="AO194" s="309" t="n">
        <v>432</v>
      </c>
      <c r="AP194" s="310"/>
      <c r="AQ194" s="311" t="n">
        <v>427</v>
      </c>
      <c r="AR194" s="309" t="n">
        <v>700.8</v>
      </c>
      <c r="AS194" s="311" t="n">
        <v>552</v>
      </c>
      <c r="AT194" s="309" t="n">
        <v>576</v>
      </c>
      <c r="AU194" s="311" t="n">
        <v>552</v>
      </c>
      <c r="AV194" s="309" t="n">
        <v>576</v>
      </c>
      <c r="AW194" s="311" t="n">
        <v>552</v>
      </c>
      <c r="AX194" s="309" t="n">
        <v>576</v>
      </c>
      <c r="AY194" s="311" t="n">
        <v>552</v>
      </c>
      <c r="AZ194" s="309" t="n">
        <v>576</v>
      </c>
      <c r="BB194" s="144" t="n">
        <v>0</v>
      </c>
      <c r="BC194" s="315"/>
      <c r="BD194" s="311" t="n">
        <v>0</v>
      </c>
      <c r="BE194" s="316" t="n">
        <v>0</v>
      </c>
      <c r="BF194" s="310"/>
      <c r="BG194" s="317" t="n">
        <v>0</v>
      </c>
      <c r="BH194" s="318" t="n">
        <v>0.200000000000001</v>
      </c>
      <c r="BI194" s="317" t="n">
        <v>0</v>
      </c>
      <c r="BJ194" s="318" t="n">
        <v>0.700000000000003</v>
      </c>
      <c r="BK194" s="317" t="n">
        <v>0</v>
      </c>
      <c r="BL194" s="318" t="n">
        <v>0.599999999999998</v>
      </c>
      <c r="BM194" s="310"/>
      <c r="BN194" s="317" t="n">
        <v>0</v>
      </c>
      <c r="BO194" s="318" t="n">
        <v>-0.199999999999999</v>
      </c>
      <c r="BP194" s="317" t="n">
        <v>0</v>
      </c>
      <c r="BQ194" s="318" t="n">
        <v>-1</v>
      </c>
      <c r="BR194" s="317" t="n">
        <v>0</v>
      </c>
      <c r="BS194" s="318" t="n">
        <v>1</v>
      </c>
      <c r="BT194" s="317" t="n">
        <v>0</v>
      </c>
      <c r="BU194" s="318" t="n">
        <v>2.3</v>
      </c>
      <c r="BV194" s="317" t="n">
        <v>0</v>
      </c>
      <c r="BW194" s="318" t="n">
        <v>2.3</v>
      </c>
      <c r="BY194" s="143"/>
      <c r="BZ194" s="315"/>
      <c r="CA194" s="144" t="s">
        <v>12</v>
      </c>
      <c r="CB194" s="315"/>
      <c r="CC194" s="144" t="n">
        <v>-300.831404958678</v>
      </c>
      <c r="CD194" s="144" t="n">
        <v>-359.631404958678</v>
      </c>
      <c r="CE194" s="144" t="n">
        <v>-381.231404958678</v>
      </c>
      <c r="CF194" s="315"/>
      <c r="CG194" s="144" t="n">
        <v>-302.431404958678</v>
      </c>
      <c r="CH194" s="144" t="n">
        <v>-427.231404958678</v>
      </c>
      <c r="CI194" s="144" t="n">
        <v>-427.231404958678</v>
      </c>
      <c r="CJ194" s="144" t="n">
        <v>-427.231404958678</v>
      </c>
      <c r="CK194" s="144" t="n">
        <v>-427.231404958678</v>
      </c>
      <c r="CM194" s="144" t="n">
        <v>1032.23140495868</v>
      </c>
      <c r="CO194" s="319"/>
      <c r="CP194" s="320"/>
      <c r="CQ194" s="321" t="s">
        <v>12</v>
      </c>
      <c r="CR194" s="320"/>
      <c r="CS194" s="322" t="n">
        <v>-300.831404958678</v>
      </c>
      <c r="CT194" s="322" t="n">
        <v>-359.631404958678</v>
      </c>
      <c r="CU194" s="322" t="n">
        <v>-381.231404958678</v>
      </c>
      <c r="CV194" s="323"/>
      <c r="CW194" s="322" t="n">
        <v>-302.431404958678</v>
      </c>
      <c r="CX194" s="322" t="n">
        <v>-427.231404958678</v>
      </c>
      <c r="CY194" s="322" t="n">
        <v>-427.231404958678</v>
      </c>
      <c r="CZ194" s="322" t="n">
        <v>-427.231404958678</v>
      </c>
      <c r="DA194" s="322" t="n">
        <v>-427.231404958678</v>
      </c>
    </row>
    <row r="195" customFormat="false" ht="12.75" hidden="false" customHeight="false" outlineLevel="0" collapsed="false">
      <c r="B195" s="305" t="s">
        <v>190</v>
      </c>
      <c r="C195" s="305" t="s">
        <v>521</v>
      </c>
      <c r="D195" s="306" t="n">
        <v>1157</v>
      </c>
      <c r="E195" s="306" t="n">
        <v>0</v>
      </c>
      <c r="F195" s="324" t="s">
        <v>514</v>
      </c>
      <c r="G195" s="144" t="n">
        <v>48</v>
      </c>
      <c r="H195" s="325" t="n">
        <v>1032.23140495868</v>
      </c>
      <c r="I195" s="2"/>
      <c r="J195" s="144" t="s">
        <v>12</v>
      </c>
      <c r="K195" s="309" t="s">
        <v>12</v>
      </c>
      <c r="L195" s="310"/>
      <c r="M195" s="311" t="n">
        <v>369</v>
      </c>
      <c r="N195" s="312" t="n">
        <v>7.6</v>
      </c>
      <c r="O195" s="311" t="n">
        <v>219</v>
      </c>
      <c r="P195" s="312" t="n">
        <v>9.5</v>
      </c>
      <c r="Q195" s="310" t="n">
        <v>219</v>
      </c>
      <c r="R195" s="312" t="n">
        <v>9</v>
      </c>
      <c r="S195" s="310"/>
      <c r="T195" s="311" t="n">
        <v>29</v>
      </c>
      <c r="U195" s="312" t="n">
        <v>14.6</v>
      </c>
      <c r="V195" s="311" t="n">
        <v>29</v>
      </c>
      <c r="W195" s="312" t="n">
        <v>12</v>
      </c>
      <c r="X195" s="311" t="n">
        <v>29</v>
      </c>
      <c r="Y195" s="312" t="n">
        <v>12</v>
      </c>
      <c r="Z195" s="313" t="n">
        <v>29</v>
      </c>
      <c r="AA195" s="314" t="n">
        <v>12</v>
      </c>
      <c r="AB195" s="313" t="n">
        <v>29</v>
      </c>
      <c r="AC195" s="314" t="n">
        <v>12</v>
      </c>
      <c r="AD195" s="315"/>
      <c r="AE195" s="144" t="n">
        <v>125</v>
      </c>
      <c r="AF195" s="315"/>
      <c r="AG195" s="311" t="n">
        <v>0</v>
      </c>
      <c r="AH195" s="309" t="n">
        <v>0</v>
      </c>
      <c r="AI195" s="310"/>
      <c r="AJ195" s="311" t="n">
        <v>423</v>
      </c>
      <c r="AK195" s="309" t="n">
        <v>364.8</v>
      </c>
      <c r="AL195" s="311" t="n">
        <v>482</v>
      </c>
      <c r="AM195" s="309" t="n">
        <v>456</v>
      </c>
      <c r="AN195" s="310" t="n">
        <v>506</v>
      </c>
      <c r="AO195" s="309" t="n">
        <v>432</v>
      </c>
      <c r="AP195" s="310"/>
      <c r="AQ195" s="311" t="n">
        <v>427</v>
      </c>
      <c r="AR195" s="309" t="n">
        <v>700.8</v>
      </c>
      <c r="AS195" s="311" t="n">
        <v>552</v>
      </c>
      <c r="AT195" s="309" t="n">
        <v>576</v>
      </c>
      <c r="AU195" s="310" t="n">
        <v>552</v>
      </c>
      <c r="AV195" s="309" t="n">
        <v>576</v>
      </c>
      <c r="AW195" s="310" t="n">
        <v>552</v>
      </c>
      <c r="AX195" s="309" t="n">
        <v>576</v>
      </c>
      <c r="AY195" s="310" t="n">
        <v>552</v>
      </c>
      <c r="AZ195" s="309" t="n">
        <v>576</v>
      </c>
      <c r="BB195" s="144" t="n">
        <v>0</v>
      </c>
      <c r="BC195" s="315"/>
      <c r="BD195" s="311" t="n">
        <v>0</v>
      </c>
      <c r="BE195" s="316" t="n">
        <v>0</v>
      </c>
      <c r="BF195" s="310"/>
      <c r="BG195" s="317" t="n">
        <v>0</v>
      </c>
      <c r="BH195" s="318" t="n">
        <v>0</v>
      </c>
      <c r="BI195" s="317" t="n">
        <v>0</v>
      </c>
      <c r="BJ195" s="318" t="n">
        <v>0</v>
      </c>
      <c r="BK195" s="317" t="n">
        <v>0</v>
      </c>
      <c r="BL195" s="318" t="n">
        <v>0</v>
      </c>
      <c r="BM195" s="310"/>
      <c r="BN195" s="317" t="n">
        <v>0</v>
      </c>
      <c r="BO195" s="318" t="n">
        <v>0</v>
      </c>
      <c r="BP195" s="317" t="n">
        <v>0</v>
      </c>
      <c r="BQ195" s="318" t="n">
        <v>0</v>
      </c>
      <c r="BR195" s="317" t="n">
        <v>0</v>
      </c>
      <c r="BS195" s="318" t="n">
        <v>0</v>
      </c>
      <c r="BT195" s="317" t="n">
        <v>0</v>
      </c>
      <c r="BU195" s="318" t="n">
        <v>0</v>
      </c>
      <c r="BV195" s="317" t="n">
        <v>0</v>
      </c>
      <c r="BW195" s="318" t="n">
        <v>0</v>
      </c>
      <c r="BY195" s="143"/>
      <c r="BZ195" s="315"/>
      <c r="CA195" s="144" t="s">
        <v>12</v>
      </c>
      <c r="CB195" s="315"/>
      <c r="CC195" s="144" t="n">
        <v>-298.431404958678</v>
      </c>
      <c r="CD195" s="144" t="n">
        <v>-357.231404958678</v>
      </c>
      <c r="CE195" s="144" t="n">
        <v>-381.231404958678</v>
      </c>
      <c r="CF195" s="315"/>
      <c r="CG195" s="144" t="n">
        <v>-302.431404958678</v>
      </c>
      <c r="CH195" s="144" t="n">
        <v>-427.231404958678</v>
      </c>
      <c r="CI195" s="144" t="n">
        <v>-427.231404958678</v>
      </c>
      <c r="CJ195" s="144" t="n">
        <v>-427.231404958678</v>
      </c>
      <c r="CK195" s="144" t="n">
        <v>-427.231404958678</v>
      </c>
      <c r="CM195" s="144" t="n">
        <v>1032.23140495868</v>
      </c>
      <c r="CO195" s="319"/>
      <c r="CP195" s="320"/>
      <c r="CQ195" s="321" t="s">
        <v>12</v>
      </c>
      <c r="CR195" s="320"/>
      <c r="CS195" s="322" t="n">
        <v>-298.431404958678</v>
      </c>
      <c r="CT195" s="322" t="n">
        <v>-357.231404958678</v>
      </c>
      <c r="CU195" s="322" t="n">
        <v>-381.231404958678</v>
      </c>
      <c r="CV195" s="323"/>
      <c r="CW195" s="322" t="n">
        <v>-302.431404958678</v>
      </c>
      <c r="CX195" s="322" t="n">
        <v>-427.231404958678</v>
      </c>
      <c r="CY195" s="322" t="n">
        <v>-427.231404958678</v>
      </c>
      <c r="CZ195" s="322" t="n">
        <v>-427.231404958678</v>
      </c>
      <c r="DA195" s="322" t="n">
        <v>-427.231404958678</v>
      </c>
    </row>
    <row r="196" customFormat="false" ht="12.75" hidden="false" customHeight="false" outlineLevel="0" collapsed="false">
      <c r="B196" s="305" t="s">
        <v>190</v>
      </c>
      <c r="C196" s="327" t="s">
        <v>522</v>
      </c>
      <c r="D196" s="306" t="n">
        <v>1239</v>
      </c>
      <c r="E196" s="306" t="n">
        <v>0</v>
      </c>
      <c r="F196" s="306" t="s">
        <v>514</v>
      </c>
      <c r="G196" s="307" t="n">
        <v>24</v>
      </c>
      <c r="H196" s="308" t="n">
        <v>1238.84297520661</v>
      </c>
      <c r="I196" s="2"/>
      <c r="J196" s="144" t="s">
        <v>12</v>
      </c>
      <c r="K196" s="309" t="s">
        <v>12</v>
      </c>
      <c r="L196" s="310"/>
      <c r="M196" s="311" t="n">
        <v>379</v>
      </c>
      <c r="N196" s="312" t="n">
        <v>16.2</v>
      </c>
      <c r="O196" s="311" t="n">
        <v>239</v>
      </c>
      <c r="P196" s="312" t="n">
        <v>19.9</v>
      </c>
      <c r="Q196" s="310" t="n">
        <v>239</v>
      </c>
      <c r="R196" s="312" t="n">
        <v>19.1</v>
      </c>
      <c r="S196" s="310"/>
      <c r="T196" s="311" t="n">
        <v>39</v>
      </c>
      <c r="U196" s="312" t="n">
        <v>30.4</v>
      </c>
      <c r="V196" s="311" t="n">
        <v>39</v>
      </c>
      <c r="W196" s="312" t="n">
        <v>25.7</v>
      </c>
      <c r="X196" s="311" t="n">
        <v>39</v>
      </c>
      <c r="Y196" s="312" t="n">
        <v>25.7</v>
      </c>
      <c r="Z196" s="313" t="n">
        <v>39</v>
      </c>
      <c r="AA196" s="314" t="n">
        <v>25.6</v>
      </c>
      <c r="AB196" s="313" t="n">
        <v>39</v>
      </c>
      <c r="AC196" s="314" t="n">
        <v>25.6</v>
      </c>
      <c r="AD196" s="315"/>
      <c r="AE196" s="144" t="n">
        <v>0</v>
      </c>
      <c r="AF196" s="315"/>
      <c r="AG196" s="311" t="n">
        <v>0</v>
      </c>
      <c r="AH196" s="309" t="n">
        <v>0</v>
      </c>
      <c r="AI196" s="310"/>
      <c r="AJ196" s="311" t="n">
        <v>471</v>
      </c>
      <c r="AK196" s="309" t="n">
        <v>388.8</v>
      </c>
      <c r="AL196" s="311" t="n">
        <v>522</v>
      </c>
      <c r="AM196" s="309" t="n">
        <v>477.6</v>
      </c>
      <c r="AN196" s="311" t="n">
        <v>542</v>
      </c>
      <c r="AO196" s="309" t="n">
        <v>458.4</v>
      </c>
      <c r="AP196" s="310"/>
      <c r="AQ196" s="311" t="n">
        <v>470</v>
      </c>
      <c r="AR196" s="309" t="n">
        <v>729.6</v>
      </c>
      <c r="AS196" s="311" t="n">
        <v>583</v>
      </c>
      <c r="AT196" s="309" t="n">
        <v>616.8</v>
      </c>
      <c r="AU196" s="311" t="n">
        <v>583</v>
      </c>
      <c r="AV196" s="309" t="n">
        <v>616.8</v>
      </c>
      <c r="AW196" s="311" t="n">
        <v>586</v>
      </c>
      <c r="AX196" s="309" t="n">
        <v>614.4</v>
      </c>
      <c r="AY196" s="311" t="n">
        <v>586</v>
      </c>
      <c r="AZ196" s="309" t="n">
        <v>614.4</v>
      </c>
      <c r="BB196" s="144" t="n">
        <v>0</v>
      </c>
      <c r="BC196" s="315"/>
      <c r="BD196" s="311" t="n">
        <v>0</v>
      </c>
      <c r="BE196" s="316" t="n">
        <v>0</v>
      </c>
      <c r="BF196" s="310"/>
      <c r="BG196" s="317" t="n">
        <v>0</v>
      </c>
      <c r="BH196" s="318" t="n">
        <v>0</v>
      </c>
      <c r="BI196" s="317" t="n">
        <v>0</v>
      </c>
      <c r="BJ196" s="318" t="n">
        <v>0</v>
      </c>
      <c r="BK196" s="317" t="n">
        <v>0</v>
      </c>
      <c r="BL196" s="318" t="n">
        <v>0</v>
      </c>
      <c r="BM196" s="310"/>
      <c r="BN196" s="317" t="n">
        <v>0</v>
      </c>
      <c r="BO196" s="318" t="n">
        <v>0</v>
      </c>
      <c r="BP196" s="317" t="n">
        <v>0</v>
      </c>
      <c r="BQ196" s="318" t="n">
        <v>0</v>
      </c>
      <c r="BR196" s="317" t="n">
        <v>0</v>
      </c>
      <c r="BS196" s="318" t="n">
        <v>0</v>
      </c>
      <c r="BT196" s="317" t="n">
        <v>0</v>
      </c>
      <c r="BU196" s="318" t="n">
        <v>0</v>
      </c>
      <c r="BV196" s="317" t="n">
        <v>0</v>
      </c>
      <c r="BW196" s="318" t="n">
        <v>0</v>
      </c>
      <c r="BY196" s="143"/>
      <c r="BZ196" s="315"/>
      <c r="CA196" s="144" t="s">
        <v>12</v>
      </c>
      <c r="CB196" s="315"/>
      <c r="CC196" s="144" t="n">
        <v>-471.042975206612</v>
      </c>
      <c r="CD196" s="144" t="n">
        <v>-522.242975206612</v>
      </c>
      <c r="CE196" s="144" t="n">
        <v>-541.442975206611</v>
      </c>
      <c r="CF196" s="315"/>
      <c r="CG196" s="144" t="n">
        <v>-470.242975206612</v>
      </c>
      <c r="CH196" s="144" t="n">
        <v>-583.042975206612</v>
      </c>
      <c r="CI196" s="144" t="n">
        <v>-583.042975206612</v>
      </c>
      <c r="CJ196" s="144" t="n">
        <v>-585.442975206611</v>
      </c>
      <c r="CK196" s="144" t="n">
        <v>-585.442975206611</v>
      </c>
      <c r="CM196" s="144" t="n">
        <v>1238.84297520661</v>
      </c>
      <c r="CO196" s="319"/>
      <c r="CP196" s="320"/>
      <c r="CQ196" s="321" t="s">
        <v>12</v>
      </c>
      <c r="CR196" s="320"/>
      <c r="CS196" s="322" t="n">
        <v>-471.042975206612</v>
      </c>
      <c r="CT196" s="322" t="n">
        <v>-522.242975206612</v>
      </c>
      <c r="CU196" s="322" t="n">
        <v>-541.442975206611</v>
      </c>
      <c r="CV196" s="323"/>
      <c r="CW196" s="322" t="n">
        <v>-470.242975206612</v>
      </c>
      <c r="CX196" s="322" t="n">
        <v>-583.042975206612</v>
      </c>
      <c r="CY196" s="322" t="n">
        <v>-583.042975206612</v>
      </c>
      <c r="CZ196" s="322" t="n">
        <v>-585.442975206611</v>
      </c>
      <c r="DA196" s="322" t="n">
        <v>-585.442975206611</v>
      </c>
    </row>
    <row r="197" customFormat="false" ht="12.75" hidden="false" customHeight="false" outlineLevel="0" collapsed="false">
      <c r="B197" s="305" t="s">
        <v>190</v>
      </c>
      <c r="C197" s="327" t="s">
        <v>522</v>
      </c>
      <c r="D197" s="306" t="n">
        <v>1239</v>
      </c>
      <c r="E197" s="306" t="n">
        <v>0</v>
      </c>
      <c r="F197" s="324" t="s">
        <v>514</v>
      </c>
      <c r="G197" s="144" t="n">
        <v>48</v>
      </c>
      <c r="H197" s="325" t="n">
        <v>1238.84297520661</v>
      </c>
      <c r="I197" s="2"/>
      <c r="J197" s="144" t="s">
        <v>12</v>
      </c>
      <c r="K197" s="309" t="s">
        <v>12</v>
      </c>
      <c r="L197" s="310"/>
      <c r="M197" s="311" t="n">
        <v>379</v>
      </c>
      <c r="N197" s="312" t="n">
        <v>8.1</v>
      </c>
      <c r="O197" s="311" t="n">
        <v>239</v>
      </c>
      <c r="P197" s="312" t="n">
        <v>10</v>
      </c>
      <c r="Q197" s="310" t="n">
        <v>239</v>
      </c>
      <c r="R197" s="312" t="n">
        <v>9.6</v>
      </c>
      <c r="S197" s="310"/>
      <c r="T197" s="311" t="n">
        <v>39</v>
      </c>
      <c r="U197" s="312" t="n">
        <v>15.2</v>
      </c>
      <c r="V197" s="311" t="n">
        <v>39</v>
      </c>
      <c r="W197" s="312" t="n">
        <v>12.9</v>
      </c>
      <c r="X197" s="311" t="n">
        <v>39</v>
      </c>
      <c r="Y197" s="312" t="n">
        <v>12.9</v>
      </c>
      <c r="Z197" s="313" t="n">
        <v>39</v>
      </c>
      <c r="AA197" s="314" t="n">
        <v>12.8</v>
      </c>
      <c r="AB197" s="313" t="n">
        <v>39</v>
      </c>
      <c r="AC197" s="314" t="n">
        <v>12.8</v>
      </c>
      <c r="AD197" s="315"/>
      <c r="AE197" s="144" t="n">
        <v>0</v>
      </c>
      <c r="AF197" s="315"/>
      <c r="AG197" s="311" t="n">
        <v>0</v>
      </c>
      <c r="AH197" s="309" t="n">
        <v>0</v>
      </c>
      <c r="AI197" s="310"/>
      <c r="AJ197" s="311" t="n">
        <v>471</v>
      </c>
      <c r="AK197" s="309" t="n">
        <v>388.8</v>
      </c>
      <c r="AL197" s="311" t="n">
        <v>520</v>
      </c>
      <c r="AM197" s="309" t="n">
        <v>480</v>
      </c>
      <c r="AN197" s="310" t="n">
        <v>539</v>
      </c>
      <c r="AO197" s="309" t="n">
        <v>460.8</v>
      </c>
      <c r="AP197" s="310"/>
      <c r="AQ197" s="311" t="n">
        <v>470</v>
      </c>
      <c r="AR197" s="309" t="n">
        <v>729.6</v>
      </c>
      <c r="AS197" s="311" t="n">
        <v>581</v>
      </c>
      <c r="AT197" s="309" t="n">
        <v>619.2</v>
      </c>
      <c r="AU197" s="310" t="n">
        <v>581</v>
      </c>
      <c r="AV197" s="309" t="n">
        <v>619.2</v>
      </c>
      <c r="AW197" s="310" t="n">
        <v>586</v>
      </c>
      <c r="AX197" s="309" t="n">
        <v>614.4</v>
      </c>
      <c r="AY197" s="310" t="n">
        <v>586</v>
      </c>
      <c r="AZ197" s="309" t="n">
        <v>614.4</v>
      </c>
      <c r="BB197" s="144" t="n">
        <v>0</v>
      </c>
      <c r="BC197" s="315"/>
      <c r="BD197" s="311" t="n">
        <v>0</v>
      </c>
      <c r="BE197" s="316" t="n">
        <v>0</v>
      </c>
      <c r="BF197" s="310"/>
      <c r="BG197" s="317" t="n">
        <v>0</v>
      </c>
      <c r="BH197" s="318" t="n">
        <v>0</v>
      </c>
      <c r="BI197" s="317" t="n">
        <v>0</v>
      </c>
      <c r="BJ197" s="318" t="n">
        <v>0</v>
      </c>
      <c r="BK197" s="317" t="n">
        <v>0</v>
      </c>
      <c r="BL197" s="318" t="n">
        <v>0</v>
      </c>
      <c r="BM197" s="310"/>
      <c r="BN197" s="317" t="n">
        <v>0</v>
      </c>
      <c r="BO197" s="318" t="n">
        <v>0</v>
      </c>
      <c r="BP197" s="317" t="n">
        <v>0</v>
      </c>
      <c r="BQ197" s="318" t="n">
        <v>0</v>
      </c>
      <c r="BR197" s="317" t="n">
        <v>0</v>
      </c>
      <c r="BS197" s="318" t="n">
        <v>0</v>
      </c>
      <c r="BT197" s="317" t="n">
        <v>0</v>
      </c>
      <c r="BU197" s="318" t="n">
        <v>0</v>
      </c>
      <c r="BV197" s="317" t="n">
        <v>0</v>
      </c>
      <c r="BW197" s="318" t="n">
        <v>0</v>
      </c>
      <c r="BY197" s="143"/>
      <c r="BZ197" s="315"/>
      <c r="CA197" s="144" t="s">
        <v>12</v>
      </c>
      <c r="CB197" s="315"/>
      <c r="CC197" s="144" t="n">
        <v>-471.042975206612</v>
      </c>
      <c r="CD197" s="144" t="n">
        <v>-519.842975206612</v>
      </c>
      <c r="CE197" s="144" t="n">
        <v>-539.042975206611</v>
      </c>
      <c r="CF197" s="315"/>
      <c r="CG197" s="144" t="n">
        <v>-470.242975206612</v>
      </c>
      <c r="CH197" s="144" t="n">
        <v>-580.642975206612</v>
      </c>
      <c r="CI197" s="144" t="n">
        <v>-580.642975206612</v>
      </c>
      <c r="CJ197" s="144" t="n">
        <v>-585.442975206611</v>
      </c>
      <c r="CK197" s="144" t="n">
        <v>-585.442975206611</v>
      </c>
      <c r="CM197" s="144" t="n">
        <v>1238.84297520661</v>
      </c>
      <c r="CO197" s="319"/>
      <c r="CP197" s="320"/>
      <c r="CQ197" s="321" t="s">
        <v>12</v>
      </c>
      <c r="CR197" s="320"/>
      <c r="CS197" s="322" t="n">
        <v>-471.042975206612</v>
      </c>
      <c r="CT197" s="322" t="n">
        <v>-519.842975206612</v>
      </c>
      <c r="CU197" s="322" t="n">
        <v>-539.042975206611</v>
      </c>
      <c r="CV197" s="323"/>
      <c r="CW197" s="322" t="n">
        <v>-470.242975206612</v>
      </c>
      <c r="CX197" s="322" t="n">
        <v>-580.642975206612</v>
      </c>
      <c r="CY197" s="322" t="n">
        <v>-580.642975206612</v>
      </c>
      <c r="CZ197" s="322" t="n">
        <v>-585.442975206611</v>
      </c>
      <c r="DA197" s="322" t="n">
        <v>-585.442975206611</v>
      </c>
    </row>
    <row r="198" customFormat="false" ht="12.75" hidden="false" customHeight="false" outlineLevel="0" collapsed="false">
      <c r="B198" s="305" t="s">
        <v>190</v>
      </c>
      <c r="C198" s="327" t="s">
        <v>523</v>
      </c>
      <c r="D198" s="306" t="n">
        <v>2396</v>
      </c>
      <c r="E198" s="306" t="n">
        <v>0</v>
      </c>
      <c r="F198" s="306" t="s">
        <v>514</v>
      </c>
      <c r="G198" s="307" t="n">
        <v>24</v>
      </c>
      <c r="H198" s="308" t="n">
        <v>2395.86776859504</v>
      </c>
      <c r="I198" s="2"/>
      <c r="J198" s="144" t="s">
        <v>12</v>
      </c>
      <c r="K198" s="309" t="s">
        <v>12</v>
      </c>
      <c r="L198" s="310"/>
      <c r="M198" s="311" t="n">
        <v>659</v>
      </c>
      <c r="N198" s="312" t="n">
        <v>27.5</v>
      </c>
      <c r="O198" s="311" t="n">
        <v>399</v>
      </c>
      <c r="P198" s="312" t="n">
        <v>35.8</v>
      </c>
      <c r="Q198" s="310" t="n">
        <v>399</v>
      </c>
      <c r="R198" s="312" t="n">
        <v>35</v>
      </c>
      <c r="S198" s="310"/>
      <c r="T198" s="311" t="n">
        <v>49</v>
      </c>
      <c r="U198" s="312" t="n">
        <v>52.5</v>
      </c>
      <c r="V198" s="311" t="n">
        <v>49</v>
      </c>
      <c r="W198" s="312" t="n">
        <v>47.2</v>
      </c>
      <c r="X198" s="311" t="n">
        <v>49</v>
      </c>
      <c r="Y198" s="312" t="n">
        <v>47.2</v>
      </c>
      <c r="Z198" s="313" t="n">
        <v>49</v>
      </c>
      <c r="AA198" s="314" t="n">
        <v>47.1</v>
      </c>
      <c r="AB198" s="313" t="n">
        <v>49</v>
      </c>
      <c r="AC198" s="314" t="n">
        <v>47.1</v>
      </c>
      <c r="AD198" s="315"/>
      <c r="AE198" s="144" t="n">
        <v>0</v>
      </c>
      <c r="AF198" s="315"/>
      <c r="AG198" s="311" t="n">
        <v>0</v>
      </c>
      <c r="AH198" s="309" t="n">
        <v>0</v>
      </c>
      <c r="AI198" s="310"/>
      <c r="AJ198" s="311" t="n">
        <v>1077</v>
      </c>
      <c r="AK198" s="309" t="n">
        <v>660</v>
      </c>
      <c r="AL198" s="311" t="n">
        <v>1138</v>
      </c>
      <c r="AM198" s="309" t="n">
        <v>859.2</v>
      </c>
      <c r="AN198" s="311" t="n">
        <v>1157</v>
      </c>
      <c r="AO198" s="309" t="n">
        <v>840</v>
      </c>
      <c r="AP198" s="310"/>
      <c r="AQ198" s="311" t="n">
        <v>1087</v>
      </c>
      <c r="AR198" s="309" t="n">
        <v>1260</v>
      </c>
      <c r="AS198" s="311" t="n">
        <v>1214</v>
      </c>
      <c r="AT198" s="309" t="n">
        <v>1132.8</v>
      </c>
      <c r="AU198" s="311" t="n">
        <v>1214</v>
      </c>
      <c r="AV198" s="309" t="n">
        <v>1132.8</v>
      </c>
      <c r="AW198" s="311" t="n">
        <v>1217</v>
      </c>
      <c r="AX198" s="309" t="n">
        <v>1130.4</v>
      </c>
      <c r="AY198" s="311" t="n">
        <v>1217</v>
      </c>
      <c r="AZ198" s="309" t="n">
        <v>1130.4</v>
      </c>
      <c r="BB198" s="144" t="n">
        <v>0</v>
      </c>
      <c r="BC198" s="315"/>
      <c r="BD198" s="311" t="n">
        <v>0</v>
      </c>
      <c r="BE198" s="316" t="n">
        <v>0</v>
      </c>
      <c r="BF198" s="310"/>
      <c r="BG198" s="317" t="n">
        <v>0</v>
      </c>
      <c r="BH198" s="318" t="n">
        <v>0</v>
      </c>
      <c r="BI198" s="317" t="n">
        <v>0</v>
      </c>
      <c r="BJ198" s="318" t="n">
        <v>0</v>
      </c>
      <c r="BK198" s="317" t="n">
        <v>0</v>
      </c>
      <c r="BL198" s="318" t="n">
        <v>0</v>
      </c>
      <c r="BM198" s="310"/>
      <c r="BN198" s="317" t="n">
        <v>0</v>
      </c>
      <c r="BO198" s="318" t="n">
        <v>0</v>
      </c>
      <c r="BP198" s="317" t="n">
        <v>0</v>
      </c>
      <c r="BQ198" s="318" t="n">
        <v>0</v>
      </c>
      <c r="BR198" s="317" t="n">
        <v>0</v>
      </c>
      <c r="BS198" s="318" t="n">
        <v>0</v>
      </c>
      <c r="BT198" s="317" t="n">
        <v>0</v>
      </c>
      <c r="BU198" s="318" t="n">
        <v>0</v>
      </c>
      <c r="BV198" s="317" t="n">
        <v>0</v>
      </c>
      <c r="BW198" s="318" t="n">
        <v>0</v>
      </c>
      <c r="BY198" s="143"/>
      <c r="BZ198" s="315"/>
      <c r="CA198" s="144" t="s">
        <v>12</v>
      </c>
      <c r="CB198" s="315"/>
      <c r="CC198" s="144" t="n">
        <v>-1076.86776859504</v>
      </c>
      <c r="CD198" s="144" t="n">
        <v>-1137.66776859504</v>
      </c>
      <c r="CE198" s="144" t="n">
        <v>-1156.86776859504</v>
      </c>
      <c r="CF198" s="315"/>
      <c r="CG198" s="144" t="n">
        <v>-1086.86776859504</v>
      </c>
      <c r="CH198" s="144" t="n">
        <v>-1214.06776859504</v>
      </c>
      <c r="CI198" s="144" t="n">
        <v>-1214.06776859504</v>
      </c>
      <c r="CJ198" s="144" t="n">
        <v>-1216.46776859504</v>
      </c>
      <c r="CK198" s="144" t="n">
        <v>-1216.46776859504</v>
      </c>
      <c r="CM198" s="144" t="n">
        <v>2395.86776859504</v>
      </c>
      <c r="CO198" s="319"/>
      <c r="CP198" s="320"/>
      <c r="CQ198" s="321" t="s">
        <v>12</v>
      </c>
      <c r="CR198" s="320"/>
      <c r="CS198" s="322" t="n">
        <v>-1076.86776859504</v>
      </c>
      <c r="CT198" s="322" t="n">
        <v>-1137.66776859504</v>
      </c>
      <c r="CU198" s="322" t="n">
        <v>-1156.86776859504</v>
      </c>
      <c r="CV198" s="323"/>
      <c r="CW198" s="322" t="n">
        <v>-1086.86776859504</v>
      </c>
      <c r="CX198" s="322" t="n">
        <v>-1214.06776859504</v>
      </c>
      <c r="CY198" s="322" t="n">
        <v>-1214.06776859504</v>
      </c>
      <c r="CZ198" s="322" t="n">
        <v>-1216.46776859504</v>
      </c>
      <c r="DA198" s="322" t="n">
        <v>-1216.46776859504</v>
      </c>
    </row>
    <row r="199" customFormat="false" ht="12.75" hidden="false" customHeight="false" outlineLevel="0" collapsed="false">
      <c r="B199" s="305" t="s">
        <v>190</v>
      </c>
      <c r="C199" s="327" t="s">
        <v>523</v>
      </c>
      <c r="D199" s="306" t="n">
        <v>2396</v>
      </c>
      <c r="E199" s="306" t="n">
        <v>0</v>
      </c>
      <c r="F199" s="324" t="s">
        <v>514</v>
      </c>
      <c r="G199" s="144" t="n">
        <v>48</v>
      </c>
      <c r="H199" s="325" t="n">
        <v>2395.86776859504</v>
      </c>
      <c r="I199" s="2"/>
      <c r="J199" s="144" t="s">
        <v>12</v>
      </c>
      <c r="K199" s="309" t="s">
        <v>12</v>
      </c>
      <c r="L199" s="310"/>
      <c r="M199" s="311" t="n">
        <v>659</v>
      </c>
      <c r="N199" s="312" t="n">
        <v>13.8</v>
      </c>
      <c r="O199" s="311" t="n">
        <v>399</v>
      </c>
      <c r="P199" s="312" t="n">
        <v>17.9</v>
      </c>
      <c r="Q199" s="310" t="n">
        <v>399</v>
      </c>
      <c r="R199" s="312" t="n">
        <v>17.5</v>
      </c>
      <c r="S199" s="310"/>
      <c r="T199" s="311" t="n">
        <v>49</v>
      </c>
      <c r="U199" s="312" t="n">
        <v>26.3</v>
      </c>
      <c r="V199" s="311" t="n">
        <v>49</v>
      </c>
      <c r="W199" s="312" t="n">
        <v>23.6</v>
      </c>
      <c r="X199" s="311" t="n">
        <v>49</v>
      </c>
      <c r="Y199" s="312" t="n">
        <v>23.6</v>
      </c>
      <c r="Z199" s="313" t="n">
        <v>49</v>
      </c>
      <c r="AA199" s="314" t="n">
        <v>23.6</v>
      </c>
      <c r="AB199" s="313" t="n">
        <v>49</v>
      </c>
      <c r="AC199" s="314" t="n">
        <v>23.6</v>
      </c>
      <c r="AD199" s="315"/>
      <c r="AE199" s="144" t="n">
        <v>0</v>
      </c>
      <c r="AF199" s="315"/>
      <c r="AG199" s="311" t="n">
        <v>0</v>
      </c>
      <c r="AH199" s="309" t="n">
        <v>0</v>
      </c>
      <c r="AI199" s="310"/>
      <c r="AJ199" s="311" t="n">
        <v>1075</v>
      </c>
      <c r="AK199" s="309" t="n">
        <v>662.4</v>
      </c>
      <c r="AL199" s="311" t="n">
        <v>1138</v>
      </c>
      <c r="AM199" s="309" t="n">
        <v>859.2</v>
      </c>
      <c r="AN199" s="310" t="n">
        <v>1157</v>
      </c>
      <c r="AO199" s="309" t="n">
        <v>840</v>
      </c>
      <c r="AP199" s="310"/>
      <c r="AQ199" s="311" t="n">
        <v>1085</v>
      </c>
      <c r="AR199" s="309" t="n">
        <v>1262.4</v>
      </c>
      <c r="AS199" s="311" t="n">
        <v>1214</v>
      </c>
      <c r="AT199" s="309" t="n">
        <v>1132.8</v>
      </c>
      <c r="AU199" s="310" t="n">
        <v>1214</v>
      </c>
      <c r="AV199" s="309" t="n">
        <v>1132.8</v>
      </c>
      <c r="AW199" s="310" t="n">
        <v>1214</v>
      </c>
      <c r="AX199" s="309" t="n">
        <v>1132.8</v>
      </c>
      <c r="AY199" s="310" t="n">
        <v>1214</v>
      </c>
      <c r="AZ199" s="309" t="n">
        <v>1132.8</v>
      </c>
      <c r="BB199" s="144" t="n">
        <v>0</v>
      </c>
      <c r="BC199" s="315"/>
      <c r="BD199" s="311" t="n">
        <v>0</v>
      </c>
      <c r="BE199" s="316" t="n">
        <v>0</v>
      </c>
      <c r="BF199" s="310"/>
      <c r="BG199" s="317" t="n">
        <v>0</v>
      </c>
      <c r="BH199" s="318" t="n">
        <v>0</v>
      </c>
      <c r="BI199" s="317" t="n">
        <v>0</v>
      </c>
      <c r="BJ199" s="318" t="n">
        <v>0</v>
      </c>
      <c r="BK199" s="317" t="n">
        <v>0</v>
      </c>
      <c r="BL199" s="318" t="n">
        <v>0</v>
      </c>
      <c r="BM199" s="310"/>
      <c r="BN199" s="317" t="n">
        <v>0</v>
      </c>
      <c r="BO199" s="318" t="n">
        <v>0</v>
      </c>
      <c r="BP199" s="317" t="n">
        <v>0</v>
      </c>
      <c r="BQ199" s="318" t="n">
        <v>0</v>
      </c>
      <c r="BR199" s="317" t="n">
        <v>0</v>
      </c>
      <c r="BS199" s="318" t="n">
        <v>0</v>
      </c>
      <c r="BT199" s="317" t="n">
        <v>0</v>
      </c>
      <c r="BU199" s="318" t="n">
        <v>0</v>
      </c>
      <c r="BV199" s="317" t="n">
        <v>0</v>
      </c>
      <c r="BW199" s="318" t="n">
        <v>0</v>
      </c>
      <c r="BY199" s="143"/>
      <c r="BZ199" s="315"/>
      <c r="CA199" s="144" t="s">
        <v>12</v>
      </c>
      <c r="CB199" s="315"/>
      <c r="CC199" s="144" t="n">
        <v>-1074.46776859504</v>
      </c>
      <c r="CD199" s="144" t="n">
        <v>-1137.66776859504</v>
      </c>
      <c r="CE199" s="144" t="n">
        <v>-1156.86776859504</v>
      </c>
      <c r="CF199" s="315"/>
      <c r="CG199" s="144" t="n">
        <v>-1084.46776859504</v>
      </c>
      <c r="CH199" s="144" t="n">
        <v>-1214.06776859504</v>
      </c>
      <c r="CI199" s="144" t="n">
        <v>-1214.06776859504</v>
      </c>
      <c r="CJ199" s="144" t="n">
        <v>-1214.06776859504</v>
      </c>
      <c r="CK199" s="144" t="n">
        <v>-1214.06776859504</v>
      </c>
      <c r="CM199" s="144" t="n">
        <v>2395.86776859504</v>
      </c>
      <c r="CO199" s="319"/>
      <c r="CP199" s="320"/>
      <c r="CQ199" s="321" t="s">
        <v>12</v>
      </c>
      <c r="CR199" s="320"/>
      <c r="CS199" s="322" t="n">
        <v>-1074.46776859504</v>
      </c>
      <c r="CT199" s="322" t="n">
        <v>-1137.66776859504</v>
      </c>
      <c r="CU199" s="322" t="n">
        <v>-1156.86776859504</v>
      </c>
      <c r="CV199" s="323"/>
      <c r="CW199" s="322" t="n">
        <v>-1084.46776859504</v>
      </c>
      <c r="CX199" s="322" t="n">
        <v>-1214.06776859504</v>
      </c>
      <c r="CY199" s="322" t="n">
        <v>-1214.06776859504</v>
      </c>
      <c r="CZ199" s="322" t="n">
        <v>-1214.06776859504</v>
      </c>
      <c r="DA199" s="322" t="n">
        <v>-1214.06776859504</v>
      </c>
    </row>
    <row r="200" customFormat="false" ht="12.75" hidden="false" customHeight="false" outlineLevel="0" collapsed="false">
      <c r="B200" s="305" t="s">
        <v>190</v>
      </c>
      <c r="C200" s="327" t="s">
        <v>524</v>
      </c>
      <c r="D200" s="306" t="n">
        <v>1735</v>
      </c>
      <c r="E200" s="306" t="n">
        <v>0</v>
      </c>
      <c r="F200" s="306" t="s">
        <v>514</v>
      </c>
      <c r="G200" s="307" t="n">
        <v>24</v>
      </c>
      <c r="H200" s="308" t="n">
        <v>1734.71074380165</v>
      </c>
      <c r="I200" s="2"/>
      <c r="J200" s="144" t="s">
        <v>12</v>
      </c>
      <c r="K200" s="309" t="s">
        <v>12</v>
      </c>
      <c r="L200" s="310"/>
      <c r="M200" s="311" t="n">
        <v>489</v>
      </c>
      <c r="N200" s="312" t="n">
        <v>20.9</v>
      </c>
      <c r="O200" s="311" t="n">
        <v>299</v>
      </c>
      <c r="P200" s="312" t="n">
        <v>26.3</v>
      </c>
      <c r="Q200" s="310" t="n">
        <v>299</v>
      </c>
      <c r="R200" s="312" t="n">
        <v>25.5</v>
      </c>
      <c r="S200" s="310"/>
      <c r="T200" s="311" t="n">
        <v>39</v>
      </c>
      <c r="U200" s="312" t="n">
        <v>39.7</v>
      </c>
      <c r="V200" s="311" t="n">
        <v>39</v>
      </c>
      <c r="W200" s="312" t="n">
        <v>36.4</v>
      </c>
      <c r="X200" s="311" t="n">
        <v>39</v>
      </c>
      <c r="Y200" s="312" t="n">
        <v>36.4</v>
      </c>
      <c r="Z200" s="313" t="n">
        <v>39</v>
      </c>
      <c r="AA200" s="314" t="n">
        <v>36.4</v>
      </c>
      <c r="AB200" s="313" t="n">
        <v>39</v>
      </c>
      <c r="AC200" s="314" t="n">
        <v>36.4</v>
      </c>
      <c r="AD200" s="315"/>
      <c r="AE200" s="144" t="n">
        <v>0</v>
      </c>
      <c r="AF200" s="315"/>
      <c r="AG200" s="311" t="n">
        <v>0</v>
      </c>
      <c r="AH200" s="309" t="n">
        <v>0</v>
      </c>
      <c r="AI200" s="310"/>
      <c r="AJ200" s="311" t="n">
        <v>744</v>
      </c>
      <c r="AK200" s="309" t="n">
        <v>501.6</v>
      </c>
      <c r="AL200" s="311" t="n">
        <v>805</v>
      </c>
      <c r="AM200" s="309" t="n">
        <v>631.2</v>
      </c>
      <c r="AN200" s="311" t="n">
        <v>824</v>
      </c>
      <c r="AO200" s="309" t="n">
        <v>612</v>
      </c>
      <c r="AP200" s="310"/>
      <c r="AQ200" s="311" t="n">
        <v>743</v>
      </c>
      <c r="AR200" s="309" t="n">
        <v>952.8</v>
      </c>
      <c r="AS200" s="311" t="n">
        <v>822</v>
      </c>
      <c r="AT200" s="309" t="n">
        <v>873.6</v>
      </c>
      <c r="AU200" s="311" t="n">
        <v>822</v>
      </c>
      <c r="AV200" s="309" t="n">
        <v>873.6</v>
      </c>
      <c r="AW200" s="311" t="n">
        <v>822</v>
      </c>
      <c r="AX200" s="309" t="n">
        <v>873.6</v>
      </c>
      <c r="AY200" s="311" t="n">
        <v>822</v>
      </c>
      <c r="AZ200" s="309" t="n">
        <v>873.6</v>
      </c>
      <c r="BB200" s="144" t="n">
        <v>0</v>
      </c>
      <c r="BC200" s="315"/>
      <c r="BD200" s="311" t="n">
        <v>0</v>
      </c>
      <c r="BE200" s="316" t="n">
        <v>0</v>
      </c>
      <c r="BF200" s="310"/>
      <c r="BG200" s="317" t="n">
        <v>0</v>
      </c>
      <c r="BH200" s="318" t="n">
        <v>0</v>
      </c>
      <c r="BI200" s="317" t="n">
        <v>0</v>
      </c>
      <c r="BJ200" s="318" t="n">
        <v>0</v>
      </c>
      <c r="BK200" s="317" t="n">
        <v>0</v>
      </c>
      <c r="BL200" s="318" t="n">
        <v>0</v>
      </c>
      <c r="BM200" s="310"/>
      <c r="BN200" s="317" t="n">
        <v>0</v>
      </c>
      <c r="BO200" s="318" t="n">
        <v>0</v>
      </c>
      <c r="BP200" s="317" t="n">
        <v>0</v>
      </c>
      <c r="BQ200" s="318" t="n">
        <v>0</v>
      </c>
      <c r="BR200" s="317" t="n">
        <v>0</v>
      </c>
      <c r="BS200" s="318" t="n">
        <v>0</v>
      </c>
      <c r="BT200" s="317" t="n">
        <v>0</v>
      </c>
      <c r="BU200" s="318" t="n">
        <v>0</v>
      </c>
      <c r="BV200" s="317" t="n">
        <v>0</v>
      </c>
      <c r="BW200" s="318" t="n">
        <v>0</v>
      </c>
      <c r="BY200" s="143"/>
      <c r="BZ200" s="315"/>
      <c r="CA200" s="144" t="s">
        <v>12</v>
      </c>
      <c r="CB200" s="315"/>
      <c r="CC200" s="144" t="n">
        <v>-744.110743801653</v>
      </c>
      <c r="CD200" s="144" t="n">
        <v>-804.510743801653</v>
      </c>
      <c r="CE200" s="144" t="n">
        <v>-823.710743801653</v>
      </c>
      <c r="CF200" s="315"/>
      <c r="CG200" s="144" t="n">
        <v>-742.910743801653</v>
      </c>
      <c r="CH200" s="144" t="n">
        <v>-822.110743801653</v>
      </c>
      <c r="CI200" s="144" t="n">
        <v>-822.110743801653</v>
      </c>
      <c r="CJ200" s="144" t="n">
        <v>-822.110743801653</v>
      </c>
      <c r="CK200" s="144" t="n">
        <v>-822.110743801653</v>
      </c>
      <c r="CM200" s="144" t="n">
        <v>1734.71074380165</v>
      </c>
      <c r="CO200" s="319"/>
      <c r="CP200" s="320"/>
      <c r="CQ200" s="321" t="s">
        <v>12</v>
      </c>
      <c r="CR200" s="320"/>
      <c r="CS200" s="322" t="n">
        <v>-744.110743801653</v>
      </c>
      <c r="CT200" s="322" t="n">
        <v>-804.510743801653</v>
      </c>
      <c r="CU200" s="322" t="n">
        <v>-823.710743801653</v>
      </c>
      <c r="CV200" s="323"/>
      <c r="CW200" s="322" t="n">
        <v>-742.910743801653</v>
      </c>
      <c r="CX200" s="322" t="n">
        <v>-822.110743801653</v>
      </c>
      <c r="CY200" s="322" t="n">
        <v>-822.110743801653</v>
      </c>
      <c r="CZ200" s="322" t="n">
        <v>-822.110743801653</v>
      </c>
      <c r="DA200" s="322" t="n">
        <v>-822.110743801653</v>
      </c>
    </row>
    <row r="201" customFormat="false" ht="12.75" hidden="false" customHeight="false" outlineLevel="0" collapsed="false">
      <c r="B201" s="305" t="s">
        <v>190</v>
      </c>
      <c r="C201" s="327" t="s">
        <v>524</v>
      </c>
      <c r="D201" s="306" t="n">
        <v>1735</v>
      </c>
      <c r="E201" s="306" t="n">
        <v>0</v>
      </c>
      <c r="F201" s="324" t="s">
        <v>514</v>
      </c>
      <c r="G201" s="144" t="n">
        <v>48</v>
      </c>
      <c r="H201" s="325" t="n">
        <v>1734.71074380165</v>
      </c>
      <c r="I201" s="2"/>
      <c r="J201" s="144" t="s">
        <v>12</v>
      </c>
      <c r="K201" s="309" t="s">
        <v>12</v>
      </c>
      <c r="L201" s="310"/>
      <c r="M201" s="311" t="n">
        <v>489</v>
      </c>
      <c r="N201" s="312" t="n">
        <v>10.5</v>
      </c>
      <c r="O201" s="311" t="n">
        <v>299</v>
      </c>
      <c r="P201" s="312" t="n">
        <v>13.2</v>
      </c>
      <c r="Q201" s="310" t="n">
        <v>299</v>
      </c>
      <c r="R201" s="312" t="n">
        <v>12.8</v>
      </c>
      <c r="S201" s="310"/>
      <c r="T201" s="311" t="n">
        <v>39</v>
      </c>
      <c r="U201" s="312" t="n">
        <v>19.9</v>
      </c>
      <c r="V201" s="311" t="n">
        <v>39</v>
      </c>
      <c r="W201" s="312" t="n">
        <v>18.2</v>
      </c>
      <c r="X201" s="311" t="n">
        <v>39</v>
      </c>
      <c r="Y201" s="312" t="n">
        <v>18.2</v>
      </c>
      <c r="Z201" s="313" t="n">
        <v>39</v>
      </c>
      <c r="AA201" s="314" t="n">
        <v>18.2</v>
      </c>
      <c r="AB201" s="313" t="n">
        <v>39</v>
      </c>
      <c r="AC201" s="314" t="n">
        <v>18.2</v>
      </c>
      <c r="AD201" s="315"/>
      <c r="AE201" s="144" t="n">
        <v>0</v>
      </c>
      <c r="AF201" s="315"/>
      <c r="AG201" s="311" t="n">
        <v>0</v>
      </c>
      <c r="AH201" s="309" t="n">
        <v>0</v>
      </c>
      <c r="AI201" s="310"/>
      <c r="AJ201" s="311" t="n">
        <v>742</v>
      </c>
      <c r="AK201" s="309" t="n">
        <v>504</v>
      </c>
      <c r="AL201" s="311" t="n">
        <v>802</v>
      </c>
      <c r="AM201" s="309" t="n">
        <v>633.6</v>
      </c>
      <c r="AN201" s="310" t="n">
        <v>822</v>
      </c>
      <c r="AO201" s="309" t="n">
        <v>614.4</v>
      </c>
      <c r="AP201" s="310"/>
      <c r="AQ201" s="311" t="n">
        <v>741</v>
      </c>
      <c r="AR201" s="309" t="n">
        <v>955.2</v>
      </c>
      <c r="AS201" s="311" t="n">
        <v>822</v>
      </c>
      <c r="AT201" s="309" t="n">
        <v>873.6</v>
      </c>
      <c r="AU201" s="310" t="n">
        <v>822</v>
      </c>
      <c r="AV201" s="309" t="n">
        <v>873.6</v>
      </c>
      <c r="AW201" s="310" t="n">
        <v>822</v>
      </c>
      <c r="AX201" s="309" t="n">
        <v>873.6</v>
      </c>
      <c r="AY201" s="310" t="n">
        <v>822</v>
      </c>
      <c r="AZ201" s="309" t="n">
        <v>873.6</v>
      </c>
      <c r="BB201" s="144" t="n">
        <v>0</v>
      </c>
      <c r="BC201" s="315"/>
      <c r="BD201" s="311" t="n">
        <v>0</v>
      </c>
      <c r="BE201" s="316" t="n">
        <v>0</v>
      </c>
      <c r="BF201" s="310"/>
      <c r="BG201" s="317" t="n">
        <v>0</v>
      </c>
      <c r="BH201" s="318" t="n">
        <v>0</v>
      </c>
      <c r="BI201" s="317" t="n">
        <v>0</v>
      </c>
      <c r="BJ201" s="318" t="n">
        <v>0</v>
      </c>
      <c r="BK201" s="317" t="n">
        <v>0</v>
      </c>
      <c r="BL201" s="318" t="n">
        <v>0</v>
      </c>
      <c r="BM201" s="310"/>
      <c r="BN201" s="317" t="n">
        <v>0</v>
      </c>
      <c r="BO201" s="318" t="n">
        <v>0</v>
      </c>
      <c r="BP201" s="317" t="n">
        <v>0</v>
      </c>
      <c r="BQ201" s="318" t="n">
        <v>0</v>
      </c>
      <c r="BR201" s="317" t="n">
        <v>0</v>
      </c>
      <c r="BS201" s="318" t="n">
        <v>0</v>
      </c>
      <c r="BT201" s="317" t="n">
        <v>0</v>
      </c>
      <c r="BU201" s="318" t="n">
        <v>0</v>
      </c>
      <c r="BV201" s="317" t="n">
        <v>0</v>
      </c>
      <c r="BW201" s="318" t="n">
        <v>0</v>
      </c>
      <c r="BY201" s="143"/>
      <c r="BZ201" s="315"/>
      <c r="CA201" s="144" t="s">
        <v>12</v>
      </c>
      <c r="CB201" s="315"/>
      <c r="CC201" s="144" t="n">
        <v>-741.710743801653</v>
      </c>
      <c r="CD201" s="144" t="n">
        <v>-802.110743801653</v>
      </c>
      <c r="CE201" s="144" t="n">
        <v>-821.310743801653</v>
      </c>
      <c r="CF201" s="315"/>
      <c r="CG201" s="144" t="n">
        <v>-740.510743801653</v>
      </c>
      <c r="CH201" s="144" t="n">
        <v>-822.110743801653</v>
      </c>
      <c r="CI201" s="144" t="n">
        <v>-822.110743801653</v>
      </c>
      <c r="CJ201" s="144" t="n">
        <v>-822.110743801653</v>
      </c>
      <c r="CK201" s="144" t="n">
        <v>-822.110743801653</v>
      </c>
      <c r="CM201" s="144" t="n">
        <v>1734.71074380165</v>
      </c>
      <c r="CO201" s="319"/>
      <c r="CP201" s="320"/>
      <c r="CQ201" s="321" t="s">
        <v>12</v>
      </c>
      <c r="CR201" s="320"/>
      <c r="CS201" s="322" t="n">
        <v>-741.710743801653</v>
      </c>
      <c r="CT201" s="322" t="n">
        <v>-802.110743801653</v>
      </c>
      <c r="CU201" s="322" t="n">
        <v>-821.310743801653</v>
      </c>
      <c r="CV201" s="323"/>
      <c r="CW201" s="322" t="n">
        <v>-740.510743801653</v>
      </c>
      <c r="CX201" s="322" t="n">
        <v>-822.110743801653</v>
      </c>
      <c r="CY201" s="322" t="n">
        <v>-822.110743801653</v>
      </c>
      <c r="CZ201" s="322" t="n">
        <v>-822.110743801653</v>
      </c>
      <c r="DA201" s="322" t="n">
        <v>-822.110743801653</v>
      </c>
    </row>
    <row r="202" customFormat="false" ht="12.75" hidden="false" customHeight="false" outlineLevel="0" collapsed="false">
      <c r="B202" s="305" t="s">
        <v>200</v>
      </c>
      <c r="C202" s="305" t="s">
        <v>525</v>
      </c>
      <c r="D202" s="306" t="n">
        <v>429</v>
      </c>
      <c r="E202" s="306" t="n">
        <v>0</v>
      </c>
      <c r="F202" s="306" t="s">
        <v>514</v>
      </c>
      <c r="G202" s="307" t="n">
        <v>24</v>
      </c>
      <c r="H202" s="308" t="n">
        <v>354.545454545455</v>
      </c>
      <c r="I202" s="2"/>
      <c r="J202" s="144" t="s">
        <v>12</v>
      </c>
      <c r="K202" s="309" t="s">
        <v>12</v>
      </c>
      <c r="L202" s="310"/>
      <c r="M202" s="311" t="n">
        <v>109</v>
      </c>
      <c r="N202" s="312" t="n">
        <v>6.5</v>
      </c>
      <c r="O202" s="311" t="n">
        <v>19</v>
      </c>
      <c r="P202" s="312" t="n">
        <v>7.9</v>
      </c>
      <c r="Q202" s="310" t="n">
        <v>19</v>
      </c>
      <c r="R202" s="312" t="n">
        <v>7.1</v>
      </c>
      <c r="S202" s="310"/>
      <c r="T202" s="311" t="n">
        <v>0</v>
      </c>
      <c r="U202" s="312" t="n">
        <v>10.8</v>
      </c>
      <c r="V202" s="311" t="n">
        <v>0</v>
      </c>
      <c r="W202" s="312" t="n">
        <v>6</v>
      </c>
      <c r="X202" s="311" t="n">
        <v>0</v>
      </c>
      <c r="Y202" s="312" t="n">
        <v>5</v>
      </c>
      <c r="Z202" s="313" t="n">
        <v>0</v>
      </c>
      <c r="AA202" s="314" t="n">
        <v>7.4</v>
      </c>
      <c r="AB202" s="313" t="n">
        <v>0</v>
      </c>
      <c r="AC202" s="314" t="n">
        <v>7.4</v>
      </c>
      <c r="AD202" s="315"/>
      <c r="AE202" s="144" t="n">
        <v>74</v>
      </c>
      <c r="AF202" s="315"/>
      <c r="AG202" s="311" t="n">
        <v>0</v>
      </c>
      <c r="AH202" s="309" t="n">
        <v>0</v>
      </c>
      <c r="AI202" s="310"/>
      <c r="AJ202" s="311" t="n">
        <v>164</v>
      </c>
      <c r="AK202" s="309" t="n">
        <v>156</v>
      </c>
      <c r="AL202" s="311" t="n">
        <v>220</v>
      </c>
      <c r="AM202" s="309" t="n">
        <v>189.6</v>
      </c>
      <c r="AN202" s="311" t="n">
        <v>240</v>
      </c>
      <c r="AO202" s="309" t="n">
        <v>170.4</v>
      </c>
      <c r="AP202" s="310"/>
      <c r="AQ202" s="311" t="n">
        <v>170</v>
      </c>
      <c r="AR202" s="309" t="n">
        <v>259.2</v>
      </c>
      <c r="AS202" s="311" t="n">
        <v>285</v>
      </c>
      <c r="AT202" s="309" t="n">
        <v>144</v>
      </c>
      <c r="AU202" s="311" t="n">
        <v>309</v>
      </c>
      <c r="AV202" s="309" t="n">
        <v>120</v>
      </c>
      <c r="AW202" s="311" t="n">
        <v>251</v>
      </c>
      <c r="AX202" s="309" t="n">
        <v>177.6</v>
      </c>
      <c r="AY202" s="311" t="n">
        <v>251</v>
      </c>
      <c r="AZ202" s="309" t="n">
        <v>177.6</v>
      </c>
      <c r="BB202" s="144" t="n">
        <v>0</v>
      </c>
      <c r="BC202" s="315"/>
      <c r="BD202" s="311" t="n">
        <v>0</v>
      </c>
      <c r="BE202" s="316" t="n">
        <v>0</v>
      </c>
      <c r="BF202" s="310"/>
      <c r="BG202" s="317" t="n">
        <v>0</v>
      </c>
      <c r="BH202" s="318" t="n">
        <v>0.3</v>
      </c>
      <c r="BI202" s="317" t="n">
        <v>0</v>
      </c>
      <c r="BJ202" s="318" t="n">
        <v>0.8</v>
      </c>
      <c r="BK202" s="317" t="n">
        <v>0</v>
      </c>
      <c r="BL202" s="318" t="n">
        <v>0.9</v>
      </c>
      <c r="BM202" s="310"/>
      <c r="BN202" s="317" t="n">
        <v>0</v>
      </c>
      <c r="BO202" s="318" t="n">
        <v>-0.199999999999999</v>
      </c>
      <c r="BP202" s="317" t="n">
        <v>0</v>
      </c>
      <c r="BQ202" s="318" t="n">
        <v>0</v>
      </c>
      <c r="BR202" s="317" t="n">
        <v>0</v>
      </c>
      <c r="BS202" s="318" t="n">
        <v>0</v>
      </c>
      <c r="BT202" s="317" t="n">
        <v>0</v>
      </c>
      <c r="BU202" s="318" t="n">
        <v>0.9</v>
      </c>
      <c r="BV202" s="317" t="n">
        <v>0</v>
      </c>
      <c r="BW202" s="318" t="n">
        <v>0.9</v>
      </c>
      <c r="BY202" s="143"/>
      <c r="BZ202" s="315"/>
      <c r="CA202" s="144" t="s">
        <v>12</v>
      </c>
      <c r="CB202" s="315"/>
      <c r="CC202" s="144" t="n">
        <v>-89.5454545454546</v>
      </c>
      <c r="CD202" s="144" t="n">
        <v>-145.945454545455</v>
      </c>
      <c r="CE202" s="144" t="n">
        <v>-165.145454545455</v>
      </c>
      <c r="CF202" s="315"/>
      <c r="CG202" s="144" t="n">
        <v>-95.3454545454545</v>
      </c>
      <c r="CH202" s="144" t="n">
        <v>-210.545454545455</v>
      </c>
      <c r="CI202" s="144" t="n">
        <v>-234.545454545455</v>
      </c>
      <c r="CJ202" s="144" t="n">
        <v>-176.945454545455</v>
      </c>
      <c r="CK202" s="144" t="n">
        <v>-176.945454545455</v>
      </c>
      <c r="CM202" s="144" t="n">
        <v>354.545454545455</v>
      </c>
      <c r="CO202" s="319"/>
      <c r="CP202" s="320"/>
      <c r="CQ202" s="321" t="s">
        <v>12</v>
      </c>
      <c r="CR202" s="320"/>
      <c r="CS202" s="322" t="n">
        <v>-89.5454545454546</v>
      </c>
      <c r="CT202" s="322" t="n">
        <v>-145.945454545455</v>
      </c>
      <c r="CU202" s="322" t="n">
        <v>-165.145454545455</v>
      </c>
      <c r="CV202" s="323"/>
      <c r="CW202" s="322" t="n">
        <v>-95.3454545454545</v>
      </c>
      <c r="CX202" s="322" t="n">
        <v>-210.545454545455</v>
      </c>
      <c r="CY202" s="322" t="n">
        <v>-234.545454545455</v>
      </c>
      <c r="CZ202" s="322" t="n">
        <v>-176.945454545455</v>
      </c>
      <c r="DA202" s="322" t="n">
        <v>-176.945454545455</v>
      </c>
    </row>
    <row r="203" customFormat="false" ht="12.75" hidden="false" customHeight="false" outlineLevel="0" collapsed="false">
      <c r="B203" s="305" t="s">
        <v>200</v>
      </c>
      <c r="C203" s="305" t="s">
        <v>525</v>
      </c>
      <c r="D203" s="306" t="n">
        <v>429</v>
      </c>
      <c r="E203" s="306" t="n">
        <v>0</v>
      </c>
      <c r="F203" s="324" t="s">
        <v>514</v>
      </c>
      <c r="G203" s="144" t="n">
        <v>48</v>
      </c>
      <c r="H203" s="325" t="n">
        <v>354.545454545455</v>
      </c>
      <c r="I203" s="2"/>
      <c r="J203" s="144" t="s">
        <v>12</v>
      </c>
      <c r="K203" s="309" t="s">
        <v>12</v>
      </c>
      <c r="L203" s="310"/>
      <c r="M203" s="311" t="n">
        <v>109</v>
      </c>
      <c r="N203" s="312" t="n">
        <v>3.3</v>
      </c>
      <c r="O203" s="311" t="n">
        <v>19</v>
      </c>
      <c r="P203" s="312" t="n">
        <v>4</v>
      </c>
      <c r="Q203" s="310" t="n">
        <v>19</v>
      </c>
      <c r="R203" s="312" t="n">
        <v>3.6</v>
      </c>
      <c r="S203" s="310"/>
      <c r="T203" s="311" t="n">
        <v>0</v>
      </c>
      <c r="U203" s="312" t="n">
        <v>5.4</v>
      </c>
      <c r="V203" s="311" t="n">
        <v>0</v>
      </c>
      <c r="W203" s="312" t="n">
        <v>3</v>
      </c>
      <c r="X203" s="311" t="n">
        <v>0</v>
      </c>
      <c r="Y203" s="312" t="n">
        <v>2.5</v>
      </c>
      <c r="Z203" s="313" t="n">
        <v>0</v>
      </c>
      <c r="AA203" s="314" t="n">
        <v>3.7</v>
      </c>
      <c r="AB203" s="313" t="n">
        <v>0</v>
      </c>
      <c r="AC203" s="314" t="n">
        <v>3.7</v>
      </c>
      <c r="AD203" s="315"/>
      <c r="AE203" s="144" t="n">
        <v>74</v>
      </c>
      <c r="AF203" s="315"/>
      <c r="AG203" s="311" t="n">
        <v>0</v>
      </c>
      <c r="AH203" s="309" t="n">
        <v>0</v>
      </c>
      <c r="AI203" s="310"/>
      <c r="AJ203" s="311" t="n">
        <v>162</v>
      </c>
      <c r="AK203" s="309" t="n">
        <v>158.4</v>
      </c>
      <c r="AL203" s="311" t="n">
        <v>218</v>
      </c>
      <c r="AM203" s="309" t="n">
        <v>192</v>
      </c>
      <c r="AN203" s="310" t="n">
        <v>237</v>
      </c>
      <c r="AO203" s="309" t="n">
        <v>172.8</v>
      </c>
      <c r="AP203" s="310"/>
      <c r="AQ203" s="311" t="n">
        <v>170</v>
      </c>
      <c r="AR203" s="309" t="n">
        <v>259.2</v>
      </c>
      <c r="AS203" s="311" t="n">
        <v>285</v>
      </c>
      <c r="AT203" s="309" t="n">
        <v>144</v>
      </c>
      <c r="AU203" s="310" t="n">
        <v>309</v>
      </c>
      <c r="AV203" s="309" t="n">
        <v>120</v>
      </c>
      <c r="AW203" s="310" t="n">
        <v>251</v>
      </c>
      <c r="AX203" s="309" t="n">
        <v>177.6</v>
      </c>
      <c r="AY203" s="310" t="n">
        <v>251</v>
      </c>
      <c r="AZ203" s="309" t="n">
        <v>177.6</v>
      </c>
      <c r="BB203" s="144" t="n">
        <v>0</v>
      </c>
      <c r="BC203" s="315"/>
      <c r="BD203" s="311" t="n">
        <v>0</v>
      </c>
      <c r="BE203" s="316" t="n">
        <v>0</v>
      </c>
      <c r="BF203" s="310"/>
      <c r="BG203" s="317" t="n">
        <v>0</v>
      </c>
      <c r="BH203" s="318" t="n">
        <v>0</v>
      </c>
      <c r="BI203" s="317" t="n">
        <v>0</v>
      </c>
      <c r="BJ203" s="318" t="n">
        <v>0</v>
      </c>
      <c r="BK203" s="317" t="n">
        <v>0</v>
      </c>
      <c r="BL203" s="318" t="n">
        <v>0</v>
      </c>
      <c r="BM203" s="310"/>
      <c r="BN203" s="317" t="n">
        <v>0</v>
      </c>
      <c r="BO203" s="318" t="n">
        <v>0</v>
      </c>
      <c r="BP203" s="317" t="n">
        <v>0</v>
      </c>
      <c r="BQ203" s="318" t="n">
        <v>0</v>
      </c>
      <c r="BR203" s="317" t="n">
        <v>0</v>
      </c>
      <c r="BS203" s="318" t="n">
        <v>0</v>
      </c>
      <c r="BT203" s="317" t="n">
        <v>0</v>
      </c>
      <c r="BU203" s="318" t="n">
        <v>0</v>
      </c>
      <c r="BV203" s="317" t="n">
        <v>0</v>
      </c>
      <c r="BW203" s="318" t="n">
        <v>0</v>
      </c>
      <c r="BY203" s="143"/>
      <c r="BZ203" s="315"/>
      <c r="CA203" s="144" t="s">
        <v>12</v>
      </c>
      <c r="CB203" s="315"/>
      <c r="CC203" s="144" t="n">
        <v>-87.1454545454546</v>
      </c>
      <c r="CD203" s="144" t="n">
        <v>-143.545454545455</v>
      </c>
      <c r="CE203" s="144" t="n">
        <v>-162.745454545455</v>
      </c>
      <c r="CF203" s="315"/>
      <c r="CG203" s="144" t="n">
        <v>-95.3454545454545</v>
      </c>
      <c r="CH203" s="144" t="n">
        <v>-210.545454545455</v>
      </c>
      <c r="CI203" s="144" t="n">
        <v>-234.545454545455</v>
      </c>
      <c r="CJ203" s="144" t="n">
        <v>-176.945454545455</v>
      </c>
      <c r="CK203" s="144" t="n">
        <v>-176.945454545455</v>
      </c>
      <c r="CM203" s="144" t="n">
        <v>354.545454545455</v>
      </c>
      <c r="CO203" s="319"/>
      <c r="CP203" s="320"/>
      <c r="CQ203" s="321" t="s">
        <v>12</v>
      </c>
      <c r="CR203" s="320"/>
      <c r="CS203" s="322" t="n">
        <v>-87.1454545454546</v>
      </c>
      <c r="CT203" s="322" t="n">
        <v>-143.545454545455</v>
      </c>
      <c r="CU203" s="322" t="n">
        <v>-162.745454545455</v>
      </c>
      <c r="CV203" s="323"/>
      <c r="CW203" s="322" t="n">
        <v>-95.3454545454545</v>
      </c>
      <c r="CX203" s="322" t="n">
        <v>-210.545454545455</v>
      </c>
      <c r="CY203" s="322" t="n">
        <v>-234.545454545455</v>
      </c>
      <c r="CZ203" s="322" t="n">
        <v>-176.945454545455</v>
      </c>
      <c r="DA203" s="322" t="n">
        <v>-176.945454545455</v>
      </c>
    </row>
    <row r="204" customFormat="false" ht="12.75" hidden="false" customHeight="false" outlineLevel="0" collapsed="false">
      <c r="B204" s="305" t="s">
        <v>200</v>
      </c>
      <c r="C204" s="305" t="s">
        <v>526</v>
      </c>
      <c r="D204" s="306" t="n">
        <v>537</v>
      </c>
      <c r="E204" s="306" t="n">
        <v>0</v>
      </c>
      <c r="F204" s="306" t="s">
        <v>514</v>
      </c>
      <c r="G204" s="307" t="n">
        <v>24</v>
      </c>
      <c r="H204" s="308" t="n">
        <v>495.04132231405</v>
      </c>
      <c r="I204" s="2"/>
      <c r="J204" s="144" t="s">
        <v>12</v>
      </c>
      <c r="K204" s="309" t="s">
        <v>12</v>
      </c>
      <c r="L204" s="310"/>
      <c r="M204" s="311" t="n">
        <v>169</v>
      </c>
      <c r="N204" s="312" t="n">
        <v>10.4</v>
      </c>
      <c r="O204" s="311" t="n">
        <v>19</v>
      </c>
      <c r="P204" s="312" t="n">
        <v>14.1</v>
      </c>
      <c r="Q204" s="310" t="n">
        <v>19</v>
      </c>
      <c r="R204" s="312" t="n">
        <v>13.3</v>
      </c>
      <c r="S204" s="310"/>
      <c r="T204" s="311" t="n">
        <v>0</v>
      </c>
      <c r="U204" s="312" t="n">
        <v>17</v>
      </c>
      <c r="V204" s="311" t="n">
        <v>0</v>
      </c>
      <c r="W204" s="312" t="n">
        <v>12.4</v>
      </c>
      <c r="X204" s="311" t="n">
        <v>0</v>
      </c>
      <c r="Y204" s="312" t="n">
        <v>11.3</v>
      </c>
      <c r="Z204" s="313" t="n">
        <v>0</v>
      </c>
      <c r="AA204" s="314" t="n">
        <v>13.2</v>
      </c>
      <c r="AB204" s="313" t="n">
        <v>0</v>
      </c>
      <c r="AC204" s="314" t="n">
        <v>13.2</v>
      </c>
      <c r="AD204" s="315"/>
      <c r="AE204" s="144" t="n">
        <v>42</v>
      </c>
      <c r="AF204" s="315"/>
      <c r="AG204" s="311" t="n">
        <v>0</v>
      </c>
      <c r="AH204" s="309" t="n">
        <v>0</v>
      </c>
      <c r="AI204" s="310"/>
      <c r="AJ204" s="311" t="n">
        <v>118</v>
      </c>
      <c r="AK204" s="309" t="n">
        <v>249.6</v>
      </c>
      <c r="AL204" s="311" t="n">
        <v>180</v>
      </c>
      <c r="AM204" s="309" t="n">
        <v>338.4</v>
      </c>
      <c r="AN204" s="311" t="n">
        <v>199</v>
      </c>
      <c r="AO204" s="309" t="n">
        <v>319.2</v>
      </c>
      <c r="AP204" s="310"/>
      <c r="AQ204" s="311" t="n">
        <v>129</v>
      </c>
      <c r="AR204" s="309" t="n">
        <v>408</v>
      </c>
      <c r="AS204" s="311" t="n">
        <v>239</v>
      </c>
      <c r="AT204" s="309" t="n">
        <v>297.6</v>
      </c>
      <c r="AU204" s="311" t="n">
        <v>266</v>
      </c>
      <c r="AV204" s="309" t="n">
        <v>271.2</v>
      </c>
      <c r="AW204" s="311" t="n">
        <v>220</v>
      </c>
      <c r="AX204" s="309" t="n">
        <v>316.8</v>
      </c>
      <c r="AY204" s="311" t="n">
        <v>220</v>
      </c>
      <c r="AZ204" s="309" t="n">
        <v>316.8</v>
      </c>
      <c r="BB204" s="144" t="n">
        <v>0</v>
      </c>
      <c r="BC204" s="315"/>
      <c r="BD204" s="311" t="n">
        <v>0</v>
      </c>
      <c r="BE204" s="316" t="n">
        <v>0</v>
      </c>
      <c r="BF204" s="310"/>
      <c r="BG204" s="317" t="n">
        <v>0</v>
      </c>
      <c r="BH204" s="318" t="n">
        <v>0.4</v>
      </c>
      <c r="BI204" s="317" t="n">
        <v>0</v>
      </c>
      <c r="BJ204" s="318" t="n">
        <v>0.800000000000001</v>
      </c>
      <c r="BK204" s="317" t="n">
        <v>0</v>
      </c>
      <c r="BL204" s="318" t="n">
        <v>0.9</v>
      </c>
      <c r="BM204" s="310"/>
      <c r="BN204" s="317" t="n">
        <v>0</v>
      </c>
      <c r="BO204" s="318" t="n">
        <v>-0.199999999999999</v>
      </c>
      <c r="BP204" s="317" t="n">
        <v>0</v>
      </c>
      <c r="BQ204" s="318" t="n">
        <v>0</v>
      </c>
      <c r="BR204" s="317" t="n">
        <v>0</v>
      </c>
      <c r="BS204" s="318" t="n">
        <v>0</v>
      </c>
      <c r="BT204" s="317" t="n">
        <v>0</v>
      </c>
      <c r="BU204" s="318" t="n">
        <v>1.2</v>
      </c>
      <c r="BV204" s="317" t="n">
        <v>0</v>
      </c>
      <c r="BW204" s="318" t="n">
        <v>1.2</v>
      </c>
      <c r="BY204" s="143"/>
      <c r="BZ204" s="315"/>
      <c r="CA204" s="144" t="s">
        <v>12</v>
      </c>
      <c r="CB204" s="315"/>
      <c r="CC204" s="144" t="n">
        <v>-76.4413223140496</v>
      </c>
      <c r="CD204" s="144" t="n">
        <v>-137.64132231405</v>
      </c>
      <c r="CE204" s="144" t="n">
        <v>-156.84132231405</v>
      </c>
      <c r="CF204" s="315"/>
      <c r="CG204" s="144" t="n">
        <v>-87.0413223140496</v>
      </c>
      <c r="CH204" s="144" t="n">
        <v>-197.44132231405</v>
      </c>
      <c r="CI204" s="144" t="n">
        <v>-223.84132231405</v>
      </c>
      <c r="CJ204" s="144" t="n">
        <v>-178.24132231405</v>
      </c>
      <c r="CK204" s="144" t="n">
        <v>-178.24132231405</v>
      </c>
      <c r="CM204" s="144" t="n">
        <v>495.04132231405</v>
      </c>
      <c r="CO204" s="319"/>
      <c r="CP204" s="320"/>
      <c r="CQ204" s="321" t="s">
        <v>12</v>
      </c>
      <c r="CR204" s="320"/>
      <c r="CS204" s="322" t="n">
        <v>-76.4413223140496</v>
      </c>
      <c r="CT204" s="322" t="n">
        <v>-137.64132231405</v>
      </c>
      <c r="CU204" s="322" t="n">
        <v>-156.84132231405</v>
      </c>
      <c r="CV204" s="323"/>
      <c r="CW204" s="322" t="n">
        <v>-87.0413223140496</v>
      </c>
      <c r="CX204" s="322" t="n">
        <v>-197.44132231405</v>
      </c>
      <c r="CY204" s="322" t="n">
        <v>-223.84132231405</v>
      </c>
      <c r="CZ204" s="322" t="n">
        <v>-178.24132231405</v>
      </c>
      <c r="DA204" s="322" t="n">
        <v>-178.24132231405</v>
      </c>
    </row>
    <row r="205" customFormat="false" ht="12.75" hidden="false" customHeight="false" outlineLevel="0" collapsed="false">
      <c r="B205" s="305" t="s">
        <v>200</v>
      </c>
      <c r="C205" s="305" t="s">
        <v>526</v>
      </c>
      <c r="D205" s="306" t="n">
        <v>537</v>
      </c>
      <c r="E205" s="306" t="n">
        <v>0</v>
      </c>
      <c r="F205" s="324" t="s">
        <v>514</v>
      </c>
      <c r="G205" s="144" t="n">
        <v>48</v>
      </c>
      <c r="H205" s="325" t="n">
        <v>495.04132231405</v>
      </c>
      <c r="I205" s="2"/>
      <c r="J205" s="144" t="s">
        <v>12</v>
      </c>
      <c r="K205" s="309" t="s">
        <v>12</v>
      </c>
      <c r="L205" s="310"/>
      <c r="M205" s="311" t="n">
        <v>169</v>
      </c>
      <c r="N205" s="312" t="n">
        <v>5.2</v>
      </c>
      <c r="O205" s="311" t="n">
        <v>19</v>
      </c>
      <c r="P205" s="312" t="n">
        <v>7.1</v>
      </c>
      <c r="Q205" s="310" t="n">
        <v>19</v>
      </c>
      <c r="R205" s="312" t="n">
        <v>6.7</v>
      </c>
      <c r="S205" s="310"/>
      <c r="T205" s="311" t="n">
        <v>0</v>
      </c>
      <c r="U205" s="312" t="n">
        <v>8.5</v>
      </c>
      <c r="V205" s="311" t="n">
        <v>0</v>
      </c>
      <c r="W205" s="312" t="n">
        <v>6.2</v>
      </c>
      <c r="X205" s="311" t="n">
        <v>0</v>
      </c>
      <c r="Y205" s="312" t="n">
        <v>5.7</v>
      </c>
      <c r="Z205" s="313" t="n">
        <v>0</v>
      </c>
      <c r="AA205" s="314" t="n">
        <v>6.6</v>
      </c>
      <c r="AB205" s="313" t="n">
        <v>0</v>
      </c>
      <c r="AC205" s="314" t="n">
        <v>6.6</v>
      </c>
      <c r="AD205" s="315"/>
      <c r="AE205" s="144" t="n">
        <v>42</v>
      </c>
      <c r="AF205" s="315"/>
      <c r="AG205" s="311" t="n">
        <v>0</v>
      </c>
      <c r="AH205" s="309" t="n">
        <v>0</v>
      </c>
      <c r="AI205" s="310"/>
      <c r="AJ205" s="311" t="n">
        <v>118</v>
      </c>
      <c r="AK205" s="309" t="n">
        <v>249.6</v>
      </c>
      <c r="AL205" s="311" t="n">
        <v>177</v>
      </c>
      <c r="AM205" s="309" t="n">
        <v>340.8</v>
      </c>
      <c r="AN205" s="310" t="n">
        <v>196</v>
      </c>
      <c r="AO205" s="309" t="n">
        <v>321.6</v>
      </c>
      <c r="AP205" s="310"/>
      <c r="AQ205" s="311" t="n">
        <v>129</v>
      </c>
      <c r="AR205" s="309" t="n">
        <v>408</v>
      </c>
      <c r="AS205" s="311" t="n">
        <v>239</v>
      </c>
      <c r="AT205" s="309" t="n">
        <v>297.6</v>
      </c>
      <c r="AU205" s="310" t="n">
        <v>263</v>
      </c>
      <c r="AV205" s="309" t="n">
        <v>273.6</v>
      </c>
      <c r="AW205" s="310" t="n">
        <v>220</v>
      </c>
      <c r="AX205" s="309" t="n">
        <v>316.8</v>
      </c>
      <c r="AY205" s="310" t="n">
        <v>220</v>
      </c>
      <c r="AZ205" s="309" t="n">
        <v>316.8</v>
      </c>
      <c r="BB205" s="144" t="n">
        <v>0</v>
      </c>
      <c r="BC205" s="315"/>
      <c r="BD205" s="311" t="n">
        <v>0</v>
      </c>
      <c r="BE205" s="316" t="n">
        <v>0</v>
      </c>
      <c r="BF205" s="310"/>
      <c r="BG205" s="317" t="n">
        <v>0</v>
      </c>
      <c r="BH205" s="318" t="n">
        <v>0</v>
      </c>
      <c r="BI205" s="317" t="n">
        <v>0</v>
      </c>
      <c r="BJ205" s="318" t="n">
        <v>0</v>
      </c>
      <c r="BK205" s="317" t="n">
        <v>0</v>
      </c>
      <c r="BL205" s="318" t="n">
        <v>0</v>
      </c>
      <c r="BM205" s="310"/>
      <c r="BN205" s="317" t="n">
        <v>0</v>
      </c>
      <c r="BO205" s="318" t="n">
        <v>0</v>
      </c>
      <c r="BP205" s="317" t="n">
        <v>0</v>
      </c>
      <c r="BQ205" s="318" t="n">
        <v>0</v>
      </c>
      <c r="BR205" s="317" t="n">
        <v>0</v>
      </c>
      <c r="BS205" s="318" t="n">
        <v>0</v>
      </c>
      <c r="BT205" s="317" t="n">
        <v>0</v>
      </c>
      <c r="BU205" s="318" t="n">
        <v>0</v>
      </c>
      <c r="BV205" s="317" t="n">
        <v>0</v>
      </c>
      <c r="BW205" s="318" t="n">
        <v>0</v>
      </c>
      <c r="BY205" s="143"/>
      <c r="BZ205" s="315"/>
      <c r="CA205" s="144" t="s">
        <v>12</v>
      </c>
      <c r="CB205" s="315"/>
      <c r="CC205" s="144" t="n">
        <v>-76.4413223140496</v>
      </c>
      <c r="CD205" s="144" t="n">
        <v>-135.24132231405</v>
      </c>
      <c r="CE205" s="144" t="n">
        <v>-154.44132231405</v>
      </c>
      <c r="CF205" s="315"/>
      <c r="CG205" s="144" t="n">
        <v>-87.0413223140496</v>
      </c>
      <c r="CH205" s="144" t="n">
        <v>-197.44132231405</v>
      </c>
      <c r="CI205" s="144" t="n">
        <v>-221.44132231405</v>
      </c>
      <c r="CJ205" s="144" t="n">
        <v>-178.24132231405</v>
      </c>
      <c r="CK205" s="144" t="n">
        <v>-178.24132231405</v>
      </c>
      <c r="CM205" s="144" t="n">
        <v>495.04132231405</v>
      </c>
      <c r="CO205" s="319"/>
      <c r="CP205" s="320"/>
      <c r="CQ205" s="321" t="s">
        <v>12</v>
      </c>
      <c r="CR205" s="320"/>
      <c r="CS205" s="322" t="n">
        <v>-76.4413223140496</v>
      </c>
      <c r="CT205" s="322" t="n">
        <v>-135.24132231405</v>
      </c>
      <c r="CU205" s="322" t="n">
        <v>-154.44132231405</v>
      </c>
      <c r="CV205" s="323"/>
      <c r="CW205" s="322" t="n">
        <v>-87.0413223140496</v>
      </c>
      <c r="CX205" s="322" t="n">
        <v>-197.44132231405</v>
      </c>
      <c r="CY205" s="322" t="n">
        <v>-221.44132231405</v>
      </c>
      <c r="CZ205" s="322" t="n">
        <v>-178.24132231405</v>
      </c>
      <c r="DA205" s="322" t="n">
        <v>-178.24132231405</v>
      </c>
    </row>
    <row r="206" customFormat="false" ht="12.75" hidden="false" customHeight="false" outlineLevel="0" collapsed="false">
      <c r="B206" s="305" t="s">
        <v>200</v>
      </c>
      <c r="C206" s="305" t="s">
        <v>527</v>
      </c>
      <c r="D206" s="306" t="n">
        <v>702</v>
      </c>
      <c r="E206" s="306" t="n">
        <v>0</v>
      </c>
      <c r="F206" s="306" t="s">
        <v>514</v>
      </c>
      <c r="G206" s="307" t="n">
        <v>24</v>
      </c>
      <c r="H206" s="308" t="n">
        <v>660.330578512397</v>
      </c>
      <c r="I206" s="2"/>
      <c r="J206" s="144" t="s">
        <v>12</v>
      </c>
      <c r="K206" s="309" t="s">
        <v>12</v>
      </c>
      <c r="L206" s="310"/>
      <c r="M206" s="311" t="n">
        <v>249</v>
      </c>
      <c r="N206" s="312" t="n">
        <v>10.4</v>
      </c>
      <c r="O206" s="311" t="n">
        <v>149</v>
      </c>
      <c r="P206" s="312" t="n">
        <v>12</v>
      </c>
      <c r="Q206" s="310" t="n">
        <v>149</v>
      </c>
      <c r="R206" s="312" t="n">
        <v>11.2</v>
      </c>
      <c r="S206" s="310"/>
      <c r="T206" s="311" t="n">
        <v>19</v>
      </c>
      <c r="U206" s="312" t="n">
        <v>19.9</v>
      </c>
      <c r="V206" s="311" t="n">
        <v>0</v>
      </c>
      <c r="W206" s="312" t="n">
        <v>14.9</v>
      </c>
      <c r="X206" s="311" t="n">
        <v>0</v>
      </c>
      <c r="Y206" s="312" t="n">
        <v>14.9</v>
      </c>
      <c r="Z206" s="313" t="n">
        <v>19</v>
      </c>
      <c r="AA206" s="314" t="n">
        <v>14.9</v>
      </c>
      <c r="AB206" s="313" t="n">
        <v>19</v>
      </c>
      <c r="AC206" s="314" t="n">
        <v>14.9</v>
      </c>
      <c r="AD206" s="315"/>
      <c r="AE206" s="144" t="n">
        <v>42</v>
      </c>
      <c r="AF206" s="315"/>
      <c r="AG206" s="311" t="n">
        <v>0</v>
      </c>
      <c r="AH206" s="309" t="n">
        <v>0</v>
      </c>
      <c r="AI206" s="310"/>
      <c r="AJ206" s="311" t="n">
        <v>203</v>
      </c>
      <c r="AK206" s="309" t="n">
        <v>249.6</v>
      </c>
      <c r="AL206" s="311" t="n">
        <v>265</v>
      </c>
      <c r="AM206" s="309" t="n">
        <v>288</v>
      </c>
      <c r="AN206" s="311" t="n">
        <v>284</v>
      </c>
      <c r="AO206" s="309" t="n">
        <v>268.8</v>
      </c>
      <c r="AP206" s="310"/>
      <c r="AQ206" s="311" t="n">
        <v>205</v>
      </c>
      <c r="AR206" s="309" t="n">
        <v>477.6</v>
      </c>
      <c r="AS206" s="311" t="n">
        <v>344</v>
      </c>
      <c r="AT206" s="309" t="n">
        <v>357.6</v>
      </c>
      <c r="AU206" s="311" t="n">
        <v>344</v>
      </c>
      <c r="AV206" s="309" t="n">
        <v>357.6</v>
      </c>
      <c r="AW206" s="311" t="n">
        <v>325</v>
      </c>
      <c r="AX206" s="309" t="n">
        <v>357.6</v>
      </c>
      <c r="AY206" s="311" t="n">
        <v>325</v>
      </c>
      <c r="AZ206" s="309" t="n">
        <v>357.6</v>
      </c>
      <c r="BB206" s="144" t="n">
        <v>0</v>
      </c>
      <c r="BC206" s="315"/>
      <c r="BD206" s="311" t="n">
        <v>0</v>
      </c>
      <c r="BE206" s="316" t="n">
        <v>0</v>
      </c>
      <c r="BF206" s="310"/>
      <c r="BG206" s="317" t="n">
        <v>0</v>
      </c>
      <c r="BH206" s="318" t="n">
        <v>0.199999999999999</v>
      </c>
      <c r="BI206" s="317" t="n">
        <v>0</v>
      </c>
      <c r="BJ206" s="318" t="n">
        <v>0.6</v>
      </c>
      <c r="BK206" s="317" t="n">
        <v>0</v>
      </c>
      <c r="BL206" s="318" t="n">
        <v>0.800000000000001</v>
      </c>
      <c r="BM206" s="310"/>
      <c r="BN206" s="317" t="n">
        <v>0</v>
      </c>
      <c r="BO206" s="318" t="n">
        <v>-0.199999999999999</v>
      </c>
      <c r="BP206" s="317" t="n">
        <v>0</v>
      </c>
      <c r="BQ206" s="318" t="n">
        <v>0.4</v>
      </c>
      <c r="BR206" s="317" t="n">
        <v>0</v>
      </c>
      <c r="BS206" s="318" t="n">
        <v>0.9</v>
      </c>
      <c r="BT206" s="317" t="n">
        <v>19</v>
      </c>
      <c r="BU206" s="318" t="n">
        <v>0.4</v>
      </c>
      <c r="BV206" s="317" t="n">
        <v>19</v>
      </c>
      <c r="BW206" s="318" t="n">
        <v>0.4</v>
      </c>
      <c r="BY206" s="143"/>
      <c r="BZ206" s="315"/>
      <c r="CA206" s="144" t="s">
        <v>12</v>
      </c>
      <c r="CB206" s="315"/>
      <c r="CC206" s="144" t="n">
        <v>-161.730578512397</v>
      </c>
      <c r="CD206" s="144" t="n">
        <v>-223.330578512397</v>
      </c>
      <c r="CE206" s="144" t="n">
        <v>-242.530578512397</v>
      </c>
      <c r="CF206" s="315"/>
      <c r="CG206" s="144" t="n">
        <v>-163.730578512397</v>
      </c>
      <c r="CH206" s="144" t="n">
        <v>-302.730578512397</v>
      </c>
      <c r="CI206" s="144" t="n">
        <v>-302.730578512397</v>
      </c>
      <c r="CJ206" s="144" t="n">
        <v>-283.730578512397</v>
      </c>
      <c r="CK206" s="144" t="n">
        <v>-283.730578512397</v>
      </c>
      <c r="CM206" s="144" t="n">
        <v>660.330578512397</v>
      </c>
      <c r="CO206" s="319"/>
      <c r="CP206" s="320"/>
      <c r="CQ206" s="321" t="s">
        <v>12</v>
      </c>
      <c r="CR206" s="320"/>
      <c r="CS206" s="322" t="n">
        <v>-161.730578512397</v>
      </c>
      <c r="CT206" s="322" t="n">
        <v>-223.330578512397</v>
      </c>
      <c r="CU206" s="322" t="n">
        <v>-242.530578512397</v>
      </c>
      <c r="CV206" s="323"/>
      <c r="CW206" s="322" t="n">
        <v>-163.730578512397</v>
      </c>
      <c r="CX206" s="322" t="n">
        <v>-302.730578512397</v>
      </c>
      <c r="CY206" s="322" t="n">
        <v>-302.730578512397</v>
      </c>
      <c r="CZ206" s="322" t="n">
        <v>-283.730578512397</v>
      </c>
      <c r="DA206" s="322" t="n">
        <v>-283.730578512397</v>
      </c>
    </row>
    <row r="207" customFormat="false" ht="12.75" hidden="false" customHeight="false" outlineLevel="0" collapsed="false">
      <c r="B207" s="305" t="s">
        <v>200</v>
      </c>
      <c r="C207" s="305" t="s">
        <v>527</v>
      </c>
      <c r="D207" s="306" t="n">
        <v>702</v>
      </c>
      <c r="E207" s="306" t="n">
        <v>0</v>
      </c>
      <c r="F207" s="324" t="s">
        <v>514</v>
      </c>
      <c r="G207" s="144" t="n">
        <v>48</v>
      </c>
      <c r="H207" s="325" t="n">
        <v>660.330578512397</v>
      </c>
      <c r="I207" s="2"/>
      <c r="J207" s="144" t="s">
        <v>12</v>
      </c>
      <c r="K207" s="309" t="s">
        <v>12</v>
      </c>
      <c r="L207" s="310"/>
      <c r="M207" s="311" t="n">
        <v>249</v>
      </c>
      <c r="N207" s="312" t="n">
        <v>5.2</v>
      </c>
      <c r="O207" s="311" t="n">
        <v>149</v>
      </c>
      <c r="P207" s="312" t="n">
        <v>6</v>
      </c>
      <c r="Q207" s="310" t="n">
        <v>149</v>
      </c>
      <c r="R207" s="312" t="n">
        <v>5.6</v>
      </c>
      <c r="S207" s="310"/>
      <c r="T207" s="311" t="n">
        <v>19</v>
      </c>
      <c r="U207" s="312" t="n">
        <v>10</v>
      </c>
      <c r="V207" s="311" t="n">
        <v>0</v>
      </c>
      <c r="W207" s="312" t="n">
        <v>7.5</v>
      </c>
      <c r="X207" s="311" t="n">
        <v>0</v>
      </c>
      <c r="Y207" s="312" t="n">
        <v>7.5</v>
      </c>
      <c r="Z207" s="313" t="n">
        <v>19</v>
      </c>
      <c r="AA207" s="314" t="n">
        <v>7.5</v>
      </c>
      <c r="AB207" s="313" t="n">
        <v>19</v>
      </c>
      <c r="AC207" s="314" t="n">
        <v>7.5</v>
      </c>
      <c r="AD207" s="315"/>
      <c r="AE207" s="144" t="n">
        <v>42</v>
      </c>
      <c r="AF207" s="315"/>
      <c r="AG207" s="311" t="n">
        <v>0</v>
      </c>
      <c r="AH207" s="309" t="n">
        <v>0</v>
      </c>
      <c r="AI207" s="310"/>
      <c r="AJ207" s="311" t="n">
        <v>203</v>
      </c>
      <c r="AK207" s="309" t="n">
        <v>249.6</v>
      </c>
      <c r="AL207" s="311" t="n">
        <v>265</v>
      </c>
      <c r="AM207" s="309" t="n">
        <v>288</v>
      </c>
      <c r="AN207" s="310" t="n">
        <v>284</v>
      </c>
      <c r="AO207" s="309" t="n">
        <v>268.8</v>
      </c>
      <c r="AP207" s="310"/>
      <c r="AQ207" s="311" t="n">
        <v>203</v>
      </c>
      <c r="AR207" s="309" t="n">
        <v>480</v>
      </c>
      <c r="AS207" s="311" t="n">
        <v>342</v>
      </c>
      <c r="AT207" s="309" t="n">
        <v>360</v>
      </c>
      <c r="AU207" s="310" t="n">
        <v>342</v>
      </c>
      <c r="AV207" s="309" t="n">
        <v>360</v>
      </c>
      <c r="AW207" s="310" t="n">
        <v>323</v>
      </c>
      <c r="AX207" s="309" t="n">
        <v>360</v>
      </c>
      <c r="AY207" s="310" t="n">
        <v>323</v>
      </c>
      <c r="AZ207" s="309" t="n">
        <v>360</v>
      </c>
      <c r="BB207" s="144" t="n">
        <v>0</v>
      </c>
      <c r="BC207" s="315"/>
      <c r="BD207" s="311" t="n">
        <v>0</v>
      </c>
      <c r="BE207" s="316" t="n">
        <v>0</v>
      </c>
      <c r="BF207" s="310"/>
      <c r="BG207" s="317" t="n">
        <v>0</v>
      </c>
      <c r="BH207" s="318" t="n">
        <v>0</v>
      </c>
      <c r="BI207" s="317" t="n">
        <v>0</v>
      </c>
      <c r="BJ207" s="318" t="n">
        <v>0</v>
      </c>
      <c r="BK207" s="317" t="n">
        <v>0</v>
      </c>
      <c r="BL207" s="318" t="n">
        <v>0</v>
      </c>
      <c r="BM207" s="310"/>
      <c r="BN207" s="317" t="n">
        <v>0</v>
      </c>
      <c r="BO207" s="318" t="n">
        <v>0</v>
      </c>
      <c r="BP207" s="317" t="n">
        <v>0</v>
      </c>
      <c r="BQ207" s="318" t="n">
        <v>0</v>
      </c>
      <c r="BR207" s="317" t="n">
        <v>0</v>
      </c>
      <c r="BS207" s="318" t="n">
        <v>0</v>
      </c>
      <c r="BT207" s="317" t="n">
        <v>0</v>
      </c>
      <c r="BU207" s="318" t="n">
        <v>0</v>
      </c>
      <c r="BV207" s="317" t="n">
        <v>0</v>
      </c>
      <c r="BW207" s="318" t="n">
        <v>0</v>
      </c>
      <c r="BY207" s="143"/>
      <c r="BZ207" s="315"/>
      <c r="CA207" s="144" t="s">
        <v>12</v>
      </c>
      <c r="CB207" s="315"/>
      <c r="CC207" s="144" t="n">
        <v>-161.730578512397</v>
      </c>
      <c r="CD207" s="144" t="n">
        <v>-223.330578512397</v>
      </c>
      <c r="CE207" s="144" t="n">
        <v>-242.530578512397</v>
      </c>
      <c r="CF207" s="315"/>
      <c r="CG207" s="144" t="n">
        <v>-161.330578512397</v>
      </c>
      <c r="CH207" s="144" t="n">
        <v>-300.330578512397</v>
      </c>
      <c r="CI207" s="144" t="n">
        <v>-300.330578512397</v>
      </c>
      <c r="CJ207" s="144" t="n">
        <v>-281.330578512397</v>
      </c>
      <c r="CK207" s="144" t="n">
        <v>-281.330578512397</v>
      </c>
      <c r="CM207" s="144" t="n">
        <v>660.330578512397</v>
      </c>
      <c r="CO207" s="319"/>
      <c r="CP207" s="320"/>
      <c r="CQ207" s="321" t="s">
        <v>12</v>
      </c>
      <c r="CR207" s="320"/>
      <c r="CS207" s="322" t="n">
        <v>-161.730578512397</v>
      </c>
      <c r="CT207" s="322" t="n">
        <v>-223.330578512397</v>
      </c>
      <c r="CU207" s="322" t="n">
        <v>-242.530578512397</v>
      </c>
      <c r="CV207" s="323"/>
      <c r="CW207" s="322" t="n">
        <v>-161.330578512397</v>
      </c>
      <c r="CX207" s="322" t="n">
        <v>-300.330578512397</v>
      </c>
      <c r="CY207" s="322" t="n">
        <v>-300.330578512397</v>
      </c>
      <c r="CZ207" s="322" t="n">
        <v>-281.330578512397</v>
      </c>
      <c r="DA207" s="322" t="n">
        <v>-281.330578512397</v>
      </c>
    </row>
    <row r="208" customFormat="false" ht="12.75" hidden="false" customHeight="false" outlineLevel="0" collapsed="false">
      <c r="B208" s="305" t="s">
        <v>200</v>
      </c>
      <c r="C208" s="305" t="s">
        <v>528</v>
      </c>
      <c r="D208" s="306" t="n">
        <v>1012</v>
      </c>
      <c r="E208" s="306" t="n">
        <v>0</v>
      </c>
      <c r="F208" s="306" t="s">
        <v>514</v>
      </c>
      <c r="G208" s="307" t="n">
        <v>24</v>
      </c>
      <c r="H208" s="308" t="n">
        <v>908.264462809917</v>
      </c>
      <c r="I208" s="2"/>
      <c r="J208" s="144" t="s">
        <v>12</v>
      </c>
      <c r="K208" s="309" t="s">
        <v>12</v>
      </c>
      <c r="L208" s="310"/>
      <c r="M208" s="311" t="n">
        <v>359</v>
      </c>
      <c r="N208" s="312" t="n">
        <v>15.1</v>
      </c>
      <c r="O208" s="311" t="n">
        <v>219</v>
      </c>
      <c r="P208" s="312" t="n">
        <v>18.6</v>
      </c>
      <c r="Q208" s="310" t="n">
        <v>219</v>
      </c>
      <c r="R208" s="312" t="n">
        <v>17.8</v>
      </c>
      <c r="S208" s="310"/>
      <c r="T208" s="311" t="n">
        <v>29</v>
      </c>
      <c r="U208" s="312" t="n">
        <v>29</v>
      </c>
      <c r="V208" s="311" t="n">
        <v>29</v>
      </c>
      <c r="W208" s="312" t="n">
        <v>22</v>
      </c>
      <c r="X208" s="311" t="n">
        <v>29</v>
      </c>
      <c r="Y208" s="312" t="n">
        <v>22</v>
      </c>
      <c r="Z208" s="313" t="n">
        <v>29</v>
      </c>
      <c r="AA208" s="314" t="n">
        <v>24</v>
      </c>
      <c r="AB208" s="313" t="n">
        <v>29</v>
      </c>
      <c r="AC208" s="314" t="n">
        <v>24</v>
      </c>
      <c r="AD208" s="315"/>
      <c r="AE208" s="144" t="n">
        <v>104</v>
      </c>
      <c r="AF208" s="315"/>
      <c r="AG208" s="311" t="n">
        <v>0</v>
      </c>
      <c r="AH208" s="309" t="n">
        <v>0</v>
      </c>
      <c r="AI208" s="310"/>
      <c r="AJ208" s="311" t="n">
        <v>291</v>
      </c>
      <c r="AK208" s="309" t="n">
        <v>362.4</v>
      </c>
      <c r="AL208" s="311" t="n">
        <v>347</v>
      </c>
      <c r="AM208" s="309" t="n">
        <v>446.4</v>
      </c>
      <c r="AN208" s="311" t="n">
        <v>366</v>
      </c>
      <c r="AO208" s="309" t="n">
        <v>427.2</v>
      </c>
      <c r="AP208" s="310"/>
      <c r="AQ208" s="311" t="n">
        <v>287</v>
      </c>
      <c r="AR208" s="309" t="n">
        <v>696</v>
      </c>
      <c r="AS208" s="311" t="n">
        <v>455</v>
      </c>
      <c r="AT208" s="309" t="n">
        <v>528</v>
      </c>
      <c r="AU208" s="311" t="n">
        <v>455</v>
      </c>
      <c r="AV208" s="309" t="n">
        <v>528</v>
      </c>
      <c r="AW208" s="311" t="n">
        <v>407</v>
      </c>
      <c r="AX208" s="309" t="n">
        <v>576</v>
      </c>
      <c r="AY208" s="311" t="n">
        <v>407</v>
      </c>
      <c r="AZ208" s="309" t="n">
        <v>576</v>
      </c>
      <c r="BB208" s="144" t="n">
        <v>0</v>
      </c>
      <c r="BC208" s="315"/>
      <c r="BD208" s="311" t="n">
        <v>0</v>
      </c>
      <c r="BE208" s="316" t="n">
        <v>0</v>
      </c>
      <c r="BF208" s="310"/>
      <c r="BG208" s="317" t="n">
        <v>0</v>
      </c>
      <c r="BH208" s="318" t="n">
        <v>0.600000000000001</v>
      </c>
      <c r="BI208" s="317" t="n">
        <v>0</v>
      </c>
      <c r="BJ208" s="318" t="n">
        <v>1.2</v>
      </c>
      <c r="BK208" s="317" t="n">
        <v>0</v>
      </c>
      <c r="BL208" s="318" t="n">
        <v>1.2</v>
      </c>
      <c r="BM208" s="310"/>
      <c r="BN208" s="317" t="n">
        <v>0</v>
      </c>
      <c r="BO208" s="318" t="n">
        <v>0.399999999999999</v>
      </c>
      <c r="BP208" s="317" t="n">
        <v>0</v>
      </c>
      <c r="BQ208" s="318" t="n">
        <v>0</v>
      </c>
      <c r="BR208" s="317" t="n">
        <v>0</v>
      </c>
      <c r="BS208" s="318" t="n">
        <v>0</v>
      </c>
      <c r="BT208" s="317" t="n">
        <v>0</v>
      </c>
      <c r="BU208" s="318" t="n">
        <v>3.3</v>
      </c>
      <c r="BV208" s="317" t="n">
        <v>0</v>
      </c>
      <c r="BW208" s="318" t="n">
        <v>3.3</v>
      </c>
      <c r="BY208" s="143"/>
      <c r="BZ208" s="315"/>
      <c r="CA208" s="144" t="s">
        <v>12</v>
      </c>
      <c r="CB208" s="315"/>
      <c r="CC208" s="144" t="n">
        <v>-186.864462809917</v>
      </c>
      <c r="CD208" s="144" t="n">
        <v>-242.864462809917</v>
      </c>
      <c r="CE208" s="144" t="n">
        <v>-262.064462809917</v>
      </c>
      <c r="CF208" s="315"/>
      <c r="CG208" s="144" t="n">
        <v>-183.264462809917</v>
      </c>
      <c r="CH208" s="144" t="n">
        <v>-351.264462809917</v>
      </c>
      <c r="CI208" s="144" t="n">
        <v>-351.264462809917</v>
      </c>
      <c r="CJ208" s="144" t="n">
        <v>-303.264462809917</v>
      </c>
      <c r="CK208" s="144" t="n">
        <v>-303.264462809917</v>
      </c>
      <c r="CM208" s="144" t="n">
        <v>908.264462809917</v>
      </c>
      <c r="CO208" s="319"/>
      <c r="CP208" s="320"/>
      <c r="CQ208" s="321" t="s">
        <v>12</v>
      </c>
      <c r="CR208" s="320"/>
      <c r="CS208" s="322" t="n">
        <v>-186.864462809917</v>
      </c>
      <c r="CT208" s="322" t="n">
        <v>-242.864462809917</v>
      </c>
      <c r="CU208" s="322" t="n">
        <v>-262.064462809917</v>
      </c>
      <c r="CV208" s="323"/>
      <c r="CW208" s="322" t="n">
        <v>-183.264462809917</v>
      </c>
      <c r="CX208" s="322" t="n">
        <v>-351.264462809917</v>
      </c>
      <c r="CY208" s="322" t="n">
        <v>-351.264462809917</v>
      </c>
      <c r="CZ208" s="322" t="n">
        <v>-303.264462809917</v>
      </c>
      <c r="DA208" s="322" t="n">
        <v>-303.264462809917</v>
      </c>
    </row>
    <row r="209" customFormat="false" ht="12.75" hidden="false" customHeight="false" outlineLevel="0" collapsed="false">
      <c r="B209" s="305" t="s">
        <v>200</v>
      </c>
      <c r="C209" s="305" t="s">
        <v>528</v>
      </c>
      <c r="D209" s="306" t="n">
        <v>1012</v>
      </c>
      <c r="E209" s="306" t="n">
        <v>0</v>
      </c>
      <c r="F209" s="324" t="s">
        <v>514</v>
      </c>
      <c r="G209" s="144" t="n">
        <v>48</v>
      </c>
      <c r="H209" s="325" t="n">
        <v>908.264462809917</v>
      </c>
      <c r="I209" s="2"/>
      <c r="J209" s="144" t="s">
        <v>12</v>
      </c>
      <c r="K209" s="309" t="s">
        <v>12</v>
      </c>
      <c r="L209" s="310"/>
      <c r="M209" s="311" t="n">
        <v>359</v>
      </c>
      <c r="N209" s="312" t="n">
        <v>7.6</v>
      </c>
      <c r="O209" s="311" t="n">
        <v>219</v>
      </c>
      <c r="P209" s="312" t="n">
        <v>9.3</v>
      </c>
      <c r="Q209" s="310" t="n">
        <v>219</v>
      </c>
      <c r="R209" s="312" t="n">
        <v>8.9</v>
      </c>
      <c r="S209" s="310"/>
      <c r="T209" s="311" t="n">
        <v>29</v>
      </c>
      <c r="U209" s="312" t="n">
        <v>14.5</v>
      </c>
      <c r="V209" s="311" t="n">
        <v>29</v>
      </c>
      <c r="W209" s="312" t="n">
        <v>11</v>
      </c>
      <c r="X209" s="311" t="n">
        <v>29</v>
      </c>
      <c r="Y209" s="312" t="n">
        <v>11</v>
      </c>
      <c r="Z209" s="313" t="n">
        <v>29</v>
      </c>
      <c r="AA209" s="314" t="n">
        <v>12</v>
      </c>
      <c r="AB209" s="313" t="n">
        <v>29</v>
      </c>
      <c r="AC209" s="314" t="n">
        <v>12</v>
      </c>
      <c r="AD209" s="315"/>
      <c r="AE209" s="144" t="n">
        <v>104</v>
      </c>
      <c r="AF209" s="315"/>
      <c r="AG209" s="311" t="n">
        <v>0</v>
      </c>
      <c r="AH209" s="309" t="n">
        <v>0</v>
      </c>
      <c r="AI209" s="310"/>
      <c r="AJ209" s="311" t="n">
        <v>288</v>
      </c>
      <c r="AK209" s="309" t="n">
        <v>364.8</v>
      </c>
      <c r="AL209" s="311" t="n">
        <v>347</v>
      </c>
      <c r="AM209" s="309" t="n">
        <v>446.4</v>
      </c>
      <c r="AN209" s="310" t="n">
        <v>366</v>
      </c>
      <c r="AO209" s="309" t="n">
        <v>427.2</v>
      </c>
      <c r="AP209" s="310"/>
      <c r="AQ209" s="311" t="n">
        <v>287</v>
      </c>
      <c r="AR209" s="309" t="n">
        <v>696</v>
      </c>
      <c r="AS209" s="311" t="n">
        <v>455</v>
      </c>
      <c r="AT209" s="309" t="n">
        <v>528</v>
      </c>
      <c r="AU209" s="310" t="n">
        <v>455</v>
      </c>
      <c r="AV209" s="309" t="n">
        <v>528</v>
      </c>
      <c r="AW209" s="310" t="n">
        <v>407</v>
      </c>
      <c r="AX209" s="309" t="n">
        <v>576</v>
      </c>
      <c r="AY209" s="310" t="n">
        <v>407</v>
      </c>
      <c r="AZ209" s="309" t="n">
        <v>576</v>
      </c>
      <c r="BB209" s="144" t="n">
        <v>0</v>
      </c>
      <c r="BC209" s="315"/>
      <c r="BD209" s="311" t="n">
        <v>0</v>
      </c>
      <c r="BE209" s="316" t="n">
        <v>0</v>
      </c>
      <c r="BF209" s="310"/>
      <c r="BG209" s="317" t="n">
        <v>0</v>
      </c>
      <c r="BH209" s="318" t="n">
        <v>0</v>
      </c>
      <c r="BI209" s="317" t="n">
        <v>0</v>
      </c>
      <c r="BJ209" s="318" t="n">
        <v>0</v>
      </c>
      <c r="BK209" s="317" t="n">
        <v>0</v>
      </c>
      <c r="BL209" s="318" t="n">
        <v>0</v>
      </c>
      <c r="BM209" s="310"/>
      <c r="BN209" s="317" t="n">
        <v>0</v>
      </c>
      <c r="BO209" s="318" t="n">
        <v>0</v>
      </c>
      <c r="BP209" s="317" t="n">
        <v>0</v>
      </c>
      <c r="BQ209" s="318" t="n">
        <v>0</v>
      </c>
      <c r="BR209" s="317" t="n">
        <v>0</v>
      </c>
      <c r="BS209" s="318" t="n">
        <v>0</v>
      </c>
      <c r="BT209" s="317" t="n">
        <v>0</v>
      </c>
      <c r="BU209" s="318" t="n">
        <v>0</v>
      </c>
      <c r="BV209" s="317" t="n">
        <v>0</v>
      </c>
      <c r="BW209" s="318" t="n">
        <v>0</v>
      </c>
      <c r="BY209" s="143"/>
      <c r="BZ209" s="315"/>
      <c r="CA209" s="144" t="s">
        <v>12</v>
      </c>
      <c r="CB209" s="315"/>
      <c r="CC209" s="144" t="n">
        <v>-184.464462809917</v>
      </c>
      <c r="CD209" s="144" t="n">
        <v>-242.864462809917</v>
      </c>
      <c r="CE209" s="144" t="n">
        <v>-262.064462809917</v>
      </c>
      <c r="CF209" s="315"/>
      <c r="CG209" s="144" t="n">
        <v>-183.264462809917</v>
      </c>
      <c r="CH209" s="144" t="n">
        <v>-351.264462809917</v>
      </c>
      <c r="CI209" s="144" t="n">
        <v>-351.264462809917</v>
      </c>
      <c r="CJ209" s="144" t="n">
        <v>-303.264462809917</v>
      </c>
      <c r="CK209" s="144" t="n">
        <v>-303.264462809917</v>
      </c>
      <c r="CM209" s="144" t="n">
        <v>908.264462809917</v>
      </c>
      <c r="CO209" s="319"/>
      <c r="CP209" s="320"/>
      <c r="CQ209" s="321" t="s">
        <v>12</v>
      </c>
      <c r="CR209" s="320"/>
      <c r="CS209" s="322" t="n">
        <v>-184.464462809917</v>
      </c>
      <c r="CT209" s="322" t="n">
        <v>-242.864462809917</v>
      </c>
      <c r="CU209" s="322" t="n">
        <v>-262.064462809917</v>
      </c>
      <c r="CV209" s="323"/>
      <c r="CW209" s="322" t="n">
        <v>-183.264462809917</v>
      </c>
      <c r="CX209" s="322" t="n">
        <v>-351.264462809917</v>
      </c>
      <c r="CY209" s="322" t="n">
        <v>-351.264462809917</v>
      </c>
      <c r="CZ209" s="322" t="n">
        <v>-303.264462809917</v>
      </c>
      <c r="DA209" s="322" t="n">
        <v>-303.264462809917</v>
      </c>
    </row>
    <row r="210" customFormat="false" ht="12.75" hidden="false" customHeight="false" outlineLevel="0" collapsed="false">
      <c r="B210" s="305" t="s">
        <v>428</v>
      </c>
      <c r="C210" s="305" t="s">
        <v>529</v>
      </c>
      <c r="D210" s="306" t="n">
        <v>159</v>
      </c>
      <c r="E210" s="306" t="n">
        <v>0</v>
      </c>
      <c r="F210" s="306" t="s">
        <v>514</v>
      </c>
      <c r="G210" s="307" t="n">
        <v>24</v>
      </c>
      <c r="H210" s="308" t="n">
        <v>158.677685950413</v>
      </c>
      <c r="I210" s="2"/>
      <c r="J210" s="144" t="s">
        <v>12</v>
      </c>
      <c r="K210" s="309" t="s">
        <v>12</v>
      </c>
      <c r="L210" s="310"/>
      <c r="M210" s="311" t="n">
        <v>29</v>
      </c>
      <c r="N210" s="312" t="n">
        <v>4.4</v>
      </c>
      <c r="O210" s="311" t="n">
        <v>0</v>
      </c>
      <c r="P210" s="312" t="n">
        <v>3.1</v>
      </c>
      <c r="Q210" s="310" t="n">
        <v>0</v>
      </c>
      <c r="R210" s="312" t="n">
        <v>2.3</v>
      </c>
      <c r="S210" s="310"/>
      <c r="T210" s="311" t="n">
        <v>0</v>
      </c>
      <c r="U210" s="312" t="n">
        <v>5.4</v>
      </c>
      <c r="V210" s="311" t="n">
        <v>0</v>
      </c>
      <c r="W210" s="312" t="n">
        <v>1</v>
      </c>
      <c r="X210" s="311" t="n">
        <v>0</v>
      </c>
      <c r="Y210" s="312" t="n">
        <v>0.5</v>
      </c>
      <c r="Z210" s="313" t="n">
        <v>0</v>
      </c>
      <c r="AA210" s="314" t="n">
        <v>0.5</v>
      </c>
      <c r="AB210" s="313" t="n">
        <v>0</v>
      </c>
      <c r="AC210" s="314" t="n">
        <v>0.5</v>
      </c>
      <c r="AD210" s="315"/>
      <c r="AE210" s="144" t="n">
        <v>0</v>
      </c>
      <c r="AF210" s="315"/>
      <c r="AG210" s="311" t="n">
        <v>0</v>
      </c>
      <c r="AH210" s="309" t="n">
        <v>0</v>
      </c>
      <c r="AI210" s="310"/>
      <c r="AJ210" s="311" t="n">
        <v>24</v>
      </c>
      <c r="AK210" s="309" t="n">
        <v>105.6</v>
      </c>
      <c r="AL210" s="311" t="n">
        <v>85</v>
      </c>
      <c r="AM210" s="309" t="n">
        <v>74.4</v>
      </c>
      <c r="AN210" s="311" t="n">
        <v>104</v>
      </c>
      <c r="AO210" s="309" t="n">
        <v>55.2</v>
      </c>
      <c r="AP210" s="310"/>
      <c r="AQ210" s="311" t="n">
        <v>29</v>
      </c>
      <c r="AR210" s="309" t="n">
        <v>129.6</v>
      </c>
      <c r="AS210" s="311" t="n">
        <v>135</v>
      </c>
      <c r="AT210" s="309" t="n">
        <v>24</v>
      </c>
      <c r="AU210" s="311" t="n">
        <v>147</v>
      </c>
      <c r="AV210" s="309" t="n">
        <v>12</v>
      </c>
      <c r="AW210" s="311" t="n">
        <v>147</v>
      </c>
      <c r="AX210" s="309" t="n">
        <v>12</v>
      </c>
      <c r="AY210" s="311" t="n">
        <v>147</v>
      </c>
      <c r="AZ210" s="309" t="n">
        <v>12</v>
      </c>
      <c r="BB210" s="144" t="n">
        <v>0</v>
      </c>
      <c r="BC210" s="315"/>
      <c r="BD210" s="311" t="n">
        <v>0</v>
      </c>
      <c r="BE210" s="316" t="n">
        <v>0</v>
      </c>
      <c r="BF210" s="310"/>
      <c r="BG210" s="317" t="n">
        <v>0</v>
      </c>
      <c r="BH210" s="318" t="n">
        <v>0.2</v>
      </c>
      <c r="BI210" s="317" t="n">
        <v>0</v>
      </c>
      <c r="BJ210" s="318" t="n">
        <v>0.8</v>
      </c>
      <c r="BK210" s="317" t="n">
        <v>0</v>
      </c>
      <c r="BL210" s="318" t="n">
        <v>0.8</v>
      </c>
      <c r="BM210" s="310"/>
      <c r="BN210" s="317" t="n">
        <v>0</v>
      </c>
      <c r="BO210" s="318" t="n">
        <v>0</v>
      </c>
      <c r="BP210" s="317" t="n">
        <v>0</v>
      </c>
      <c r="BQ210" s="318" t="n">
        <v>0</v>
      </c>
      <c r="BR210" s="317" t="n">
        <v>0</v>
      </c>
      <c r="BS210" s="318" t="n">
        <v>0</v>
      </c>
      <c r="BT210" s="317" t="n">
        <v>0</v>
      </c>
      <c r="BU210" s="318" t="n">
        <v>0</v>
      </c>
      <c r="BV210" s="317" t="n">
        <v>0</v>
      </c>
      <c r="BW210" s="318" t="n">
        <v>0</v>
      </c>
      <c r="BY210" s="143"/>
      <c r="BZ210" s="315"/>
      <c r="CA210" s="144" t="s">
        <v>12</v>
      </c>
      <c r="CB210" s="315"/>
      <c r="CC210" s="144" t="n">
        <v>-24.0776859504132</v>
      </c>
      <c r="CD210" s="144" t="n">
        <v>-84.2776859504132</v>
      </c>
      <c r="CE210" s="144" t="n">
        <v>-103.477685950413</v>
      </c>
      <c r="CF210" s="315"/>
      <c r="CG210" s="144" t="n">
        <v>-29.0776859504132</v>
      </c>
      <c r="CH210" s="144" t="n">
        <v>-134.677685950413</v>
      </c>
      <c r="CI210" s="144" t="n">
        <v>-146.677685950413</v>
      </c>
      <c r="CJ210" s="144" t="n">
        <v>-146.677685950413</v>
      </c>
      <c r="CK210" s="144" t="n">
        <v>-146.677685950413</v>
      </c>
      <c r="CM210" s="144" t="n">
        <v>147.933884297521</v>
      </c>
      <c r="CO210" s="319"/>
      <c r="CP210" s="320"/>
      <c r="CQ210" s="321" t="s">
        <v>12</v>
      </c>
      <c r="CR210" s="320"/>
      <c r="CS210" s="322" t="n">
        <v>-13.3338842975207</v>
      </c>
      <c r="CT210" s="322" t="n">
        <v>-73.5338842975207</v>
      </c>
      <c r="CU210" s="322" t="n">
        <v>-92.7338842975207</v>
      </c>
      <c r="CV210" s="323"/>
      <c r="CW210" s="322" t="n">
        <v>-18.3338842975207</v>
      </c>
      <c r="CX210" s="322" t="n">
        <v>-123.933884297521</v>
      </c>
      <c r="CY210" s="322" t="n">
        <v>-135.933884297521</v>
      </c>
      <c r="CZ210" s="322" t="n">
        <v>-135.933884297521</v>
      </c>
      <c r="DA210" s="322" t="n">
        <v>-135.933884297521</v>
      </c>
    </row>
    <row r="211" customFormat="false" ht="12.75" hidden="false" customHeight="false" outlineLevel="0" collapsed="false">
      <c r="B211" s="305" t="s">
        <v>428</v>
      </c>
      <c r="C211" s="305" t="s">
        <v>530</v>
      </c>
      <c r="D211" s="306" t="n">
        <v>315</v>
      </c>
      <c r="E211" s="306" t="n">
        <v>0</v>
      </c>
      <c r="F211" s="324" t="s">
        <v>514</v>
      </c>
      <c r="G211" s="144" t="n">
        <v>24</v>
      </c>
      <c r="H211" s="325" t="n">
        <v>288.429752066116</v>
      </c>
      <c r="I211" s="2"/>
      <c r="J211" s="144" t="s">
        <v>12</v>
      </c>
      <c r="K211" s="309" t="s">
        <v>12</v>
      </c>
      <c r="L211" s="310"/>
      <c r="M211" s="311" t="n">
        <v>99</v>
      </c>
      <c r="N211" s="312" t="n">
        <v>5.4</v>
      </c>
      <c r="O211" s="311" t="n">
        <v>19</v>
      </c>
      <c r="P211" s="312" t="n">
        <v>6</v>
      </c>
      <c r="Q211" s="310" t="n">
        <v>19</v>
      </c>
      <c r="R211" s="312" t="n">
        <v>5.2</v>
      </c>
      <c r="S211" s="310"/>
      <c r="T211" s="311" t="n">
        <v>0</v>
      </c>
      <c r="U211" s="312" t="n">
        <v>9.1</v>
      </c>
      <c r="V211" s="311" t="n">
        <v>0</v>
      </c>
      <c r="W211" s="312" t="n">
        <v>5.8</v>
      </c>
      <c r="X211" s="311" t="n">
        <v>0</v>
      </c>
      <c r="Y211" s="312" t="n">
        <v>5.8</v>
      </c>
      <c r="Z211" s="313" t="n">
        <v>0</v>
      </c>
      <c r="AA211" s="314" t="n">
        <v>5.8</v>
      </c>
      <c r="AB211" s="313" t="n">
        <v>0</v>
      </c>
      <c r="AC211" s="314" t="n">
        <v>5.8</v>
      </c>
      <c r="AD211" s="315"/>
      <c r="AE211" s="144" t="n">
        <v>27</v>
      </c>
      <c r="AF211" s="315"/>
      <c r="AG211" s="311" t="n">
        <v>0</v>
      </c>
      <c r="AH211" s="309" t="n">
        <v>0</v>
      </c>
      <c r="AI211" s="310"/>
      <c r="AJ211" s="311" t="n">
        <v>86</v>
      </c>
      <c r="AK211" s="309" t="n">
        <v>129.6</v>
      </c>
      <c r="AL211" s="311" t="n">
        <v>152</v>
      </c>
      <c r="AM211" s="309" t="n">
        <v>144</v>
      </c>
      <c r="AN211" s="310" t="n">
        <v>171</v>
      </c>
      <c r="AO211" s="309" t="n">
        <v>124.8</v>
      </c>
      <c r="AP211" s="310"/>
      <c r="AQ211" s="311" t="n">
        <v>97</v>
      </c>
      <c r="AR211" s="309" t="n">
        <v>218.4</v>
      </c>
      <c r="AS211" s="311" t="n">
        <v>176</v>
      </c>
      <c r="AT211" s="309" t="n">
        <v>139.2</v>
      </c>
      <c r="AU211" s="310" t="n">
        <v>176</v>
      </c>
      <c r="AV211" s="309" t="n">
        <v>139.2</v>
      </c>
      <c r="AW211" s="310" t="n">
        <v>176</v>
      </c>
      <c r="AX211" s="309" t="n">
        <v>139.2</v>
      </c>
      <c r="AY211" s="310" t="n">
        <v>176</v>
      </c>
      <c r="AZ211" s="309" t="n">
        <v>139.2</v>
      </c>
      <c r="BB211" s="144" t="n">
        <v>0</v>
      </c>
      <c r="BC211" s="315"/>
      <c r="BD211" s="311" t="n">
        <v>0</v>
      </c>
      <c r="BE211" s="316" t="n">
        <v>0</v>
      </c>
      <c r="BF211" s="310"/>
      <c r="BG211" s="317" t="n">
        <v>0</v>
      </c>
      <c r="BH211" s="318" t="n">
        <v>0.2</v>
      </c>
      <c r="BI211" s="317" t="n">
        <v>0</v>
      </c>
      <c r="BJ211" s="318" t="n">
        <v>0.8</v>
      </c>
      <c r="BK211" s="317" t="n">
        <v>0</v>
      </c>
      <c r="BL211" s="318" t="n">
        <v>0.6</v>
      </c>
      <c r="BM211" s="310"/>
      <c r="BN211" s="317" t="n">
        <v>0</v>
      </c>
      <c r="BO211" s="318" t="n">
        <v>0</v>
      </c>
      <c r="BP211" s="317" t="n">
        <v>0</v>
      </c>
      <c r="BQ211" s="318" t="n">
        <v>0.600000000000001</v>
      </c>
      <c r="BR211" s="317" t="n">
        <v>0</v>
      </c>
      <c r="BS211" s="318" t="n">
        <v>0.800000000000001</v>
      </c>
      <c r="BT211" s="317" t="n">
        <v>0</v>
      </c>
      <c r="BU211" s="318" t="n">
        <v>0.800000000000001</v>
      </c>
      <c r="BV211" s="317" t="n">
        <v>0</v>
      </c>
      <c r="BW211" s="318" t="n">
        <v>0.800000000000001</v>
      </c>
      <c r="BY211" s="143"/>
      <c r="BZ211" s="315"/>
      <c r="CA211" s="144" t="s">
        <v>12</v>
      </c>
      <c r="CB211" s="315"/>
      <c r="CC211" s="144" t="n">
        <v>-59.8297520661157</v>
      </c>
      <c r="CD211" s="144" t="n">
        <v>-125.429752066116</v>
      </c>
      <c r="CE211" s="144" t="n">
        <v>-144.629752066116</v>
      </c>
      <c r="CF211" s="315"/>
      <c r="CG211" s="144" t="n">
        <v>-70.0297520661158</v>
      </c>
      <c r="CH211" s="144" t="n">
        <v>-149.229752066116</v>
      </c>
      <c r="CI211" s="144" t="n">
        <v>-149.229752066116</v>
      </c>
      <c r="CJ211" s="144" t="n">
        <v>-149.229752066116</v>
      </c>
      <c r="CK211" s="144" t="n">
        <v>-149.229752066116</v>
      </c>
      <c r="CM211" s="144" t="n">
        <v>288.429752066116</v>
      </c>
      <c r="CO211" s="319"/>
      <c r="CP211" s="320"/>
      <c r="CQ211" s="321" t="s">
        <v>12</v>
      </c>
      <c r="CR211" s="320"/>
      <c r="CS211" s="322" t="n">
        <v>-59.8297520661157</v>
      </c>
      <c r="CT211" s="322" t="n">
        <v>-125.429752066116</v>
      </c>
      <c r="CU211" s="322" t="n">
        <v>-144.629752066116</v>
      </c>
      <c r="CV211" s="323"/>
      <c r="CW211" s="322" t="n">
        <v>-70.0297520661158</v>
      </c>
      <c r="CX211" s="322" t="n">
        <v>-149.229752066116</v>
      </c>
      <c r="CY211" s="322" t="n">
        <v>-149.229752066116</v>
      </c>
      <c r="CZ211" s="322" t="n">
        <v>-149.229752066116</v>
      </c>
      <c r="DA211" s="322" t="n">
        <v>-149.229752066116</v>
      </c>
    </row>
    <row r="212" customFormat="false" ht="12.75" hidden="false" customHeight="false" outlineLevel="0" collapsed="false">
      <c r="B212" s="305" t="s">
        <v>428</v>
      </c>
      <c r="C212" s="305" t="s">
        <v>530</v>
      </c>
      <c r="D212" s="306" t="n">
        <v>315</v>
      </c>
      <c r="E212" s="306" t="n">
        <v>0</v>
      </c>
      <c r="F212" s="306" t="s">
        <v>514</v>
      </c>
      <c r="G212" s="307" t="n">
        <v>48</v>
      </c>
      <c r="H212" s="308" t="n">
        <v>288.429752066116</v>
      </c>
      <c r="I212" s="2"/>
      <c r="J212" s="144" t="s">
        <v>12</v>
      </c>
      <c r="K212" s="309" t="s">
        <v>12</v>
      </c>
      <c r="L212" s="310"/>
      <c r="M212" s="311" t="n">
        <v>99</v>
      </c>
      <c r="N212" s="312" t="n">
        <v>2.7</v>
      </c>
      <c r="O212" s="311" t="n">
        <v>19</v>
      </c>
      <c r="P212" s="312" t="n">
        <v>3</v>
      </c>
      <c r="Q212" s="310" t="n">
        <v>19</v>
      </c>
      <c r="R212" s="312" t="n">
        <v>2.6</v>
      </c>
      <c r="S212" s="310"/>
      <c r="T212" s="311" t="n">
        <v>0</v>
      </c>
      <c r="U212" s="312" t="n">
        <v>4.6</v>
      </c>
      <c r="V212" s="311" t="n">
        <v>0</v>
      </c>
      <c r="W212" s="312" t="n">
        <v>2.9</v>
      </c>
      <c r="X212" s="311" t="n">
        <v>0</v>
      </c>
      <c r="Y212" s="312" t="n">
        <v>2.9</v>
      </c>
      <c r="Z212" s="313" t="n">
        <v>0</v>
      </c>
      <c r="AA212" s="314" t="n">
        <v>2.9</v>
      </c>
      <c r="AB212" s="313" t="n">
        <v>0</v>
      </c>
      <c r="AC212" s="314" t="n">
        <v>2.9</v>
      </c>
      <c r="AD212" s="315"/>
      <c r="AE212" s="144" t="n">
        <v>27</v>
      </c>
      <c r="AF212" s="315"/>
      <c r="AG212" s="311" t="n">
        <v>0</v>
      </c>
      <c r="AH212" s="309" t="n">
        <v>0</v>
      </c>
      <c r="AI212" s="310"/>
      <c r="AJ212" s="311" t="n">
        <v>86</v>
      </c>
      <c r="AK212" s="309" t="n">
        <v>129.6</v>
      </c>
      <c r="AL212" s="311" t="n">
        <v>152</v>
      </c>
      <c r="AM212" s="309" t="n">
        <v>144</v>
      </c>
      <c r="AN212" s="311" t="n">
        <v>171</v>
      </c>
      <c r="AO212" s="309" t="n">
        <v>124.8</v>
      </c>
      <c r="AP212" s="310"/>
      <c r="AQ212" s="311" t="n">
        <v>94</v>
      </c>
      <c r="AR212" s="309" t="n">
        <v>220.8</v>
      </c>
      <c r="AS212" s="311" t="n">
        <v>176</v>
      </c>
      <c r="AT212" s="309" t="n">
        <v>139.2</v>
      </c>
      <c r="AU212" s="311" t="n">
        <v>176</v>
      </c>
      <c r="AV212" s="309" t="n">
        <v>139.2</v>
      </c>
      <c r="AW212" s="311" t="n">
        <v>176</v>
      </c>
      <c r="AX212" s="309" t="n">
        <v>139.2</v>
      </c>
      <c r="AY212" s="311" t="n">
        <v>176</v>
      </c>
      <c r="AZ212" s="309" t="n">
        <v>139.2</v>
      </c>
      <c r="BB212" s="144" t="n">
        <v>0</v>
      </c>
      <c r="BC212" s="315"/>
      <c r="BD212" s="311" t="n">
        <v>0</v>
      </c>
      <c r="BE212" s="316" t="n">
        <v>0</v>
      </c>
      <c r="BF212" s="310"/>
      <c r="BG212" s="317" t="n">
        <v>0</v>
      </c>
      <c r="BH212" s="318" t="n">
        <v>0</v>
      </c>
      <c r="BI212" s="317" t="n">
        <v>0</v>
      </c>
      <c r="BJ212" s="318" t="n">
        <v>0</v>
      </c>
      <c r="BK212" s="317" t="n">
        <v>0</v>
      </c>
      <c r="BL212" s="318" t="n">
        <v>0</v>
      </c>
      <c r="BM212" s="310"/>
      <c r="BN212" s="317" t="n">
        <v>0</v>
      </c>
      <c r="BO212" s="318" t="n">
        <v>0</v>
      </c>
      <c r="BP212" s="317" t="n">
        <v>0</v>
      </c>
      <c r="BQ212" s="318" t="n">
        <v>0</v>
      </c>
      <c r="BR212" s="317" t="n">
        <v>0</v>
      </c>
      <c r="BS212" s="318" t="n">
        <v>0</v>
      </c>
      <c r="BT212" s="317" t="n">
        <v>0</v>
      </c>
      <c r="BU212" s="318" t="n">
        <v>0</v>
      </c>
      <c r="BV212" s="317" t="n">
        <v>0</v>
      </c>
      <c r="BW212" s="318" t="n">
        <v>0</v>
      </c>
      <c r="BY212" s="143"/>
      <c r="BZ212" s="315"/>
      <c r="CA212" s="144" t="s">
        <v>12</v>
      </c>
      <c r="CB212" s="315"/>
      <c r="CC212" s="144" t="n">
        <v>-59.8297520661157</v>
      </c>
      <c r="CD212" s="144" t="n">
        <v>-125.429752066116</v>
      </c>
      <c r="CE212" s="144" t="n">
        <v>-144.629752066116</v>
      </c>
      <c r="CF212" s="315"/>
      <c r="CG212" s="144" t="n">
        <v>-67.6297520661157</v>
      </c>
      <c r="CH212" s="144" t="n">
        <v>-149.229752066116</v>
      </c>
      <c r="CI212" s="144" t="n">
        <v>-149.229752066116</v>
      </c>
      <c r="CJ212" s="144" t="n">
        <v>-149.229752066116</v>
      </c>
      <c r="CK212" s="144" t="n">
        <v>-149.229752066116</v>
      </c>
      <c r="CM212" s="144" t="n">
        <v>288.429752066116</v>
      </c>
      <c r="CO212" s="319"/>
      <c r="CP212" s="320"/>
      <c r="CQ212" s="321" t="s">
        <v>12</v>
      </c>
      <c r="CR212" s="320"/>
      <c r="CS212" s="322" t="n">
        <v>-59.8297520661157</v>
      </c>
      <c r="CT212" s="322" t="n">
        <v>-125.429752066116</v>
      </c>
      <c r="CU212" s="322" t="n">
        <v>-144.629752066116</v>
      </c>
      <c r="CV212" s="323"/>
      <c r="CW212" s="322" t="n">
        <v>-67.6297520661157</v>
      </c>
      <c r="CX212" s="322" t="n">
        <v>-149.229752066116</v>
      </c>
      <c r="CY212" s="322" t="n">
        <v>-149.229752066116</v>
      </c>
      <c r="CZ212" s="322" t="n">
        <v>-149.229752066116</v>
      </c>
      <c r="DA212" s="322" t="n">
        <v>-149.229752066116</v>
      </c>
    </row>
    <row r="213" customFormat="false" ht="12.75" hidden="false" customHeight="false" outlineLevel="0" collapsed="false">
      <c r="B213" s="305" t="s">
        <v>428</v>
      </c>
      <c r="C213" s="305" t="s">
        <v>531</v>
      </c>
      <c r="D213" s="306" t="n">
        <v>421</v>
      </c>
      <c r="E213" s="306" t="n">
        <v>0</v>
      </c>
      <c r="F213" s="324" t="s">
        <v>514</v>
      </c>
      <c r="G213" s="144" t="n">
        <v>24</v>
      </c>
      <c r="H213" s="325" t="n">
        <v>420.661157024793</v>
      </c>
      <c r="I213" s="2"/>
      <c r="J213" s="144" t="s">
        <v>12</v>
      </c>
      <c r="K213" s="309" t="s">
        <v>12</v>
      </c>
      <c r="L213" s="310"/>
      <c r="M213" s="311" t="n">
        <v>139</v>
      </c>
      <c r="N213" s="312" t="n">
        <v>8.7</v>
      </c>
      <c r="O213" s="311" t="n">
        <v>19</v>
      </c>
      <c r="P213" s="312" t="n">
        <v>11.4</v>
      </c>
      <c r="Q213" s="310" t="n">
        <v>19</v>
      </c>
      <c r="R213" s="312" t="n">
        <v>10.6</v>
      </c>
      <c r="S213" s="310"/>
      <c r="T213" s="311" t="n">
        <v>0</v>
      </c>
      <c r="U213" s="312" t="n">
        <v>14.3</v>
      </c>
      <c r="V213" s="311" t="n">
        <v>0</v>
      </c>
      <c r="W213" s="312" t="n">
        <v>10.7</v>
      </c>
      <c r="X213" s="311" t="n">
        <v>0</v>
      </c>
      <c r="Y213" s="312" t="n">
        <v>10.7</v>
      </c>
      <c r="Z213" s="313" t="n">
        <v>0</v>
      </c>
      <c r="AA213" s="314" t="n">
        <v>10.7</v>
      </c>
      <c r="AB213" s="313" t="n">
        <v>0</v>
      </c>
      <c r="AC213" s="314" t="n">
        <v>10.7</v>
      </c>
      <c r="AD213" s="315"/>
      <c r="AE213" s="144" t="n">
        <v>0</v>
      </c>
      <c r="AF213" s="315"/>
      <c r="AG213" s="311" t="n">
        <v>0</v>
      </c>
      <c r="AH213" s="309" t="n">
        <v>0</v>
      </c>
      <c r="AI213" s="310"/>
      <c r="AJ213" s="311" t="n">
        <v>73</v>
      </c>
      <c r="AK213" s="309" t="n">
        <v>208.8</v>
      </c>
      <c r="AL213" s="311" t="n">
        <v>128</v>
      </c>
      <c r="AM213" s="309" t="n">
        <v>273.6</v>
      </c>
      <c r="AN213" s="310" t="n">
        <v>148</v>
      </c>
      <c r="AO213" s="309" t="n">
        <v>254.4</v>
      </c>
      <c r="AP213" s="310"/>
      <c r="AQ213" s="311" t="n">
        <v>78</v>
      </c>
      <c r="AR213" s="309" t="n">
        <v>343.2</v>
      </c>
      <c r="AS213" s="311" t="n">
        <v>164</v>
      </c>
      <c r="AT213" s="309" t="n">
        <v>256.8</v>
      </c>
      <c r="AU213" s="310" t="n">
        <v>164</v>
      </c>
      <c r="AV213" s="309" t="n">
        <v>256.8</v>
      </c>
      <c r="AW213" s="310" t="n">
        <v>164</v>
      </c>
      <c r="AX213" s="309" t="n">
        <v>256.8</v>
      </c>
      <c r="AY213" s="310" t="n">
        <v>164</v>
      </c>
      <c r="AZ213" s="309" t="n">
        <v>256.8</v>
      </c>
      <c r="BB213" s="144" t="n">
        <v>0</v>
      </c>
      <c r="BC213" s="315"/>
      <c r="BD213" s="311" t="n">
        <v>0</v>
      </c>
      <c r="BE213" s="316" t="n">
        <v>0</v>
      </c>
      <c r="BF213" s="310"/>
      <c r="BG213" s="317" t="n">
        <v>0</v>
      </c>
      <c r="BH213" s="318" t="n">
        <v>0.4</v>
      </c>
      <c r="BI213" s="317" t="n">
        <v>0</v>
      </c>
      <c r="BJ213" s="318" t="n">
        <v>0.6</v>
      </c>
      <c r="BK213" s="317" t="n">
        <v>0</v>
      </c>
      <c r="BL213" s="318" t="n">
        <v>0.800000000000001</v>
      </c>
      <c r="BM213" s="310"/>
      <c r="BN213" s="317" t="n">
        <v>0</v>
      </c>
      <c r="BO213" s="318" t="n">
        <v>-0.199999999999999</v>
      </c>
      <c r="BP213" s="317" t="n">
        <v>0</v>
      </c>
      <c r="BQ213" s="318" t="n">
        <v>1.4</v>
      </c>
      <c r="BR213" s="317" t="n">
        <v>0</v>
      </c>
      <c r="BS213" s="318" t="n">
        <v>3.7</v>
      </c>
      <c r="BT213" s="317" t="n">
        <v>0</v>
      </c>
      <c r="BU213" s="318" t="n">
        <v>0.700000000000001</v>
      </c>
      <c r="BV213" s="317" t="n">
        <v>0</v>
      </c>
      <c r="BW213" s="318" t="n">
        <v>0.700000000000001</v>
      </c>
      <c r="BY213" s="143"/>
      <c r="BZ213" s="315"/>
      <c r="CA213" s="144" t="s">
        <v>12</v>
      </c>
      <c r="CB213" s="315"/>
      <c r="CC213" s="144" t="n">
        <v>-72.8611570247934</v>
      </c>
      <c r="CD213" s="144" t="n">
        <v>-128.061157024793</v>
      </c>
      <c r="CE213" s="144" t="n">
        <v>-147.261157024793</v>
      </c>
      <c r="CF213" s="315"/>
      <c r="CG213" s="144" t="n">
        <v>-77.4611570247934</v>
      </c>
      <c r="CH213" s="144" t="n">
        <v>-163.861157024793</v>
      </c>
      <c r="CI213" s="144" t="n">
        <v>-163.861157024793</v>
      </c>
      <c r="CJ213" s="144" t="n">
        <v>-163.861157024793</v>
      </c>
      <c r="CK213" s="144" t="n">
        <v>-163.861157024793</v>
      </c>
      <c r="CM213" s="144" t="n">
        <v>412.396694214876</v>
      </c>
      <c r="CO213" s="319"/>
      <c r="CP213" s="320"/>
      <c r="CQ213" s="321" t="s">
        <v>12</v>
      </c>
      <c r="CR213" s="320"/>
      <c r="CS213" s="322" t="n">
        <v>-64.596694214876</v>
      </c>
      <c r="CT213" s="322" t="n">
        <v>-119.796694214876</v>
      </c>
      <c r="CU213" s="322" t="n">
        <v>-138.996694214876</v>
      </c>
      <c r="CV213" s="323"/>
      <c r="CW213" s="322" t="n">
        <v>-69.196694214876</v>
      </c>
      <c r="CX213" s="322" t="n">
        <v>-155.596694214876</v>
      </c>
      <c r="CY213" s="322" t="n">
        <v>-155.596694214876</v>
      </c>
      <c r="CZ213" s="322" t="n">
        <v>-155.596694214876</v>
      </c>
      <c r="DA213" s="322" t="n">
        <v>-155.596694214876</v>
      </c>
    </row>
    <row r="214" customFormat="false" ht="12.75" hidden="false" customHeight="false" outlineLevel="0" collapsed="false">
      <c r="B214" s="305" t="s">
        <v>428</v>
      </c>
      <c r="C214" s="305" t="s">
        <v>531</v>
      </c>
      <c r="D214" s="306" t="n">
        <v>421</v>
      </c>
      <c r="E214" s="306" t="n">
        <v>0</v>
      </c>
      <c r="F214" s="306" t="s">
        <v>514</v>
      </c>
      <c r="G214" s="307" t="n">
        <v>48</v>
      </c>
      <c r="H214" s="308" t="n">
        <v>420.661157024793</v>
      </c>
      <c r="I214" s="2"/>
      <c r="J214" s="144" t="s">
        <v>12</v>
      </c>
      <c r="K214" s="309" t="s">
        <v>12</v>
      </c>
      <c r="L214" s="310"/>
      <c r="M214" s="311" t="n">
        <v>139</v>
      </c>
      <c r="N214" s="312" t="n">
        <v>4.4</v>
      </c>
      <c r="O214" s="311" t="n">
        <v>19</v>
      </c>
      <c r="P214" s="312" t="n">
        <v>5.7</v>
      </c>
      <c r="Q214" s="310" t="n">
        <v>19</v>
      </c>
      <c r="R214" s="312" t="n">
        <v>5.3</v>
      </c>
      <c r="S214" s="310"/>
      <c r="T214" s="311" t="n">
        <v>0</v>
      </c>
      <c r="U214" s="312" t="n">
        <v>7.2</v>
      </c>
      <c r="V214" s="311" t="n">
        <v>0</v>
      </c>
      <c r="W214" s="312" t="n">
        <v>5.4</v>
      </c>
      <c r="X214" s="311" t="n">
        <v>0</v>
      </c>
      <c r="Y214" s="312" t="n">
        <v>5.4</v>
      </c>
      <c r="Z214" s="313" t="n">
        <v>0</v>
      </c>
      <c r="AA214" s="314" t="n">
        <v>5.4</v>
      </c>
      <c r="AB214" s="313" t="n">
        <v>0</v>
      </c>
      <c r="AC214" s="314" t="n">
        <v>5.4</v>
      </c>
      <c r="AD214" s="315"/>
      <c r="AE214" s="144" t="n">
        <v>0</v>
      </c>
      <c r="AF214" s="315"/>
      <c r="AG214" s="311" t="n">
        <v>0</v>
      </c>
      <c r="AH214" s="309" t="n">
        <v>0</v>
      </c>
      <c r="AI214" s="310"/>
      <c r="AJ214" s="311" t="n">
        <v>71</v>
      </c>
      <c r="AK214" s="309" t="n">
        <v>211.2</v>
      </c>
      <c r="AL214" s="311" t="n">
        <v>128</v>
      </c>
      <c r="AM214" s="309" t="n">
        <v>273.6</v>
      </c>
      <c r="AN214" s="311" t="n">
        <v>148</v>
      </c>
      <c r="AO214" s="309" t="n">
        <v>254.4</v>
      </c>
      <c r="AP214" s="310"/>
      <c r="AQ214" s="311" t="n">
        <v>75</v>
      </c>
      <c r="AR214" s="309" t="n">
        <v>345.6</v>
      </c>
      <c r="AS214" s="311" t="n">
        <v>162</v>
      </c>
      <c r="AT214" s="309" t="n">
        <v>259.2</v>
      </c>
      <c r="AU214" s="311" t="n">
        <v>162</v>
      </c>
      <c r="AV214" s="309" t="n">
        <v>259.2</v>
      </c>
      <c r="AW214" s="311" t="n">
        <v>162</v>
      </c>
      <c r="AX214" s="309" t="n">
        <v>259.2</v>
      </c>
      <c r="AY214" s="311" t="n">
        <v>162</v>
      </c>
      <c r="AZ214" s="309" t="n">
        <v>259.2</v>
      </c>
      <c r="BB214" s="144" t="n">
        <v>0</v>
      </c>
      <c r="BC214" s="315"/>
      <c r="BD214" s="311" t="n">
        <v>0</v>
      </c>
      <c r="BE214" s="316" t="n">
        <v>0</v>
      </c>
      <c r="BF214" s="310"/>
      <c r="BG214" s="317" t="n">
        <v>0</v>
      </c>
      <c r="BH214" s="318" t="n">
        <v>0</v>
      </c>
      <c r="BI214" s="317" t="n">
        <v>0</v>
      </c>
      <c r="BJ214" s="318" t="n">
        <v>0</v>
      </c>
      <c r="BK214" s="317" t="n">
        <v>0</v>
      </c>
      <c r="BL214" s="318" t="n">
        <v>0</v>
      </c>
      <c r="BM214" s="310"/>
      <c r="BN214" s="317" t="n">
        <v>0</v>
      </c>
      <c r="BO214" s="318" t="n">
        <v>0</v>
      </c>
      <c r="BP214" s="317" t="n">
        <v>0</v>
      </c>
      <c r="BQ214" s="318" t="n">
        <v>0</v>
      </c>
      <c r="BR214" s="317" t="n">
        <v>0</v>
      </c>
      <c r="BS214" s="318" t="n">
        <v>0</v>
      </c>
      <c r="BT214" s="317" t="n">
        <v>0</v>
      </c>
      <c r="BU214" s="318" t="n">
        <v>0</v>
      </c>
      <c r="BV214" s="317" t="n">
        <v>0</v>
      </c>
      <c r="BW214" s="318" t="n">
        <v>0</v>
      </c>
      <c r="BY214" s="143"/>
      <c r="BZ214" s="315"/>
      <c r="CA214" s="144" t="s">
        <v>12</v>
      </c>
      <c r="CB214" s="315"/>
      <c r="CC214" s="144" t="n">
        <v>-70.4611570247934</v>
      </c>
      <c r="CD214" s="144" t="n">
        <v>-128.061157024793</v>
      </c>
      <c r="CE214" s="144" t="n">
        <v>-147.261157024793</v>
      </c>
      <c r="CF214" s="315"/>
      <c r="CG214" s="144" t="n">
        <v>-75.0611570247934</v>
      </c>
      <c r="CH214" s="144" t="n">
        <v>-161.461157024793</v>
      </c>
      <c r="CI214" s="144" t="n">
        <v>-161.461157024793</v>
      </c>
      <c r="CJ214" s="144" t="n">
        <v>-161.461157024793</v>
      </c>
      <c r="CK214" s="144" t="n">
        <v>-161.461157024793</v>
      </c>
      <c r="CM214" s="144" t="n">
        <v>412.396694214876</v>
      </c>
      <c r="CO214" s="319"/>
      <c r="CP214" s="320"/>
      <c r="CQ214" s="321" t="s">
        <v>12</v>
      </c>
      <c r="CR214" s="320"/>
      <c r="CS214" s="322" t="n">
        <v>-62.196694214876</v>
      </c>
      <c r="CT214" s="322" t="n">
        <v>-119.796694214876</v>
      </c>
      <c r="CU214" s="322" t="n">
        <v>-138.996694214876</v>
      </c>
      <c r="CV214" s="323"/>
      <c r="CW214" s="322" t="n">
        <v>-66.796694214876</v>
      </c>
      <c r="CX214" s="322" t="n">
        <v>-153.196694214876</v>
      </c>
      <c r="CY214" s="322" t="n">
        <v>-153.196694214876</v>
      </c>
      <c r="CZ214" s="322" t="n">
        <v>-153.196694214876</v>
      </c>
      <c r="DA214" s="322" t="n">
        <v>-153.196694214876</v>
      </c>
    </row>
    <row r="215" customFormat="false" ht="12.75" hidden="false" customHeight="false" outlineLevel="0" collapsed="false">
      <c r="B215" s="305" t="s">
        <v>428</v>
      </c>
      <c r="C215" s="305" t="s">
        <v>532</v>
      </c>
      <c r="D215" s="306" t="n">
        <v>467</v>
      </c>
      <c r="E215" s="306" t="n">
        <v>0</v>
      </c>
      <c r="F215" s="324" t="s">
        <v>514</v>
      </c>
      <c r="G215" s="144" t="n">
        <v>24</v>
      </c>
      <c r="H215" s="325" t="n">
        <v>453.719008264463</v>
      </c>
      <c r="I215" s="2"/>
      <c r="J215" s="144" t="s">
        <v>12</v>
      </c>
      <c r="K215" s="309" t="s">
        <v>12</v>
      </c>
      <c r="L215" s="310"/>
      <c r="M215" s="311" t="n">
        <v>149</v>
      </c>
      <c r="N215" s="312" t="n">
        <v>9.3</v>
      </c>
      <c r="O215" s="311" t="n">
        <v>19</v>
      </c>
      <c r="P215" s="312" t="n">
        <v>12.4</v>
      </c>
      <c r="Q215" s="310" t="n">
        <v>19</v>
      </c>
      <c r="R215" s="312" t="n">
        <v>11.6</v>
      </c>
      <c r="S215" s="310"/>
      <c r="T215" s="311" t="n">
        <v>0</v>
      </c>
      <c r="U215" s="312" t="n">
        <v>15.3</v>
      </c>
      <c r="V215" s="311" t="n">
        <v>0</v>
      </c>
      <c r="W215" s="312" t="n">
        <v>11.6</v>
      </c>
      <c r="X215" s="311" t="n">
        <v>0</v>
      </c>
      <c r="Y215" s="312" t="n">
        <v>11.6</v>
      </c>
      <c r="Z215" s="313" t="n">
        <v>0</v>
      </c>
      <c r="AA215" s="314" t="n">
        <v>11.6</v>
      </c>
      <c r="AB215" s="313" t="n">
        <v>0</v>
      </c>
      <c r="AC215" s="314" t="n">
        <v>11.6</v>
      </c>
      <c r="AD215" s="315"/>
      <c r="AE215" s="144" t="n">
        <v>13</v>
      </c>
      <c r="AF215" s="315"/>
      <c r="AG215" s="311" t="n">
        <v>0</v>
      </c>
      <c r="AH215" s="309" t="n">
        <v>0</v>
      </c>
      <c r="AI215" s="310"/>
      <c r="AJ215" s="311" t="n">
        <v>95</v>
      </c>
      <c r="AK215" s="309" t="n">
        <v>223.2</v>
      </c>
      <c r="AL215" s="311" t="n">
        <v>150</v>
      </c>
      <c r="AM215" s="309" t="n">
        <v>297.6</v>
      </c>
      <c r="AN215" s="310" t="n">
        <v>170</v>
      </c>
      <c r="AO215" s="309" t="n">
        <v>278.4</v>
      </c>
      <c r="AP215" s="310"/>
      <c r="AQ215" s="311" t="n">
        <v>100</v>
      </c>
      <c r="AR215" s="309" t="n">
        <v>367.2</v>
      </c>
      <c r="AS215" s="311" t="n">
        <v>189</v>
      </c>
      <c r="AT215" s="309" t="n">
        <v>278.4</v>
      </c>
      <c r="AU215" s="310" t="n">
        <v>189</v>
      </c>
      <c r="AV215" s="309" t="n">
        <v>278.4</v>
      </c>
      <c r="AW215" s="310" t="n">
        <v>189</v>
      </c>
      <c r="AX215" s="309" t="n">
        <v>278.4</v>
      </c>
      <c r="AY215" s="310" t="n">
        <v>189</v>
      </c>
      <c r="AZ215" s="309" t="n">
        <v>278.4</v>
      </c>
      <c r="BB215" s="144" t="n">
        <v>0</v>
      </c>
      <c r="BC215" s="315"/>
      <c r="BD215" s="311" t="n">
        <v>0</v>
      </c>
      <c r="BE215" s="316" t="n">
        <v>0</v>
      </c>
      <c r="BF215" s="310"/>
      <c r="BG215" s="317" t="n">
        <v>0</v>
      </c>
      <c r="BH215" s="318" t="n">
        <v>0.200000000000001</v>
      </c>
      <c r="BI215" s="317" t="n">
        <v>0</v>
      </c>
      <c r="BJ215" s="318" t="n">
        <v>0.6</v>
      </c>
      <c r="BK215" s="317" t="n">
        <v>0</v>
      </c>
      <c r="BL215" s="318" t="n">
        <v>0.800000000000001</v>
      </c>
      <c r="BM215" s="310"/>
      <c r="BN215" s="317" t="n">
        <v>0</v>
      </c>
      <c r="BO215" s="318" t="n">
        <v>-0.199999999999999</v>
      </c>
      <c r="BP215" s="317" t="n">
        <v>0</v>
      </c>
      <c r="BQ215" s="318" t="n">
        <v>1.2</v>
      </c>
      <c r="BR215" s="317" t="n">
        <v>0</v>
      </c>
      <c r="BS215" s="318" t="n">
        <v>2.6</v>
      </c>
      <c r="BT215" s="317" t="n">
        <v>0</v>
      </c>
      <c r="BU215" s="318" t="n">
        <v>0.100000000000001</v>
      </c>
      <c r="BV215" s="317" t="n">
        <v>0</v>
      </c>
      <c r="BW215" s="318" t="n">
        <v>0.100000000000001</v>
      </c>
      <c r="BY215" s="143"/>
      <c r="BZ215" s="315"/>
      <c r="CA215" s="144" t="s">
        <v>12</v>
      </c>
      <c r="CB215" s="315"/>
      <c r="CC215" s="144" t="n">
        <v>-81.5190082644628</v>
      </c>
      <c r="CD215" s="144" t="n">
        <v>-137.119008264463</v>
      </c>
      <c r="CE215" s="144" t="n">
        <v>-156.319008264463</v>
      </c>
      <c r="CF215" s="315"/>
      <c r="CG215" s="144" t="n">
        <v>-86.5190082644628</v>
      </c>
      <c r="CH215" s="144" t="n">
        <v>-175.319008264463</v>
      </c>
      <c r="CI215" s="144" t="n">
        <v>-175.319008264463</v>
      </c>
      <c r="CJ215" s="144" t="n">
        <v>-175.319008264463</v>
      </c>
      <c r="CK215" s="144" t="n">
        <v>-175.319008264463</v>
      </c>
      <c r="CM215" s="144" t="n">
        <v>453.719008264463</v>
      </c>
      <c r="CO215" s="319"/>
      <c r="CP215" s="320"/>
      <c r="CQ215" s="321" t="s">
        <v>12</v>
      </c>
      <c r="CR215" s="320"/>
      <c r="CS215" s="322" t="n">
        <v>-81.5190082644628</v>
      </c>
      <c r="CT215" s="322" t="n">
        <v>-137.119008264463</v>
      </c>
      <c r="CU215" s="322" t="n">
        <v>-156.319008264463</v>
      </c>
      <c r="CV215" s="323"/>
      <c r="CW215" s="322" t="n">
        <v>-86.5190082644628</v>
      </c>
      <c r="CX215" s="322" t="n">
        <v>-175.319008264463</v>
      </c>
      <c r="CY215" s="322" t="n">
        <v>-175.319008264463</v>
      </c>
      <c r="CZ215" s="322" t="n">
        <v>-175.319008264463</v>
      </c>
      <c r="DA215" s="322" t="n">
        <v>-175.319008264463</v>
      </c>
    </row>
    <row r="216" customFormat="false" ht="12.75" hidden="false" customHeight="false" outlineLevel="0" collapsed="false">
      <c r="B216" s="305" t="s">
        <v>428</v>
      </c>
      <c r="C216" s="305" t="s">
        <v>532</v>
      </c>
      <c r="D216" s="306" t="n">
        <v>467</v>
      </c>
      <c r="E216" s="306" t="n">
        <v>0</v>
      </c>
      <c r="F216" s="306" t="s">
        <v>514</v>
      </c>
      <c r="G216" s="307" t="n">
        <v>48</v>
      </c>
      <c r="H216" s="308" t="n">
        <v>453.719008264463</v>
      </c>
      <c r="I216" s="2"/>
      <c r="J216" s="144" t="s">
        <v>12</v>
      </c>
      <c r="K216" s="309" t="s">
        <v>12</v>
      </c>
      <c r="L216" s="310"/>
      <c r="M216" s="311" t="n">
        <v>149</v>
      </c>
      <c r="N216" s="312" t="n">
        <v>4.7</v>
      </c>
      <c r="O216" s="311" t="n">
        <v>19</v>
      </c>
      <c r="P216" s="312" t="n">
        <v>6.2</v>
      </c>
      <c r="Q216" s="310" t="n">
        <v>19</v>
      </c>
      <c r="R216" s="312" t="n">
        <v>5.8</v>
      </c>
      <c r="S216" s="310"/>
      <c r="T216" s="311" t="n">
        <v>0</v>
      </c>
      <c r="U216" s="312" t="n">
        <v>7.7</v>
      </c>
      <c r="V216" s="311" t="n">
        <v>0</v>
      </c>
      <c r="W216" s="312" t="n">
        <v>5.8</v>
      </c>
      <c r="X216" s="311" t="n">
        <v>0</v>
      </c>
      <c r="Y216" s="312" t="n">
        <v>5.8</v>
      </c>
      <c r="Z216" s="313" t="n">
        <v>0</v>
      </c>
      <c r="AA216" s="314" t="n">
        <v>5.8</v>
      </c>
      <c r="AB216" s="313" t="n">
        <v>0</v>
      </c>
      <c r="AC216" s="314" t="n">
        <v>5.8</v>
      </c>
      <c r="AD216" s="315"/>
      <c r="AE216" s="144" t="n">
        <v>13</v>
      </c>
      <c r="AF216" s="315"/>
      <c r="AG216" s="311" t="n">
        <v>0</v>
      </c>
      <c r="AH216" s="309" t="n">
        <v>0</v>
      </c>
      <c r="AI216" s="310"/>
      <c r="AJ216" s="311" t="n">
        <v>92</v>
      </c>
      <c r="AK216" s="309" t="n">
        <v>225.6</v>
      </c>
      <c r="AL216" s="311" t="n">
        <v>150</v>
      </c>
      <c r="AM216" s="309" t="n">
        <v>297.6</v>
      </c>
      <c r="AN216" s="311" t="n">
        <v>170</v>
      </c>
      <c r="AO216" s="309" t="n">
        <v>278.4</v>
      </c>
      <c r="AP216" s="310"/>
      <c r="AQ216" s="311" t="n">
        <v>97</v>
      </c>
      <c r="AR216" s="309" t="n">
        <v>369.6</v>
      </c>
      <c r="AS216" s="311" t="n">
        <v>189</v>
      </c>
      <c r="AT216" s="309" t="n">
        <v>278.4</v>
      </c>
      <c r="AU216" s="311" t="n">
        <v>189</v>
      </c>
      <c r="AV216" s="309" t="n">
        <v>278.4</v>
      </c>
      <c r="AW216" s="311" t="n">
        <v>189</v>
      </c>
      <c r="AX216" s="309" t="n">
        <v>278.4</v>
      </c>
      <c r="AY216" s="311" t="n">
        <v>189</v>
      </c>
      <c r="AZ216" s="309" t="n">
        <v>278.4</v>
      </c>
      <c r="BB216" s="144" t="n">
        <v>0</v>
      </c>
      <c r="BC216" s="315"/>
      <c r="BD216" s="311" t="n">
        <v>0</v>
      </c>
      <c r="BE216" s="316" t="n">
        <v>0</v>
      </c>
      <c r="BF216" s="310"/>
      <c r="BG216" s="317" t="n">
        <v>0</v>
      </c>
      <c r="BH216" s="318" t="n">
        <v>0</v>
      </c>
      <c r="BI216" s="317" t="n">
        <v>0</v>
      </c>
      <c r="BJ216" s="318" t="n">
        <v>0</v>
      </c>
      <c r="BK216" s="317" t="n">
        <v>0</v>
      </c>
      <c r="BL216" s="318" t="n">
        <v>0</v>
      </c>
      <c r="BM216" s="310"/>
      <c r="BN216" s="317" t="n">
        <v>0</v>
      </c>
      <c r="BO216" s="318" t="n">
        <v>0</v>
      </c>
      <c r="BP216" s="317" t="n">
        <v>0</v>
      </c>
      <c r="BQ216" s="318" t="n">
        <v>0</v>
      </c>
      <c r="BR216" s="317" t="n">
        <v>0</v>
      </c>
      <c r="BS216" s="318" t="n">
        <v>0</v>
      </c>
      <c r="BT216" s="317" t="n">
        <v>0</v>
      </c>
      <c r="BU216" s="318" t="n">
        <v>0</v>
      </c>
      <c r="BV216" s="317" t="n">
        <v>0</v>
      </c>
      <c r="BW216" s="318" t="n">
        <v>0</v>
      </c>
      <c r="BY216" s="143"/>
      <c r="BZ216" s="315"/>
      <c r="CA216" s="144" t="s">
        <v>12</v>
      </c>
      <c r="CB216" s="315"/>
      <c r="CC216" s="144" t="n">
        <v>-79.1190082644628</v>
      </c>
      <c r="CD216" s="144" t="n">
        <v>-137.119008264463</v>
      </c>
      <c r="CE216" s="144" t="n">
        <v>-156.319008264463</v>
      </c>
      <c r="CF216" s="315"/>
      <c r="CG216" s="144" t="n">
        <v>-84.1190082644628</v>
      </c>
      <c r="CH216" s="144" t="n">
        <v>-175.319008264463</v>
      </c>
      <c r="CI216" s="144" t="n">
        <v>-175.319008264463</v>
      </c>
      <c r="CJ216" s="144" t="n">
        <v>-175.319008264463</v>
      </c>
      <c r="CK216" s="144" t="n">
        <v>-175.319008264463</v>
      </c>
      <c r="CM216" s="144" t="n">
        <v>453.719008264463</v>
      </c>
      <c r="CO216" s="319"/>
      <c r="CP216" s="320"/>
      <c r="CQ216" s="321" t="s">
        <v>12</v>
      </c>
      <c r="CR216" s="320"/>
      <c r="CS216" s="322" t="n">
        <v>-79.1190082644628</v>
      </c>
      <c r="CT216" s="322" t="n">
        <v>-137.119008264463</v>
      </c>
      <c r="CU216" s="322" t="n">
        <v>-156.319008264463</v>
      </c>
      <c r="CV216" s="323"/>
      <c r="CW216" s="322" t="n">
        <v>-84.1190082644628</v>
      </c>
      <c r="CX216" s="322" t="n">
        <v>-175.319008264463</v>
      </c>
      <c r="CY216" s="322" t="n">
        <v>-175.319008264463</v>
      </c>
      <c r="CZ216" s="322" t="n">
        <v>-175.319008264463</v>
      </c>
      <c r="DA216" s="322" t="n">
        <v>-175.319008264463</v>
      </c>
    </row>
    <row r="217" customFormat="false" ht="12.75" hidden="false" customHeight="false" outlineLevel="0" collapsed="false">
      <c r="B217" s="305" t="s">
        <v>428</v>
      </c>
      <c r="C217" s="305" t="s">
        <v>533</v>
      </c>
      <c r="D217" s="306" t="n">
        <v>567</v>
      </c>
      <c r="E217" s="306" t="n">
        <v>0</v>
      </c>
      <c r="F217" s="324" t="s">
        <v>514</v>
      </c>
      <c r="G217" s="144" t="n">
        <v>24</v>
      </c>
      <c r="H217" s="325" t="n">
        <v>536.363636363636</v>
      </c>
      <c r="I217" s="2"/>
      <c r="J217" s="144" t="s">
        <v>12</v>
      </c>
      <c r="K217" s="309" t="s">
        <v>12</v>
      </c>
      <c r="L217" s="310"/>
      <c r="M217" s="311" t="n">
        <v>169</v>
      </c>
      <c r="N217" s="312" t="n">
        <v>10.4</v>
      </c>
      <c r="O217" s="311" t="n">
        <v>19</v>
      </c>
      <c r="P217" s="312" t="n">
        <v>14.1</v>
      </c>
      <c r="Q217" s="310" t="n">
        <v>19</v>
      </c>
      <c r="R217" s="312" t="n">
        <v>13.3</v>
      </c>
      <c r="S217" s="310"/>
      <c r="T217" s="311" t="n">
        <v>0</v>
      </c>
      <c r="U217" s="312" t="n">
        <v>17</v>
      </c>
      <c r="V217" s="311" t="n">
        <v>0</v>
      </c>
      <c r="W217" s="312" t="n">
        <v>12.4</v>
      </c>
      <c r="X217" s="311" t="n">
        <v>0</v>
      </c>
      <c r="Y217" s="312" t="n">
        <v>10</v>
      </c>
      <c r="Z217" s="313" t="n">
        <v>0</v>
      </c>
      <c r="AA217" s="314" t="n">
        <v>12.4</v>
      </c>
      <c r="AB217" s="313" t="n">
        <v>0</v>
      </c>
      <c r="AC217" s="314" t="n">
        <v>12.4</v>
      </c>
      <c r="AD217" s="315"/>
      <c r="AE217" s="144" t="n">
        <v>31</v>
      </c>
      <c r="AF217" s="315"/>
      <c r="AG217" s="311" t="n">
        <v>0</v>
      </c>
      <c r="AH217" s="309" t="n">
        <v>0</v>
      </c>
      <c r="AI217" s="310"/>
      <c r="AJ217" s="311" t="n">
        <v>148</v>
      </c>
      <c r="AK217" s="309" t="n">
        <v>249.6</v>
      </c>
      <c r="AL217" s="311" t="n">
        <v>210</v>
      </c>
      <c r="AM217" s="309" t="n">
        <v>338.4</v>
      </c>
      <c r="AN217" s="310" t="n">
        <v>229</v>
      </c>
      <c r="AO217" s="309" t="n">
        <v>319.2</v>
      </c>
      <c r="AP217" s="310"/>
      <c r="AQ217" s="311" t="n">
        <v>159</v>
      </c>
      <c r="AR217" s="309" t="n">
        <v>408</v>
      </c>
      <c r="AS217" s="311" t="n">
        <v>269</v>
      </c>
      <c r="AT217" s="309" t="n">
        <v>297.6</v>
      </c>
      <c r="AU217" s="310" t="n">
        <v>327</v>
      </c>
      <c r="AV217" s="309" t="n">
        <v>240</v>
      </c>
      <c r="AW217" s="310" t="n">
        <v>269</v>
      </c>
      <c r="AX217" s="309" t="n">
        <v>297.6</v>
      </c>
      <c r="AY217" s="310" t="n">
        <v>269</v>
      </c>
      <c r="AZ217" s="309" t="n">
        <v>297.6</v>
      </c>
      <c r="BB217" s="144" t="n">
        <v>0</v>
      </c>
      <c r="BC217" s="315"/>
      <c r="BD217" s="311" t="n">
        <v>0</v>
      </c>
      <c r="BE217" s="316" t="n">
        <v>0</v>
      </c>
      <c r="BF217" s="310"/>
      <c r="BG217" s="317" t="n">
        <v>0</v>
      </c>
      <c r="BH217" s="318" t="n">
        <v>0.4</v>
      </c>
      <c r="BI217" s="317" t="n">
        <v>0</v>
      </c>
      <c r="BJ217" s="318" t="n">
        <v>0.800000000000001</v>
      </c>
      <c r="BK217" s="317" t="n">
        <v>0</v>
      </c>
      <c r="BL217" s="318" t="n">
        <v>0.9</v>
      </c>
      <c r="BM217" s="310"/>
      <c r="BN217" s="317" t="n">
        <v>0</v>
      </c>
      <c r="BO217" s="318" t="n">
        <v>-0.199999999999999</v>
      </c>
      <c r="BP217" s="317" t="n">
        <v>0</v>
      </c>
      <c r="BQ217" s="318" t="n">
        <v>0</v>
      </c>
      <c r="BR217" s="317" t="n">
        <v>0</v>
      </c>
      <c r="BS217" s="318" t="n">
        <v>0</v>
      </c>
      <c r="BT217" s="317" t="n">
        <v>0</v>
      </c>
      <c r="BU217" s="318" t="n">
        <v>-0.0999999999999996</v>
      </c>
      <c r="BV217" s="317" t="n">
        <v>0</v>
      </c>
      <c r="BW217" s="318" t="n">
        <v>-0.0999999999999996</v>
      </c>
      <c r="BY217" s="143"/>
      <c r="BZ217" s="315"/>
      <c r="CA217" s="144" t="s">
        <v>12</v>
      </c>
      <c r="CB217" s="315"/>
      <c r="CC217" s="144" t="n">
        <v>-117.763636363636</v>
      </c>
      <c r="CD217" s="144" t="n">
        <v>-178.963636363636</v>
      </c>
      <c r="CE217" s="144" t="n">
        <v>-198.163636363636</v>
      </c>
      <c r="CF217" s="315"/>
      <c r="CG217" s="144" t="n">
        <v>-128.363636363636</v>
      </c>
      <c r="CH217" s="144" t="n">
        <v>-238.763636363636</v>
      </c>
      <c r="CI217" s="144" t="n">
        <v>-296.363636363636</v>
      </c>
      <c r="CJ217" s="144" t="n">
        <v>-238.763636363636</v>
      </c>
      <c r="CK217" s="144" t="n">
        <v>-238.763636363636</v>
      </c>
      <c r="CM217" s="144" t="n">
        <v>536.363636363636</v>
      </c>
      <c r="CO217" s="319"/>
      <c r="CP217" s="320"/>
      <c r="CQ217" s="321" t="s">
        <v>12</v>
      </c>
      <c r="CR217" s="320"/>
      <c r="CS217" s="322" t="n">
        <v>-117.763636363636</v>
      </c>
      <c r="CT217" s="322" t="n">
        <v>-178.963636363636</v>
      </c>
      <c r="CU217" s="322" t="n">
        <v>-198.163636363636</v>
      </c>
      <c r="CV217" s="323"/>
      <c r="CW217" s="322" t="n">
        <v>-128.363636363636</v>
      </c>
      <c r="CX217" s="322" t="n">
        <v>-238.763636363636</v>
      </c>
      <c r="CY217" s="322" t="n">
        <v>-296.363636363636</v>
      </c>
      <c r="CZ217" s="322" t="n">
        <v>-238.763636363636</v>
      </c>
      <c r="DA217" s="322" t="n">
        <v>-238.763636363636</v>
      </c>
    </row>
    <row r="218" customFormat="false" ht="12.75" hidden="false" customHeight="false" outlineLevel="0" collapsed="false">
      <c r="B218" s="305" t="s">
        <v>428</v>
      </c>
      <c r="C218" s="305" t="s">
        <v>533</v>
      </c>
      <c r="D218" s="306" t="n">
        <v>567</v>
      </c>
      <c r="E218" s="306" t="n">
        <v>0</v>
      </c>
      <c r="F218" s="306" t="s">
        <v>514</v>
      </c>
      <c r="G218" s="307" t="n">
        <v>48</v>
      </c>
      <c r="H218" s="308" t="n">
        <v>536.363636363636</v>
      </c>
      <c r="I218" s="2"/>
      <c r="J218" s="144" t="s">
        <v>12</v>
      </c>
      <c r="K218" s="309" t="s">
        <v>12</v>
      </c>
      <c r="L218" s="310"/>
      <c r="M218" s="311" t="n">
        <v>169</v>
      </c>
      <c r="N218" s="312" t="n">
        <v>5.2</v>
      </c>
      <c r="O218" s="311" t="n">
        <v>19</v>
      </c>
      <c r="P218" s="312" t="n">
        <v>7.1</v>
      </c>
      <c r="Q218" s="310" t="n">
        <v>19</v>
      </c>
      <c r="R218" s="312" t="n">
        <v>6.7</v>
      </c>
      <c r="S218" s="310"/>
      <c r="T218" s="311" t="n">
        <v>0</v>
      </c>
      <c r="U218" s="312" t="n">
        <v>8.5</v>
      </c>
      <c r="V218" s="311" t="n">
        <v>0</v>
      </c>
      <c r="W218" s="312" t="n">
        <v>6.2</v>
      </c>
      <c r="X218" s="311" t="n">
        <v>0</v>
      </c>
      <c r="Y218" s="312" t="n">
        <v>5</v>
      </c>
      <c r="Z218" s="313" t="n">
        <v>0</v>
      </c>
      <c r="AA218" s="314" t="n">
        <v>6.2</v>
      </c>
      <c r="AB218" s="313" t="n">
        <v>0</v>
      </c>
      <c r="AC218" s="314" t="n">
        <v>6.2</v>
      </c>
      <c r="AD218" s="315"/>
      <c r="AE218" s="144" t="n">
        <v>31</v>
      </c>
      <c r="AF218" s="315"/>
      <c r="AG218" s="311" t="n">
        <v>0</v>
      </c>
      <c r="AH218" s="309" t="n">
        <v>0</v>
      </c>
      <c r="AI218" s="310"/>
      <c r="AJ218" s="311" t="n">
        <v>148</v>
      </c>
      <c r="AK218" s="309" t="n">
        <v>249.6</v>
      </c>
      <c r="AL218" s="311" t="n">
        <v>207</v>
      </c>
      <c r="AM218" s="309" t="n">
        <v>340.8</v>
      </c>
      <c r="AN218" s="311" t="n">
        <v>226</v>
      </c>
      <c r="AO218" s="309" t="n">
        <v>321.6</v>
      </c>
      <c r="AP218" s="310"/>
      <c r="AQ218" s="311" t="n">
        <v>159</v>
      </c>
      <c r="AR218" s="309" t="n">
        <v>408</v>
      </c>
      <c r="AS218" s="311" t="n">
        <v>269</v>
      </c>
      <c r="AT218" s="309" t="n">
        <v>297.6</v>
      </c>
      <c r="AU218" s="311" t="n">
        <v>327</v>
      </c>
      <c r="AV218" s="309" t="n">
        <v>240</v>
      </c>
      <c r="AW218" s="311" t="n">
        <v>269</v>
      </c>
      <c r="AX218" s="309" t="n">
        <v>297.6</v>
      </c>
      <c r="AY218" s="311" t="n">
        <v>269</v>
      </c>
      <c r="AZ218" s="309" t="n">
        <v>297.6</v>
      </c>
      <c r="BB218" s="144" t="n">
        <v>0</v>
      </c>
      <c r="BC218" s="315"/>
      <c r="BD218" s="311" t="n">
        <v>0</v>
      </c>
      <c r="BE218" s="316" t="n">
        <v>0</v>
      </c>
      <c r="BF218" s="310"/>
      <c r="BG218" s="317" t="n">
        <v>0</v>
      </c>
      <c r="BH218" s="318" t="n">
        <v>0</v>
      </c>
      <c r="BI218" s="317" t="n">
        <v>0</v>
      </c>
      <c r="BJ218" s="318" t="n">
        <v>0</v>
      </c>
      <c r="BK218" s="317" t="n">
        <v>0</v>
      </c>
      <c r="BL218" s="318" t="n">
        <v>0</v>
      </c>
      <c r="BM218" s="310"/>
      <c r="BN218" s="317" t="n">
        <v>0</v>
      </c>
      <c r="BO218" s="318" t="n">
        <v>0</v>
      </c>
      <c r="BP218" s="317" t="n">
        <v>0</v>
      </c>
      <c r="BQ218" s="318" t="n">
        <v>0</v>
      </c>
      <c r="BR218" s="317" t="n">
        <v>0</v>
      </c>
      <c r="BS218" s="318" t="n">
        <v>0</v>
      </c>
      <c r="BT218" s="317" t="n">
        <v>0</v>
      </c>
      <c r="BU218" s="318" t="n">
        <v>0</v>
      </c>
      <c r="BV218" s="317" t="n">
        <v>0</v>
      </c>
      <c r="BW218" s="318" t="n">
        <v>0</v>
      </c>
      <c r="BY218" s="143"/>
      <c r="BZ218" s="315"/>
      <c r="CA218" s="144" t="s">
        <v>12</v>
      </c>
      <c r="CB218" s="315"/>
      <c r="CC218" s="144" t="n">
        <v>-117.763636363636</v>
      </c>
      <c r="CD218" s="144" t="n">
        <v>-176.563636363636</v>
      </c>
      <c r="CE218" s="144" t="n">
        <v>-195.763636363636</v>
      </c>
      <c r="CF218" s="315"/>
      <c r="CG218" s="144" t="n">
        <v>-128.363636363636</v>
      </c>
      <c r="CH218" s="144" t="n">
        <v>-238.763636363636</v>
      </c>
      <c r="CI218" s="144" t="n">
        <v>-296.363636363636</v>
      </c>
      <c r="CJ218" s="144" t="n">
        <v>-238.763636363636</v>
      </c>
      <c r="CK218" s="144" t="n">
        <v>-238.763636363636</v>
      </c>
      <c r="CM218" s="144" t="n">
        <v>536.363636363636</v>
      </c>
      <c r="CO218" s="319"/>
      <c r="CP218" s="320"/>
      <c r="CQ218" s="321" t="s">
        <v>12</v>
      </c>
      <c r="CR218" s="320"/>
      <c r="CS218" s="322" t="n">
        <v>-117.763636363636</v>
      </c>
      <c r="CT218" s="322" t="n">
        <v>-176.563636363636</v>
      </c>
      <c r="CU218" s="322" t="n">
        <v>-195.763636363636</v>
      </c>
      <c r="CV218" s="323"/>
      <c r="CW218" s="322" t="n">
        <v>-128.363636363636</v>
      </c>
      <c r="CX218" s="322" t="n">
        <v>-238.763636363636</v>
      </c>
      <c r="CY218" s="322" t="n">
        <v>-296.363636363636</v>
      </c>
      <c r="CZ218" s="322" t="n">
        <v>-238.763636363636</v>
      </c>
      <c r="DA218" s="322" t="n">
        <v>-238.763636363636</v>
      </c>
    </row>
    <row r="219" customFormat="false" ht="12.75" hidden="false" customHeight="false" outlineLevel="0" collapsed="false">
      <c r="B219" s="305" t="s">
        <v>428</v>
      </c>
      <c r="C219" s="327" t="s">
        <v>534</v>
      </c>
      <c r="D219" s="306" t="n">
        <v>876</v>
      </c>
      <c r="E219" s="306" t="n">
        <v>0</v>
      </c>
      <c r="F219" s="324" t="s">
        <v>514</v>
      </c>
      <c r="G219" s="144" t="n">
        <v>24</v>
      </c>
      <c r="H219" s="325" t="n">
        <v>875.206611570248</v>
      </c>
      <c r="I219" s="2"/>
      <c r="J219" s="144" t="s">
        <v>12</v>
      </c>
      <c r="K219" s="309" t="s">
        <v>12</v>
      </c>
      <c r="L219" s="310"/>
      <c r="M219" s="311" t="n">
        <v>339</v>
      </c>
      <c r="N219" s="312" t="n">
        <v>14.5</v>
      </c>
      <c r="O219" s="311" t="n">
        <v>209</v>
      </c>
      <c r="P219" s="312" t="n">
        <v>17.6</v>
      </c>
      <c r="Q219" s="310" t="n">
        <v>209</v>
      </c>
      <c r="R219" s="312" t="n">
        <v>16.8</v>
      </c>
      <c r="S219" s="310"/>
      <c r="T219" s="311" t="n">
        <v>29</v>
      </c>
      <c r="U219" s="312" t="n">
        <v>27.5</v>
      </c>
      <c r="V219" s="311" t="n">
        <v>29</v>
      </c>
      <c r="W219" s="312" t="n">
        <v>23.2</v>
      </c>
      <c r="X219" s="311" t="n">
        <v>29</v>
      </c>
      <c r="Y219" s="312" t="n">
        <v>23.2</v>
      </c>
      <c r="Z219" s="313" t="n">
        <v>29</v>
      </c>
      <c r="AA219" s="314" t="n">
        <v>23.1</v>
      </c>
      <c r="AB219" s="313" t="n">
        <v>29</v>
      </c>
      <c r="AC219" s="314" t="n">
        <v>23.1</v>
      </c>
      <c r="AD219" s="315"/>
      <c r="AE219" s="144" t="n">
        <v>1</v>
      </c>
      <c r="AF219" s="315"/>
      <c r="AG219" s="311" t="n">
        <v>0</v>
      </c>
      <c r="AH219" s="309" t="n">
        <v>0</v>
      </c>
      <c r="AI219" s="310"/>
      <c r="AJ219" s="311" t="n">
        <v>189</v>
      </c>
      <c r="AK219" s="309" t="n">
        <v>348</v>
      </c>
      <c r="AL219" s="311" t="n">
        <v>245</v>
      </c>
      <c r="AM219" s="309" t="n">
        <v>422.4</v>
      </c>
      <c r="AN219" s="310" t="n">
        <v>264</v>
      </c>
      <c r="AO219" s="309" t="n">
        <v>403.2</v>
      </c>
      <c r="AP219" s="310"/>
      <c r="AQ219" s="311" t="n">
        <v>187</v>
      </c>
      <c r="AR219" s="309" t="n">
        <v>660</v>
      </c>
      <c r="AS219" s="311" t="n">
        <v>290</v>
      </c>
      <c r="AT219" s="309" t="n">
        <v>556.8</v>
      </c>
      <c r="AU219" s="310" t="n">
        <v>290</v>
      </c>
      <c r="AV219" s="309" t="n">
        <v>556.8</v>
      </c>
      <c r="AW219" s="310" t="n">
        <v>293</v>
      </c>
      <c r="AX219" s="309" t="n">
        <v>554.4</v>
      </c>
      <c r="AY219" s="310" t="n">
        <v>293</v>
      </c>
      <c r="AZ219" s="309" t="n">
        <v>554.4</v>
      </c>
      <c r="BB219" s="144" t="n">
        <v>0</v>
      </c>
      <c r="BC219" s="315"/>
      <c r="BD219" s="311" t="n">
        <v>0</v>
      </c>
      <c r="BE219" s="316" t="n">
        <v>0</v>
      </c>
      <c r="BF219" s="310"/>
      <c r="BG219" s="317" t="n">
        <v>0</v>
      </c>
      <c r="BH219" s="318" t="n">
        <v>0</v>
      </c>
      <c r="BI219" s="317" t="n">
        <v>0</v>
      </c>
      <c r="BJ219" s="318" t="n">
        <v>0</v>
      </c>
      <c r="BK219" s="317" t="n">
        <v>0</v>
      </c>
      <c r="BL219" s="318" t="n">
        <v>0</v>
      </c>
      <c r="BM219" s="310"/>
      <c r="BN219" s="317" t="n">
        <v>0</v>
      </c>
      <c r="BO219" s="318" t="n">
        <v>0</v>
      </c>
      <c r="BP219" s="317" t="n">
        <v>0</v>
      </c>
      <c r="BQ219" s="318" t="n">
        <v>0</v>
      </c>
      <c r="BR219" s="317" t="n">
        <v>0</v>
      </c>
      <c r="BS219" s="318" t="n">
        <v>0</v>
      </c>
      <c r="BT219" s="317" t="n">
        <v>0</v>
      </c>
      <c r="BU219" s="318" t="n">
        <v>0</v>
      </c>
      <c r="BV219" s="317" t="n">
        <v>0</v>
      </c>
      <c r="BW219" s="318" t="n">
        <v>0</v>
      </c>
      <c r="BY219" s="143"/>
      <c r="BZ219" s="315"/>
      <c r="CA219" s="144" t="s">
        <v>12</v>
      </c>
      <c r="CB219" s="315"/>
      <c r="CC219" s="144" t="n">
        <v>-188.206611570248</v>
      </c>
      <c r="CD219" s="144" t="n">
        <v>-243.806611570248</v>
      </c>
      <c r="CE219" s="144" t="n">
        <v>-263.006611570248</v>
      </c>
      <c r="CF219" s="315"/>
      <c r="CG219" s="144" t="n">
        <v>-186.206611570248</v>
      </c>
      <c r="CH219" s="144" t="n">
        <v>-289.406611570248</v>
      </c>
      <c r="CI219" s="144" t="n">
        <v>-289.406611570248</v>
      </c>
      <c r="CJ219" s="144" t="n">
        <v>-291.806611570248</v>
      </c>
      <c r="CK219" s="144" t="n">
        <v>-291.806611570248</v>
      </c>
      <c r="CM219" s="144" t="n">
        <v>875.206611570248</v>
      </c>
      <c r="CO219" s="319"/>
      <c r="CP219" s="320"/>
      <c r="CQ219" s="321" t="s">
        <v>12</v>
      </c>
      <c r="CR219" s="320"/>
      <c r="CS219" s="322" t="n">
        <v>-188.206611570248</v>
      </c>
      <c r="CT219" s="322" t="n">
        <v>-243.806611570248</v>
      </c>
      <c r="CU219" s="322" t="n">
        <v>-263.006611570248</v>
      </c>
      <c r="CV219" s="323"/>
      <c r="CW219" s="322" t="n">
        <v>-186.206611570248</v>
      </c>
      <c r="CX219" s="322" t="n">
        <v>-289.406611570248</v>
      </c>
      <c r="CY219" s="322" t="n">
        <v>-289.406611570248</v>
      </c>
      <c r="CZ219" s="322" t="n">
        <v>-291.806611570248</v>
      </c>
      <c r="DA219" s="322" t="n">
        <v>-291.806611570248</v>
      </c>
    </row>
    <row r="220" customFormat="false" ht="12.75" hidden="false" customHeight="false" outlineLevel="0" collapsed="false">
      <c r="B220" s="305" t="s">
        <v>428</v>
      </c>
      <c r="C220" s="327" t="s">
        <v>534</v>
      </c>
      <c r="D220" s="306" t="n">
        <v>876</v>
      </c>
      <c r="E220" s="306" t="n">
        <v>0</v>
      </c>
      <c r="F220" s="306" t="s">
        <v>514</v>
      </c>
      <c r="G220" s="307" t="n">
        <v>48</v>
      </c>
      <c r="H220" s="308" t="n">
        <v>875.206611570248</v>
      </c>
      <c r="I220" s="2"/>
      <c r="J220" s="144" t="s">
        <v>12</v>
      </c>
      <c r="K220" s="309" t="s">
        <v>12</v>
      </c>
      <c r="L220" s="310"/>
      <c r="M220" s="311" t="n">
        <v>339</v>
      </c>
      <c r="N220" s="312" t="n">
        <v>7.3</v>
      </c>
      <c r="O220" s="311" t="n">
        <v>209</v>
      </c>
      <c r="P220" s="312" t="n">
        <v>8.8</v>
      </c>
      <c r="Q220" s="310" t="n">
        <v>209</v>
      </c>
      <c r="R220" s="312" t="n">
        <v>8.4</v>
      </c>
      <c r="S220" s="310"/>
      <c r="T220" s="311" t="n">
        <v>29</v>
      </c>
      <c r="U220" s="312" t="n">
        <v>13.8</v>
      </c>
      <c r="V220" s="311" t="n">
        <v>29</v>
      </c>
      <c r="W220" s="312" t="n">
        <v>11.6</v>
      </c>
      <c r="X220" s="311" t="n">
        <v>29</v>
      </c>
      <c r="Y220" s="312" t="n">
        <v>11.6</v>
      </c>
      <c r="Z220" s="313" t="n">
        <v>29</v>
      </c>
      <c r="AA220" s="314" t="n">
        <v>11.6</v>
      </c>
      <c r="AB220" s="313" t="n">
        <v>29</v>
      </c>
      <c r="AC220" s="314" t="n">
        <v>11.6</v>
      </c>
      <c r="AD220" s="315"/>
      <c r="AE220" s="144" t="n">
        <v>1</v>
      </c>
      <c r="AF220" s="315"/>
      <c r="AG220" s="311" t="n">
        <v>0</v>
      </c>
      <c r="AH220" s="309" t="n">
        <v>0</v>
      </c>
      <c r="AI220" s="310"/>
      <c r="AJ220" s="311" t="n">
        <v>187</v>
      </c>
      <c r="AK220" s="309" t="n">
        <v>350.4</v>
      </c>
      <c r="AL220" s="311" t="n">
        <v>245</v>
      </c>
      <c r="AM220" s="309" t="n">
        <v>422.4</v>
      </c>
      <c r="AN220" s="311" t="n">
        <v>264</v>
      </c>
      <c r="AO220" s="309" t="n">
        <v>403.2</v>
      </c>
      <c r="AP220" s="310"/>
      <c r="AQ220" s="311" t="n">
        <v>185</v>
      </c>
      <c r="AR220" s="309" t="n">
        <v>662.4</v>
      </c>
      <c r="AS220" s="311" t="n">
        <v>290</v>
      </c>
      <c r="AT220" s="309" t="n">
        <v>556.8</v>
      </c>
      <c r="AU220" s="311" t="n">
        <v>290</v>
      </c>
      <c r="AV220" s="309" t="n">
        <v>556.8</v>
      </c>
      <c r="AW220" s="311" t="n">
        <v>290</v>
      </c>
      <c r="AX220" s="309" t="n">
        <v>556.8</v>
      </c>
      <c r="AY220" s="311" t="n">
        <v>290</v>
      </c>
      <c r="AZ220" s="309" t="n">
        <v>556.8</v>
      </c>
      <c r="BB220" s="144" t="n">
        <v>0</v>
      </c>
      <c r="BC220" s="315"/>
      <c r="BD220" s="311" t="n">
        <v>0</v>
      </c>
      <c r="BE220" s="316" t="n">
        <v>0</v>
      </c>
      <c r="BF220" s="310"/>
      <c r="BG220" s="317" t="n">
        <v>0</v>
      </c>
      <c r="BH220" s="318" t="n">
        <v>0</v>
      </c>
      <c r="BI220" s="317" t="n">
        <v>0</v>
      </c>
      <c r="BJ220" s="318" t="n">
        <v>0</v>
      </c>
      <c r="BK220" s="317" t="n">
        <v>0</v>
      </c>
      <c r="BL220" s="318" t="n">
        <v>0</v>
      </c>
      <c r="BM220" s="310"/>
      <c r="BN220" s="317" t="n">
        <v>0</v>
      </c>
      <c r="BO220" s="318" t="n">
        <v>0</v>
      </c>
      <c r="BP220" s="317" t="n">
        <v>0</v>
      </c>
      <c r="BQ220" s="318" t="n">
        <v>0</v>
      </c>
      <c r="BR220" s="317" t="n">
        <v>0</v>
      </c>
      <c r="BS220" s="318" t="n">
        <v>0</v>
      </c>
      <c r="BT220" s="317" t="n">
        <v>0</v>
      </c>
      <c r="BU220" s="318" t="n">
        <v>0</v>
      </c>
      <c r="BV220" s="317" t="n">
        <v>0</v>
      </c>
      <c r="BW220" s="318" t="n">
        <v>0</v>
      </c>
      <c r="BY220" s="143"/>
      <c r="BZ220" s="315"/>
      <c r="CA220" s="144" t="s">
        <v>12</v>
      </c>
      <c r="CB220" s="315"/>
      <c r="CC220" s="144" t="n">
        <v>-185.806611570248</v>
      </c>
      <c r="CD220" s="144" t="n">
        <v>-243.806611570248</v>
      </c>
      <c r="CE220" s="144" t="n">
        <v>-263.006611570248</v>
      </c>
      <c r="CF220" s="315"/>
      <c r="CG220" s="144" t="n">
        <v>-183.806611570248</v>
      </c>
      <c r="CH220" s="144" t="n">
        <v>-289.406611570248</v>
      </c>
      <c r="CI220" s="144" t="n">
        <v>-289.406611570248</v>
      </c>
      <c r="CJ220" s="144" t="n">
        <v>-289.406611570248</v>
      </c>
      <c r="CK220" s="144" t="n">
        <v>-289.406611570248</v>
      </c>
      <c r="CM220" s="144" t="n">
        <v>875.206611570248</v>
      </c>
      <c r="CO220" s="319"/>
      <c r="CP220" s="320"/>
      <c r="CQ220" s="321" t="s">
        <v>12</v>
      </c>
      <c r="CR220" s="320"/>
      <c r="CS220" s="322" t="n">
        <v>-185.806611570248</v>
      </c>
      <c r="CT220" s="322" t="n">
        <v>-243.806611570248</v>
      </c>
      <c r="CU220" s="322" t="n">
        <v>-263.006611570248</v>
      </c>
      <c r="CV220" s="323"/>
      <c r="CW220" s="322" t="n">
        <v>-183.806611570248</v>
      </c>
      <c r="CX220" s="322" t="n">
        <v>-289.406611570248</v>
      </c>
      <c r="CY220" s="322" t="n">
        <v>-289.406611570248</v>
      </c>
      <c r="CZ220" s="322" t="n">
        <v>-289.406611570248</v>
      </c>
      <c r="DA220" s="322" t="n">
        <v>-289.406611570248</v>
      </c>
    </row>
    <row r="221" customFormat="false" ht="12.75" hidden="false" customHeight="false" outlineLevel="0" collapsed="false">
      <c r="B221" s="305" t="s">
        <v>497</v>
      </c>
      <c r="C221" s="305" t="s">
        <v>535</v>
      </c>
      <c r="D221" s="306" t="n">
        <v>298</v>
      </c>
      <c r="E221" s="306" t="n">
        <v>0</v>
      </c>
      <c r="F221" s="324" t="s">
        <v>514</v>
      </c>
      <c r="G221" s="144" t="n">
        <v>24</v>
      </c>
      <c r="H221" s="325" t="n">
        <v>247.107438016529</v>
      </c>
      <c r="I221" s="2"/>
      <c r="J221" s="144" t="s">
        <v>12</v>
      </c>
      <c r="K221" s="309" t="s">
        <v>12</v>
      </c>
      <c r="L221" s="310"/>
      <c r="M221" s="311" t="n">
        <v>99</v>
      </c>
      <c r="N221" s="312" t="n">
        <v>5.4</v>
      </c>
      <c r="O221" s="311" t="n">
        <v>19</v>
      </c>
      <c r="P221" s="312" t="n">
        <v>6</v>
      </c>
      <c r="Q221" s="310" t="n">
        <v>19</v>
      </c>
      <c r="R221" s="312" t="n">
        <v>5.2</v>
      </c>
      <c r="S221" s="310"/>
      <c r="T221" s="311" t="n">
        <v>0</v>
      </c>
      <c r="U221" s="312" t="n">
        <v>9.1</v>
      </c>
      <c r="V221" s="311" t="n">
        <v>0</v>
      </c>
      <c r="W221" s="312" t="n">
        <v>5.8</v>
      </c>
      <c r="X221" s="311" t="n">
        <v>0</v>
      </c>
      <c r="Y221" s="312" t="n">
        <v>5.8</v>
      </c>
      <c r="Z221" s="313" t="n">
        <v>0</v>
      </c>
      <c r="AA221" s="314" t="n">
        <v>5.8</v>
      </c>
      <c r="AB221" s="313" t="n">
        <v>0</v>
      </c>
      <c r="AC221" s="314" t="n">
        <v>5.8</v>
      </c>
      <c r="AD221" s="315"/>
      <c r="AE221" s="144" t="n">
        <v>51</v>
      </c>
      <c r="AF221" s="315"/>
      <c r="AG221" s="311" t="n">
        <v>0</v>
      </c>
      <c r="AH221" s="309" t="n">
        <v>0</v>
      </c>
      <c r="AI221" s="310"/>
      <c r="AJ221" s="311" t="n">
        <v>69</v>
      </c>
      <c r="AK221" s="309" t="n">
        <v>129.6</v>
      </c>
      <c r="AL221" s="311" t="n">
        <v>135</v>
      </c>
      <c r="AM221" s="309" t="n">
        <v>144</v>
      </c>
      <c r="AN221" s="310" t="n">
        <v>154</v>
      </c>
      <c r="AO221" s="309" t="n">
        <v>124.8</v>
      </c>
      <c r="AP221" s="310"/>
      <c r="AQ221" s="311" t="n">
        <v>80</v>
      </c>
      <c r="AR221" s="309" t="n">
        <v>218.4</v>
      </c>
      <c r="AS221" s="311" t="n">
        <v>159</v>
      </c>
      <c r="AT221" s="309" t="n">
        <v>139.2</v>
      </c>
      <c r="AU221" s="310" t="n">
        <v>159</v>
      </c>
      <c r="AV221" s="309" t="n">
        <v>139.2</v>
      </c>
      <c r="AW221" s="310" t="n">
        <v>159</v>
      </c>
      <c r="AX221" s="309" t="n">
        <v>139.2</v>
      </c>
      <c r="AY221" s="310" t="n">
        <v>159</v>
      </c>
      <c r="AZ221" s="309" t="n">
        <v>139.2</v>
      </c>
      <c r="BB221" s="144" t="n">
        <v>0</v>
      </c>
      <c r="BC221" s="315"/>
      <c r="BD221" s="311" t="n">
        <v>0</v>
      </c>
      <c r="BE221" s="316" t="n">
        <v>0</v>
      </c>
      <c r="BF221" s="310"/>
      <c r="BG221" s="317" t="n">
        <v>0</v>
      </c>
      <c r="BH221" s="318" t="n">
        <v>0.4</v>
      </c>
      <c r="BI221" s="317" t="n">
        <v>0</v>
      </c>
      <c r="BJ221" s="318" t="n">
        <v>0.8</v>
      </c>
      <c r="BK221" s="317" t="n">
        <v>0</v>
      </c>
      <c r="BL221" s="318" t="n">
        <v>0.6</v>
      </c>
      <c r="BM221" s="310"/>
      <c r="BN221" s="317" t="n">
        <v>0</v>
      </c>
      <c r="BO221" s="318" t="n">
        <v>0</v>
      </c>
      <c r="BP221" s="317" t="n">
        <v>0</v>
      </c>
      <c r="BQ221" s="318" t="n">
        <v>0.600000000000001</v>
      </c>
      <c r="BR221" s="317" t="n">
        <v>0</v>
      </c>
      <c r="BS221" s="318" t="n">
        <v>1.8</v>
      </c>
      <c r="BT221" s="317" t="n">
        <v>0</v>
      </c>
      <c r="BU221" s="318" t="n">
        <v>0.800000000000001</v>
      </c>
      <c r="BV221" s="317" t="n">
        <v>0</v>
      </c>
      <c r="BW221" s="318" t="n">
        <v>0.800000000000001</v>
      </c>
      <c r="BY221" s="143"/>
      <c r="BZ221" s="315"/>
      <c r="CA221" s="144" t="s">
        <v>12</v>
      </c>
      <c r="CB221" s="315"/>
      <c r="CC221" s="144" t="n">
        <v>-18.5074380165289</v>
      </c>
      <c r="CD221" s="144" t="n">
        <v>-84.1074380165289</v>
      </c>
      <c r="CE221" s="144" t="n">
        <v>-103.307438016529</v>
      </c>
      <c r="CF221" s="315"/>
      <c r="CG221" s="144" t="n">
        <v>-28.707438016529</v>
      </c>
      <c r="CH221" s="144" t="n">
        <v>-107.907438016529</v>
      </c>
      <c r="CI221" s="144" t="n">
        <v>-107.907438016529</v>
      </c>
      <c r="CJ221" s="144" t="n">
        <v>-107.907438016529</v>
      </c>
      <c r="CK221" s="144" t="n">
        <v>-107.907438016529</v>
      </c>
      <c r="CM221" s="144" t="n">
        <v>247.107438016529</v>
      </c>
      <c r="CO221" s="319"/>
      <c r="CP221" s="320"/>
      <c r="CQ221" s="321" t="s">
        <v>12</v>
      </c>
      <c r="CR221" s="320"/>
      <c r="CS221" s="322" t="n">
        <v>-18.5074380165289</v>
      </c>
      <c r="CT221" s="322" t="n">
        <v>-84.1074380165289</v>
      </c>
      <c r="CU221" s="322" t="n">
        <v>-103.307438016529</v>
      </c>
      <c r="CV221" s="323"/>
      <c r="CW221" s="322" t="n">
        <v>-28.707438016529</v>
      </c>
      <c r="CX221" s="322" t="n">
        <v>-107.907438016529</v>
      </c>
      <c r="CY221" s="322" t="n">
        <v>-107.907438016529</v>
      </c>
      <c r="CZ221" s="322" t="n">
        <v>-107.907438016529</v>
      </c>
      <c r="DA221" s="322" t="n">
        <v>-107.907438016529</v>
      </c>
    </row>
    <row r="222" customFormat="false" ht="12.75" hidden="false" customHeight="false" outlineLevel="0" collapsed="false">
      <c r="B222" s="305" t="s">
        <v>497</v>
      </c>
      <c r="C222" s="305" t="s">
        <v>535</v>
      </c>
      <c r="D222" s="306" t="n">
        <v>298</v>
      </c>
      <c r="E222" s="306" t="n">
        <v>0</v>
      </c>
      <c r="F222" s="306" t="s">
        <v>514</v>
      </c>
      <c r="G222" s="307" t="n">
        <v>48</v>
      </c>
      <c r="H222" s="308" t="n">
        <v>247.107438016529</v>
      </c>
      <c r="I222" s="2"/>
      <c r="J222" s="144" t="s">
        <v>12</v>
      </c>
      <c r="K222" s="309" t="s">
        <v>12</v>
      </c>
      <c r="L222" s="310"/>
      <c r="M222" s="311" t="n">
        <v>99</v>
      </c>
      <c r="N222" s="312" t="n">
        <v>2.7</v>
      </c>
      <c r="O222" s="311" t="n">
        <v>19</v>
      </c>
      <c r="P222" s="312" t="n">
        <v>3</v>
      </c>
      <c r="Q222" s="310" t="n">
        <v>19</v>
      </c>
      <c r="R222" s="312" t="n">
        <v>2.6</v>
      </c>
      <c r="S222" s="310"/>
      <c r="T222" s="311" t="n">
        <v>0</v>
      </c>
      <c r="U222" s="312" t="n">
        <v>4.6</v>
      </c>
      <c r="V222" s="311" t="n">
        <v>0</v>
      </c>
      <c r="W222" s="312" t="n">
        <v>2.9</v>
      </c>
      <c r="X222" s="311" t="n">
        <v>0</v>
      </c>
      <c r="Y222" s="312" t="n">
        <v>2.9</v>
      </c>
      <c r="Z222" s="313" t="n">
        <v>0</v>
      </c>
      <c r="AA222" s="314" t="n">
        <v>2.9</v>
      </c>
      <c r="AB222" s="313" t="n">
        <v>0</v>
      </c>
      <c r="AC222" s="314" t="n">
        <v>2.9</v>
      </c>
      <c r="AD222" s="315"/>
      <c r="AE222" s="144" t="n">
        <v>51</v>
      </c>
      <c r="AF222" s="315"/>
      <c r="AG222" s="311" t="n">
        <v>0</v>
      </c>
      <c r="AH222" s="309" t="n">
        <v>0</v>
      </c>
      <c r="AI222" s="310"/>
      <c r="AJ222" s="311" t="n">
        <v>69</v>
      </c>
      <c r="AK222" s="309" t="n">
        <v>129.6</v>
      </c>
      <c r="AL222" s="311" t="n">
        <v>135</v>
      </c>
      <c r="AM222" s="309" t="n">
        <v>144</v>
      </c>
      <c r="AN222" s="311" t="n">
        <v>154</v>
      </c>
      <c r="AO222" s="309" t="n">
        <v>124.8</v>
      </c>
      <c r="AP222" s="310"/>
      <c r="AQ222" s="311" t="n">
        <v>77</v>
      </c>
      <c r="AR222" s="309" t="n">
        <v>220.8</v>
      </c>
      <c r="AS222" s="311" t="n">
        <v>159</v>
      </c>
      <c r="AT222" s="309" t="n">
        <v>139.2</v>
      </c>
      <c r="AU222" s="311" t="n">
        <v>159</v>
      </c>
      <c r="AV222" s="309" t="n">
        <v>139.2</v>
      </c>
      <c r="AW222" s="311" t="n">
        <v>159</v>
      </c>
      <c r="AX222" s="309" t="n">
        <v>139.2</v>
      </c>
      <c r="AY222" s="311" t="n">
        <v>159</v>
      </c>
      <c r="AZ222" s="309" t="n">
        <v>139.2</v>
      </c>
      <c r="BB222" s="144" t="n">
        <v>0</v>
      </c>
      <c r="BC222" s="315"/>
      <c r="BD222" s="311" t="n">
        <v>0</v>
      </c>
      <c r="BE222" s="316" t="n">
        <v>0</v>
      </c>
      <c r="BF222" s="310"/>
      <c r="BG222" s="317" t="n">
        <v>0</v>
      </c>
      <c r="BH222" s="318" t="n">
        <v>0</v>
      </c>
      <c r="BI222" s="317" t="n">
        <v>0</v>
      </c>
      <c r="BJ222" s="318" t="n">
        <v>0</v>
      </c>
      <c r="BK222" s="317" t="n">
        <v>0</v>
      </c>
      <c r="BL222" s="318" t="n">
        <v>0</v>
      </c>
      <c r="BM222" s="310"/>
      <c r="BN222" s="317" t="n">
        <v>0</v>
      </c>
      <c r="BO222" s="318" t="n">
        <v>0</v>
      </c>
      <c r="BP222" s="317" t="n">
        <v>0</v>
      </c>
      <c r="BQ222" s="318" t="n">
        <v>0</v>
      </c>
      <c r="BR222" s="317" t="n">
        <v>0</v>
      </c>
      <c r="BS222" s="318" t="n">
        <v>0</v>
      </c>
      <c r="BT222" s="317" t="n">
        <v>0</v>
      </c>
      <c r="BU222" s="318" t="n">
        <v>0</v>
      </c>
      <c r="BV222" s="317" t="n">
        <v>0</v>
      </c>
      <c r="BW222" s="318" t="n">
        <v>0</v>
      </c>
      <c r="BY222" s="143"/>
      <c r="BZ222" s="315"/>
      <c r="CA222" s="144" t="s">
        <v>12</v>
      </c>
      <c r="CB222" s="315"/>
      <c r="CC222" s="144" t="n">
        <v>-18.5074380165289</v>
      </c>
      <c r="CD222" s="144" t="n">
        <v>-84.1074380165289</v>
      </c>
      <c r="CE222" s="144" t="n">
        <v>-103.307438016529</v>
      </c>
      <c r="CF222" s="315"/>
      <c r="CG222" s="144" t="n">
        <v>-26.3074380165289</v>
      </c>
      <c r="CH222" s="144" t="n">
        <v>-107.907438016529</v>
      </c>
      <c r="CI222" s="144" t="n">
        <v>-107.907438016529</v>
      </c>
      <c r="CJ222" s="144" t="n">
        <v>-107.907438016529</v>
      </c>
      <c r="CK222" s="144" t="n">
        <v>-107.907438016529</v>
      </c>
      <c r="CM222" s="144" t="n">
        <v>247.107438016529</v>
      </c>
      <c r="CO222" s="319"/>
      <c r="CP222" s="320"/>
      <c r="CQ222" s="321" t="s">
        <v>12</v>
      </c>
      <c r="CR222" s="320"/>
      <c r="CS222" s="322" t="n">
        <v>-18.5074380165289</v>
      </c>
      <c r="CT222" s="322" t="n">
        <v>-84.1074380165289</v>
      </c>
      <c r="CU222" s="322" t="n">
        <v>-103.307438016529</v>
      </c>
      <c r="CV222" s="323"/>
      <c r="CW222" s="322" t="n">
        <v>-26.3074380165289</v>
      </c>
      <c r="CX222" s="322" t="n">
        <v>-107.907438016529</v>
      </c>
      <c r="CY222" s="322" t="n">
        <v>-107.907438016529</v>
      </c>
      <c r="CZ222" s="322" t="n">
        <v>-107.907438016529</v>
      </c>
      <c r="DA222" s="322" t="n">
        <v>-107.907438016529</v>
      </c>
    </row>
    <row r="223" customFormat="false" ht="12.75" hidden="false" customHeight="false" outlineLevel="0" collapsed="false">
      <c r="B223" s="305" t="s">
        <v>497</v>
      </c>
      <c r="C223" s="305" t="s">
        <v>536</v>
      </c>
      <c r="D223" s="306" t="n">
        <v>445</v>
      </c>
      <c r="E223" s="306" t="n">
        <v>0</v>
      </c>
      <c r="F223" s="324" t="s">
        <v>514</v>
      </c>
      <c r="G223" s="144" t="n">
        <v>24</v>
      </c>
      <c r="H223" s="325" t="n">
        <v>409.917355371901</v>
      </c>
      <c r="I223" s="2"/>
      <c r="J223" s="144" t="s">
        <v>12</v>
      </c>
      <c r="K223" s="309" t="s">
        <v>12</v>
      </c>
      <c r="L223" s="310"/>
      <c r="M223" s="311" t="n">
        <v>139</v>
      </c>
      <c r="N223" s="312" t="n">
        <v>8.5</v>
      </c>
      <c r="O223" s="311" t="n">
        <v>19</v>
      </c>
      <c r="P223" s="312" t="n">
        <v>11</v>
      </c>
      <c r="Q223" s="310" t="n">
        <v>19</v>
      </c>
      <c r="R223" s="312" t="n">
        <v>10.2</v>
      </c>
      <c r="S223" s="310"/>
      <c r="T223" s="311" t="n">
        <v>0</v>
      </c>
      <c r="U223" s="312" t="n">
        <v>13.9</v>
      </c>
      <c r="V223" s="311" t="n">
        <v>0</v>
      </c>
      <c r="W223" s="312" t="n">
        <v>10.7</v>
      </c>
      <c r="X223" s="311" t="n">
        <v>0</v>
      </c>
      <c r="Y223" s="312" t="n">
        <v>10.7</v>
      </c>
      <c r="Z223" s="313" t="n">
        <v>0</v>
      </c>
      <c r="AA223" s="314" t="n">
        <v>10.7</v>
      </c>
      <c r="AB223" s="313" t="n">
        <v>0</v>
      </c>
      <c r="AC223" s="314" t="n">
        <v>10.7</v>
      </c>
      <c r="AD223" s="315"/>
      <c r="AE223" s="144" t="n">
        <v>35</v>
      </c>
      <c r="AF223" s="315"/>
      <c r="AG223" s="311" t="n">
        <v>0</v>
      </c>
      <c r="AH223" s="309" t="n">
        <v>0</v>
      </c>
      <c r="AI223" s="310"/>
      <c r="AJ223" s="311" t="n">
        <v>102</v>
      </c>
      <c r="AK223" s="309" t="n">
        <v>204</v>
      </c>
      <c r="AL223" s="311" t="n">
        <v>162</v>
      </c>
      <c r="AM223" s="309" t="n">
        <v>264</v>
      </c>
      <c r="AN223" s="310" t="n">
        <v>181</v>
      </c>
      <c r="AO223" s="309" t="n">
        <v>244.8</v>
      </c>
      <c r="AP223" s="310"/>
      <c r="AQ223" s="311" t="n">
        <v>111</v>
      </c>
      <c r="AR223" s="309" t="n">
        <v>333.6</v>
      </c>
      <c r="AS223" s="311" t="n">
        <v>188</v>
      </c>
      <c r="AT223" s="309" t="n">
        <v>256.8</v>
      </c>
      <c r="AU223" s="310" t="n">
        <v>188</v>
      </c>
      <c r="AV223" s="309" t="n">
        <v>256.8</v>
      </c>
      <c r="AW223" s="310" t="n">
        <v>188</v>
      </c>
      <c r="AX223" s="309" t="n">
        <v>256.8</v>
      </c>
      <c r="AY223" s="310" t="n">
        <v>188</v>
      </c>
      <c r="AZ223" s="309" t="n">
        <v>256.8</v>
      </c>
      <c r="BB223" s="144" t="n">
        <v>0</v>
      </c>
      <c r="BC223" s="315"/>
      <c r="BD223" s="311" t="n">
        <v>0</v>
      </c>
      <c r="BE223" s="316" t="n">
        <v>0</v>
      </c>
      <c r="BF223" s="310"/>
      <c r="BG223" s="317" t="n">
        <v>0</v>
      </c>
      <c r="BH223" s="318" t="n">
        <v>0.199999999999999</v>
      </c>
      <c r="BI223" s="317" t="n">
        <v>0</v>
      </c>
      <c r="BJ223" s="318" t="n">
        <v>0.799999999999999</v>
      </c>
      <c r="BK223" s="317" t="n">
        <v>0</v>
      </c>
      <c r="BL223" s="318" t="n">
        <v>0.9</v>
      </c>
      <c r="BM223" s="310"/>
      <c r="BN223" s="317" t="n">
        <v>0</v>
      </c>
      <c r="BO223" s="318" t="n">
        <v>-0.200000000000001</v>
      </c>
      <c r="BP223" s="317" t="n">
        <v>0</v>
      </c>
      <c r="BQ223" s="318" t="n">
        <v>0.300000000000001</v>
      </c>
      <c r="BR223" s="317" t="n">
        <v>0</v>
      </c>
      <c r="BS223" s="318" t="n">
        <v>0.700000000000001</v>
      </c>
      <c r="BT223" s="317" t="n">
        <v>0</v>
      </c>
      <c r="BU223" s="318" t="n">
        <v>0.700000000000001</v>
      </c>
      <c r="BV223" s="317" t="n">
        <v>0</v>
      </c>
      <c r="BW223" s="318" t="n">
        <v>0.700000000000001</v>
      </c>
      <c r="BY223" s="143"/>
      <c r="BZ223" s="315"/>
      <c r="CA223" s="144" t="s">
        <v>12</v>
      </c>
      <c r="CB223" s="315"/>
      <c r="CC223" s="144" t="n">
        <v>-66.9173553719008</v>
      </c>
      <c r="CD223" s="144" t="n">
        <v>-126.917355371901</v>
      </c>
      <c r="CE223" s="144" t="n">
        <v>-146.117355371901</v>
      </c>
      <c r="CF223" s="315"/>
      <c r="CG223" s="144" t="n">
        <v>-76.3173553719008</v>
      </c>
      <c r="CH223" s="144" t="n">
        <v>-153.117355371901</v>
      </c>
      <c r="CI223" s="144" t="n">
        <v>-153.117355371901</v>
      </c>
      <c r="CJ223" s="144" t="n">
        <v>-153.117355371901</v>
      </c>
      <c r="CK223" s="144" t="n">
        <v>-153.117355371901</v>
      </c>
      <c r="CM223" s="144" t="n">
        <v>371.074380165289</v>
      </c>
      <c r="CO223" s="319"/>
      <c r="CP223" s="320"/>
      <c r="CQ223" s="321" t="s">
        <v>12</v>
      </c>
      <c r="CR223" s="320"/>
      <c r="CS223" s="322" t="n">
        <v>-28.0743801652893</v>
      </c>
      <c r="CT223" s="322" t="n">
        <v>-88.0743801652893</v>
      </c>
      <c r="CU223" s="322" t="n">
        <v>-107.274380165289</v>
      </c>
      <c r="CV223" s="323"/>
      <c r="CW223" s="322" t="n">
        <v>-37.4743801652892</v>
      </c>
      <c r="CX223" s="322" t="n">
        <v>-114.274380165289</v>
      </c>
      <c r="CY223" s="322" t="n">
        <v>-114.274380165289</v>
      </c>
      <c r="CZ223" s="322" t="n">
        <v>-114.274380165289</v>
      </c>
      <c r="DA223" s="322" t="n">
        <v>-114.274380165289</v>
      </c>
    </row>
    <row r="224" customFormat="false" ht="12.75" hidden="false" customHeight="false" outlineLevel="0" collapsed="false">
      <c r="B224" s="305" t="s">
        <v>497</v>
      </c>
      <c r="C224" s="305" t="s">
        <v>536</v>
      </c>
      <c r="D224" s="306" t="n">
        <v>445</v>
      </c>
      <c r="E224" s="306" t="n">
        <v>0</v>
      </c>
      <c r="F224" s="306" t="s">
        <v>514</v>
      </c>
      <c r="G224" s="307" t="n">
        <v>48</v>
      </c>
      <c r="H224" s="308" t="n">
        <v>409.917355371901</v>
      </c>
      <c r="I224" s="2"/>
      <c r="J224" s="144" t="s">
        <v>12</v>
      </c>
      <c r="K224" s="309" t="s">
        <v>12</v>
      </c>
      <c r="L224" s="310"/>
      <c r="M224" s="311" t="n">
        <v>139</v>
      </c>
      <c r="N224" s="312" t="n">
        <v>4.3</v>
      </c>
      <c r="O224" s="311" t="n">
        <v>19</v>
      </c>
      <c r="P224" s="312" t="n">
        <v>5.5</v>
      </c>
      <c r="Q224" s="310" t="n">
        <v>19</v>
      </c>
      <c r="R224" s="312" t="n">
        <v>5.1</v>
      </c>
      <c r="S224" s="310"/>
      <c r="T224" s="311" t="n">
        <v>0</v>
      </c>
      <c r="U224" s="312" t="n">
        <v>7</v>
      </c>
      <c r="V224" s="311" t="n">
        <v>0</v>
      </c>
      <c r="W224" s="312" t="n">
        <v>5.4</v>
      </c>
      <c r="X224" s="311" t="n">
        <v>0</v>
      </c>
      <c r="Y224" s="312" t="n">
        <v>5.4</v>
      </c>
      <c r="Z224" s="313" t="n">
        <v>0</v>
      </c>
      <c r="AA224" s="314" t="n">
        <v>5.4</v>
      </c>
      <c r="AB224" s="313" t="n">
        <v>0</v>
      </c>
      <c r="AC224" s="314" t="n">
        <v>5.4</v>
      </c>
      <c r="AD224" s="315"/>
      <c r="AE224" s="144" t="n">
        <v>35</v>
      </c>
      <c r="AF224" s="315"/>
      <c r="AG224" s="311" t="n">
        <v>0</v>
      </c>
      <c r="AH224" s="309" t="n">
        <v>0</v>
      </c>
      <c r="AI224" s="310"/>
      <c r="AJ224" s="311" t="n">
        <v>100</v>
      </c>
      <c r="AK224" s="309" t="n">
        <v>206.4</v>
      </c>
      <c r="AL224" s="311" t="n">
        <v>162</v>
      </c>
      <c r="AM224" s="309" t="n">
        <v>264</v>
      </c>
      <c r="AN224" s="311" t="n">
        <v>181</v>
      </c>
      <c r="AO224" s="309" t="n">
        <v>244.8</v>
      </c>
      <c r="AP224" s="310"/>
      <c r="AQ224" s="311" t="n">
        <v>109</v>
      </c>
      <c r="AR224" s="309" t="n">
        <v>336</v>
      </c>
      <c r="AS224" s="311" t="n">
        <v>186</v>
      </c>
      <c r="AT224" s="309" t="n">
        <v>259.2</v>
      </c>
      <c r="AU224" s="311" t="n">
        <v>186</v>
      </c>
      <c r="AV224" s="309" t="n">
        <v>259.2</v>
      </c>
      <c r="AW224" s="311" t="n">
        <v>186</v>
      </c>
      <c r="AX224" s="309" t="n">
        <v>259.2</v>
      </c>
      <c r="AY224" s="311" t="n">
        <v>186</v>
      </c>
      <c r="AZ224" s="309" t="n">
        <v>259.2</v>
      </c>
      <c r="BB224" s="144" t="n">
        <v>0</v>
      </c>
      <c r="BC224" s="315"/>
      <c r="BD224" s="311" t="n">
        <v>0</v>
      </c>
      <c r="BE224" s="316" t="n">
        <v>0</v>
      </c>
      <c r="BF224" s="310"/>
      <c r="BG224" s="317" t="n">
        <v>0</v>
      </c>
      <c r="BH224" s="318" t="n">
        <v>0</v>
      </c>
      <c r="BI224" s="317" t="n">
        <v>0</v>
      </c>
      <c r="BJ224" s="318" t="n">
        <v>0</v>
      </c>
      <c r="BK224" s="317" t="n">
        <v>0</v>
      </c>
      <c r="BL224" s="318" t="n">
        <v>0</v>
      </c>
      <c r="BM224" s="310"/>
      <c r="BN224" s="317" t="n">
        <v>0</v>
      </c>
      <c r="BO224" s="318" t="n">
        <v>0</v>
      </c>
      <c r="BP224" s="317" t="n">
        <v>0</v>
      </c>
      <c r="BQ224" s="318" t="n">
        <v>0</v>
      </c>
      <c r="BR224" s="317" t="n">
        <v>0</v>
      </c>
      <c r="BS224" s="318" t="n">
        <v>0</v>
      </c>
      <c r="BT224" s="317" t="n">
        <v>0</v>
      </c>
      <c r="BU224" s="318" t="n">
        <v>0</v>
      </c>
      <c r="BV224" s="317" t="n">
        <v>0</v>
      </c>
      <c r="BW224" s="318" t="n">
        <v>0</v>
      </c>
      <c r="BY224" s="143"/>
      <c r="BZ224" s="315"/>
      <c r="CA224" s="144" t="s">
        <v>12</v>
      </c>
      <c r="CB224" s="315"/>
      <c r="CC224" s="144" t="n">
        <v>-64.5173553719009</v>
      </c>
      <c r="CD224" s="144" t="n">
        <v>-126.917355371901</v>
      </c>
      <c r="CE224" s="144" t="n">
        <v>-146.117355371901</v>
      </c>
      <c r="CF224" s="315"/>
      <c r="CG224" s="144" t="n">
        <v>-73.9173553719008</v>
      </c>
      <c r="CH224" s="144" t="n">
        <v>-150.717355371901</v>
      </c>
      <c r="CI224" s="144" t="n">
        <v>-150.717355371901</v>
      </c>
      <c r="CJ224" s="144" t="n">
        <v>-150.717355371901</v>
      </c>
      <c r="CK224" s="144" t="n">
        <v>-150.717355371901</v>
      </c>
      <c r="CM224" s="144" t="n">
        <v>371.074380165289</v>
      </c>
      <c r="CO224" s="319"/>
      <c r="CP224" s="320"/>
      <c r="CQ224" s="321" t="s">
        <v>12</v>
      </c>
      <c r="CR224" s="320"/>
      <c r="CS224" s="322" t="n">
        <v>-25.6743801652893</v>
      </c>
      <c r="CT224" s="322" t="n">
        <v>-88.0743801652893</v>
      </c>
      <c r="CU224" s="322" t="n">
        <v>-107.274380165289</v>
      </c>
      <c r="CV224" s="323"/>
      <c r="CW224" s="322" t="n">
        <v>-35.0743801652893</v>
      </c>
      <c r="CX224" s="322" t="n">
        <v>-111.874380165289</v>
      </c>
      <c r="CY224" s="322" t="n">
        <v>-111.874380165289</v>
      </c>
      <c r="CZ224" s="322" t="n">
        <v>-111.874380165289</v>
      </c>
      <c r="DA224" s="322" t="n">
        <v>-111.874380165289</v>
      </c>
    </row>
    <row r="225" customFormat="false" ht="12.75" hidden="false" customHeight="false" outlineLevel="0" collapsed="false">
      <c r="B225" s="305" t="s">
        <v>497</v>
      </c>
      <c r="C225" s="305" t="s">
        <v>537</v>
      </c>
      <c r="D225" s="306" t="n">
        <v>577</v>
      </c>
      <c r="E225" s="306" t="n">
        <v>0</v>
      </c>
      <c r="F225" s="324" t="s">
        <v>514</v>
      </c>
      <c r="G225" s="144" t="n">
        <v>24</v>
      </c>
      <c r="H225" s="325" t="n">
        <v>516.528925619835</v>
      </c>
      <c r="I225" s="2"/>
      <c r="J225" s="144" t="s">
        <v>12</v>
      </c>
      <c r="K225" s="309" t="s">
        <v>12</v>
      </c>
      <c r="L225" s="310"/>
      <c r="M225" s="311" t="n">
        <v>169</v>
      </c>
      <c r="N225" s="312" t="n">
        <v>10.8</v>
      </c>
      <c r="O225" s="311" t="n">
        <v>19</v>
      </c>
      <c r="P225" s="312" t="n">
        <v>14.5</v>
      </c>
      <c r="Q225" s="310" t="n">
        <v>19</v>
      </c>
      <c r="R225" s="312" t="n">
        <v>13.7</v>
      </c>
      <c r="S225" s="310"/>
      <c r="T225" s="311" t="n">
        <v>0</v>
      </c>
      <c r="U225" s="312" t="n">
        <v>17.6</v>
      </c>
      <c r="V225" s="311" t="n">
        <v>0</v>
      </c>
      <c r="W225" s="312" t="n">
        <v>12.5</v>
      </c>
      <c r="X225" s="311" t="n">
        <v>0</v>
      </c>
      <c r="Y225" s="312" t="n">
        <v>12.5</v>
      </c>
      <c r="Z225" s="313" t="n">
        <v>0</v>
      </c>
      <c r="AA225" s="314" t="n">
        <v>12.5</v>
      </c>
      <c r="AB225" s="313" t="n">
        <v>0</v>
      </c>
      <c r="AC225" s="314" t="n">
        <v>12.5</v>
      </c>
      <c r="AD225" s="315"/>
      <c r="AE225" s="144" t="n">
        <v>60</v>
      </c>
      <c r="AF225" s="315"/>
      <c r="AG225" s="311" t="n">
        <v>0</v>
      </c>
      <c r="AH225" s="309" t="n">
        <v>0</v>
      </c>
      <c r="AI225" s="310"/>
      <c r="AJ225" s="311" t="n">
        <v>149</v>
      </c>
      <c r="AK225" s="309" t="n">
        <v>259.2</v>
      </c>
      <c r="AL225" s="311" t="n">
        <v>210</v>
      </c>
      <c r="AM225" s="309" t="n">
        <v>348</v>
      </c>
      <c r="AN225" s="310" t="n">
        <v>229</v>
      </c>
      <c r="AO225" s="309" t="n">
        <v>328.8</v>
      </c>
      <c r="AP225" s="310"/>
      <c r="AQ225" s="311" t="n">
        <v>155</v>
      </c>
      <c r="AR225" s="309" t="n">
        <v>422.4</v>
      </c>
      <c r="AS225" s="311" t="n">
        <v>277</v>
      </c>
      <c r="AT225" s="309" t="n">
        <v>300</v>
      </c>
      <c r="AU225" s="310" t="n">
        <v>277</v>
      </c>
      <c r="AV225" s="309" t="n">
        <v>300</v>
      </c>
      <c r="AW225" s="310" t="n">
        <v>277</v>
      </c>
      <c r="AX225" s="309" t="n">
        <v>300</v>
      </c>
      <c r="AY225" s="310" t="n">
        <v>277</v>
      </c>
      <c r="AZ225" s="309" t="n">
        <v>300</v>
      </c>
      <c r="BB225" s="144" t="n">
        <v>0</v>
      </c>
      <c r="BC225" s="315"/>
      <c r="BD225" s="311" t="n">
        <v>0</v>
      </c>
      <c r="BE225" s="316" t="n">
        <v>0</v>
      </c>
      <c r="BF225" s="310"/>
      <c r="BG225" s="317" t="n">
        <v>0</v>
      </c>
      <c r="BH225" s="318" t="n">
        <v>0.4</v>
      </c>
      <c r="BI225" s="317" t="n">
        <v>0</v>
      </c>
      <c r="BJ225" s="318" t="n">
        <v>0.6</v>
      </c>
      <c r="BK225" s="317" t="n">
        <v>0</v>
      </c>
      <c r="BL225" s="318" t="n">
        <v>0.6</v>
      </c>
      <c r="BM225" s="310"/>
      <c r="BN225" s="317" t="n">
        <v>0</v>
      </c>
      <c r="BO225" s="318" t="n">
        <v>0</v>
      </c>
      <c r="BP225" s="317" t="n">
        <v>0</v>
      </c>
      <c r="BQ225" s="318" t="n">
        <v>-0.5</v>
      </c>
      <c r="BR225" s="317" t="n">
        <v>0</v>
      </c>
      <c r="BS225" s="318" t="n">
        <v>-0.5</v>
      </c>
      <c r="BT225" s="317" t="n">
        <v>0</v>
      </c>
      <c r="BU225" s="318" t="n">
        <v>0</v>
      </c>
      <c r="BV225" s="317" t="n">
        <v>0</v>
      </c>
      <c r="BW225" s="318" t="n">
        <v>0</v>
      </c>
      <c r="BY225" s="143"/>
      <c r="BZ225" s="315"/>
      <c r="CA225" s="144" t="s">
        <v>12</v>
      </c>
      <c r="CB225" s="315"/>
      <c r="CC225" s="144" t="n">
        <v>-88.3289256198347</v>
      </c>
      <c r="CD225" s="144" t="n">
        <v>-149.528925619835</v>
      </c>
      <c r="CE225" s="144" t="n">
        <v>-168.728925619835</v>
      </c>
      <c r="CF225" s="315"/>
      <c r="CG225" s="144" t="n">
        <v>-94.1289256198347</v>
      </c>
      <c r="CH225" s="144" t="n">
        <v>-216.528925619835</v>
      </c>
      <c r="CI225" s="144" t="n">
        <v>-216.528925619835</v>
      </c>
      <c r="CJ225" s="144" t="n">
        <v>-216.528925619835</v>
      </c>
      <c r="CK225" s="144" t="n">
        <v>-216.528925619835</v>
      </c>
      <c r="CM225" s="144" t="n">
        <v>495.04132231405</v>
      </c>
      <c r="CO225" s="319"/>
      <c r="CP225" s="320"/>
      <c r="CQ225" s="321" t="s">
        <v>12</v>
      </c>
      <c r="CR225" s="320"/>
      <c r="CS225" s="322" t="n">
        <v>-66.8413223140495</v>
      </c>
      <c r="CT225" s="322" t="n">
        <v>-128.04132231405</v>
      </c>
      <c r="CU225" s="322" t="n">
        <v>-147.24132231405</v>
      </c>
      <c r="CV225" s="323"/>
      <c r="CW225" s="322" t="n">
        <v>-72.6413223140496</v>
      </c>
      <c r="CX225" s="322" t="n">
        <v>-195.04132231405</v>
      </c>
      <c r="CY225" s="322" t="n">
        <v>-195.04132231405</v>
      </c>
      <c r="CZ225" s="322" t="n">
        <v>-195.04132231405</v>
      </c>
      <c r="DA225" s="322" t="n">
        <v>-195.04132231405</v>
      </c>
    </row>
    <row r="226" customFormat="false" ht="12.75" hidden="false" customHeight="false" outlineLevel="0" collapsed="false">
      <c r="B226" s="305" t="s">
        <v>497</v>
      </c>
      <c r="C226" s="305" t="s">
        <v>537</v>
      </c>
      <c r="D226" s="306" t="n">
        <v>577</v>
      </c>
      <c r="E226" s="306" t="n">
        <v>0</v>
      </c>
      <c r="F226" s="306" t="s">
        <v>514</v>
      </c>
      <c r="G226" s="307" t="n">
        <v>48</v>
      </c>
      <c r="H226" s="308" t="n">
        <v>516.528925619835</v>
      </c>
      <c r="I226" s="2"/>
      <c r="J226" s="144" t="s">
        <v>12</v>
      </c>
      <c r="K226" s="309" t="s">
        <v>12</v>
      </c>
      <c r="L226" s="310"/>
      <c r="M226" s="311" t="n">
        <v>169</v>
      </c>
      <c r="N226" s="312" t="n">
        <v>5.4</v>
      </c>
      <c r="O226" s="311" t="n">
        <v>19</v>
      </c>
      <c r="P226" s="312" t="n">
        <v>7.3</v>
      </c>
      <c r="Q226" s="310" t="n">
        <v>19</v>
      </c>
      <c r="R226" s="312" t="n">
        <v>6.9</v>
      </c>
      <c r="S226" s="310"/>
      <c r="T226" s="311" t="n">
        <v>0</v>
      </c>
      <c r="U226" s="312" t="n">
        <v>8.8</v>
      </c>
      <c r="V226" s="311" t="n">
        <v>0</v>
      </c>
      <c r="W226" s="312" t="n">
        <v>6.3</v>
      </c>
      <c r="X226" s="311" t="n">
        <v>0</v>
      </c>
      <c r="Y226" s="312" t="n">
        <v>6.3</v>
      </c>
      <c r="Z226" s="313" t="n">
        <v>0</v>
      </c>
      <c r="AA226" s="314" t="n">
        <v>6.3</v>
      </c>
      <c r="AB226" s="313" t="n">
        <v>0</v>
      </c>
      <c r="AC226" s="314" t="n">
        <v>6.3</v>
      </c>
      <c r="AD226" s="315"/>
      <c r="AE226" s="144" t="n">
        <v>60</v>
      </c>
      <c r="AF226" s="315"/>
      <c r="AG226" s="311" t="n">
        <v>0</v>
      </c>
      <c r="AH226" s="309" t="n">
        <v>0</v>
      </c>
      <c r="AI226" s="310"/>
      <c r="AJ226" s="311" t="n">
        <v>149</v>
      </c>
      <c r="AK226" s="309" t="n">
        <v>259.2</v>
      </c>
      <c r="AL226" s="311" t="n">
        <v>208</v>
      </c>
      <c r="AM226" s="309" t="n">
        <v>350.4</v>
      </c>
      <c r="AN226" s="311" t="n">
        <v>227</v>
      </c>
      <c r="AO226" s="309" t="n">
        <v>331.2</v>
      </c>
      <c r="AP226" s="310"/>
      <c r="AQ226" s="311" t="n">
        <v>155</v>
      </c>
      <c r="AR226" s="309" t="n">
        <v>422.4</v>
      </c>
      <c r="AS226" s="311" t="n">
        <v>275</v>
      </c>
      <c r="AT226" s="309" t="n">
        <v>302.4</v>
      </c>
      <c r="AU226" s="311" t="n">
        <v>275</v>
      </c>
      <c r="AV226" s="309" t="n">
        <v>302.4</v>
      </c>
      <c r="AW226" s="311" t="n">
        <v>275</v>
      </c>
      <c r="AX226" s="309" t="n">
        <v>302.4</v>
      </c>
      <c r="AY226" s="311" t="n">
        <v>275</v>
      </c>
      <c r="AZ226" s="309" t="n">
        <v>302.4</v>
      </c>
      <c r="BB226" s="144" t="n">
        <v>0</v>
      </c>
      <c r="BC226" s="315"/>
      <c r="BD226" s="311" t="n">
        <v>0</v>
      </c>
      <c r="BE226" s="316" t="n">
        <v>0</v>
      </c>
      <c r="BF226" s="310"/>
      <c r="BG226" s="317" t="n">
        <v>0</v>
      </c>
      <c r="BH226" s="318" t="n">
        <v>0</v>
      </c>
      <c r="BI226" s="317" t="n">
        <v>0</v>
      </c>
      <c r="BJ226" s="318" t="n">
        <v>0</v>
      </c>
      <c r="BK226" s="317" t="n">
        <v>0</v>
      </c>
      <c r="BL226" s="318" t="n">
        <v>0</v>
      </c>
      <c r="BM226" s="310"/>
      <c r="BN226" s="317" t="n">
        <v>0</v>
      </c>
      <c r="BO226" s="318" t="n">
        <v>0</v>
      </c>
      <c r="BP226" s="317" t="n">
        <v>0</v>
      </c>
      <c r="BQ226" s="318" t="n">
        <v>0</v>
      </c>
      <c r="BR226" s="317" t="n">
        <v>0</v>
      </c>
      <c r="BS226" s="318" t="n">
        <v>0</v>
      </c>
      <c r="BT226" s="317" t="n">
        <v>0</v>
      </c>
      <c r="BU226" s="318" t="n">
        <v>0</v>
      </c>
      <c r="BV226" s="317" t="n">
        <v>0</v>
      </c>
      <c r="BW226" s="318" t="n">
        <v>0</v>
      </c>
      <c r="BY226" s="143"/>
      <c r="BZ226" s="315"/>
      <c r="CA226" s="144" t="s">
        <v>12</v>
      </c>
      <c r="CB226" s="315"/>
      <c r="CC226" s="144" t="n">
        <v>-88.3289256198347</v>
      </c>
      <c r="CD226" s="144" t="n">
        <v>-147.128925619835</v>
      </c>
      <c r="CE226" s="144" t="n">
        <v>-166.328925619835</v>
      </c>
      <c r="CF226" s="315"/>
      <c r="CG226" s="144" t="n">
        <v>-94.1289256198347</v>
      </c>
      <c r="CH226" s="144" t="n">
        <v>-214.128925619835</v>
      </c>
      <c r="CI226" s="144" t="n">
        <v>-214.128925619835</v>
      </c>
      <c r="CJ226" s="144" t="n">
        <v>-214.128925619835</v>
      </c>
      <c r="CK226" s="144" t="n">
        <v>-214.128925619835</v>
      </c>
      <c r="CM226" s="144" t="n">
        <v>495.04132231405</v>
      </c>
      <c r="CO226" s="319"/>
      <c r="CP226" s="320"/>
      <c r="CQ226" s="321" t="s">
        <v>12</v>
      </c>
      <c r="CR226" s="320"/>
      <c r="CS226" s="322" t="n">
        <v>-66.8413223140495</v>
      </c>
      <c r="CT226" s="322" t="n">
        <v>-125.64132231405</v>
      </c>
      <c r="CU226" s="322" t="n">
        <v>-144.84132231405</v>
      </c>
      <c r="CV226" s="323"/>
      <c r="CW226" s="322" t="n">
        <v>-72.6413223140496</v>
      </c>
      <c r="CX226" s="322" t="n">
        <v>-192.64132231405</v>
      </c>
      <c r="CY226" s="322" t="n">
        <v>-192.64132231405</v>
      </c>
      <c r="CZ226" s="322" t="n">
        <v>-192.64132231405</v>
      </c>
      <c r="DA226" s="322" t="n">
        <v>-192.64132231405</v>
      </c>
    </row>
    <row r="227" customFormat="false" ht="12.75" hidden="false" customHeight="false" outlineLevel="0" collapsed="false">
      <c r="B227" s="305" t="s">
        <v>497</v>
      </c>
      <c r="C227" s="305" t="s">
        <v>538</v>
      </c>
      <c r="D227" s="306" t="n">
        <v>165</v>
      </c>
      <c r="E227" s="306" t="n">
        <v>0</v>
      </c>
      <c r="F227" s="324" t="s">
        <v>514</v>
      </c>
      <c r="G227" s="144" t="n">
        <v>24</v>
      </c>
      <c r="H227" s="325" t="n">
        <v>158.677685950413</v>
      </c>
      <c r="I227" s="2"/>
      <c r="J227" s="144" t="s">
        <v>12</v>
      </c>
      <c r="K227" s="309" t="s">
        <v>12</v>
      </c>
      <c r="L227" s="310"/>
      <c r="M227" s="311" t="n">
        <v>29</v>
      </c>
      <c r="N227" s="312" t="n">
        <v>4.4</v>
      </c>
      <c r="O227" s="311" t="n">
        <v>0</v>
      </c>
      <c r="P227" s="312" t="n">
        <v>3.1</v>
      </c>
      <c r="Q227" s="310" t="n">
        <v>0</v>
      </c>
      <c r="R227" s="312" t="n">
        <v>2.3</v>
      </c>
      <c r="S227" s="310"/>
      <c r="T227" s="311" t="n">
        <v>0</v>
      </c>
      <c r="U227" s="312" t="n">
        <v>5.4</v>
      </c>
      <c r="V227" s="311" t="n">
        <v>0</v>
      </c>
      <c r="W227" s="312" t="n">
        <v>1</v>
      </c>
      <c r="X227" s="311" t="n">
        <v>0</v>
      </c>
      <c r="Y227" s="312" t="n">
        <v>0.5</v>
      </c>
      <c r="Z227" s="313" t="n">
        <v>0</v>
      </c>
      <c r="AA227" s="314" t="n">
        <v>0.5</v>
      </c>
      <c r="AB227" s="313" t="n">
        <v>0</v>
      </c>
      <c r="AC227" s="314" t="n">
        <v>0.5</v>
      </c>
      <c r="AD227" s="315"/>
      <c r="AE227" s="144" t="n">
        <v>6</v>
      </c>
      <c r="AF227" s="315"/>
      <c r="AG227" s="311" t="n">
        <v>0</v>
      </c>
      <c r="AH227" s="309" t="n">
        <v>0</v>
      </c>
      <c r="AI227" s="310"/>
      <c r="AJ227" s="311" t="n">
        <v>30</v>
      </c>
      <c r="AK227" s="309" t="n">
        <v>105.6</v>
      </c>
      <c r="AL227" s="311" t="n">
        <v>91</v>
      </c>
      <c r="AM227" s="309" t="n">
        <v>74.4</v>
      </c>
      <c r="AN227" s="310" t="n">
        <v>110</v>
      </c>
      <c r="AO227" s="309" t="n">
        <v>55.2</v>
      </c>
      <c r="AP227" s="310"/>
      <c r="AQ227" s="311" t="n">
        <v>35</v>
      </c>
      <c r="AR227" s="309" t="n">
        <v>129.6</v>
      </c>
      <c r="AS227" s="311" t="n">
        <v>141</v>
      </c>
      <c r="AT227" s="309" t="n">
        <v>24</v>
      </c>
      <c r="AU227" s="310" t="n">
        <v>153</v>
      </c>
      <c r="AV227" s="309" t="n">
        <v>12</v>
      </c>
      <c r="AW227" s="310" t="n">
        <v>153</v>
      </c>
      <c r="AX227" s="309" t="n">
        <v>12</v>
      </c>
      <c r="AY227" s="310" t="n">
        <v>153</v>
      </c>
      <c r="AZ227" s="309" t="n">
        <v>12</v>
      </c>
      <c r="BB227" s="144" t="n">
        <v>0</v>
      </c>
      <c r="BC227" s="315"/>
      <c r="BD227" s="311" t="n">
        <v>0</v>
      </c>
      <c r="BE227" s="316" t="n">
        <v>0</v>
      </c>
      <c r="BF227" s="310"/>
      <c r="BG227" s="317" t="n">
        <v>0</v>
      </c>
      <c r="BH227" s="318" t="n">
        <v>0.2</v>
      </c>
      <c r="BI227" s="317" t="n">
        <v>0</v>
      </c>
      <c r="BJ227" s="318" t="n">
        <v>0.8</v>
      </c>
      <c r="BK227" s="317" t="n">
        <v>0</v>
      </c>
      <c r="BL227" s="318" t="n">
        <v>1</v>
      </c>
      <c r="BM227" s="310"/>
      <c r="BN227" s="317" t="n">
        <v>0</v>
      </c>
      <c r="BO227" s="318" t="n">
        <v>0</v>
      </c>
      <c r="BP227" s="317" t="n">
        <v>0</v>
      </c>
      <c r="BQ227" s="318" t="n">
        <v>0</v>
      </c>
      <c r="BR227" s="317" t="n">
        <v>0</v>
      </c>
      <c r="BS227" s="318" t="n">
        <v>0</v>
      </c>
      <c r="BT227" s="317" t="n">
        <v>0</v>
      </c>
      <c r="BU227" s="318" t="n">
        <v>0</v>
      </c>
      <c r="BV227" s="317" t="n">
        <v>0</v>
      </c>
      <c r="BW227" s="318" t="n">
        <v>0</v>
      </c>
      <c r="BY227" s="143"/>
      <c r="BZ227" s="315"/>
      <c r="CA227" s="144" t="s">
        <v>12</v>
      </c>
      <c r="CB227" s="315"/>
      <c r="CC227" s="144" t="n">
        <v>-24.0776859504132</v>
      </c>
      <c r="CD227" s="144" t="n">
        <v>-84.2776859504132</v>
      </c>
      <c r="CE227" s="144" t="n">
        <v>-103.477685950413</v>
      </c>
      <c r="CF227" s="315"/>
      <c r="CG227" s="144" t="n">
        <v>-29.0776859504132</v>
      </c>
      <c r="CH227" s="144" t="n">
        <v>-134.677685950413</v>
      </c>
      <c r="CI227" s="144" t="n">
        <v>-146.677685950413</v>
      </c>
      <c r="CJ227" s="144" t="n">
        <v>-146.677685950413</v>
      </c>
      <c r="CK227" s="144" t="n">
        <v>-146.677685950413</v>
      </c>
      <c r="CM227" s="144" t="n">
        <v>139.669421487603</v>
      </c>
      <c r="CO227" s="319"/>
      <c r="CP227" s="320"/>
      <c r="CQ227" s="321" t="s">
        <v>12</v>
      </c>
      <c r="CR227" s="320"/>
      <c r="CS227" s="322" t="n">
        <v>-5.06942148760328</v>
      </c>
      <c r="CT227" s="322" t="n">
        <v>-65.2694214876033</v>
      </c>
      <c r="CU227" s="322" t="n">
        <v>-84.4694214876033</v>
      </c>
      <c r="CV227" s="323"/>
      <c r="CW227" s="322" t="n">
        <v>-10.0694214876033</v>
      </c>
      <c r="CX227" s="322" t="n">
        <v>-115.669421487603</v>
      </c>
      <c r="CY227" s="322" t="n">
        <v>-127.669421487603</v>
      </c>
      <c r="CZ227" s="322" t="n">
        <v>-127.669421487603</v>
      </c>
      <c r="DA227" s="322" t="n">
        <v>-127.669421487603</v>
      </c>
    </row>
    <row r="228" customFormat="false" ht="12.75" hidden="false" customHeight="false" outlineLevel="0" collapsed="false">
      <c r="B228" s="305" t="s">
        <v>497</v>
      </c>
      <c r="C228" s="327" t="s">
        <v>539</v>
      </c>
      <c r="D228" s="306" t="n">
        <v>981</v>
      </c>
      <c r="E228" s="306" t="n">
        <v>0</v>
      </c>
      <c r="F228" s="306" t="s">
        <v>514</v>
      </c>
      <c r="G228" s="307" t="n">
        <v>24</v>
      </c>
      <c r="H228" s="308" t="n">
        <v>980.165289256198</v>
      </c>
      <c r="I228" s="2"/>
      <c r="J228" s="144" t="s">
        <v>12</v>
      </c>
      <c r="K228" s="309" t="s">
        <v>12</v>
      </c>
      <c r="L228" s="310"/>
      <c r="M228" s="311" t="n">
        <v>419</v>
      </c>
      <c r="N228" s="312" t="n">
        <v>17.4</v>
      </c>
      <c r="O228" s="311" t="n">
        <v>249</v>
      </c>
      <c r="P228" s="312" t="n">
        <v>22</v>
      </c>
      <c r="Q228" s="310" t="n">
        <v>249</v>
      </c>
      <c r="R228" s="312" t="n">
        <v>21.1</v>
      </c>
      <c r="S228" s="310"/>
      <c r="T228" s="311" t="n">
        <v>39</v>
      </c>
      <c r="U228" s="312" t="n">
        <v>33.3</v>
      </c>
      <c r="V228" s="311" t="n">
        <v>39</v>
      </c>
      <c r="W228" s="312" t="n">
        <v>28.1</v>
      </c>
      <c r="X228" s="311" t="n">
        <v>39</v>
      </c>
      <c r="Y228" s="312" t="n">
        <v>28.1</v>
      </c>
      <c r="Z228" s="313" t="n">
        <v>39</v>
      </c>
      <c r="AA228" s="314" t="n">
        <v>28.1</v>
      </c>
      <c r="AB228" s="313" t="n">
        <v>39</v>
      </c>
      <c r="AC228" s="314" t="n">
        <v>28.1</v>
      </c>
      <c r="AD228" s="315"/>
      <c r="AE228" s="144" t="n">
        <v>1</v>
      </c>
      <c r="AF228" s="315"/>
      <c r="AG228" s="311" t="n">
        <v>0</v>
      </c>
      <c r="AH228" s="309" t="n">
        <v>0</v>
      </c>
      <c r="AI228" s="310"/>
      <c r="AJ228" s="311" t="n">
        <v>144</v>
      </c>
      <c r="AK228" s="309" t="n">
        <v>417.6</v>
      </c>
      <c r="AL228" s="311" t="n">
        <v>204</v>
      </c>
      <c r="AM228" s="309" t="n">
        <v>528</v>
      </c>
      <c r="AN228" s="311" t="n">
        <v>226</v>
      </c>
      <c r="AO228" s="309" t="n">
        <v>506.4</v>
      </c>
      <c r="AP228" s="310"/>
      <c r="AQ228" s="311" t="n">
        <v>143</v>
      </c>
      <c r="AR228" s="309" t="n">
        <v>799.2</v>
      </c>
      <c r="AS228" s="311" t="n">
        <v>268</v>
      </c>
      <c r="AT228" s="309" t="n">
        <v>674.4</v>
      </c>
      <c r="AU228" s="311" t="n">
        <v>268</v>
      </c>
      <c r="AV228" s="309" t="n">
        <v>674.4</v>
      </c>
      <c r="AW228" s="311" t="n">
        <v>268</v>
      </c>
      <c r="AX228" s="309" t="n">
        <v>674.4</v>
      </c>
      <c r="AY228" s="311" t="n">
        <v>268</v>
      </c>
      <c r="AZ228" s="309" t="n">
        <v>674.4</v>
      </c>
      <c r="BB228" s="144" t="n">
        <v>0</v>
      </c>
      <c r="BC228" s="315"/>
      <c r="BD228" s="311" t="n">
        <v>0</v>
      </c>
      <c r="BE228" s="316" t="n">
        <v>0</v>
      </c>
      <c r="BF228" s="310"/>
      <c r="BG228" s="317" t="n">
        <v>0</v>
      </c>
      <c r="BH228" s="318" t="n">
        <v>0</v>
      </c>
      <c r="BI228" s="317" t="n">
        <v>0</v>
      </c>
      <c r="BJ228" s="318" t="n">
        <v>0</v>
      </c>
      <c r="BK228" s="317" t="n">
        <v>0</v>
      </c>
      <c r="BL228" s="318" t="n">
        <v>0</v>
      </c>
      <c r="BM228" s="310"/>
      <c r="BN228" s="317" t="n">
        <v>0</v>
      </c>
      <c r="BO228" s="318" t="n">
        <v>0</v>
      </c>
      <c r="BP228" s="317" t="n">
        <v>0</v>
      </c>
      <c r="BQ228" s="318" t="n">
        <v>0</v>
      </c>
      <c r="BR228" s="317" t="n">
        <v>0</v>
      </c>
      <c r="BS228" s="318" t="n">
        <v>0</v>
      </c>
      <c r="BT228" s="317" t="n">
        <v>0</v>
      </c>
      <c r="BU228" s="318" t="n">
        <v>0</v>
      </c>
      <c r="BV228" s="317" t="n">
        <v>0</v>
      </c>
      <c r="BW228" s="318" t="n">
        <v>0</v>
      </c>
      <c r="BY228" s="143"/>
      <c r="BZ228" s="315"/>
      <c r="CA228" s="144" t="s">
        <v>12</v>
      </c>
      <c r="CB228" s="315"/>
      <c r="CC228" s="144" t="n">
        <v>-143.565289256198</v>
      </c>
      <c r="CD228" s="144" t="n">
        <v>-203.165289256198</v>
      </c>
      <c r="CE228" s="144" t="n">
        <v>-224.765289256198</v>
      </c>
      <c r="CF228" s="315"/>
      <c r="CG228" s="144" t="n">
        <v>-141.965289256198</v>
      </c>
      <c r="CH228" s="144" t="n">
        <v>-266.765289256198</v>
      </c>
      <c r="CI228" s="144" t="n">
        <v>-266.765289256198</v>
      </c>
      <c r="CJ228" s="144" t="n">
        <v>-266.765289256198</v>
      </c>
      <c r="CK228" s="144" t="n">
        <v>-266.765289256198</v>
      </c>
      <c r="CM228" s="144" t="n">
        <v>825.619834710744</v>
      </c>
      <c r="CO228" s="319"/>
      <c r="CP228" s="320"/>
      <c r="CQ228" s="321" t="s">
        <v>12</v>
      </c>
      <c r="CR228" s="320"/>
      <c r="CS228" s="322" t="n">
        <v>10.9801652892562</v>
      </c>
      <c r="CT228" s="322" t="n">
        <v>-48.6198347107438</v>
      </c>
      <c r="CU228" s="322" t="n">
        <v>-70.2198347107437</v>
      </c>
      <c r="CV228" s="323"/>
      <c r="CW228" s="322" t="n">
        <v>12.5801652892562</v>
      </c>
      <c r="CX228" s="322" t="n">
        <v>-112.219834710744</v>
      </c>
      <c r="CY228" s="322" t="n">
        <v>-112.219834710744</v>
      </c>
      <c r="CZ228" s="322" t="n">
        <v>-112.219834710744</v>
      </c>
      <c r="DA228" s="322" t="n">
        <v>-112.219834710744</v>
      </c>
    </row>
    <row r="229" customFormat="false" ht="12.75" hidden="false" customHeight="false" outlineLevel="0" collapsed="false">
      <c r="B229" s="305" t="s">
        <v>497</v>
      </c>
      <c r="C229" s="327" t="s">
        <v>539</v>
      </c>
      <c r="D229" s="306" t="n">
        <v>981</v>
      </c>
      <c r="E229" s="306" t="n">
        <v>0</v>
      </c>
      <c r="F229" s="324" t="s">
        <v>514</v>
      </c>
      <c r="G229" s="144" t="n">
        <v>48</v>
      </c>
      <c r="H229" s="325" t="n">
        <v>980.165289256198</v>
      </c>
      <c r="I229" s="2"/>
      <c r="J229" s="144" t="s">
        <v>12</v>
      </c>
      <c r="K229" s="309" t="s">
        <v>12</v>
      </c>
      <c r="L229" s="310"/>
      <c r="M229" s="311" t="n">
        <v>419</v>
      </c>
      <c r="N229" s="312" t="n">
        <v>8.7</v>
      </c>
      <c r="O229" s="311" t="n">
        <v>249</v>
      </c>
      <c r="P229" s="312" t="n">
        <v>11</v>
      </c>
      <c r="Q229" s="310" t="n">
        <v>249</v>
      </c>
      <c r="R229" s="312" t="n">
        <v>10.6</v>
      </c>
      <c r="S229" s="310"/>
      <c r="T229" s="311" t="n">
        <v>39</v>
      </c>
      <c r="U229" s="312" t="n">
        <v>16.7</v>
      </c>
      <c r="V229" s="311" t="n">
        <v>39</v>
      </c>
      <c r="W229" s="312" t="n">
        <v>14.1</v>
      </c>
      <c r="X229" s="311" t="n">
        <v>39</v>
      </c>
      <c r="Y229" s="312" t="n">
        <v>14.1</v>
      </c>
      <c r="Z229" s="313" t="n">
        <v>39</v>
      </c>
      <c r="AA229" s="314" t="n">
        <v>14.1</v>
      </c>
      <c r="AB229" s="313" t="n">
        <v>39</v>
      </c>
      <c r="AC229" s="314" t="n">
        <v>14.1</v>
      </c>
      <c r="AD229" s="315"/>
      <c r="AE229" s="144" t="n">
        <v>1</v>
      </c>
      <c r="AF229" s="315"/>
      <c r="AG229" s="311" t="n">
        <v>0</v>
      </c>
      <c r="AH229" s="309" t="n">
        <v>0</v>
      </c>
      <c r="AI229" s="310"/>
      <c r="AJ229" s="311" t="n">
        <v>144</v>
      </c>
      <c r="AK229" s="309" t="n">
        <v>417.6</v>
      </c>
      <c r="AL229" s="311" t="n">
        <v>204</v>
      </c>
      <c r="AM229" s="309" t="n">
        <v>528</v>
      </c>
      <c r="AN229" s="310" t="n">
        <v>223</v>
      </c>
      <c r="AO229" s="309" t="n">
        <v>508.8</v>
      </c>
      <c r="AP229" s="310"/>
      <c r="AQ229" s="311" t="n">
        <v>140</v>
      </c>
      <c r="AR229" s="309" t="n">
        <v>801.6</v>
      </c>
      <c r="AS229" s="311" t="n">
        <v>265</v>
      </c>
      <c r="AT229" s="309" t="n">
        <v>676.8</v>
      </c>
      <c r="AU229" s="310" t="n">
        <v>265</v>
      </c>
      <c r="AV229" s="309" t="n">
        <v>676.8</v>
      </c>
      <c r="AW229" s="310" t="n">
        <v>265</v>
      </c>
      <c r="AX229" s="309" t="n">
        <v>676.8</v>
      </c>
      <c r="AY229" s="310" t="n">
        <v>265</v>
      </c>
      <c r="AZ229" s="309" t="n">
        <v>676.8</v>
      </c>
      <c r="BB229" s="144" t="n">
        <v>0</v>
      </c>
      <c r="BC229" s="315"/>
      <c r="BD229" s="311" t="n">
        <v>0</v>
      </c>
      <c r="BE229" s="316" t="n">
        <v>0</v>
      </c>
      <c r="BF229" s="310"/>
      <c r="BG229" s="317" t="n">
        <v>0</v>
      </c>
      <c r="BH229" s="318" t="n">
        <v>0</v>
      </c>
      <c r="BI229" s="317" t="n">
        <v>0</v>
      </c>
      <c r="BJ229" s="318" t="n">
        <v>0</v>
      </c>
      <c r="BK229" s="317" t="n">
        <v>0</v>
      </c>
      <c r="BL229" s="318" t="n">
        <v>0</v>
      </c>
      <c r="BM229" s="310"/>
      <c r="BN229" s="317" t="n">
        <v>0</v>
      </c>
      <c r="BO229" s="318" t="n">
        <v>0</v>
      </c>
      <c r="BP229" s="317" t="n">
        <v>0</v>
      </c>
      <c r="BQ229" s="318" t="n">
        <v>0</v>
      </c>
      <c r="BR229" s="317" t="n">
        <v>0</v>
      </c>
      <c r="BS229" s="318" t="n">
        <v>0</v>
      </c>
      <c r="BT229" s="317" t="n">
        <v>0</v>
      </c>
      <c r="BU229" s="318" t="n">
        <v>0</v>
      </c>
      <c r="BV229" s="317" t="n">
        <v>0</v>
      </c>
      <c r="BW229" s="318" t="n">
        <v>0</v>
      </c>
      <c r="BY229" s="143"/>
      <c r="BZ229" s="315"/>
      <c r="CA229" s="144" t="s">
        <v>12</v>
      </c>
      <c r="CB229" s="315"/>
      <c r="CC229" s="144" t="n">
        <v>-143.565289256198</v>
      </c>
      <c r="CD229" s="144" t="n">
        <v>-203.165289256198</v>
      </c>
      <c r="CE229" s="144" t="n">
        <v>-222.365289256198</v>
      </c>
      <c r="CF229" s="315"/>
      <c r="CG229" s="144" t="n">
        <v>-139.565289256198</v>
      </c>
      <c r="CH229" s="144" t="n">
        <v>-264.365289256198</v>
      </c>
      <c r="CI229" s="144" t="n">
        <v>-264.365289256198</v>
      </c>
      <c r="CJ229" s="144" t="n">
        <v>-264.365289256198</v>
      </c>
      <c r="CK229" s="144" t="n">
        <v>-264.365289256198</v>
      </c>
      <c r="CM229" s="144" t="n">
        <v>825.619834710744</v>
      </c>
      <c r="CO229" s="319"/>
      <c r="CP229" s="320"/>
      <c r="CQ229" s="321" t="s">
        <v>12</v>
      </c>
      <c r="CR229" s="320"/>
      <c r="CS229" s="322" t="n">
        <v>10.9801652892562</v>
      </c>
      <c r="CT229" s="322" t="n">
        <v>-48.6198347107438</v>
      </c>
      <c r="CU229" s="322" t="n">
        <v>-67.8198347107437</v>
      </c>
      <c r="CV229" s="323"/>
      <c r="CW229" s="322" t="n">
        <v>14.9801652892561</v>
      </c>
      <c r="CX229" s="322" t="n">
        <v>-109.819834710744</v>
      </c>
      <c r="CY229" s="322" t="n">
        <v>-109.819834710744</v>
      </c>
      <c r="CZ229" s="322" t="n">
        <v>-109.819834710744</v>
      </c>
      <c r="DA229" s="322" t="n">
        <v>-109.819834710744</v>
      </c>
    </row>
    <row r="230" customFormat="false" ht="12.75" hidden="false" customHeight="false" outlineLevel="0" collapsed="false">
      <c r="B230" s="305" t="s">
        <v>112</v>
      </c>
      <c r="C230" s="305" t="s">
        <v>540</v>
      </c>
      <c r="D230" s="306" t="n">
        <v>623</v>
      </c>
      <c r="E230" s="306" t="n">
        <v>3.75</v>
      </c>
      <c r="F230" s="306" t="s">
        <v>541</v>
      </c>
      <c r="G230" s="307" t="n">
        <v>24</v>
      </c>
      <c r="H230" s="308" t="n">
        <v>622.314049586777</v>
      </c>
      <c r="I230" s="2"/>
      <c r="J230" s="144" t="s">
        <v>12</v>
      </c>
      <c r="K230" s="309" t="s">
        <v>12</v>
      </c>
      <c r="L230" s="310"/>
      <c r="M230" s="311" t="n">
        <v>269</v>
      </c>
      <c r="N230" s="312" t="n">
        <v>11</v>
      </c>
      <c r="O230" s="311" t="n">
        <v>159</v>
      </c>
      <c r="P230" s="312" t="n">
        <v>13.1</v>
      </c>
      <c r="Q230" s="310" t="n">
        <v>159</v>
      </c>
      <c r="R230" s="312" t="n">
        <v>12.2</v>
      </c>
      <c r="S230" s="310"/>
      <c r="T230" s="311" t="n">
        <v>0</v>
      </c>
      <c r="U230" s="312" t="n">
        <v>22</v>
      </c>
      <c r="V230" s="311" t="n">
        <v>0</v>
      </c>
      <c r="W230" s="312" t="n">
        <v>21.1</v>
      </c>
      <c r="X230" s="311" t="n">
        <v>0</v>
      </c>
      <c r="Y230" s="312" t="n">
        <v>21.1</v>
      </c>
      <c r="Z230" s="313" t="n">
        <v>0</v>
      </c>
      <c r="AA230" s="314" t="n">
        <v>19.6</v>
      </c>
      <c r="AB230" s="313" t="n">
        <v>0</v>
      </c>
      <c r="AC230" s="314" t="n">
        <v>19.6</v>
      </c>
      <c r="AD230" s="315"/>
      <c r="AE230" s="144" t="n">
        <v>1</v>
      </c>
      <c r="AF230" s="315"/>
      <c r="AG230" s="311" t="n">
        <v>0</v>
      </c>
      <c r="AH230" s="309" t="n">
        <v>0</v>
      </c>
      <c r="AI230" s="310"/>
      <c r="AJ230" s="311" t="n">
        <v>90</v>
      </c>
      <c r="AK230" s="309" t="n">
        <v>264</v>
      </c>
      <c r="AL230" s="311" t="n">
        <v>150</v>
      </c>
      <c r="AM230" s="309" t="n">
        <v>314.4</v>
      </c>
      <c r="AN230" s="311" t="n">
        <v>171</v>
      </c>
      <c r="AO230" s="309" t="n">
        <v>292.8</v>
      </c>
      <c r="AP230" s="310"/>
      <c r="AQ230" s="311" t="n">
        <v>95</v>
      </c>
      <c r="AR230" s="309" t="n">
        <v>528</v>
      </c>
      <c r="AS230" s="311" t="n">
        <v>117</v>
      </c>
      <c r="AT230" s="309" t="n">
        <v>506.4</v>
      </c>
      <c r="AU230" s="311" t="n">
        <v>117</v>
      </c>
      <c r="AV230" s="309" t="n">
        <v>506.4</v>
      </c>
      <c r="AW230" s="311" t="n">
        <v>153</v>
      </c>
      <c r="AX230" s="309" t="n">
        <v>470.4</v>
      </c>
      <c r="AY230" s="311" t="n">
        <v>153</v>
      </c>
      <c r="AZ230" s="309" t="n">
        <v>470.4</v>
      </c>
      <c r="BB230" s="144" t="n">
        <v>0</v>
      </c>
      <c r="BC230" s="315"/>
      <c r="BD230" s="311" t="n">
        <v>0</v>
      </c>
      <c r="BE230" s="316" t="n">
        <v>0</v>
      </c>
      <c r="BF230" s="310"/>
      <c r="BG230" s="317" t="n">
        <v>0</v>
      </c>
      <c r="BH230" s="318" t="n">
        <v>0.399999999999999</v>
      </c>
      <c r="BI230" s="317" t="n">
        <v>0</v>
      </c>
      <c r="BJ230" s="318" t="n">
        <v>0.9</v>
      </c>
      <c r="BK230" s="317" t="n">
        <v>0</v>
      </c>
      <c r="BL230" s="318" t="n">
        <v>0.800000000000001</v>
      </c>
      <c r="BM230" s="310"/>
      <c r="BN230" s="317" t="n">
        <v>0</v>
      </c>
      <c r="BO230" s="318" t="n">
        <v>0</v>
      </c>
      <c r="BP230" s="317" t="n">
        <v>0</v>
      </c>
      <c r="BQ230" s="318" t="n">
        <v>0</v>
      </c>
      <c r="BR230" s="317" t="n">
        <v>0</v>
      </c>
      <c r="BS230" s="318" t="n">
        <v>1.4</v>
      </c>
      <c r="BT230" s="317" t="n">
        <v>0</v>
      </c>
      <c r="BU230" s="318" t="n">
        <v>0</v>
      </c>
      <c r="BV230" s="317" t="n">
        <v>0</v>
      </c>
      <c r="BW230" s="318" t="n">
        <v>0</v>
      </c>
      <c r="BY230" s="143"/>
      <c r="BZ230" s="315"/>
      <c r="CA230" s="144" t="s">
        <v>12</v>
      </c>
      <c r="CB230" s="315"/>
      <c r="CC230" s="144" t="n">
        <v>-89.3140495867768</v>
      </c>
      <c r="CD230" s="144" t="n">
        <v>-148.914049586777</v>
      </c>
      <c r="CE230" s="144" t="n">
        <v>-170.514049586777</v>
      </c>
      <c r="CF230" s="315"/>
      <c r="CG230" s="144" t="n">
        <v>-94.3140495867768</v>
      </c>
      <c r="CH230" s="144" t="n">
        <v>-115.914049586777</v>
      </c>
      <c r="CI230" s="144" t="n">
        <v>-115.914049586777</v>
      </c>
      <c r="CJ230" s="144" t="n">
        <v>-151.914049586777</v>
      </c>
      <c r="CK230" s="144" t="n">
        <v>-151.914049586777</v>
      </c>
      <c r="CM230" s="144" t="n">
        <v>577.685950413223</v>
      </c>
      <c r="CO230" s="319"/>
      <c r="CP230" s="320"/>
      <c r="CQ230" s="321" t="s">
        <v>12</v>
      </c>
      <c r="CR230" s="320"/>
      <c r="CS230" s="322" t="n">
        <v>-44.6859504132232</v>
      </c>
      <c r="CT230" s="322" t="n">
        <v>-104.285950413223</v>
      </c>
      <c r="CU230" s="322" t="n">
        <v>-125.885950413223</v>
      </c>
      <c r="CV230" s="323"/>
      <c r="CW230" s="322" t="n">
        <v>-49.6859504132232</v>
      </c>
      <c r="CX230" s="322" t="n">
        <v>-71.2859504132231</v>
      </c>
      <c r="CY230" s="322" t="n">
        <v>-71.2859504132231</v>
      </c>
      <c r="CZ230" s="322" t="n">
        <v>-107.285950413223</v>
      </c>
      <c r="DA230" s="322" t="n">
        <v>-107.285950413223</v>
      </c>
    </row>
    <row r="231" customFormat="false" ht="12.75" hidden="false" customHeight="false" outlineLevel="0" collapsed="false">
      <c r="B231" s="305" t="s">
        <v>112</v>
      </c>
      <c r="C231" s="305" t="s">
        <v>540</v>
      </c>
      <c r="D231" s="306" t="n">
        <v>623</v>
      </c>
      <c r="E231" s="306" t="n">
        <v>3.75</v>
      </c>
      <c r="F231" s="324" t="s">
        <v>541</v>
      </c>
      <c r="G231" s="144" t="n">
        <v>48</v>
      </c>
      <c r="H231" s="325" t="n">
        <v>622.314049586777</v>
      </c>
      <c r="I231" s="2"/>
      <c r="J231" s="144" t="s">
        <v>12</v>
      </c>
      <c r="K231" s="309" t="s">
        <v>12</v>
      </c>
      <c r="L231" s="310"/>
      <c r="M231" s="311" t="n">
        <v>269</v>
      </c>
      <c r="N231" s="312" t="n">
        <v>5.5</v>
      </c>
      <c r="O231" s="311" t="n">
        <v>159</v>
      </c>
      <c r="P231" s="312" t="n">
        <v>6.6</v>
      </c>
      <c r="Q231" s="310" t="n">
        <v>159</v>
      </c>
      <c r="R231" s="312" t="n">
        <v>6.1</v>
      </c>
      <c r="S231" s="310"/>
      <c r="T231" s="311" t="n">
        <v>0</v>
      </c>
      <c r="U231" s="312" t="n">
        <v>11</v>
      </c>
      <c r="V231" s="311" t="n">
        <v>0</v>
      </c>
      <c r="W231" s="312" t="n">
        <v>10.6</v>
      </c>
      <c r="X231" s="311" t="n">
        <v>0</v>
      </c>
      <c r="Y231" s="312" t="n">
        <v>10.6</v>
      </c>
      <c r="Z231" s="313" t="n">
        <v>0</v>
      </c>
      <c r="AA231" s="314" t="n">
        <v>9.8</v>
      </c>
      <c r="AB231" s="313" t="n">
        <v>0</v>
      </c>
      <c r="AC231" s="314" t="n">
        <v>9.8</v>
      </c>
      <c r="AD231" s="315"/>
      <c r="AE231" s="144" t="n">
        <v>1</v>
      </c>
      <c r="AF231" s="315"/>
      <c r="AG231" s="311" t="n">
        <v>0</v>
      </c>
      <c r="AH231" s="309" t="n">
        <v>0</v>
      </c>
      <c r="AI231" s="310"/>
      <c r="AJ231" s="311" t="n">
        <v>90</v>
      </c>
      <c r="AK231" s="309" t="n">
        <v>264</v>
      </c>
      <c r="AL231" s="311" t="n">
        <v>147</v>
      </c>
      <c r="AM231" s="309" t="n">
        <v>316.8</v>
      </c>
      <c r="AN231" s="310" t="n">
        <v>171</v>
      </c>
      <c r="AO231" s="309" t="n">
        <v>292.8</v>
      </c>
      <c r="AP231" s="310"/>
      <c r="AQ231" s="311" t="n">
        <v>95</v>
      </c>
      <c r="AR231" s="309" t="n">
        <v>528</v>
      </c>
      <c r="AS231" s="311" t="n">
        <v>114</v>
      </c>
      <c r="AT231" s="309" t="n">
        <v>508.8</v>
      </c>
      <c r="AU231" s="310" t="n">
        <v>114</v>
      </c>
      <c r="AV231" s="309" t="n">
        <v>508.8</v>
      </c>
      <c r="AW231" s="310" t="n">
        <v>153</v>
      </c>
      <c r="AX231" s="309" t="n">
        <v>470.4</v>
      </c>
      <c r="AY231" s="310" t="n">
        <v>153</v>
      </c>
      <c r="AZ231" s="309" t="n">
        <v>470.4</v>
      </c>
      <c r="BB231" s="144" t="n">
        <v>0</v>
      </c>
      <c r="BC231" s="315"/>
      <c r="BD231" s="311" t="n">
        <v>0</v>
      </c>
      <c r="BE231" s="316" t="n">
        <v>0</v>
      </c>
      <c r="BF231" s="310"/>
      <c r="BG231" s="317" t="n">
        <v>0</v>
      </c>
      <c r="BH231" s="318" t="n">
        <v>0</v>
      </c>
      <c r="BI231" s="317" t="n">
        <v>0</v>
      </c>
      <c r="BJ231" s="318" t="n">
        <v>0</v>
      </c>
      <c r="BK231" s="317" t="n">
        <v>0</v>
      </c>
      <c r="BL231" s="318" t="n">
        <v>0</v>
      </c>
      <c r="BM231" s="310"/>
      <c r="BN231" s="317" t="n">
        <v>0</v>
      </c>
      <c r="BO231" s="318" t="n">
        <v>0</v>
      </c>
      <c r="BP231" s="317" t="n">
        <v>0</v>
      </c>
      <c r="BQ231" s="318" t="n">
        <v>0</v>
      </c>
      <c r="BR231" s="317" t="n">
        <v>0</v>
      </c>
      <c r="BS231" s="318" t="n">
        <v>0</v>
      </c>
      <c r="BT231" s="317" t="n">
        <v>0</v>
      </c>
      <c r="BU231" s="318" t="n">
        <v>0</v>
      </c>
      <c r="BV231" s="317" t="n">
        <v>0</v>
      </c>
      <c r="BW231" s="318" t="n">
        <v>0</v>
      </c>
      <c r="BY231" s="143"/>
      <c r="BZ231" s="315"/>
      <c r="CA231" s="144" t="s">
        <v>12</v>
      </c>
      <c r="CB231" s="315"/>
      <c r="CC231" s="144" t="n">
        <v>-89.3140495867768</v>
      </c>
      <c r="CD231" s="144" t="n">
        <v>-146.514049586777</v>
      </c>
      <c r="CE231" s="144" t="n">
        <v>-170.514049586777</v>
      </c>
      <c r="CF231" s="315"/>
      <c r="CG231" s="144" t="n">
        <v>-94.3140495867768</v>
      </c>
      <c r="CH231" s="144" t="n">
        <v>-113.514049586777</v>
      </c>
      <c r="CI231" s="144" t="n">
        <v>-113.514049586777</v>
      </c>
      <c r="CJ231" s="144" t="n">
        <v>-151.914049586777</v>
      </c>
      <c r="CK231" s="144" t="n">
        <v>-151.914049586777</v>
      </c>
      <c r="CM231" s="144" t="n">
        <v>577.685950413223</v>
      </c>
      <c r="CO231" s="319"/>
      <c r="CP231" s="320"/>
      <c r="CQ231" s="321" t="s">
        <v>12</v>
      </c>
      <c r="CR231" s="320"/>
      <c r="CS231" s="322" t="n">
        <v>-44.6859504132232</v>
      </c>
      <c r="CT231" s="322" t="n">
        <v>-101.885950413223</v>
      </c>
      <c r="CU231" s="322" t="n">
        <v>-125.885950413223</v>
      </c>
      <c r="CV231" s="323"/>
      <c r="CW231" s="322" t="n">
        <v>-49.6859504132232</v>
      </c>
      <c r="CX231" s="322" t="n">
        <v>-68.8859504132231</v>
      </c>
      <c r="CY231" s="322" t="n">
        <v>-68.8859504132231</v>
      </c>
      <c r="CZ231" s="322" t="n">
        <v>-107.285950413223</v>
      </c>
      <c r="DA231" s="322" t="n">
        <v>-107.285950413223</v>
      </c>
    </row>
    <row r="232" customFormat="false" ht="12.75" hidden="false" customHeight="false" outlineLevel="0" collapsed="false">
      <c r="B232" s="305" t="s">
        <v>112</v>
      </c>
      <c r="C232" s="305" t="s">
        <v>542</v>
      </c>
      <c r="D232" s="306" t="n">
        <v>847</v>
      </c>
      <c r="E232" s="306" t="n">
        <v>3.75</v>
      </c>
      <c r="F232" s="306" t="s">
        <v>541</v>
      </c>
      <c r="G232" s="307" t="n">
        <v>24</v>
      </c>
      <c r="H232" s="308" t="n">
        <v>846.280991735537</v>
      </c>
      <c r="I232" s="2"/>
      <c r="J232" s="144" t="s">
        <v>12</v>
      </c>
      <c r="K232" s="309" t="s">
        <v>12</v>
      </c>
      <c r="L232" s="310"/>
      <c r="M232" s="311" t="n">
        <v>359</v>
      </c>
      <c r="N232" s="312" t="n">
        <v>14.9</v>
      </c>
      <c r="O232" s="311" t="n">
        <v>219</v>
      </c>
      <c r="P232" s="312" t="n">
        <v>18.2</v>
      </c>
      <c r="Q232" s="310" t="n">
        <v>219</v>
      </c>
      <c r="R232" s="312" t="n">
        <v>17.4</v>
      </c>
      <c r="S232" s="310"/>
      <c r="T232" s="311" t="n">
        <v>0</v>
      </c>
      <c r="U232" s="312" t="n">
        <v>29.6</v>
      </c>
      <c r="V232" s="311" t="n">
        <v>0</v>
      </c>
      <c r="W232" s="312" t="n">
        <v>28.8</v>
      </c>
      <c r="X232" s="311" t="n">
        <v>0</v>
      </c>
      <c r="Y232" s="312" t="n">
        <v>28.8</v>
      </c>
      <c r="Z232" s="313" t="n">
        <v>0</v>
      </c>
      <c r="AA232" s="314" t="n">
        <v>27.5</v>
      </c>
      <c r="AB232" s="313" t="n">
        <v>0</v>
      </c>
      <c r="AC232" s="314" t="n">
        <v>27.5</v>
      </c>
      <c r="AD232" s="315"/>
      <c r="AE232" s="144" t="n">
        <v>1</v>
      </c>
      <c r="AF232" s="315"/>
      <c r="AG232" s="311" t="n">
        <v>0</v>
      </c>
      <c r="AH232" s="309" t="n">
        <v>0</v>
      </c>
      <c r="AI232" s="310"/>
      <c r="AJ232" s="311" t="n">
        <v>130</v>
      </c>
      <c r="AK232" s="309" t="n">
        <v>357.6</v>
      </c>
      <c r="AL232" s="311" t="n">
        <v>191</v>
      </c>
      <c r="AM232" s="309" t="n">
        <v>436.8</v>
      </c>
      <c r="AN232" s="311" t="n">
        <v>210</v>
      </c>
      <c r="AO232" s="309" t="n">
        <v>417.6</v>
      </c>
      <c r="AP232" s="310"/>
      <c r="AQ232" s="311" t="n">
        <v>137</v>
      </c>
      <c r="AR232" s="309" t="n">
        <v>710.4</v>
      </c>
      <c r="AS232" s="311" t="n">
        <v>156</v>
      </c>
      <c r="AT232" s="309" t="n">
        <v>691.2</v>
      </c>
      <c r="AU232" s="311" t="n">
        <v>156</v>
      </c>
      <c r="AV232" s="309" t="n">
        <v>691.2</v>
      </c>
      <c r="AW232" s="311" t="n">
        <v>187</v>
      </c>
      <c r="AX232" s="309" t="n">
        <v>660</v>
      </c>
      <c r="AY232" s="311" t="n">
        <v>187</v>
      </c>
      <c r="AZ232" s="309" t="n">
        <v>660</v>
      </c>
      <c r="BB232" s="144" t="n">
        <v>0</v>
      </c>
      <c r="BC232" s="315"/>
      <c r="BD232" s="311" t="n">
        <v>0</v>
      </c>
      <c r="BE232" s="316" t="n">
        <v>0</v>
      </c>
      <c r="BF232" s="310"/>
      <c r="BG232" s="317" t="n">
        <v>0</v>
      </c>
      <c r="BH232" s="318" t="n">
        <v>0.4</v>
      </c>
      <c r="BI232" s="317" t="n">
        <v>0</v>
      </c>
      <c r="BJ232" s="318" t="n">
        <v>0.799999999999997</v>
      </c>
      <c r="BK232" s="317" t="n">
        <v>0</v>
      </c>
      <c r="BL232" s="318" t="n">
        <v>0.800000000000001</v>
      </c>
      <c r="BM232" s="310"/>
      <c r="BN232" s="317" t="n">
        <v>0</v>
      </c>
      <c r="BO232" s="318" t="n">
        <v>0</v>
      </c>
      <c r="BP232" s="317" t="n">
        <v>0</v>
      </c>
      <c r="BQ232" s="318" t="n">
        <v>0</v>
      </c>
      <c r="BR232" s="317" t="n">
        <v>0</v>
      </c>
      <c r="BS232" s="318" t="n">
        <v>1.3</v>
      </c>
      <c r="BT232" s="317" t="n">
        <v>0</v>
      </c>
      <c r="BU232" s="318" t="n">
        <v>0</v>
      </c>
      <c r="BV232" s="317" t="n">
        <v>0</v>
      </c>
      <c r="BW232" s="318" t="n">
        <v>0</v>
      </c>
      <c r="BY232" s="143"/>
      <c r="BZ232" s="315"/>
      <c r="CA232" s="144" t="s">
        <v>12</v>
      </c>
      <c r="CB232" s="315"/>
      <c r="CC232" s="144" t="n">
        <v>-129.680991735537</v>
      </c>
      <c r="CD232" s="144" t="n">
        <v>-190.480991735537</v>
      </c>
      <c r="CE232" s="144" t="n">
        <v>-209.680991735537</v>
      </c>
      <c r="CF232" s="315"/>
      <c r="CG232" s="144" t="n">
        <v>-135.880991735537</v>
      </c>
      <c r="CH232" s="144" t="n">
        <v>-155.080991735537</v>
      </c>
      <c r="CI232" s="144" t="n">
        <v>-155.080991735537</v>
      </c>
      <c r="CJ232" s="144" t="n">
        <v>-186.280991735537</v>
      </c>
      <c r="CK232" s="144" t="n">
        <v>-186.280991735537</v>
      </c>
      <c r="CM232" s="144" t="n">
        <v>784.297520661157</v>
      </c>
      <c r="CO232" s="319"/>
      <c r="CP232" s="320"/>
      <c r="CQ232" s="321" t="s">
        <v>12</v>
      </c>
      <c r="CR232" s="320"/>
      <c r="CS232" s="322" t="n">
        <v>-67.697520661157</v>
      </c>
      <c r="CT232" s="322" t="n">
        <v>-128.497520661157</v>
      </c>
      <c r="CU232" s="322" t="n">
        <v>-147.697520661157</v>
      </c>
      <c r="CV232" s="323"/>
      <c r="CW232" s="322" t="n">
        <v>-73.8975206611569</v>
      </c>
      <c r="CX232" s="322" t="n">
        <v>-93.097520661157</v>
      </c>
      <c r="CY232" s="322" t="n">
        <v>-93.097520661157</v>
      </c>
      <c r="CZ232" s="322" t="n">
        <v>-124.297520661157</v>
      </c>
      <c r="DA232" s="322" t="n">
        <v>-124.297520661157</v>
      </c>
    </row>
    <row r="233" customFormat="false" ht="12.75" hidden="false" customHeight="false" outlineLevel="0" collapsed="false">
      <c r="B233" s="305" t="s">
        <v>112</v>
      </c>
      <c r="C233" s="305" t="s">
        <v>542</v>
      </c>
      <c r="D233" s="306" t="n">
        <v>847</v>
      </c>
      <c r="E233" s="306" t="n">
        <v>3.75</v>
      </c>
      <c r="F233" s="324" t="s">
        <v>541</v>
      </c>
      <c r="G233" s="144" t="n">
        <v>48</v>
      </c>
      <c r="H233" s="325" t="n">
        <v>846.280991735537</v>
      </c>
      <c r="I233" s="2"/>
      <c r="J233" s="144" t="s">
        <v>12</v>
      </c>
      <c r="K233" s="309" t="s">
        <v>12</v>
      </c>
      <c r="L233" s="310"/>
      <c r="M233" s="311" t="n">
        <v>359</v>
      </c>
      <c r="N233" s="312" t="n">
        <v>7.5</v>
      </c>
      <c r="O233" s="311" t="n">
        <v>219</v>
      </c>
      <c r="P233" s="312" t="n">
        <v>9.1</v>
      </c>
      <c r="Q233" s="310" t="n">
        <v>219</v>
      </c>
      <c r="R233" s="312" t="n">
        <v>8.7</v>
      </c>
      <c r="S233" s="310"/>
      <c r="T233" s="311" t="n">
        <v>0</v>
      </c>
      <c r="U233" s="312" t="n">
        <v>14.8</v>
      </c>
      <c r="V233" s="311" t="n">
        <v>0</v>
      </c>
      <c r="W233" s="312" t="n">
        <v>14.4</v>
      </c>
      <c r="X233" s="311" t="n">
        <v>0</v>
      </c>
      <c r="Y233" s="312" t="n">
        <v>14.4</v>
      </c>
      <c r="Z233" s="313" t="n">
        <v>0</v>
      </c>
      <c r="AA233" s="314" t="n">
        <v>13.8</v>
      </c>
      <c r="AB233" s="313" t="n">
        <v>0</v>
      </c>
      <c r="AC233" s="314" t="n">
        <v>13.8</v>
      </c>
      <c r="AD233" s="315"/>
      <c r="AE233" s="144" t="n">
        <v>1</v>
      </c>
      <c r="AF233" s="315"/>
      <c r="AG233" s="311" t="n">
        <v>0</v>
      </c>
      <c r="AH233" s="309" t="n">
        <v>0</v>
      </c>
      <c r="AI233" s="310"/>
      <c r="AJ233" s="311" t="n">
        <v>128</v>
      </c>
      <c r="AK233" s="309" t="n">
        <v>360</v>
      </c>
      <c r="AL233" s="311" t="n">
        <v>191</v>
      </c>
      <c r="AM233" s="309" t="n">
        <v>436.8</v>
      </c>
      <c r="AN233" s="310" t="n">
        <v>210</v>
      </c>
      <c r="AO233" s="309" t="n">
        <v>417.6</v>
      </c>
      <c r="AP233" s="310"/>
      <c r="AQ233" s="311" t="n">
        <v>137</v>
      </c>
      <c r="AR233" s="309" t="n">
        <v>710.4</v>
      </c>
      <c r="AS233" s="311" t="n">
        <v>156</v>
      </c>
      <c r="AT233" s="309" t="n">
        <v>691.2</v>
      </c>
      <c r="AU233" s="310" t="n">
        <v>156</v>
      </c>
      <c r="AV233" s="309" t="n">
        <v>691.2</v>
      </c>
      <c r="AW233" s="310" t="n">
        <v>185</v>
      </c>
      <c r="AX233" s="309" t="n">
        <v>662.4</v>
      </c>
      <c r="AY233" s="310" t="n">
        <v>185</v>
      </c>
      <c r="AZ233" s="309" t="n">
        <v>662.4</v>
      </c>
      <c r="BB233" s="144" t="n">
        <v>0</v>
      </c>
      <c r="BC233" s="315"/>
      <c r="BD233" s="311" t="n">
        <v>0</v>
      </c>
      <c r="BE233" s="316" t="n">
        <v>0</v>
      </c>
      <c r="BF233" s="310"/>
      <c r="BG233" s="317" t="n">
        <v>0</v>
      </c>
      <c r="BH233" s="318" t="n">
        <v>0</v>
      </c>
      <c r="BI233" s="317" t="n">
        <v>0</v>
      </c>
      <c r="BJ233" s="318" t="n">
        <v>0</v>
      </c>
      <c r="BK233" s="317" t="n">
        <v>0</v>
      </c>
      <c r="BL233" s="318" t="n">
        <v>0</v>
      </c>
      <c r="BM233" s="310"/>
      <c r="BN233" s="317" t="n">
        <v>0</v>
      </c>
      <c r="BO233" s="318" t="n">
        <v>0</v>
      </c>
      <c r="BP233" s="317" t="n">
        <v>0</v>
      </c>
      <c r="BQ233" s="318" t="n">
        <v>0</v>
      </c>
      <c r="BR233" s="317" t="n">
        <v>0</v>
      </c>
      <c r="BS233" s="318" t="n">
        <v>0</v>
      </c>
      <c r="BT233" s="317" t="n">
        <v>0</v>
      </c>
      <c r="BU233" s="318" t="n">
        <v>0</v>
      </c>
      <c r="BV233" s="317" t="n">
        <v>0</v>
      </c>
      <c r="BW233" s="318" t="n">
        <v>0</v>
      </c>
      <c r="BY233" s="143"/>
      <c r="BZ233" s="315"/>
      <c r="CA233" s="144" t="s">
        <v>12</v>
      </c>
      <c r="CB233" s="315"/>
      <c r="CC233" s="144" t="n">
        <v>-127.280991735537</v>
      </c>
      <c r="CD233" s="144" t="n">
        <v>-190.480991735537</v>
      </c>
      <c r="CE233" s="144" t="n">
        <v>-209.680991735537</v>
      </c>
      <c r="CF233" s="315"/>
      <c r="CG233" s="144" t="n">
        <v>-135.880991735537</v>
      </c>
      <c r="CH233" s="144" t="n">
        <v>-155.080991735537</v>
      </c>
      <c r="CI233" s="144" t="n">
        <v>-155.080991735537</v>
      </c>
      <c r="CJ233" s="144" t="n">
        <v>-183.880991735537</v>
      </c>
      <c r="CK233" s="144" t="n">
        <v>-183.880991735537</v>
      </c>
      <c r="CM233" s="144" t="n">
        <v>784.297520661157</v>
      </c>
      <c r="CO233" s="319"/>
      <c r="CP233" s="320"/>
      <c r="CQ233" s="321" t="s">
        <v>12</v>
      </c>
      <c r="CR233" s="320"/>
      <c r="CS233" s="322" t="n">
        <v>-65.297520661157</v>
      </c>
      <c r="CT233" s="322" t="n">
        <v>-128.497520661157</v>
      </c>
      <c r="CU233" s="322" t="n">
        <v>-147.697520661157</v>
      </c>
      <c r="CV233" s="323"/>
      <c r="CW233" s="322" t="n">
        <v>-73.8975206611569</v>
      </c>
      <c r="CX233" s="322" t="n">
        <v>-93.097520661157</v>
      </c>
      <c r="CY233" s="322" t="n">
        <v>-93.097520661157</v>
      </c>
      <c r="CZ233" s="322" t="n">
        <v>-121.897520661157</v>
      </c>
      <c r="DA233" s="322" t="n">
        <v>-121.897520661157</v>
      </c>
    </row>
    <row r="234" customFormat="false" ht="12.75" hidden="false" customHeight="false" outlineLevel="0" collapsed="false">
      <c r="B234" s="305" t="s">
        <v>112</v>
      </c>
      <c r="C234" s="305" t="s">
        <v>543</v>
      </c>
      <c r="D234" s="306" t="n">
        <v>1044</v>
      </c>
      <c r="E234" s="306" t="n">
        <v>3.75</v>
      </c>
      <c r="F234" s="306" t="s">
        <v>541</v>
      </c>
      <c r="G234" s="307" t="n">
        <v>24</v>
      </c>
      <c r="H234" s="308" t="n">
        <v>1043.80165289256</v>
      </c>
      <c r="I234" s="2"/>
      <c r="J234" s="144" t="s">
        <v>12</v>
      </c>
      <c r="K234" s="309" t="s">
        <v>12</v>
      </c>
      <c r="L234" s="310"/>
      <c r="M234" s="311" t="n">
        <v>449</v>
      </c>
      <c r="N234" s="312" t="n">
        <v>18.9</v>
      </c>
      <c r="O234" s="311" t="n">
        <v>279</v>
      </c>
      <c r="P234" s="312" t="n">
        <v>23.6</v>
      </c>
      <c r="Q234" s="310" t="n">
        <v>279</v>
      </c>
      <c r="R234" s="312" t="n">
        <v>22.8</v>
      </c>
      <c r="S234" s="310"/>
      <c r="T234" s="311" t="n">
        <v>0</v>
      </c>
      <c r="U234" s="312" t="n">
        <v>37.2</v>
      </c>
      <c r="V234" s="311" t="n">
        <v>0</v>
      </c>
      <c r="W234" s="312" t="n">
        <v>36.4</v>
      </c>
      <c r="X234" s="311" t="n">
        <v>0</v>
      </c>
      <c r="Y234" s="312" t="n">
        <v>36.4</v>
      </c>
      <c r="Z234" s="313" t="n">
        <v>0</v>
      </c>
      <c r="AA234" s="314" t="n">
        <v>35.1</v>
      </c>
      <c r="AB234" s="313" t="n">
        <v>0</v>
      </c>
      <c r="AC234" s="314" t="n">
        <v>35.1</v>
      </c>
      <c r="AD234" s="315"/>
      <c r="AE234" s="144" t="n">
        <v>0</v>
      </c>
      <c r="AF234" s="315"/>
      <c r="AG234" s="311" t="n">
        <v>0</v>
      </c>
      <c r="AH234" s="309" t="n">
        <v>0</v>
      </c>
      <c r="AI234" s="310"/>
      <c r="AJ234" s="311" t="n">
        <v>141</v>
      </c>
      <c r="AK234" s="309" t="n">
        <v>453.6</v>
      </c>
      <c r="AL234" s="311" t="n">
        <v>199</v>
      </c>
      <c r="AM234" s="309" t="n">
        <v>566.4</v>
      </c>
      <c r="AN234" s="311" t="n">
        <v>218</v>
      </c>
      <c r="AO234" s="309" t="n">
        <v>547.2</v>
      </c>
      <c r="AP234" s="310"/>
      <c r="AQ234" s="311" t="n">
        <v>151</v>
      </c>
      <c r="AR234" s="309" t="n">
        <v>892.8</v>
      </c>
      <c r="AS234" s="311" t="n">
        <v>170</v>
      </c>
      <c r="AT234" s="309" t="n">
        <v>873.6</v>
      </c>
      <c r="AU234" s="311" t="n">
        <v>170</v>
      </c>
      <c r="AV234" s="309" t="n">
        <v>873.6</v>
      </c>
      <c r="AW234" s="311" t="n">
        <v>202</v>
      </c>
      <c r="AX234" s="309" t="n">
        <v>842.4</v>
      </c>
      <c r="AY234" s="311" t="n">
        <v>202</v>
      </c>
      <c r="AZ234" s="309" t="n">
        <v>842.4</v>
      </c>
      <c r="BB234" s="144" t="n">
        <v>0</v>
      </c>
      <c r="BC234" s="315"/>
      <c r="BD234" s="311" t="n">
        <v>0</v>
      </c>
      <c r="BE234" s="316" t="n">
        <v>0</v>
      </c>
      <c r="BF234" s="310"/>
      <c r="BG234" s="317" t="n">
        <v>0</v>
      </c>
      <c r="BH234" s="318" t="n">
        <v>0.5</v>
      </c>
      <c r="BI234" s="317" t="n">
        <v>0</v>
      </c>
      <c r="BJ234" s="318" t="n">
        <v>0.800000000000001</v>
      </c>
      <c r="BK234" s="317" t="n">
        <v>0</v>
      </c>
      <c r="BL234" s="318" t="n">
        <v>0.800000000000001</v>
      </c>
      <c r="BM234" s="310"/>
      <c r="BN234" s="317" t="n">
        <v>0</v>
      </c>
      <c r="BO234" s="318" t="n">
        <v>0</v>
      </c>
      <c r="BP234" s="317" t="n">
        <v>0</v>
      </c>
      <c r="BQ234" s="318" t="n">
        <v>0</v>
      </c>
      <c r="BR234" s="317" t="n">
        <v>0</v>
      </c>
      <c r="BS234" s="318" t="n">
        <v>1.2</v>
      </c>
      <c r="BT234" s="317" t="n">
        <v>0</v>
      </c>
      <c r="BU234" s="318" t="n">
        <v>0</v>
      </c>
      <c r="BV234" s="317" t="n">
        <v>0</v>
      </c>
      <c r="BW234" s="318" t="n">
        <v>0</v>
      </c>
      <c r="BY234" s="143"/>
      <c r="BZ234" s="315"/>
      <c r="CA234" s="144" t="s">
        <v>12</v>
      </c>
      <c r="CB234" s="315"/>
      <c r="CC234" s="144" t="n">
        <v>-141.201652892562</v>
      </c>
      <c r="CD234" s="144" t="n">
        <v>-198.401652892562</v>
      </c>
      <c r="CE234" s="144" t="n">
        <v>-217.601652892562</v>
      </c>
      <c r="CF234" s="315"/>
      <c r="CG234" s="144" t="n">
        <v>-151.001652892562</v>
      </c>
      <c r="CH234" s="144" t="n">
        <v>-170.201652892562</v>
      </c>
      <c r="CI234" s="144" t="n">
        <v>-170.201652892562</v>
      </c>
      <c r="CJ234" s="144" t="n">
        <v>-201.401652892562</v>
      </c>
      <c r="CK234" s="144" t="n">
        <v>-201.401652892562</v>
      </c>
      <c r="CM234" s="144" t="n">
        <v>990.909090909091</v>
      </c>
      <c r="CO234" s="319"/>
      <c r="CP234" s="320"/>
      <c r="CQ234" s="321" t="s">
        <v>12</v>
      </c>
      <c r="CR234" s="320"/>
      <c r="CS234" s="322" t="n">
        <v>-88.309090909091</v>
      </c>
      <c r="CT234" s="322" t="n">
        <v>-145.509090909091</v>
      </c>
      <c r="CU234" s="322" t="n">
        <v>-164.709090909091</v>
      </c>
      <c r="CV234" s="323"/>
      <c r="CW234" s="322" t="n">
        <v>-98.1090909090909</v>
      </c>
      <c r="CX234" s="322" t="n">
        <v>-117.309090909091</v>
      </c>
      <c r="CY234" s="322" t="n">
        <v>-117.309090909091</v>
      </c>
      <c r="CZ234" s="322" t="n">
        <v>-148.509090909091</v>
      </c>
      <c r="DA234" s="322" t="n">
        <v>-148.509090909091</v>
      </c>
    </row>
    <row r="235" customFormat="false" ht="12.75" hidden="false" customHeight="false" outlineLevel="0" collapsed="false">
      <c r="B235" s="305" t="s">
        <v>112</v>
      </c>
      <c r="C235" s="305" t="s">
        <v>543</v>
      </c>
      <c r="D235" s="306" t="n">
        <v>1044</v>
      </c>
      <c r="E235" s="306" t="n">
        <v>3.75</v>
      </c>
      <c r="F235" s="324" t="s">
        <v>541</v>
      </c>
      <c r="G235" s="144" t="n">
        <v>48</v>
      </c>
      <c r="H235" s="325" t="n">
        <v>1043.80165289256</v>
      </c>
      <c r="I235" s="2"/>
      <c r="J235" s="144" t="s">
        <v>12</v>
      </c>
      <c r="K235" s="309" t="s">
        <v>12</v>
      </c>
      <c r="L235" s="310"/>
      <c r="M235" s="311" t="n">
        <v>449</v>
      </c>
      <c r="N235" s="312" t="n">
        <v>9.5</v>
      </c>
      <c r="O235" s="311" t="n">
        <v>279</v>
      </c>
      <c r="P235" s="312" t="n">
        <v>11.8</v>
      </c>
      <c r="Q235" s="310" t="n">
        <v>279</v>
      </c>
      <c r="R235" s="312" t="n">
        <v>11.4</v>
      </c>
      <c r="S235" s="310"/>
      <c r="T235" s="311" t="n">
        <v>0</v>
      </c>
      <c r="U235" s="312" t="n">
        <v>18.6</v>
      </c>
      <c r="V235" s="311" t="n">
        <v>0</v>
      </c>
      <c r="W235" s="312" t="n">
        <v>18.2</v>
      </c>
      <c r="X235" s="311" t="n">
        <v>0</v>
      </c>
      <c r="Y235" s="312" t="n">
        <v>18.2</v>
      </c>
      <c r="Z235" s="313" t="n">
        <v>0</v>
      </c>
      <c r="AA235" s="314" t="n">
        <v>17.6</v>
      </c>
      <c r="AB235" s="313" t="n">
        <v>0</v>
      </c>
      <c r="AC235" s="314" t="n">
        <v>17.6</v>
      </c>
      <c r="AD235" s="315"/>
      <c r="AE235" s="144" t="n">
        <v>0</v>
      </c>
      <c r="AF235" s="315"/>
      <c r="AG235" s="311" t="n">
        <v>0</v>
      </c>
      <c r="AH235" s="309" t="n">
        <v>0</v>
      </c>
      <c r="AI235" s="310"/>
      <c r="AJ235" s="311" t="n">
        <v>139</v>
      </c>
      <c r="AK235" s="309" t="n">
        <v>456</v>
      </c>
      <c r="AL235" s="311" t="n">
        <v>199</v>
      </c>
      <c r="AM235" s="309" t="n">
        <v>566.4</v>
      </c>
      <c r="AN235" s="310" t="n">
        <v>218</v>
      </c>
      <c r="AO235" s="309" t="n">
        <v>547.2</v>
      </c>
      <c r="AP235" s="310"/>
      <c r="AQ235" s="311" t="n">
        <v>151</v>
      </c>
      <c r="AR235" s="309" t="n">
        <v>892.8</v>
      </c>
      <c r="AS235" s="311" t="n">
        <v>170</v>
      </c>
      <c r="AT235" s="309" t="n">
        <v>873.6</v>
      </c>
      <c r="AU235" s="310" t="n">
        <v>170</v>
      </c>
      <c r="AV235" s="309" t="n">
        <v>873.6</v>
      </c>
      <c r="AW235" s="310" t="n">
        <v>199</v>
      </c>
      <c r="AX235" s="309" t="n">
        <v>844.8</v>
      </c>
      <c r="AY235" s="310" t="n">
        <v>199</v>
      </c>
      <c r="AZ235" s="309" t="n">
        <v>844.8</v>
      </c>
      <c r="BB235" s="144" t="n">
        <v>0</v>
      </c>
      <c r="BC235" s="315"/>
      <c r="BD235" s="311" t="n">
        <v>0</v>
      </c>
      <c r="BE235" s="316" t="n">
        <v>0</v>
      </c>
      <c r="BF235" s="310"/>
      <c r="BG235" s="317" t="n">
        <v>0</v>
      </c>
      <c r="BH235" s="318" t="n">
        <v>0</v>
      </c>
      <c r="BI235" s="317" t="n">
        <v>0</v>
      </c>
      <c r="BJ235" s="318" t="n">
        <v>0</v>
      </c>
      <c r="BK235" s="317" t="n">
        <v>0</v>
      </c>
      <c r="BL235" s="318" t="n">
        <v>0</v>
      </c>
      <c r="BM235" s="310"/>
      <c r="BN235" s="317" t="n">
        <v>0</v>
      </c>
      <c r="BO235" s="318" t="n">
        <v>0</v>
      </c>
      <c r="BP235" s="317" t="n">
        <v>0</v>
      </c>
      <c r="BQ235" s="318" t="n">
        <v>0</v>
      </c>
      <c r="BR235" s="317" t="n">
        <v>0</v>
      </c>
      <c r="BS235" s="318" t="n">
        <v>0</v>
      </c>
      <c r="BT235" s="317" t="n">
        <v>0</v>
      </c>
      <c r="BU235" s="318" t="n">
        <v>0</v>
      </c>
      <c r="BV235" s="317" t="n">
        <v>0</v>
      </c>
      <c r="BW235" s="318" t="n">
        <v>0</v>
      </c>
      <c r="BY235" s="143"/>
      <c r="BZ235" s="315"/>
      <c r="CA235" s="144" t="s">
        <v>12</v>
      </c>
      <c r="CB235" s="315"/>
      <c r="CC235" s="144" t="n">
        <v>-138.801652892562</v>
      </c>
      <c r="CD235" s="144" t="n">
        <v>-198.401652892562</v>
      </c>
      <c r="CE235" s="144" t="n">
        <v>-217.601652892562</v>
      </c>
      <c r="CF235" s="315"/>
      <c r="CG235" s="144" t="n">
        <v>-151.001652892562</v>
      </c>
      <c r="CH235" s="144" t="n">
        <v>-170.201652892562</v>
      </c>
      <c r="CI235" s="144" t="n">
        <v>-170.201652892562</v>
      </c>
      <c r="CJ235" s="144" t="n">
        <v>-199.001652892562</v>
      </c>
      <c r="CK235" s="144" t="n">
        <v>-199.001652892562</v>
      </c>
      <c r="CM235" s="144" t="n">
        <v>990.909090909091</v>
      </c>
      <c r="CO235" s="319"/>
      <c r="CP235" s="320"/>
      <c r="CQ235" s="321" t="s">
        <v>12</v>
      </c>
      <c r="CR235" s="320"/>
      <c r="CS235" s="322" t="n">
        <v>-85.909090909091</v>
      </c>
      <c r="CT235" s="322" t="n">
        <v>-145.509090909091</v>
      </c>
      <c r="CU235" s="322" t="n">
        <v>-164.709090909091</v>
      </c>
      <c r="CV235" s="323"/>
      <c r="CW235" s="322" t="n">
        <v>-98.1090909090909</v>
      </c>
      <c r="CX235" s="322" t="n">
        <v>-117.309090909091</v>
      </c>
      <c r="CY235" s="322" t="n">
        <v>-117.309090909091</v>
      </c>
      <c r="CZ235" s="322" t="n">
        <v>-146.109090909091</v>
      </c>
      <c r="DA235" s="322" t="n">
        <v>-146.109090909091</v>
      </c>
    </row>
    <row r="236" customFormat="false" ht="12.75" hidden="false" customHeight="false" outlineLevel="0" collapsed="false">
      <c r="B236" s="305" t="s">
        <v>112</v>
      </c>
      <c r="C236" s="327" t="s">
        <v>544</v>
      </c>
      <c r="D236" s="306" t="n">
        <v>526</v>
      </c>
      <c r="E236" s="306" t="n">
        <v>3.75</v>
      </c>
      <c r="F236" s="306" t="s">
        <v>541</v>
      </c>
      <c r="G236" s="307" t="n">
        <v>24</v>
      </c>
      <c r="H236" s="308" t="n">
        <v>525.619834710744</v>
      </c>
      <c r="I236" s="2"/>
      <c r="J236" s="144" t="s">
        <v>12</v>
      </c>
      <c r="K236" s="309" t="s">
        <v>12</v>
      </c>
      <c r="L236" s="310"/>
      <c r="M236" s="311" t="n">
        <v>219</v>
      </c>
      <c r="N236" s="312" t="n">
        <v>9.1</v>
      </c>
      <c r="O236" s="311" t="n">
        <v>139</v>
      </c>
      <c r="P236" s="312" t="n">
        <v>10.2</v>
      </c>
      <c r="Q236" s="310" t="n">
        <v>139</v>
      </c>
      <c r="R236" s="312" t="n">
        <v>9.3</v>
      </c>
      <c r="S236" s="310"/>
      <c r="T236" s="311" t="n">
        <v>0</v>
      </c>
      <c r="U236" s="312" t="n">
        <v>18</v>
      </c>
      <c r="V236" s="311" t="n">
        <v>0</v>
      </c>
      <c r="W236" s="312" t="n">
        <v>17</v>
      </c>
      <c r="X236" s="311" t="n">
        <v>0</v>
      </c>
      <c r="Y236" s="312" t="n">
        <v>17</v>
      </c>
      <c r="Z236" s="313" t="n">
        <v>0</v>
      </c>
      <c r="AA236" s="314" t="n">
        <v>15.7</v>
      </c>
      <c r="AB236" s="313" t="n">
        <v>0</v>
      </c>
      <c r="AC236" s="314" t="n">
        <v>15.7</v>
      </c>
      <c r="AD236" s="315"/>
      <c r="AE236" s="144" t="n">
        <v>0</v>
      </c>
      <c r="AF236" s="315"/>
      <c r="AG236" s="311" t="n">
        <v>0</v>
      </c>
      <c r="AH236" s="309" t="n">
        <v>0</v>
      </c>
      <c r="AI236" s="310"/>
      <c r="AJ236" s="311" t="n">
        <v>89</v>
      </c>
      <c r="AK236" s="309" t="n">
        <v>218.4</v>
      </c>
      <c r="AL236" s="311" t="n">
        <v>142</v>
      </c>
      <c r="AM236" s="309" t="n">
        <v>244.8</v>
      </c>
      <c r="AN236" s="311" t="n">
        <v>164</v>
      </c>
      <c r="AO236" s="309" t="n">
        <v>223.2</v>
      </c>
      <c r="AP236" s="310"/>
      <c r="AQ236" s="311" t="n">
        <v>94</v>
      </c>
      <c r="AR236" s="309" t="n">
        <v>432</v>
      </c>
      <c r="AS236" s="311" t="n">
        <v>118</v>
      </c>
      <c r="AT236" s="309" t="n">
        <v>408</v>
      </c>
      <c r="AU236" s="311" t="n">
        <v>118</v>
      </c>
      <c r="AV236" s="309" t="n">
        <v>408</v>
      </c>
      <c r="AW236" s="311" t="n">
        <v>149</v>
      </c>
      <c r="AX236" s="309" t="n">
        <v>376.8</v>
      </c>
      <c r="AY236" s="311" t="n">
        <v>149</v>
      </c>
      <c r="AZ236" s="309" t="n">
        <v>376.8</v>
      </c>
      <c r="BB236" s="144" t="n">
        <v>0</v>
      </c>
      <c r="BC236" s="315"/>
      <c r="BD236" s="311" t="n">
        <v>0</v>
      </c>
      <c r="BE236" s="316" t="n">
        <v>0</v>
      </c>
      <c r="BF236" s="310"/>
      <c r="BG236" s="317" t="n">
        <v>0</v>
      </c>
      <c r="BH236" s="318" t="n">
        <v>0</v>
      </c>
      <c r="BI236" s="317" t="n">
        <v>0</v>
      </c>
      <c r="BJ236" s="318" t="n">
        <v>0</v>
      </c>
      <c r="BK236" s="317" t="n">
        <v>0</v>
      </c>
      <c r="BL236" s="318" t="n">
        <v>0</v>
      </c>
      <c r="BM236" s="310"/>
      <c r="BN236" s="317" t="n">
        <v>0</v>
      </c>
      <c r="BO236" s="318" t="n">
        <v>0</v>
      </c>
      <c r="BP236" s="317" t="n">
        <v>0</v>
      </c>
      <c r="BQ236" s="318" t="n">
        <v>0</v>
      </c>
      <c r="BR236" s="317" t="n">
        <v>0</v>
      </c>
      <c r="BS236" s="318" t="n">
        <v>0</v>
      </c>
      <c r="BT236" s="317" t="n">
        <v>0</v>
      </c>
      <c r="BU236" s="318" t="n">
        <v>0</v>
      </c>
      <c r="BV236" s="317" t="n">
        <v>0</v>
      </c>
      <c r="BW236" s="318" t="n">
        <v>0</v>
      </c>
      <c r="BY236" s="143"/>
      <c r="BZ236" s="315"/>
      <c r="CA236" s="144" t="s">
        <v>12</v>
      </c>
      <c r="CB236" s="315"/>
      <c r="CC236" s="144" t="n">
        <v>-88.2198347107438</v>
      </c>
      <c r="CD236" s="144" t="n">
        <v>-141.819834710744</v>
      </c>
      <c r="CE236" s="144" t="n">
        <v>-163.419834710744</v>
      </c>
      <c r="CF236" s="315"/>
      <c r="CG236" s="144" t="n">
        <v>-93.6198347107438</v>
      </c>
      <c r="CH236" s="144" t="n">
        <v>-117.619834710744</v>
      </c>
      <c r="CI236" s="144" t="n">
        <v>-117.619834710744</v>
      </c>
      <c r="CJ236" s="144" t="n">
        <v>-148.819834710744</v>
      </c>
      <c r="CK236" s="144" t="n">
        <v>-148.819834710744</v>
      </c>
      <c r="CM236" s="144" t="n">
        <v>470.247933884298</v>
      </c>
      <c r="CO236" s="319"/>
      <c r="CP236" s="320"/>
      <c r="CQ236" s="321" t="s">
        <v>12</v>
      </c>
      <c r="CR236" s="320"/>
      <c r="CS236" s="322" t="n">
        <v>-32.8479338842976</v>
      </c>
      <c r="CT236" s="322" t="n">
        <v>-86.4479338842975</v>
      </c>
      <c r="CU236" s="322" t="n">
        <v>-108.047933884298</v>
      </c>
      <c r="CV236" s="323"/>
      <c r="CW236" s="322" t="n">
        <v>-38.2479338842975</v>
      </c>
      <c r="CX236" s="322" t="n">
        <v>-62.2479338842975</v>
      </c>
      <c r="CY236" s="322" t="n">
        <v>-62.2479338842975</v>
      </c>
      <c r="CZ236" s="322" t="n">
        <v>-93.4479338842975</v>
      </c>
      <c r="DA236" s="322" t="n">
        <v>-93.4479338842975</v>
      </c>
    </row>
    <row r="237" customFormat="false" ht="12.75" hidden="false" customHeight="false" outlineLevel="0" collapsed="false">
      <c r="B237" s="305" t="s">
        <v>112</v>
      </c>
      <c r="C237" s="327" t="s">
        <v>544</v>
      </c>
      <c r="D237" s="306" t="n">
        <v>526</v>
      </c>
      <c r="E237" s="306" t="n">
        <v>3.75</v>
      </c>
      <c r="F237" s="324" t="s">
        <v>541</v>
      </c>
      <c r="G237" s="144" t="n">
        <v>48</v>
      </c>
      <c r="H237" s="325" t="n">
        <v>525.619834710744</v>
      </c>
      <c r="I237" s="2"/>
      <c r="J237" s="144" t="s">
        <v>12</v>
      </c>
      <c r="K237" s="309" t="s">
        <v>12</v>
      </c>
      <c r="L237" s="310"/>
      <c r="M237" s="311" t="n">
        <v>219</v>
      </c>
      <c r="N237" s="312" t="n">
        <v>4.6</v>
      </c>
      <c r="O237" s="311" t="n">
        <v>139</v>
      </c>
      <c r="P237" s="312" t="n">
        <v>5.1</v>
      </c>
      <c r="Q237" s="310" t="n">
        <v>139</v>
      </c>
      <c r="R237" s="312" t="n">
        <v>4.7</v>
      </c>
      <c r="S237" s="310"/>
      <c r="T237" s="311" t="n">
        <v>0</v>
      </c>
      <c r="U237" s="312" t="n">
        <v>9</v>
      </c>
      <c r="V237" s="311" t="n">
        <v>0</v>
      </c>
      <c r="W237" s="312" t="n">
        <v>8.5</v>
      </c>
      <c r="X237" s="311" t="n">
        <v>0</v>
      </c>
      <c r="Y237" s="312" t="n">
        <v>8.5</v>
      </c>
      <c r="Z237" s="313" t="n">
        <v>0</v>
      </c>
      <c r="AA237" s="314" t="n">
        <v>7.9</v>
      </c>
      <c r="AB237" s="313" t="n">
        <v>0</v>
      </c>
      <c r="AC237" s="314" t="n">
        <v>7.9</v>
      </c>
      <c r="AD237" s="315"/>
      <c r="AE237" s="144" t="n">
        <v>0</v>
      </c>
      <c r="AF237" s="315"/>
      <c r="AG237" s="311" t="n">
        <v>0</v>
      </c>
      <c r="AH237" s="309" t="n">
        <v>0</v>
      </c>
      <c r="AI237" s="310"/>
      <c r="AJ237" s="311" t="n">
        <v>86</v>
      </c>
      <c r="AK237" s="309" t="n">
        <v>220.8</v>
      </c>
      <c r="AL237" s="311" t="n">
        <v>142</v>
      </c>
      <c r="AM237" s="309" t="n">
        <v>244.8</v>
      </c>
      <c r="AN237" s="310" t="n">
        <v>161</v>
      </c>
      <c r="AO237" s="309" t="n">
        <v>225.6</v>
      </c>
      <c r="AP237" s="310"/>
      <c r="AQ237" s="311" t="n">
        <v>94</v>
      </c>
      <c r="AR237" s="309" t="n">
        <v>432</v>
      </c>
      <c r="AS237" s="311" t="n">
        <v>118</v>
      </c>
      <c r="AT237" s="309" t="n">
        <v>408</v>
      </c>
      <c r="AU237" s="310" t="n">
        <v>118</v>
      </c>
      <c r="AV237" s="309" t="n">
        <v>408</v>
      </c>
      <c r="AW237" s="310" t="n">
        <v>147</v>
      </c>
      <c r="AX237" s="309" t="n">
        <v>379.2</v>
      </c>
      <c r="AY237" s="310" t="n">
        <v>147</v>
      </c>
      <c r="AZ237" s="309" t="n">
        <v>379.2</v>
      </c>
      <c r="BB237" s="144" t="n">
        <v>0</v>
      </c>
      <c r="BC237" s="315"/>
      <c r="BD237" s="311" t="n">
        <v>0</v>
      </c>
      <c r="BE237" s="316" t="n">
        <v>0</v>
      </c>
      <c r="BF237" s="310"/>
      <c r="BG237" s="317" t="n">
        <v>0</v>
      </c>
      <c r="BH237" s="318" t="n">
        <v>0</v>
      </c>
      <c r="BI237" s="317" t="n">
        <v>0</v>
      </c>
      <c r="BJ237" s="318" t="n">
        <v>0</v>
      </c>
      <c r="BK237" s="317" t="n">
        <v>0</v>
      </c>
      <c r="BL237" s="318" t="n">
        <v>0</v>
      </c>
      <c r="BM237" s="310"/>
      <c r="BN237" s="317" t="n">
        <v>0</v>
      </c>
      <c r="BO237" s="318" t="n">
        <v>0</v>
      </c>
      <c r="BP237" s="317" t="n">
        <v>0</v>
      </c>
      <c r="BQ237" s="318" t="n">
        <v>0</v>
      </c>
      <c r="BR237" s="317" t="n">
        <v>0</v>
      </c>
      <c r="BS237" s="318" t="n">
        <v>0</v>
      </c>
      <c r="BT237" s="317" t="n">
        <v>0</v>
      </c>
      <c r="BU237" s="318" t="n">
        <v>0</v>
      </c>
      <c r="BV237" s="317" t="n">
        <v>0</v>
      </c>
      <c r="BW237" s="318" t="n">
        <v>0</v>
      </c>
      <c r="BY237" s="143"/>
      <c r="BZ237" s="315"/>
      <c r="CA237" s="144" t="s">
        <v>12</v>
      </c>
      <c r="CB237" s="315"/>
      <c r="CC237" s="144" t="n">
        <v>-85.8198347107438</v>
      </c>
      <c r="CD237" s="144" t="n">
        <v>-141.819834710744</v>
      </c>
      <c r="CE237" s="144" t="n">
        <v>-161.019834710744</v>
      </c>
      <c r="CF237" s="315"/>
      <c r="CG237" s="144" t="n">
        <v>-93.6198347107438</v>
      </c>
      <c r="CH237" s="144" t="n">
        <v>-117.619834710744</v>
      </c>
      <c r="CI237" s="144" t="n">
        <v>-117.619834710744</v>
      </c>
      <c r="CJ237" s="144" t="n">
        <v>-146.419834710744</v>
      </c>
      <c r="CK237" s="144" t="n">
        <v>-146.419834710744</v>
      </c>
      <c r="CM237" s="144" t="n">
        <v>470.247933884298</v>
      </c>
      <c r="CO237" s="319"/>
      <c r="CP237" s="320"/>
      <c r="CQ237" s="321" t="s">
        <v>12</v>
      </c>
      <c r="CR237" s="320"/>
      <c r="CS237" s="322" t="n">
        <v>-30.4479338842975</v>
      </c>
      <c r="CT237" s="322" t="n">
        <v>-86.4479338842975</v>
      </c>
      <c r="CU237" s="322" t="n">
        <v>-105.647933884298</v>
      </c>
      <c r="CV237" s="323"/>
      <c r="CW237" s="322" t="n">
        <v>-38.2479338842975</v>
      </c>
      <c r="CX237" s="322" t="n">
        <v>-62.2479338842975</v>
      </c>
      <c r="CY237" s="322" t="n">
        <v>-62.2479338842975</v>
      </c>
      <c r="CZ237" s="322" t="n">
        <v>-91.0479338842975</v>
      </c>
      <c r="DA237" s="322" t="n">
        <v>-91.0479338842975</v>
      </c>
    </row>
    <row r="238" customFormat="false" ht="12.75" hidden="false" customHeight="false" outlineLevel="0" collapsed="false">
      <c r="B238" s="305" t="s">
        <v>112</v>
      </c>
      <c r="C238" s="327" t="s">
        <v>545</v>
      </c>
      <c r="D238" s="306" t="n">
        <v>371</v>
      </c>
      <c r="E238" s="306" t="n">
        <v>3.75</v>
      </c>
      <c r="F238" s="306" t="s">
        <v>541</v>
      </c>
      <c r="G238" s="307" t="n">
        <v>24</v>
      </c>
      <c r="H238" s="308" t="n">
        <v>370.247933884298</v>
      </c>
      <c r="I238" s="2"/>
      <c r="J238" s="144" t="s">
        <v>12</v>
      </c>
      <c r="K238" s="309" t="s">
        <v>12</v>
      </c>
      <c r="L238" s="310"/>
      <c r="M238" s="311" t="n">
        <v>129</v>
      </c>
      <c r="N238" s="312" t="n">
        <v>7.7</v>
      </c>
      <c r="O238" s="311" t="n">
        <v>19</v>
      </c>
      <c r="P238" s="312" t="n">
        <v>9.8</v>
      </c>
      <c r="Q238" s="310" t="n">
        <v>19</v>
      </c>
      <c r="R238" s="312" t="n">
        <v>8.9</v>
      </c>
      <c r="S238" s="310"/>
      <c r="T238" s="311" t="n">
        <v>0</v>
      </c>
      <c r="U238" s="312" t="n">
        <v>12.7</v>
      </c>
      <c r="V238" s="311" t="n">
        <v>0</v>
      </c>
      <c r="W238" s="312" t="n">
        <v>11.8</v>
      </c>
      <c r="X238" s="311" t="n">
        <v>0</v>
      </c>
      <c r="Y238" s="312" t="n">
        <v>11.8</v>
      </c>
      <c r="Z238" s="313" t="n">
        <v>0</v>
      </c>
      <c r="AA238" s="314" t="n">
        <v>10.5</v>
      </c>
      <c r="AB238" s="313" t="n">
        <v>0</v>
      </c>
      <c r="AC238" s="314" t="n">
        <v>10.5</v>
      </c>
      <c r="AD238" s="315"/>
      <c r="AE238" s="144" t="n">
        <v>1</v>
      </c>
      <c r="AF238" s="315"/>
      <c r="AG238" s="311" t="n">
        <v>0</v>
      </c>
      <c r="AH238" s="309" t="n">
        <v>0</v>
      </c>
      <c r="AI238" s="310"/>
      <c r="AJ238" s="311" t="n">
        <v>57</v>
      </c>
      <c r="AK238" s="309" t="n">
        <v>184.8</v>
      </c>
      <c r="AL238" s="311" t="n">
        <v>117</v>
      </c>
      <c r="AM238" s="309" t="n">
        <v>235.2</v>
      </c>
      <c r="AN238" s="311" t="n">
        <v>138</v>
      </c>
      <c r="AO238" s="309" t="n">
        <v>213.6</v>
      </c>
      <c r="AP238" s="310"/>
      <c r="AQ238" s="311" t="n">
        <v>66</v>
      </c>
      <c r="AR238" s="309" t="n">
        <v>304.8</v>
      </c>
      <c r="AS238" s="311" t="n">
        <v>88</v>
      </c>
      <c r="AT238" s="309" t="n">
        <v>283.2</v>
      </c>
      <c r="AU238" s="311" t="n">
        <v>88</v>
      </c>
      <c r="AV238" s="309" t="n">
        <v>283.2</v>
      </c>
      <c r="AW238" s="311" t="n">
        <v>119</v>
      </c>
      <c r="AX238" s="309" t="n">
        <v>252</v>
      </c>
      <c r="AY238" s="311" t="n">
        <v>119</v>
      </c>
      <c r="AZ238" s="309" t="n">
        <v>252</v>
      </c>
      <c r="BB238" s="144" t="n">
        <v>0</v>
      </c>
      <c r="BC238" s="315"/>
      <c r="BD238" s="311" t="n">
        <v>0</v>
      </c>
      <c r="BE238" s="316" t="n">
        <v>0</v>
      </c>
      <c r="BF238" s="310"/>
      <c r="BG238" s="317" t="n">
        <v>0</v>
      </c>
      <c r="BH238" s="318" t="n">
        <v>0</v>
      </c>
      <c r="BI238" s="317" t="n">
        <v>0</v>
      </c>
      <c r="BJ238" s="318" t="n">
        <v>0</v>
      </c>
      <c r="BK238" s="317" t="n">
        <v>0</v>
      </c>
      <c r="BL238" s="318" t="n">
        <v>0</v>
      </c>
      <c r="BM238" s="310"/>
      <c r="BN238" s="317" t="n">
        <v>0</v>
      </c>
      <c r="BO238" s="318" t="n">
        <v>0</v>
      </c>
      <c r="BP238" s="317" t="n">
        <v>0</v>
      </c>
      <c r="BQ238" s="318" t="n">
        <v>0</v>
      </c>
      <c r="BR238" s="317" t="n">
        <v>0</v>
      </c>
      <c r="BS238" s="318" t="n">
        <v>0</v>
      </c>
      <c r="BT238" s="317" t="n">
        <v>0</v>
      </c>
      <c r="BU238" s="318" t="n">
        <v>0</v>
      </c>
      <c r="BV238" s="317" t="n">
        <v>0</v>
      </c>
      <c r="BW238" s="318" t="n">
        <v>0</v>
      </c>
      <c r="BY238" s="143"/>
      <c r="BZ238" s="315"/>
      <c r="CA238" s="144" t="s">
        <v>12</v>
      </c>
      <c r="CB238" s="315"/>
      <c r="CC238" s="144" t="n">
        <v>-56.4479338842975</v>
      </c>
      <c r="CD238" s="144" t="n">
        <v>-116.047933884298</v>
      </c>
      <c r="CE238" s="144" t="n">
        <v>-137.647933884298</v>
      </c>
      <c r="CF238" s="315"/>
      <c r="CG238" s="144" t="n">
        <v>-65.4479338842975</v>
      </c>
      <c r="CH238" s="144" t="n">
        <v>-87.0479338842975</v>
      </c>
      <c r="CI238" s="144" t="n">
        <v>-87.0479338842975</v>
      </c>
      <c r="CJ238" s="144" t="n">
        <v>-118.247933884298</v>
      </c>
      <c r="CK238" s="144" t="n">
        <v>-118.247933884298</v>
      </c>
      <c r="CM238" s="144" t="n">
        <v>329.752066115702</v>
      </c>
      <c r="CO238" s="319"/>
      <c r="CP238" s="320"/>
      <c r="CQ238" s="321" t="s">
        <v>12</v>
      </c>
      <c r="CR238" s="320"/>
      <c r="CS238" s="322" t="n">
        <v>-15.9520661157025</v>
      </c>
      <c r="CT238" s="322" t="n">
        <v>-75.5520661157024</v>
      </c>
      <c r="CU238" s="322" t="n">
        <v>-97.1520661157024</v>
      </c>
      <c r="CV238" s="323"/>
      <c r="CW238" s="322" t="n">
        <v>-24.9520661157025</v>
      </c>
      <c r="CX238" s="322" t="n">
        <v>-46.5520661157024</v>
      </c>
      <c r="CY238" s="322" t="n">
        <v>-46.5520661157024</v>
      </c>
      <c r="CZ238" s="322" t="n">
        <v>-77.7520661157025</v>
      </c>
      <c r="DA238" s="322" t="n">
        <v>-77.7520661157025</v>
      </c>
    </row>
    <row r="239" customFormat="false" ht="12.75" hidden="false" customHeight="false" outlineLevel="0" collapsed="false">
      <c r="B239" s="305" t="s">
        <v>112</v>
      </c>
      <c r="C239" s="327" t="s">
        <v>545</v>
      </c>
      <c r="D239" s="306" t="n">
        <v>371</v>
      </c>
      <c r="E239" s="306" t="n">
        <v>3.75</v>
      </c>
      <c r="F239" s="324" t="s">
        <v>541</v>
      </c>
      <c r="G239" s="144" t="n">
        <v>48</v>
      </c>
      <c r="H239" s="325" t="n">
        <v>370.247933884298</v>
      </c>
      <c r="I239" s="2"/>
      <c r="J239" s="144" t="s">
        <v>12</v>
      </c>
      <c r="K239" s="309" t="s">
        <v>12</v>
      </c>
      <c r="L239" s="310"/>
      <c r="M239" s="311" t="n">
        <v>129</v>
      </c>
      <c r="N239" s="312" t="n">
        <v>3.9</v>
      </c>
      <c r="O239" s="311" t="n">
        <v>19</v>
      </c>
      <c r="P239" s="312" t="n">
        <v>4.9</v>
      </c>
      <c r="Q239" s="310" t="n">
        <v>19</v>
      </c>
      <c r="R239" s="312" t="n">
        <v>4.5</v>
      </c>
      <c r="S239" s="310"/>
      <c r="T239" s="311" t="n">
        <v>0</v>
      </c>
      <c r="U239" s="312" t="n">
        <v>6.4</v>
      </c>
      <c r="V239" s="311" t="n">
        <v>0</v>
      </c>
      <c r="W239" s="312" t="n">
        <v>5.9</v>
      </c>
      <c r="X239" s="311" t="n">
        <v>0</v>
      </c>
      <c r="Y239" s="312" t="n">
        <v>5.9</v>
      </c>
      <c r="Z239" s="313" t="n">
        <v>0</v>
      </c>
      <c r="AA239" s="314" t="n">
        <v>5.3</v>
      </c>
      <c r="AB239" s="313" t="n">
        <v>0</v>
      </c>
      <c r="AC239" s="314" t="n">
        <v>5.3</v>
      </c>
      <c r="AD239" s="315"/>
      <c r="AE239" s="144" t="n">
        <v>1</v>
      </c>
      <c r="AF239" s="315"/>
      <c r="AG239" s="311" t="n">
        <v>0</v>
      </c>
      <c r="AH239" s="309" t="n">
        <v>0</v>
      </c>
      <c r="AI239" s="310"/>
      <c r="AJ239" s="311" t="n">
        <v>55</v>
      </c>
      <c r="AK239" s="309" t="n">
        <v>187.2</v>
      </c>
      <c r="AL239" s="311" t="n">
        <v>117</v>
      </c>
      <c r="AM239" s="309" t="n">
        <v>235.2</v>
      </c>
      <c r="AN239" s="310" t="n">
        <v>136</v>
      </c>
      <c r="AO239" s="309" t="n">
        <v>216</v>
      </c>
      <c r="AP239" s="310"/>
      <c r="AQ239" s="311" t="n">
        <v>64</v>
      </c>
      <c r="AR239" s="309" t="n">
        <v>307.2</v>
      </c>
      <c r="AS239" s="311" t="n">
        <v>88</v>
      </c>
      <c r="AT239" s="309" t="n">
        <v>283.2</v>
      </c>
      <c r="AU239" s="310" t="n">
        <v>88</v>
      </c>
      <c r="AV239" s="309" t="n">
        <v>283.2</v>
      </c>
      <c r="AW239" s="310" t="n">
        <v>117</v>
      </c>
      <c r="AX239" s="309" t="n">
        <v>254.4</v>
      </c>
      <c r="AY239" s="310" t="n">
        <v>117</v>
      </c>
      <c r="AZ239" s="309" t="n">
        <v>254.4</v>
      </c>
      <c r="BB239" s="144" t="n">
        <v>0</v>
      </c>
      <c r="BC239" s="315"/>
      <c r="BD239" s="311" t="n">
        <v>0</v>
      </c>
      <c r="BE239" s="316" t="n">
        <v>0</v>
      </c>
      <c r="BF239" s="310"/>
      <c r="BG239" s="317" t="n">
        <v>0</v>
      </c>
      <c r="BH239" s="318" t="n">
        <v>0</v>
      </c>
      <c r="BI239" s="317" t="n">
        <v>0</v>
      </c>
      <c r="BJ239" s="318" t="n">
        <v>0</v>
      </c>
      <c r="BK239" s="317" t="n">
        <v>0</v>
      </c>
      <c r="BL239" s="318" t="n">
        <v>0</v>
      </c>
      <c r="BM239" s="310"/>
      <c r="BN239" s="317" t="n">
        <v>0</v>
      </c>
      <c r="BO239" s="318" t="n">
        <v>0</v>
      </c>
      <c r="BP239" s="317" t="n">
        <v>0</v>
      </c>
      <c r="BQ239" s="318" t="n">
        <v>0</v>
      </c>
      <c r="BR239" s="317" t="n">
        <v>0</v>
      </c>
      <c r="BS239" s="318" t="n">
        <v>0</v>
      </c>
      <c r="BT239" s="317" t="n">
        <v>0</v>
      </c>
      <c r="BU239" s="318" t="n">
        <v>0</v>
      </c>
      <c r="BV239" s="317" t="n">
        <v>0</v>
      </c>
      <c r="BW239" s="318" t="n">
        <v>0</v>
      </c>
      <c r="BY239" s="143"/>
      <c r="BZ239" s="315"/>
      <c r="CA239" s="144" t="s">
        <v>12</v>
      </c>
      <c r="CB239" s="315"/>
      <c r="CC239" s="144" t="n">
        <v>-54.0479338842975</v>
      </c>
      <c r="CD239" s="144" t="n">
        <v>-116.047933884298</v>
      </c>
      <c r="CE239" s="144" t="n">
        <v>-135.247933884298</v>
      </c>
      <c r="CF239" s="315"/>
      <c r="CG239" s="144" t="n">
        <v>-63.0479338842975</v>
      </c>
      <c r="CH239" s="144" t="n">
        <v>-87.0479338842975</v>
      </c>
      <c r="CI239" s="144" t="n">
        <v>-87.0479338842975</v>
      </c>
      <c r="CJ239" s="144" t="n">
        <v>-115.847933884298</v>
      </c>
      <c r="CK239" s="144" t="n">
        <v>-115.847933884298</v>
      </c>
      <c r="CM239" s="144" t="n">
        <v>329.752066115702</v>
      </c>
      <c r="CO239" s="319"/>
      <c r="CP239" s="320"/>
      <c r="CQ239" s="321" t="s">
        <v>12</v>
      </c>
      <c r="CR239" s="320"/>
      <c r="CS239" s="322" t="n">
        <v>-13.5520661157024</v>
      </c>
      <c r="CT239" s="322" t="n">
        <v>-75.5520661157024</v>
      </c>
      <c r="CU239" s="322" t="n">
        <v>-94.7520661157025</v>
      </c>
      <c r="CV239" s="323"/>
      <c r="CW239" s="322" t="n">
        <v>-22.5520661157024</v>
      </c>
      <c r="CX239" s="322" t="n">
        <v>-46.5520661157024</v>
      </c>
      <c r="CY239" s="322" t="n">
        <v>-46.5520661157024</v>
      </c>
      <c r="CZ239" s="322" t="n">
        <v>-75.3520661157024</v>
      </c>
      <c r="DA239" s="322" t="n">
        <v>-75.3520661157024</v>
      </c>
    </row>
    <row r="240" customFormat="false" ht="12.75" hidden="false" customHeight="false" outlineLevel="0" collapsed="false">
      <c r="B240" s="305" t="s">
        <v>112</v>
      </c>
      <c r="C240" s="327" t="s">
        <v>546</v>
      </c>
      <c r="D240" s="306" t="n">
        <v>477</v>
      </c>
      <c r="E240" s="306" t="n">
        <v>3.75</v>
      </c>
      <c r="F240" s="306" t="s">
        <v>541</v>
      </c>
      <c r="G240" s="307" t="n">
        <v>24</v>
      </c>
      <c r="H240" s="308" t="n">
        <v>476.859504132231</v>
      </c>
      <c r="I240" s="2"/>
      <c r="J240" s="144" t="s">
        <v>12</v>
      </c>
      <c r="K240" s="309" t="s">
        <v>12</v>
      </c>
      <c r="L240" s="310"/>
      <c r="M240" s="311" t="n">
        <v>159</v>
      </c>
      <c r="N240" s="312" t="n">
        <v>10.2</v>
      </c>
      <c r="O240" s="311" t="n">
        <v>19</v>
      </c>
      <c r="P240" s="312" t="n">
        <v>13.7</v>
      </c>
      <c r="Q240" s="310" t="n">
        <v>19</v>
      </c>
      <c r="R240" s="312" t="n">
        <v>12.9</v>
      </c>
      <c r="S240" s="310"/>
      <c r="T240" s="311" t="n">
        <v>0</v>
      </c>
      <c r="U240" s="312" t="n">
        <v>16.8</v>
      </c>
      <c r="V240" s="311" t="n">
        <v>0</v>
      </c>
      <c r="W240" s="312" t="n">
        <v>15.8</v>
      </c>
      <c r="X240" s="311" t="n">
        <v>0</v>
      </c>
      <c r="Y240" s="312" t="n">
        <v>15.8</v>
      </c>
      <c r="Z240" s="313" t="n">
        <v>0</v>
      </c>
      <c r="AA240" s="314" t="n">
        <v>14.5</v>
      </c>
      <c r="AB240" s="313" t="n">
        <v>0</v>
      </c>
      <c r="AC240" s="314" t="n">
        <v>14.5</v>
      </c>
      <c r="AD240" s="315"/>
      <c r="AE240" s="144" t="n">
        <v>0</v>
      </c>
      <c r="AF240" s="315"/>
      <c r="AG240" s="311" t="n">
        <v>0</v>
      </c>
      <c r="AH240" s="309" t="n">
        <v>0</v>
      </c>
      <c r="AI240" s="310"/>
      <c r="AJ240" s="311" t="n">
        <v>73</v>
      </c>
      <c r="AK240" s="309" t="n">
        <v>244.8</v>
      </c>
      <c r="AL240" s="311" t="n">
        <v>129</v>
      </c>
      <c r="AM240" s="309" t="n">
        <v>328.8</v>
      </c>
      <c r="AN240" s="311" t="n">
        <v>148</v>
      </c>
      <c r="AO240" s="309" t="n">
        <v>309.6</v>
      </c>
      <c r="AP240" s="310"/>
      <c r="AQ240" s="311" t="n">
        <v>74</v>
      </c>
      <c r="AR240" s="309" t="n">
        <v>403.2</v>
      </c>
      <c r="AS240" s="311" t="n">
        <v>98</v>
      </c>
      <c r="AT240" s="309" t="n">
        <v>379.2</v>
      </c>
      <c r="AU240" s="311" t="n">
        <v>98</v>
      </c>
      <c r="AV240" s="309" t="n">
        <v>379.2</v>
      </c>
      <c r="AW240" s="311" t="n">
        <v>129</v>
      </c>
      <c r="AX240" s="309" t="n">
        <v>348</v>
      </c>
      <c r="AY240" s="311" t="n">
        <v>129</v>
      </c>
      <c r="AZ240" s="309" t="n">
        <v>348</v>
      </c>
      <c r="BB240" s="144" t="n">
        <v>0</v>
      </c>
      <c r="BC240" s="315"/>
      <c r="BD240" s="311" t="n">
        <v>0</v>
      </c>
      <c r="BE240" s="316" t="n">
        <v>0</v>
      </c>
      <c r="BF240" s="310"/>
      <c r="BG240" s="317" t="n">
        <v>0</v>
      </c>
      <c r="BH240" s="318" t="n">
        <v>0</v>
      </c>
      <c r="BI240" s="317" t="n">
        <v>0</v>
      </c>
      <c r="BJ240" s="318" t="n">
        <v>0</v>
      </c>
      <c r="BK240" s="317" t="n">
        <v>0</v>
      </c>
      <c r="BL240" s="318" t="n">
        <v>0</v>
      </c>
      <c r="BM240" s="310"/>
      <c r="BN240" s="317" t="n">
        <v>0</v>
      </c>
      <c r="BO240" s="318" t="n">
        <v>0</v>
      </c>
      <c r="BP240" s="317" t="n">
        <v>0</v>
      </c>
      <c r="BQ240" s="318" t="n">
        <v>0</v>
      </c>
      <c r="BR240" s="317" t="n">
        <v>0</v>
      </c>
      <c r="BS240" s="318" t="n">
        <v>0</v>
      </c>
      <c r="BT240" s="317" t="n">
        <v>0</v>
      </c>
      <c r="BU240" s="318" t="n">
        <v>0</v>
      </c>
      <c r="BV240" s="317" t="n">
        <v>0</v>
      </c>
      <c r="BW240" s="318" t="n">
        <v>0</v>
      </c>
      <c r="BY240" s="143"/>
      <c r="BZ240" s="315"/>
      <c r="CA240" s="144" t="s">
        <v>12</v>
      </c>
      <c r="CB240" s="315"/>
      <c r="CC240" s="144" t="n">
        <v>-73.0595041322314</v>
      </c>
      <c r="CD240" s="144" t="n">
        <v>-129.059504132231</v>
      </c>
      <c r="CE240" s="144" t="n">
        <v>-148.259504132231</v>
      </c>
      <c r="CF240" s="315"/>
      <c r="CG240" s="144" t="n">
        <v>-73.6595041322313</v>
      </c>
      <c r="CH240" s="144" t="n">
        <v>-97.6595041322313</v>
      </c>
      <c r="CI240" s="144" t="n">
        <v>-97.6595041322313</v>
      </c>
      <c r="CJ240" s="144" t="n">
        <v>-128.859504132231</v>
      </c>
      <c r="CK240" s="144" t="n">
        <v>-128.859504132231</v>
      </c>
      <c r="CM240" s="144" t="n">
        <v>437.190082644628</v>
      </c>
      <c r="CO240" s="319"/>
      <c r="CP240" s="320"/>
      <c r="CQ240" s="321" t="s">
        <v>12</v>
      </c>
      <c r="CR240" s="320"/>
      <c r="CS240" s="322" t="n">
        <v>-33.3900826446281</v>
      </c>
      <c r="CT240" s="322" t="n">
        <v>-89.3900826446281</v>
      </c>
      <c r="CU240" s="322" t="n">
        <v>-108.590082644628</v>
      </c>
      <c r="CV240" s="323"/>
      <c r="CW240" s="322" t="n">
        <v>-33.990082644628</v>
      </c>
      <c r="CX240" s="322" t="n">
        <v>-57.990082644628</v>
      </c>
      <c r="CY240" s="322" t="n">
        <v>-57.990082644628</v>
      </c>
      <c r="CZ240" s="322" t="n">
        <v>-89.1900826446281</v>
      </c>
      <c r="DA240" s="322" t="n">
        <v>-89.1900826446281</v>
      </c>
    </row>
    <row r="241" customFormat="false" ht="12.75" hidden="false" customHeight="false" outlineLevel="0" collapsed="false">
      <c r="B241" s="305" t="s">
        <v>112</v>
      </c>
      <c r="C241" s="327" t="s">
        <v>546</v>
      </c>
      <c r="D241" s="306" t="n">
        <v>477</v>
      </c>
      <c r="E241" s="306" t="n">
        <v>3.75</v>
      </c>
      <c r="F241" s="324" t="s">
        <v>541</v>
      </c>
      <c r="G241" s="144" t="n">
        <v>48</v>
      </c>
      <c r="H241" s="325" t="n">
        <v>476.859504132231</v>
      </c>
      <c r="I241" s="2"/>
      <c r="J241" s="144" t="s">
        <v>12</v>
      </c>
      <c r="K241" s="309" t="s">
        <v>12</v>
      </c>
      <c r="L241" s="310"/>
      <c r="M241" s="311" t="n">
        <v>159</v>
      </c>
      <c r="N241" s="312" t="n">
        <v>5.1</v>
      </c>
      <c r="O241" s="311" t="n">
        <v>19</v>
      </c>
      <c r="P241" s="312" t="n">
        <v>6.9</v>
      </c>
      <c r="Q241" s="310" t="n">
        <v>19</v>
      </c>
      <c r="R241" s="312" t="n">
        <v>6.5</v>
      </c>
      <c r="S241" s="310"/>
      <c r="T241" s="311" t="n">
        <v>0</v>
      </c>
      <c r="U241" s="312" t="n">
        <v>8.4</v>
      </c>
      <c r="V241" s="311" t="n">
        <v>0</v>
      </c>
      <c r="W241" s="312" t="n">
        <v>7.9</v>
      </c>
      <c r="X241" s="311" t="n">
        <v>0</v>
      </c>
      <c r="Y241" s="312" t="n">
        <v>7.9</v>
      </c>
      <c r="Z241" s="313" t="n">
        <v>0</v>
      </c>
      <c r="AA241" s="314" t="n">
        <v>7.3</v>
      </c>
      <c r="AB241" s="313" t="n">
        <v>0</v>
      </c>
      <c r="AC241" s="314" t="n">
        <v>7.3</v>
      </c>
      <c r="AD241" s="315"/>
      <c r="AE241" s="144" t="n">
        <v>0</v>
      </c>
      <c r="AF241" s="315"/>
      <c r="AG241" s="311" t="n">
        <v>0</v>
      </c>
      <c r="AH241" s="309" t="n">
        <v>0</v>
      </c>
      <c r="AI241" s="310"/>
      <c r="AJ241" s="311" t="n">
        <v>73</v>
      </c>
      <c r="AK241" s="309" t="n">
        <v>244.8</v>
      </c>
      <c r="AL241" s="311" t="n">
        <v>127</v>
      </c>
      <c r="AM241" s="309" t="n">
        <v>331.2</v>
      </c>
      <c r="AN241" s="310" t="n">
        <v>146</v>
      </c>
      <c r="AO241" s="309" t="n">
        <v>312</v>
      </c>
      <c r="AP241" s="310"/>
      <c r="AQ241" s="311" t="n">
        <v>74</v>
      </c>
      <c r="AR241" s="309" t="n">
        <v>403.2</v>
      </c>
      <c r="AS241" s="311" t="n">
        <v>98</v>
      </c>
      <c r="AT241" s="309" t="n">
        <v>379.2</v>
      </c>
      <c r="AU241" s="310" t="n">
        <v>98</v>
      </c>
      <c r="AV241" s="309" t="n">
        <v>379.2</v>
      </c>
      <c r="AW241" s="310" t="n">
        <v>127</v>
      </c>
      <c r="AX241" s="309" t="n">
        <v>350.4</v>
      </c>
      <c r="AY241" s="310" t="n">
        <v>127</v>
      </c>
      <c r="AZ241" s="309" t="n">
        <v>350.4</v>
      </c>
      <c r="BB241" s="144" t="n">
        <v>0</v>
      </c>
      <c r="BC241" s="315"/>
      <c r="BD241" s="311" t="n">
        <v>0</v>
      </c>
      <c r="BE241" s="316" t="n">
        <v>0</v>
      </c>
      <c r="BF241" s="310"/>
      <c r="BG241" s="317" t="n">
        <v>0</v>
      </c>
      <c r="BH241" s="318" t="n">
        <v>0</v>
      </c>
      <c r="BI241" s="317" t="n">
        <v>0</v>
      </c>
      <c r="BJ241" s="318" t="n">
        <v>0</v>
      </c>
      <c r="BK241" s="317" t="n">
        <v>0</v>
      </c>
      <c r="BL241" s="318" t="n">
        <v>0</v>
      </c>
      <c r="BM241" s="310"/>
      <c r="BN241" s="317" t="n">
        <v>0</v>
      </c>
      <c r="BO241" s="318" t="n">
        <v>0</v>
      </c>
      <c r="BP241" s="317" t="n">
        <v>0</v>
      </c>
      <c r="BQ241" s="318" t="n">
        <v>0</v>
      </c>
      <c r="BR241" s="317" t="n">
        <v>0</v>
      </c>
      <c r="BS241" s="318" t="n">
        <v>0</v>
      </c>
      <c r="BT241" s="317" t="n">
        <v>0</v>
      </c>
      <c r="BU241" s="318" t="n">
        <v>0</v>
      </c>
      <c r="BV241" s="317" t="n">
        <v>0</v>
      </c>
      <c r="BW241" s="318" t="n">
        <v>0</v>
      </c>
      <c r="BY241" s="143"/>
      <c r="BZ241" s="315"/>
      <c r="CA241" s="144" t="s">
        <v>12</v>
      </c>
      <c r="CB241" s="315"/>
      <c r="CC241" s="144" t="n">
        <v>-73.0595041322314</v>
      </c>
      <c r="CD241" s="144" t="n">
        <v>-126.659504132231</v>
      </c>
      <c r="CE241" s="144" t="n">
        <v>-145.859504132231</v>
      </c>
      <c r="CF241" s="315"/>
      <c r="CG241" s="144" t="n">
        <v>-73.6595041322313</v>
      </c>
      <c r="CH241" s="144" t="n">
        <v>-97.6595041322313</v>
      </c>
      <c r="CI241" s="144" t="n">
        <v>-97.6595041322313</v>
      </c>
      <c r="CJ241" s="144" t="n">
        <v>-126.459504132231</v>
      </c>
      <c r="CK241" s="144" t="n">
        <v>-126.459504132231</v>
      </c>
      <c r="CM241" s="144" t="n">
        <v>437.190082644628</v>
      </c>
      <c r="CO241" s="319"/>
      <c r="CP241" s="320"/>
      <c r="CQ241" s="321" t="s">
        <v>12</v>
      </c>
      <c r="CR241" s="320"/>
      <c r="CS241" s="322" t="n">
        <v>-33.3900826446281</v>
      </c>
      <c r="CT241" s="322" t="n">
        <v>-86.990082644628</v>
      </c>
      <c r="CU241" s="322" t="n">
        <v>-106.190082644628</v>
      </c>
      <c r="CV241" s="323"/>
      <c r="CW241" s="322" t="n">
        <v>-33.990082644628</v>
      </c>
      <c r="CX241" s="322" t="n">
        <v>-57.990082644628</v>
      </c>
      <c r="CY241" s="322" t="n">
        <v>-57.990082644628</v>
      </c>
      <c r="CZ241" s="322" t="n">
        <v>-86.7900826446281</v>
      </c>
      <c r="DA241" s="322" t="n">
        <v>-86.7900826446281</v>
      </c>
    </row>
    <row r="242" customFormat="false" ht="12.75" hidden="false" customHeight="false" outlineLevel="0" collapsed="false">
      <c r="B242" s="305" t="s">
        <v>112</v>
      </c>
      <c r="C242" s="327" t="s">
        <v>547</v>
      </c>
      <c r="D242" s="306" t="n">
        <v>758</v>
      </c>
      <c r="E242" s="306" t="n">
        <v>3.75</v>
      </c>
      <c r="F242" s="306" t="s">
        <v>541</v>
      </c>
      <c r="G242" s="307" t="n">
        <v>24</v>
      </c>
      <c r="H242" s="308" t="n">
        <v>757.851239669422</v>
      </c>
      <c r="I242" s="2"/>
      <c r="J242" s="144" t="s">
        <v>12</v>
      </c>
      <c r="K242" s="309" t="s">
        <v>12</v>
      </c>
      <c r="L242" s="310"/>
      <c r="M242" s="311" t="n">
        <v>319</v>
      </c>
      <c r="N242" s="312" t="n">
        <v>12.9</v>
      </c>
      <c r="O242" s="311" t="n">
        <v>189</v>
      </c>
      <c r="P242" s="312" t="n">
        <v>15.8</v>
      </c>
      <c r="Q242" s="310" t="n">
        <v>189</v>
      </c>
      <c r="R242" s="312" t="n">
        <v>14.9</v>
      </c>
      <c r="S242" s="310"/>
      <c r="T242" s="311" t="n">
        <v>0</v>
      </c>
      <c r="U242" s="312" t="n">
        <v>25.9</v>
      </c>
      <c r="V242" s="311" t="n">
        <v>0</v>
      </c>
      <c r="W242" s="312" t="n">
        <v>25</v>
      </c>
      <c r="X242" s="311" t="n">
        <v>0</v>
      </c>
      <c r="Y242" s="312" t="n">
        <v>25</v>
      </c>
      <c r="Z242" s="313" t="n">
        <v>0</v>
      </c>
      <c r="AA242" s="314" t="n">
        <v>23.8</v>
      </c>
      <c r="AB242" s="313" t="n">
        <v>0</v>
      </c>
      <c r="AC242" s="314" t="n">
        <v>23.8</v>
      </c>
      <c r="AD242" s="315"/>
      <c r="AE242" s="144" t="n">
        <v>0</v>
      </c>
      <c r="AF242" s="315"/>
      <c r="AG242" s="311" t="n">
        <v>0</v>
      </c>
      <c r="AH242" s="309" t="n">
        <v>0</v>
      </c>
      <c r="AI242" s="310"/>
      <c r="AJ242" s="311" t="n">
        <v>129</v>
      </c>
      <c r="AK242" s="309" t="n">
        <v>309.6</v>
      </c>
      <c r="AL242" s="311" t="n">
        <v>190</v>
      </c>
      <c r="AM242" s="309" t="n">
        <v>379.2</v>
      </c>
      <c r="AN242" s="311" t="n">
        <v>211</v>
      </c>
      <c r="AO242" s="309" t="n">
        <v>357.6</v>
      </c>
      <c r="AP242" s="310"/>
      <c r="AQ242" s="311" t="n">
        <v>136</v>
      </c>
      <c r="AR242" s="309" t="n">
        <v>621.6</v>
      </c>
      <c r="AS242" s="311" t="n">
        <v>158</v>
      </c>
      <c r="AT242" s="309" t="n">
        <v>600</v>
      </c>
      <c r="AU242" s="311" t="n">
        <v>158</v>
      </c>
      <c r="AV242" s="309" t="n">
        <v>600</v>
      </c>
      <c r="AW242" s="311" t="n">
        <v>187</v>
      </c>
      <c r="AX242" s="309" t="n">
        <v>571.2</v>
      </c>
      <c r="AY242" s="311" t="n">
        <v>187</v>
      </c>
      <c r="AZ242" s="309" t="n">
        <v>571.2</v>
      </c>
      <c r="BB242" s="144" t="n">
        <v>0</v>
      </c>
      <c r="BC242" s="315"/>
      <c r="BD242" s="311" t="n">
        <v>0</v>
      </c>
      <c r="BE242" s="316" t="n">
        <v>0</v>
      </c>
      <c r="BF242" s="310"/>
      <c r="BG242" s="317" t="n">
        <v>0</v>
      </c>
      <c r="BH242" s="318" t="n">
        <v>0</v>
      </c>
      <c r="BI242" s="317" t="n">
        <v>0</v>
      </c>
      <c r="BJ242" s="318" t="n">
        <v>0</v>
      </c>
      <c r="BK242" s="317" t="n">
        <v>0</v>
      </c>
      <c r="BL242" s="318" t="n">
        <v>0</v>
      </c>
      <c r="BM242" s="310"/>
      <c r="BN242" s="317" t="n">
        <v>0</v>
      </c>
      <c r="BO242" s="318" t="n">
        <v>0</v>
      </c>
      <c r="BP242" s="317" t="n">
        <v>0</v>
      </c>
      <c r="BQ242" s="318" t="n">
        <v>0</v>
      </c>
      <c r="BR242" s="317" t="n">
        <v>0</v>
      </c>
      <c r="BS242" s="318" t="n">
        <v>0</v>
      </c>
      <c r="BT242" s="317" t="n">
        <v>0</v>
      </c>
      <c r="BU242" s="318" t="n">
        <v>0</v>
      </c>
      <c r="BV242" s="317" t="n">
        <v>0</v>
      </c>
      <c r="BW242" s="318" t="n">
        <v>0</v>
      </c>
      <c r="BY242" s="143"/>
      <c r="BZ242" s="315"/>
      <c r="CA242" s="144" t="s">
        <v>12</v>
      </c>
      <c r="CB242" s="315"/>
      <c r="CC242" s="144" t="n">
        <v>-129.251239669421</v>
      </c>
      <c r="CD242" s="144" t="n">
        <v>-189.651239669421</v>
      </c>
      <c r="CE242" s="144" t="n">
        <v>-211.251239669421</v>
      </c>
      <c r="CF242" s="315"/>
      <c r="CG242" s="144" t="n">
        <v>-136.251239669421</v>
      </c>
      <c r="CH242" s="144" t="n">
        <v>-157.851239669422</v>
      </c>
      <c r="CI242" s="144" t="n">
        <v>-157.851239669422</v>
      </c>
      <c r="CJ242" s="144" t="n">
        <v>-186.651239669421</v>
      </c>
      <c r="CK242" s="144" t="n">
        <v>-186.651239669421</v>
      </c>
      <c r="CM242" s="144" t="n">
        <v>685.123966942149</v>
      </c>
      <c r="CO242" s="319"/>
      <c r="CP242" s="320"/>
      <c r="CQ242" s="321" t="s">
        <v>12</v>
      </c>
      <c r="CR242" s="320"/>
      <c r="CS242" s="322" t="n">
        <v>-56.5239669421487</v>
      </c>
      <c r="CT242" s="322" t="n">
        <v>-116.923966942149</v>
      </c>
      <c r="CU242" s="322" t="n">
        <v>-138.523966942149</v>
      </c>
      <c r="CV242" s="323"/>
      <c r="CW242" s="322" t="n">
        <v>-63.5239669421487</v>
      </c>
      <c r="CX242" s="322" t="n">
        <v>-85.1239669421488</v>
      </c>
      <c r="CY242" s="322" t="n">
        <v>-85.1239669421488</v>
      </c>
      <c r="CZ242" s="322" t="n">
        <v>-113.923966942149</v>
      </c>
      <c r="DA242" s="322" t="n">
        <v>-113.923966942149</v>
      </c>
    </row>
    <row r="243" customFormat="false" ht="12.75" hidden="false" customHeight="false" outlineLevel="0" collapsed="false">
      <c r="B243" s="305" t="s">
        <v>112</v>
      </c>
      <c r="C243" s="327" t="s">
        <v>547</v>
      </c>
      <c r="D243" s="306" t="n">
        <v>758</v>
      </c>
      <c r="E243" s="306" t="n">
        <v>3.75</v>
      </c>
      <c r="F243" s="324" t="s">
        <v>541</v>
      </c>
      <c r="G243" s="144" t="n">
        <v>48</v>
      </c>
      <c r="H243" s="325" t="n">
        <v>757.851239669422</v>
      </c>
      <c r="I243" s="2"/>
      <c r="J243" s="144" t="s">
        <v>12</v>
      </c>
      <c r="K243" s="309" t="s">
        <v>12</v>
      </c>
      <c r="L243" s="310"/>
      <c r="M243" s="311" t="n">
        <v>319</v>
      </c>
      <c r="N243" s="312" t="n">
        <v>6.5</v>
      </c>
      <c r="O243" s="311" t="n">
        <v>189</v>
      </c>
      <c r="P243" s="312" t="n">
        <v>7.9</v>
      </c>
      <c r="Q243" s="310" t="n">
        <v>189</v>
      </c>
      <c r="R243" s="312" t="n">
        <v>7.5</v>
      </c>
      <c r="S243" s="310"/>
      <c r="T243" s="311" t="n">
        <v>0</v>
      </c>
      <c r="U243" s="312" t="n">
        <v>13</v>
      </c>
      <c r="V243" s="311" t="n">
        <v>0</v>
      </c>
      <c r="W243" s="312" t="n">
        <v>12.5</v>
      </c>
      <c r="X243" s="311" t="n">
        <v>0</v>
      </c>
      <c r="Y243" s="312" t="n">
        <v>12.5</v>
      </c>
      <c r="Z243" s="313" t="n">
        <v>0</v>
      </c>
      <c r="AA243" s="314" t="n">
        <v>11.9</v>
      </c>
      <c r="AB243" s="313" t="n">
        <v>0</v>
      </c>
      <c r="AC243" s="314" t="n">
        <v>11.9</v>
      </c>
      <c r="AD243" s="315"/>
      <c r="AE243" s="144" t="n">
        <v>0</v>
      </c>
      <c r="AF243" s="315"/>
      <c r="AG243" s="311" t="n">
        <v>0</v>
      </c>
      <c r="AH243" s="309" t="n">
        <v>0</v>
      </c>
      <c r="AI243" s="310"/>
      <c r="AJ243" s="311" t="n">
        <v>127</v>
      </c>
      <c r="AK243" s="309" t="n">
        <v>312</v>
      </c>
      <c r="AL243" s="311" t="n">
        <v>190</v>
      </c>
      <c r="AM243" s="309" t="n">
        <v>379.2</v>
      </c>
      <c r="AN243" s="310" t="n">
        <v>209</v>
      </c>
      <c r="AO243" s="309" t="n">
        <v>360</v>
      </c>
      <c r="AP243" s="310"/>
      <c r="AQ243" s="311" t="n">
        <v>134</v>
      </c>
      <c r="AR243" s="309" t="n">
        <v>624</v>
      </c>
      <c r="AS243" s="311" t="n">
        <v>158</v>
      </c>
      <c r="AT243" s="309" t="n">
        <v>600</v>
      </c>
      <c r="AU243" s="310" t="n">
        <v>158</v>
      </c>
      <c r="AV243" s="309" t="n">
        <v>600</v>
      </c>
      <c r="AW243" s="310" t="n">
        <v>187</v>
      </c>
      <c r="AX243" s="309" t="n">
        <v>571.2</v>
      </c>
      <c r="AY243" s="310" t="n">
        <v>187</v>
      </c>
      <c r="AZ243" s="309" t="n">
        <v>571.2</v>
      </c>
      <c r="BB243" s="144" t="n">
        <v>0</v>
      </c>
      <c r="BC243" s="315"/>
      <c r="BD243" s="311" t="n">
        <v>0</v>
      </c>
      <c r="BE243" s="316" t="n">
        <v>0</v>
      </c>
      <c r="BF243" s="310"/>
      <c r="BG243" s="317" t="n">
        <v>0</v>
      </c>
      <c r="BH243" s="318" t="n">
        <v>0</v>
      </c>
      <c r="BI243" s="317" t="n">
        <v>0</v>
      </c>
      <c r="BJ243" s="318" t="n">
        <v>0</v>
      </c>
      <c r="BK243" s="317" t="n">
        <v>0</v>
      </c>
      <c r="BL243" s="318" t="n">
        <v>0</v>
      </c>
      <c r="BM243" s="310"/>
      <c r="BN243" s="317" t="n">
        <v>0</v>
      </c>
      <c r="BO243" s="318" t="n">
        <v>0</v>
      </c>
      <c r="BP243" s="317" t="n">
        <v>0</v>
      </c>
      <c r="BQ243" s="318" t="n">
        <v>0</v>
      </c>
      <c r="BR243" s="317" t="n">
        <v>0</v>
      </c>
      <c r="BS243" s="318" t="n">
        <v>0</v>
      </c>
      <c r="BT243" s="317" t="n">
        <v>0</v>
      </c>
      <c r="BU243" s="318" t="n">
        <v>0</v>
      </c>
      <c r="BV243" s="317" t="n">
        <v>0</v>
      </c>
      <c r="BW243" s="318" t="n">
        <v>0</v>
      </c>
      <c r="BY243" s="143"/>
      <c r="BZ243" s="315"/>
      <c r="CA243" s="144" t="s">
        <v>12</v>
      </c>
      <c r="CB243" s="315"/>
      <c r="CC243" s="144" t="n">
        <v>-126.851239669422</v>
      </c>
      <c r="CD243" s="144" t="n">
        <v>-189.651239669421</v>
      </c>
      <c r="CE243" s="144" t="n">
        <v>-208.851239669421</v>
      </c>
      <c r="CF243" s="315"/>
      <c r="CG243" s="144" t="n">
        <v>-133.851239669422</v>
      </c>
      <c r="CH243" s="144" t="n">
        <v>-157.851239669422</v>
      </c>
      <c r="CI243" s="144" t="n">
        <v>-157.851239669422</v>
      </c>
      <c r="CJ243" s="144" t="n">
        <v>-186.651239669421</v>
      </c>
      <c r="CK243" s="144" t="n">
        <v>-186.651239669421</v>
      </c>
      <c r="CM243" s="144" t="n">
        <v>685.123966942149</v>
      </c>
      <c r="CO243" s="319"/>
      <c r="CP243" s="320"/>
      <c r="CQ243" s="321" t="s">
        <v>12</v>
      </c>
      <c r="CR243" s="320"/>
      <c r="CS243" s="322" t="n">
        <v>-54.1239669421487</v>
      </c>
      <c r="CT243" s="322" t="n">
        <v>-116.923966942149</v>
      </c>
      <c r="CU243" s="322" t="n">
        <v>-136.123966942149</v>
      </c>
      <c r="CV243" s="323"/>
      <c r="CW243" s="322" t="n">
        <v>-61.1239669421487</v>
      </c>
      <c r="CX243" s="322" t="n">
        <v>-85.1239669421488</v>
      </c>
      <c r="CY243" s="322" t="n">
        <v>-85.1239669421488</v>
      </c>
      <c r="CZ243" s="322" t="n">
        <v>-113.923966942149</v>
      </c>
      <c r="DA243" s="322" t="n">
        <v>-113.923966942149</v>
      </c>
    </row>
    <row r="244" customFormat="false" ht="12.75" hidden="false" customHeight="false" outlineLevel="0" collapsed="false">
      <c r="B244" s="305" t="s">
        <v>112</v>
      </c>
      <c r="C244" s="327" t="s">
        <v>548</v>
      </c>
      <c r="D244" s="306" t="n">
        <v>847</v>
      </c>
      <c r="E244" s="306" t="n">
        <v>3.75</v>
      </c>
      <c r="F244" s="306" t="s">
        <v>541</v>
      </c>
      <c r="G244" s="307" t="n">
        <v>24</v>
      </c>
      <c r="H244" s="308" t="n">
        <v>846.280991735537</v>
      </c>
      <c r="I244" s="2"/>
      <c r="J244" s="144" t="s">
        <v>12</v>
      </c>
      <c r="K244" s="309" t="s">
        <v>12</v>
      </c>
      <c r="L244" s="310"/>
      <c r="M244" s="311" t="n">
        <v>359</v>
      </c>
      <c r="N244" s="312" t="n">
        <v>14.9</v>
      </c>
      <c r="O244" s="311" t="n">
        <v>219</v>
      </c>
      <c r="P244" s="312" t="n">
        <v>18.2</v>
      </c>
      <c r="Q244" s="310" t="n">
        <v>219</v>
      </c>
      <c r="R244" s="312" t="n">
        <v>17.4</v>
      </c>
      <c r="S244" s="310"/>
      <c r="T244" s="311" t="n">
        <v>0</v>
      </c>
      <c r="U244" s="312" t="n">
        <v>29.6</v>
      </c>
      <c r="V244" s="311" t="n">
        <v>0</v>
      </c>
      <c r="W244" s="312" t="n">
        <v>28.8</v>
      </c>
      <c r="X244" s="311" t="n">
        <v>0</v>
      </c>
      <c r="Y244" s="312" t="n">
        <v>28.8</v>
      </c>
      <c r="Z244" s="313" t="n">
        <v>0</v>
      </c>
      <c r="AA244" s="314" t="n">
        <v>27.5</v>
      </c>
      <c r="AB244" s="313" t="n">
        <v>0</v>
      </c>
      <c r="AC244" s="314" t="n">
        <v>27.5</v>
      </c>
      <c r="AD244" s="315"/>
      <c r="AE244" s="144" t="n">
        <v>1</v>
      </c>
      <c r="AF244" s="315"/>
      <c r="AG244" s="311" t="n">
        <v>0</v>
      </c>
      <c r="AH244" s="309" t="n">
        <v>0</v>
      </c>
      <c r="AI244" s="310"/>
      <c r="AJ244" s="311" t="n">
        <v>130</v>
      </c>
      <c r="AK244" s="309" t="n">
        <v>357.6</v>
      </c>
      <c r="AL244" s="311" t="n">
        <v>191</v>
      </c>
      <c r="AM244" s="309" t="n">
        <v>436.8</v>
      </c>
      <c r="AN244" s="311" t="n">
        <v>210</v>
      </c>
      <c r="AO244" s="309" t="n">
        <v>417.6</v>
      </c>
      <c r="AP244" s="310"/>
      <c r="AQ244" s="311" t="n">
        <v>137</v>
      </c>
      <c r="AR244" s="309" t="n">
        <v>710.4</v>
      </c>
      <c r="AS244" s="311" t="n">
        <v>156</v>
      </c>
      <c r="AT244" s="309" t="n">
        <v>691.2</v>
      </c>
      <c r="AU244" s="311" t="n">
        <v>156</v>
      </c>
      <c r="AV244" s="309" t="n">
        <v>691.2</v>
      </c>
      <c r="AW244" s="311" t="n">
        <v>187</v>
      </c>
      <c r="AX244" s="309" t="n">
        <v>660</v>
      </c>
      <c r="AY244" s="311" t="n">
        <v>187</v>
      </c>
      <c r="AZ244" s="309" t="n">
        <v>660</v>
      </c>
      <c r="BB244" s="144" t="n">
        <v>0</v>
      </c>
      <c r="BC244" s="315"/>
      <c r="BD244" s="311" t="n">
        <v>0</v>
      </c>
      <c r="BE244" s="316" t="n">
        <v>0</v>
      </c>
      <c r="BF244" s="310"/>
      <c r="BG244" s="317" t="n">
        <v>0</v>
      </c>
      <c r="BH244" s="318" t="n">
        <v>0</v>
      </c>
      <c r="BI244" s="317" t="n">
        <v>0</v>
      </c>
      <c r="BJ244" s="318" t="n">
        <v>0</v>
      </c>
      <c r="BK244" s="317" t="n">
        <v>0</v>
      </c>
      <c r="BL244" s="318" t="n">
        <v>0</v>
      </c>
      <c r="BM244" s="310"/>
      <c r="BN244" s="317" t="n">
        <v>0</v>
      </c>
      <c r="BO244" s="318" t="n">
        <v>0</v>
      </c>
      <c r="BP244" s="317" t="n">
        <v>0</v>
      </c>
      <c r="BQ244" s="318" t="n">
        <v>0</v>
      </c>
      <c r="BR244" s="317" t="n">
        <v>0</v>
      </c>
      <c r="BS244" s="318" t="n">
        <v>0</v>
      </c>
      <c r="BT244" s="317" t="n">
        <v>0</v>
      </c>
      <c r="BU244" s="318" t="n">
        <v>0</v>
      </c>
      <c r="BV244" s="317" t="n">
        <v>0</v>
      </c>
      <c r="BW244" s="318" t="n">
        <v>0</v>
      </c>
      <c r="BY244" s="143"/>
      <c r="BZ244" s="315"/>
      <c r="CA244" s="144" t="s">
        <v>12</v>
      </c>
      <c r="CB244" s="315"/>
      <c r="CC244" s="144" t="n">
        <v>-129.680991735537</v>
      </c>
      <c r="CD244" s="144" t="n">
        <v>-190.480991735537</v>
      </c>
      <c r="CE244" s="144" t="n">
        <v>-209.680991735537</v>
      </c>
      <c r="CF244" s="315"/>
      <c r="CG244" s="144" t="n">
        <v>-135.880991735537</v>
      </c>
      <c r="CH244" s="144" t="n">
        <v>-155.080991735537</v>
      </c>
      <c r="CI244" s="144" t="n">
        <v>-155.080991735537</v>
      </c>
      <c r="CJ244" s="144" t="n">
        <v>-186.280991735537</v>
      </c>
      <c r="CK244" s="144" t="n">
        <v>-186.280991735537</v>
      </c>
      <c r="CM244" s="144" t="n">
        <v>784.297520661157</v>
      </c>
      <c r="CO244" s="319"/>
      <c r="CP244" s="320"/>
      <c r="CQ244" s="321" t="s">
        <v>12</v>
      </c>
      <c r="CR244" s="320"/>
      <c r="CS244" s="322" t="n">
        <v>-67.697520661157</v>
      </c>
      <c r="CT244" s="322" t="n">
        <v>-128.497520661157</v>
      </c>
      <c r="CU244" s="322" t="n">
        <v>-147.697520661157</v>
      </c>
      <c r="CV244" s="323"/>
      <c r="CW244" s="322" t="n">
        <v>-73.8975206611569</v>
      </c>
      <c r="CX244" s="322" t="n">
        <v>-93.097520661157</v>
      </c>
      <c r="CY244" s="322" t="n">
        <v>-93.097520661157</v>
      </c>
      <c r="CZ244" s="322" t="n">
        <v>-124.297520661157</v>
      </c>
      <c r="DA244" s="322" t="n">
        <v>-124.297520661157</v>
      </c>
    </row>
    <row r="245" customFormat="false" ht="12.75" hidden="false" customHeight="false" outlineLevel="0" collapsed="false">
      <c r="B245" s="305" t="s">
        <v>112</v>
      </c>
      <c r="C245" s="327" t="s">
        <v>548</v>
      </c>
      <c r="D245" s="306" t="n">
        <v>847</v>
      </c>
      <c r="E245" s="306" t="n">
        <v>3.75</v>
      </c>
      <c r="F245" s="324" t="s">
        <v>541</v>
      </c>
      <c r="G245" s="144" t="n">
        <v>48</v>
      </c>
      <c r="H245" s="325" t="n">
        <v>846.280991735537</v>
      </c>
      <c r="I245" s="2"/>
      <c r="J245" s="144" t="s">
        <v>12</v>
      </c>
      <c r="K245" s="309" t="s">
        <v>12</v>
      </c>
      <c r="L245" s="310"/>
      <c r="M245" s="311" t="n">
        <v>359</v>
      </c>
      <c r="N245" s="312" t="n">
        <v>7.5</v>
      </c>
      <c r="O245" s="311" t="n">
        <v>219</v>
      </c>
      <c r="P245" s="312" t="n">
        <v>9.1</v>
      </c>
      <c r="Q245" s="310" t="n">
        <v>219</v>
      </c>
      <c r="R245" s="312" t="n">
        <v>8.7</v>
      </c>
      <c r="S245" s="310"/>
      <c r="T245" s="311" t="n">
        <v>0</v>
      </c>
      <c r="U245" s="312" t="n">
        <v>14.8</v>
      </c>
      <c r="V245" s="311" t="n">
        <v>0</v>
      </c>
      <c r="W245" s="312" t="n">
        <v>14.4</v>
      </c>
      <c r="X245" s="311" t="n">
        <v>0</v>
      </c>
      <c r="Y245" s="312" t="n">
        <v>14.4</v>
      </c>
      <c r="Z245" s="313" t="n">
        <v>0</v>
      </c>
      <c r="AA245" s="314" t="n">
        <v>13.8</v>
      </c>
      <c r="AB245" s="313" t="n">
        <v>0</v>
      </c>
      <c r="AC245" s="314" t="n">
        <v>13.8</v>
      </c>
      <c r="AD245" s="315"/>
      <c r="AE245" s="144" t="n">
        <v>1</v>
      </c>
      <c r="AF245" s="315"/>
      <c r="AG245" s="311" t="n">
        <v>0</v>
      </c>
      <c r="AH245" s="309" t="n">
        <v>0</v>
      </c>
      <c r="AI245" s="310"/>
      <c r="AJ245" s="311" t="n">
        <v>128</v>
      </c>
      <c r="AK245" s="309" t="n">
        <v>360</v>
      </c>
      <c r="AL245" s="311" t="n">
        <v>191</v>
      </c>
      <c r="AM245" s="309" t="n">
        <v>436.8</v>
      </c>
      <c r="AN245" s="310" t="n">
        <v>210</v>
      </c>
      <c r="AO245" s="309" t="n">
        <v>417.6</v>
      </c>
      <c r="AP245" s="310"/>
      <c r="AQ245" s="311" t="n">
        <v>137</v>
      </c>
      <c r="AR245" s="309" t="n">
        <v>710.4</v>
      </c>
      <c r="AS245" s="311" t="n">
        <v>156</v>
      </c>
      <c r="AT245" s="309" t="n">
        <v>691.2</v>
      </c>
      <c r="AU245" s="310" t="n">
        <v>156</v>
      </c>
      <c r="AV245" s="309" t="n">
        <v>691.2</v>
      </c>
      <c r="AW245" s="310" t="n">
        <v>185</v>
      </c>
      <c r="AX245" s="309" t="n">
        <v>662.4</v>
      </c>
      <c r="AY245" s="310" t="n">
        <v>185</v>
      </c>
      <c r="AZ245" s="309" t="n">
        <v>662.4</v>
      </c>
      <c r="BB245" s="144" t="n">
        <v>0</v>
      </c>
      <c r="BC245" s="315"/>
      <c r="BD245" s="311" t="n">
        <v>0</v>
      </c>
      <c r="BE245" s="316" t="n">
        <v>0</v>
      </c>
      <c r="BF245" s="310"/>
      <c r="BG245" s="317" t="n">
        <v>0</v>
      </c>
      <c r="BH245" s="318" t="n">
        <v>0</v>
      </c>
      <c r="BI245" s="317" t="n">
        <v>0</v>
      </c>
      <c r="BJ245" s="318" t="n">
        <v>0</v>
      </c>
      <c r="BK245" s="317" t="n">
        <v>0</v>
      </c>
      <c r="BL245" s="318" t="n">
        <v>0</v>
      </c>
      <c r="BM245" s="310"/>
      <c r="BN245" s="317" t="n">
        <v>0</v>
      </c>
      <c r="BO245" s="318" t="n">
        <v>0</v>
      </c>
      <c r="BP245" s="317" t="n">
        <v>0</v>
      </c>
      <c r="BQ245" s="318" t="n">
        <v>0</v>
      </c>
      <c r="BR245" s="317" t="n">
        <v>0</v>
      </c>
      <c r="BS245" s="318" t="n">
        <v>0</v>
      </c>
      <c r="BT245" s="317" t="n">
        <v>0</v>
      </c>
      <c r="BU245" s="318" t="n">
        <v>0</v>
      </c>
      <c r="BV245" s="317" t="n">
        <v>0</v>
      </c>
      <c r="BW245" s="318" t="n">
        <v>0</v>
      </c>
      <c r="BY245" s="143"/>
      <c r="BZ245" s="315"/>
      <c r="CA245" s="144" t="s">
        <v>12</v>
      </c>
      <c r="CB245" s="315"/>
      <c r="CC245" s="144" t="n">
        <v>-127.280991735537</v>
      </c>
      <c r="CD245" s="144" t="n">
        <v>-190.480991735537</v>
      </c>
      <c r="CE245" s="144" t="n">
        <v>-209.680991735537</v>
      </c>
      <c r="CF245" s="315"/>
      <c r="CG245" s="144" t="n">
        <v>-135.880991735537</v>
      </c>
      <c r="CH245" s="144" t="n">
        <v>-155.080991735537</v>
      </c>
      <c r="CI245" s="144" t="n">
        <v>-155.080991735537</v>
      </c>
      <c r="CJ245" s="144" t="n">
        <v>-183.880991735537</v>
      </c>
      <c r="CK245" s="144" t="n">
        <v>-183.880991735537</v>
      </c>
      <c r="CM245" s="144" t="n">
        <v>784.297520661157</v>
      </c>
      <c r="CO245" s="319"/>
      <c r="CP245" s="320"/>
      <c r="CQ245" s="321" t="s">
        <v>12</v>
      </c>
      <c r="CR245" s="320"/>
      <c r="CS245" s="322" t="n">
        <v>-65.297520661157</v>
      </c>
      <c r="CT245" s="322" t="n">
        <v>-128.497520661157</v>
      </c>
      <c r="CU245" s="322" t="n">
        <v>-147.697520661157</v>
      </c>
      <c r="CV245" s="323"/>
      <c r="CW245" s="322" t="n">
        <v>-73.8975206611569</v>
      </c>
      <c r="CX245" s="322" t="n">
        <v>-93.097520661157</v>
      </c>
      <c r="CY245" s="322" t="n">
        <v>-93.097520661157</v>
      </c>
      <c r="CZ245" s="322" t="n">
        <v>-121.897520661157</v>
      </c>
      <c r="DA245" s="322" t="n">
        <v>-121.897520661157</v>
      </c>
    </row>
    <row r="246" customFormat="false" ht="12.75" hidden="false" customHeight="false" outlineLevel="0" collapsed="false">
      <c r="B246" s="305" t="s">
        <v>112</v>
      </c>
      <c r="C246" s="327" t="s">
        <v>549</v>
      </c>
      <c r="D246" s="306" t="n">
        <v>623</v>
      </c>
      <c r="E246" s="306" t="n">
        <v>3.75</v>
      </c>
      <c r="F246" s="306" t="s">
        <v>541</v>
      </c>
      <c r="G246" s="307" t="n">
        <v>24</v>
      </c>
      <c r="H246" s="308" t="n">
        <v>622.314049586777</v>
      </c>
      <c r="I246" s="2"/>
      <c r="J246" s="144" t="s">
        <v>12</v>
      </c>
      <c r="K246" s="309" t="s">
        <v>12</v>
      </c>
      <c r="L246" s="310"/>
      <c r="M246" s="311" t="n">
        <v>269</v>
      </c>
      <c r="N246" s="312" t="n">
        <v>11</v>
      </c>
      <c r="O246" s="311" t="n">
        <v>159</v>
      </c>
      <c r="P246" s="312" t="n">
        <v>13.1</v>
      </c>
      <c r="Q246" s="310" t="n">
        <v>159</v>
      </c>
      <c r="R246" s="312" t="n">
        <v>12.2</v>
      </c>
      <c r="S246" s="310"/>
      <c r="T246" s="311" t="n">
        <v>0</v>
      </c>
      <c r="U246" s="312" t="n">
        <v>22</v>
      </c>
      <c r="V246" s="311" t="n">
        <v>0</v>
      </c>
      <c r="W246" s="312" t="n">
        <v>21.1</v>
      </c>
      <c r="X246" s="311" t="n">
        <v>0</v>
      </c>
      <c r="Y246" s="312" t="n">
        <v>21.1</v>
      </c>
      <c r="Z246" s="313" t="n">
        <v>0</v>
      </c>
      <c r="AA246" s="314" t="n">
        <v>19.6</v>
      </c>
      <c r="AB246" s="313" t="n">
        <v>0</v>
      </c>
      <c r="AC246" s="314" t="n">
        <v>19.6</v>
      </c>
      <c r="AD246" s="315"/>
      <c r="AE246" s="144" t="n">
        <v>1</v>
      </c>
      <c r="AF246" s="315"/>
      <c r="AG246" s="311" t="n">
        <v>0</v>
      </c>
      <c r="AH246" s="309" t="n">
        <v>0</v>
      </c>
      <c r="AI246" s="310"/>
      <c r="AJ246" s="311" t="n">
        <v>90</v>
      </c>
      <c r="AK246" s="309" t="n">
        <v>264</v>
      </c>
      <c r="AL246" s="311" t="n">
        <v>150</v>
      </c>
      <c r="AM246" s="309" t="n">
        <v>314.4</v>
      </c>
      <c r="AN246" s="311" t="n">
        <v>171</v>
      </c>
      <c r="AO246" s="309" t="n">
        <v>292.8</v>
      </c>
      <c r="AP246" s="310"/>
      <c r="AQ246" s="311" t="n">
        <v>95</v>
      </c>
      <c r="AR246" s="309" t="n">
        <v>528</v>
      </c>
      <c r="AS246" s="311" t="n">
        <v>117</v>
      </c>
      <c r="AT246" s="309" t="n">
        <v>506.4</v>
      </c>
      <c r="AU246" s="311" t="n">
        <v>117</v>
      </c>
      <c r="AV246" s="309" t="n">
        <v>506.4</v>
      </c>
      <c r="AW246" s="311" t="n">
        <v>153</v>
      </c>
      <c r="AX246" s="309" t="n">
        <v>470.4</v>
      </c>
      <c r="AY246" s="311" t="n">
        <v>153</v>
      </c>
      <c r="AZ246" s="309" t="n">
        <v>470.4</v>
      </c>
      <c r="BB246" s="144" t="n">
        <v>0</v>
      </c>
      <c r="BC246" s="315"/>
      <c r="BD246" s="311" t="n">
        <v>0</v>
      </c>
      <c r="BE246" s="316" t="n">
        <v>0</v>
      </c>
      <c r="BF246" s="310"/>
      <c r="BG246" s="317" t="n">
        <v>0</v>
      </c>
      <c r="BH246" s="318" t="n">
        <v>0</v>
      </c>
      <c r="BI246" s="317" t="n">
        <v>0</v>
      </c>
      <c r="BJ246" s="318" t="n">
        <v>0</v>
      </c>
      <c r="BK246" s="317" t="n">
        <v>0</v>
      </c>
      <c r="BL246" s="318" t="n">
        <v>0</v>
      </c>
      <c r="BM246" s="310"/>
      <c r="BN246" s="317" t="n">
        <v>0</v>
      </c>
      <c r="BO246" s="318" t="n">
        <v>0</v>
      </c>
      <c r="BP246" s="317" t="n">
        <v>0</v>
      </c>
      <c r="BQ246" s="318" t="n">
        <v>0</v>
      </c>
      <c r="BR246" s="317" t="n">
        <v>0</v>
      </c>
      <c r="BS246" s="318" t="n">
        <v>0</v>
      </c>
      <c r="BT246" s="317" t="n">
        <v>0</v>
      </c>
      <c r="BU246" s="318" t="n">
        <v>0</v>
      </c>
      <c r="BV246" s="317" t="n">
        <v>0</v>
      </c>
      <c r="BW246" s="318" t="n">
        <v>0</v>
      </c>
      <c r="BY246" s="143"/>
      <c r="BZ246" s="315"/>
      <c r="CA246" s="144" t="s">
        <v>12</v>
      </c>
      <c r="CB246" s="315"/>
      <c r="CC246" s="144" t="n">
        <v>-89.3140495867768</v>
      </c>
      <c r="CD246" s="144" t="n">
        <v>-148.914049586777</v>
      </c>
      <c r="CE246" s="144" t="n">
        <v>-170.514049586777</v>
      </c>
      <c r="CF246" s="315"/>
      <c r="CG246" s="144" t="n">
        <v>-94.3140495867768</v>
      </c>
      <c r="CH246" s="144" t="n">
        <v>-115.914049586777</v>
      </c>
      <c r="CI246" s="144" t="n">
        <v>-115.914049586777</v>
      </c>
      <c r="CJ246" s="144" t="n">
        <v>-151.914049586777</v>
      </c>
      <c r="CK246" s="144" t="n">
        <v>-151.914049586777</v>
      </c>
      <c r="CM246" s="144" t="n">
        <v>577.685950413223</v>
      </c>
      <c r="CO246" s="319"/>
      <c r="CP246" s="320"/>
      <c r="CQ246" s="321" t="s">
        <v>12</v>
      </c>
      <c r="CR246" s="320"/>
      <c r="CS246" s="322" t="n">
        <v>-44.6859504132232</v>
      </c>
      <c r="CT246" s="322" t="n">
        <v>-104.285950413223</v>
      </c>
      <c r="CU246" s="322" t="n">
        <v>-125.885950413223</v>
      </c>
      <c r="CV246" s="323"/>
      <c r="CW246" s="322" t="n">
        <v>-49.6859504132232</v>
      </c>
      <c r="CX246" s="322" t="n">
        <v>-71.2859504132231</v>
      </c>
      <c r="CY246" s="322" t="n">
        <v>-71.2859504132231</v>
      </c>
      <c r="CZ246" s="322" t="n">
        <v>-107.285950413223</v>
      </c>
      <c r="DA246" s="322" t="n">
        <v>-107.285950413223</v>
      </c>
    </row>
    <row r="247" customFormat="false" ht="12.75" hidden="false" customHeight="false" outlineLevel="0" collapsed="false">
      <c r="B247" s="305" t="s">
        <v>112</v>
      </c>
      <c r="C247" s="327" t="s">
        <v>549</v>
      </c>
      <c r="D247" s="306" t="n">
        <v>623</v>
      </c>
      <c r="E247" s="306" t="n">
        <v>3.75</v>
      </c>
      <c r="F247" s="324" t="s">
        <v>541</v>
      </c>
      <c r="G247" s="144" t="n">
        <v>48</v>
      </c>
      <c r="H247" s="325" t="n">
        <v>622.314049586777</v>
      </c>
      <c r="I247" s="2"/>
      <c r="J247" s="144" t="s">
        <v>12</v>
      </c>
      <c r="K247" s="309" t="s">
        <v>12</v>
      </c>
      <c r="L247" s="310"/>
      <c r="M247" s="311" t="n">
        <v>269</v>
      </c>
      <c r="N247" s="312" t="n">
        <v>5.5</v>
      </c>
      <c r="O247" s="311" t="n">
        <v>159</v>
      </c>
      <c r="P247" s="312" t="n">
        <v>6.6</v>
      </c>
      <c r="Q247" s="310" t="n">
        <v>159</v>
      </c>
      <c r="R247" s="312" t="n">
        <v>6.1</v>
      </c>
      <c r="S247" s="310"/>
      <c r="T247" s="311" t="n">
        <v>0</v>
      </c>
      <c r="U247" s="312" t="n">
        <v>11</v>
      </c>
      <c r="V247" s="311" t="n">
        <v>0</v>
      </c>
      <c r="W247" s="312" t="n">
        <v>10.6</v>
      </c>
      <c r="X247" s="311" t="n">
        <v>0</v>
      </c>
      <c r="Y247" s="312" t="n">
        <v>10.6</v>
      </c>
      <c r="Z247" s="313" t="n">
        <v>0</v>
      </c>
      <c r="AA247" s="314" t="n">
        <v>9.8</v>
      </c>
      <c r="AB247" s="313" t="n">
        <v>0</v>
      </c>
      <c r="AC247" s="314" t="n">
        <v>9.8</v>
      </c>
      <c r="AD247" s="315"/>
      <c r="AE247" s="144" t="n">
        <v>1</v>
      </c>
      <c r="AF247" s="315"/>
      <c r="AG247" s="311" t="n">
        <v>0</v>
      </c>
      <c r="AH247" s="309" t="n">
        <v>0</v>
      </c>
      <c r="AI247" s="310"/>
      <c r="AJ247" s="311" t="n">
        <v>90</v>
      </c>
      <c r="AK247" s="309" t="n">
        <v>264</v>
      </c>
      <c r="AL247" s="311" t="n">
        <v>147</v>
      </c>
      <c r="AM247" s="309" t="n">
        <v>316.8</v>
      </c>
      <c r="AN247" s="310" t="n">
        <v>171</v>
      </c>
      <c r="AO247" s="309" t="n">
        <v>292.8</v>
      </c>
      <c r="AP247" s="310"/>
      <c r="AQ247" s="311" t="n">
        <v>95</v>
      </c>
      <c r="AR247" s="309" t="n">
        <v>528</v>
      </c>
      <c r="AS247" s="311" t="n">
        <v>114</v>
      </c>
      <c r="AT247" s="309" t="n">
        <v>508.8</v>
      </c>
      <c r="AU247" s="310" t="n">
        <v>114</v>
      </c>
      <c r="AV247" s="309" t="n">
        <v>508.8</v>
      </c>
      <c r="AW247" s="310" t="n">
        <v>153</v>
      </c>
      <c r="AX247" s="309" t="n">
        <v>470.4</v>
      </c>
      <c r="AY247" s="310" t="n">
        <v>153</v>
      </c>
      <c r="AZ247" s="309" t="n">
        <v>470.4</v>
      </c>
      <c r="BB247" s="144" t="n">
        <v>0</v>
      </c>
      <c r="BC247" s="315"/>
      <c r="BD247" s="311" t="n">
        <v>0</v>
      </c>
      <c r="BE247" s="316" t="n">
        <v>0</v>
      </c>
      <c r="BF247" s="310"/>
      <c r="BG247" s="317" t="n">
        <v>0</v>
      </c>
      <c r="BH247" s="318" t="n">
        <v>0</v>
      </c>
      <c r="BI247" s="317" t="n">
        <v>0</v>
      </c>
      <c r="BJ247" s="318" t="n">
        <v>0</v>
      </c>
      <c r="BK247" s="317" t="n">
        <v>0</v>
      </c>
      <c r="BL247" s="318" t="n">
        <v>0</v>
      </c>
      <c r="BM247" s="310"/>
      <c r="BN247" s="317" t="n">
        <v>0</v>
      </c>
      <c r="BO247" s="318" t="n">
        <v>0</v>
      </c>
      <c r="BP247" s="317" t="n">
        <v>0</v>
      </c>
      <c r="BQ247" s="318" t="n">
        <v>0</v>
      </c>
      <c r="BR247" s="317" t="n">
        <v>0</v>
      </c>
      <c r="BS247" s="318" t="n">
        <v>0</v>
      </c>
      <c r="BT247" s="317" t="n">
        <v>0</v>
      </c>
      <c r="BU247" s="318" t="n">
        <v>0</v>
      </c>
      <c r="BV247" s="317" t="n">
        <v>0</v>
      </c>
      <c r="BW247" s="318" t="n">
        <v>0</v>
      </c>
      <c r="BY247" s="143"/>
      <c r="BZ247" s="315"/>
      <c r="CA247" s="144" t="s">
        <v>12</v>
      </c>
      <c r="CB247" s="315"/>
      <c r="CC247" s="144" t="n">
        <v>-89.3140495867768</v>
      </c>
      <c r="CD247" s="144" t="n">
        <v>-146.514049586777</v>
      </c>
      <c r="CE247" s="144" t="n">
        <v>-170.514049586777</v>
      </c>
      <c r="CF247" s="315"/>
      <c r="CG247" s="144" t="n">
        <v>-94.3140495867768</v>
      </c>
      <c r="CH247" s="144" t="n">
        <v>-113.514049586777</v>
      </c>
      <c r="CI247" s="144" t="n">
        <v>-113.514049586777</v>
      </c>
      <c r="CJ247" s="144" t="n">
        <v>-151.914049586777</v>
      </c>
      <c r="CK247" s="144" t="n">
        <v>-151.914049586777</v>
      </c>
      <c r="CM247" s="144" t="n">
        <v>577.685950413223</v>
      </c>
      <c r="CO247" s="319"/>
      <c r="CP247" s="320"/>
      <c r="CQ247" s="321" t="s">
        <v>12</v>
      </c>
      <c r="CR247" s="320"/>
      <c r="CS247" s="322" t="n">
        <v>-44.6859504132232</v>
      </c>
      <c r="CT247" s="322" t="n">
        <v>-101.885950413223</v>
      </c>
      <c r="CU247" s="322" t="n">
        <v>-125.885950413223</v>
      </c>
      <c r="CV247" s="323"/>
      <c r="CW247" s="322" t="n">
        <v>-49.6859504132232</v>
      </c>
      <c r="CX247" s="322" t="n">
        <v>-68.8859504132231</v>
      </c>
      <c r="CY247" s="322" t="n">
        <v>-68.8859504132231</v>
      </c>
      <c r="CZ247" s="322" t="n">
        <v>-107.285950413223</v>
      </c>
      <c r="DA247" s="322" t="n">
        <v>-107.285950413223</v>
      </c>
    </row>
    <row r="248" customFormat="false" ht="12.75" hidden="false" customHeight="false" outlineLevel="0" collapsed="false">
      <c r="B248" s="305" t="s">
        <v>428</v>
      </c>
      <c r="C248" s="327" t="s">
        <v>550</v>
      </c>
      <c r="D248" s="306" t="n">
        <v>255</v>
      </c>
      <c r="E248" s="306" t="n">
        <v>3.75</v>
      </c>
      <c r="F248" s="306" t="s">
        <v>541</v>
      </c>
      <c r="G248" s="307" t="n">
        <v>24</v>
      </c>
      <c r="H248" s="308" t="n">
        <v>254.545454545455</v>
      </c>
      <c r="I248" s="2"/>
      <c r="J248" s="144" t="s">
        <v>12</v>
      </c>
      <c r="K248" s="309" t="s">
        <v>12</v>
      </c>
      <c r="L248" s="310"/>
      <c r="M248" s="311" t="n">
        <v>39</v>
      </c>
      <c r="N248" s="312" t="n">
        <v>7.5</v>
      </c>
      <c r="O248" s="311" t="n">
        <v>0</v>
      </c>
      <c r="P248" s="312" t="n">
        <v>6.2</v>
      </c>
      <c r="Q248" s="310" t="n">
        <v>0</v>
      </c>
      <c r="R248" s="312" t="n">
        <v>5.4</v>
      </c>
      <c r="S248" s="310"/>
      <c r="T248" s="311" t="n">
        <v>0</v>
      </c>
      <c r="U248" s="312" t="n">
        <v>8.7</v>
      </c>
      <c r="V248" s="311" t="n">
        <v>0</v>
      </c>
      <c r="W248" s="312" t="n">
        <v>5</v>
      </c>
      <c r="X248" s="311" t="n">
        <v>0</v>
      </c>
      <c r="Y248" s="312" t="n">
        <v>5</v>
      </c>
      <c r="Z248" s="313" t="n">
        <v>0</v>
      </c>
      <c r="AA248" s="314" t="n">
        <v>5</v>
      </c>
      <c r="AB248" s="313" t="n">
        <v>0</v>
      </c>
      <c r="AC248" s="314" t="n">
        <v>5</v>
      </c>
      <c r="AD248" s="315"/>
      <c r="AE248" s="144" t="n">
        <v>0</v>
      </c>
      <c r="AF248" s="315"/>
      <c r="AG248" s="311" t="n">
        <v>0</v>
      </c>
      <c r="AH248" s="309" t="n">
        <v>0</v>
      </c>
      <c r="AI248" s="310"/>
      <c r="AJ248" s="311" t="n">
        <v>36</v>
      </c>
      <c r="AK248" s="309" t="n">
        <v>180</v>
      </c>
      <c r="AL248" s="311" t="n">
        <v>106</v>
      </c>
      <c r="AM248" s="309" t="n">
        <v>148.8</v>
      </c>
      <c r="AN248" s="311" t="n">
        <v>125</v>
      </c>
      <c r="AO248" s="309" t="n">
        <v>129.6</v>
      </c>
      <c r="AP248" s="310"/>
      <c r="AQ248" s="311" t="n">
        <v>46</v>
      </c>
      <c r="AR248" s="309" t="n">
        <v>208.8</v>
      </c>
      <c r="AS248" s="311" t="n">
        <v>135</v>
      </c>
      <c r="AT248" s="309" t="n">
        <v>120</v>
      </c>
      <c r="AU248" s="311" t="n">
        <v>135</v>
      </c>
      <c r="AV248" s="309" t="n">
        <v>120</v>
      </c>
      <c r="AW248" s="311" t="n">
        <v>135</v>
      </c>
      <c r="AX248" s="309" t="n">
        <v>120</v>
      </c>
      <c r="AY248" s="311" t="n">
        <v>135</v>
      </c>
      <c r="AZ248" s="309" t="n">
        <v>120</v>
      </c>
      <c r="BB248" s="144" t="n">
        <v>0</v>
      </c>
      <c r="BC248" s="315"/>
      <c r="BD248" s="311" t="n">
        <v>0</v>
      </c>
      <c r="BE248" s="316" t="n">
        <v>0</v>
      </c>
      <c r="BF248" s="310"/>
      <c r="BG248" s="317" t="n">
        <v>0</v>
      </c>
      <c r="BH248" s="318" t="n">
        <v>0</v>
      </c>
      <c r="BI248" s="317" t="n">
        <v>0</v>
      </c>
      <c r="BJ248" s="318" t="n">
        <v>0</v>
      </c>
      <c r="BK248" s="317" t="n">
        <v>0</v>
      </c>
      <c r="BL248" s="318" t="n">
        <v>0</v>
      </c>
      <c r="BM248" s="310"/>
      <c r="BN248" s="317" t="n">
        <v>0</v>
      </c>
      <c r="BO248" s="318" t="n">
        <v>0</v>
      </c>
      <c r="BP248" s="317" t="n">
        <v>0</v>
      </c>
      <c r="BQ248" s="318" t="n">
        <v>0</v>
      </c>
      <c r="BR248" s="317" t="n">
        <v>0</v>
      </c>
      <c r="BS248" s="318" t="n">
        <v>0</v>
      </c>
      <c r="BT248" s="317" t="n">
        <v>0</v>
      </c>
      <c r="BU248" s="318" t="n">
        <v>0</v>
      </c>
      <c r="BV248" s="317" t="n">
        <v>0</v>
      </c>
      <c r="BW248" s="318" t="n">
        <v>0</v>
      </c>
      <c r="BY248" s="143"/>
      <c r="BZ248" s="315"/>
      <c r="CA248" s="144" t="s">
        <v>12</v>
      </c>
      <c r="CB248" s="315"/>
      <c r="CC248" s="144" t="n">
        <v>-35.5454545454546</v>
      </c>
      <c r="CD248" s="144" t="n">
        <v>-105.745454545455</v>
      </c>
      <c r="CE248" s="144" t="n">
        <v>-124.945454545455</v>
      </c>
      <c r="CF248" s="315"/>
      <c r="CG248" s="144" t="n">
        <v>-45.7454545454546</v>
      </c>
      <c r="CH248" s="144" t="n">
        <v>-134.545454545455</v>
      </c>
      <c r="CI248" s="144" t="n">
        <v>-134.545454545455</v>
      </c>
      <c r="CJ248" s="144" t="n">
        <v>-134.545454545455</v>
      </c>
      <c r="CK248" s="144" t="n">
        <v>-134.545454545455</v>
      </c>
      <c r="CM248" s="144" t="n">
        <v>222.314049586777</v>
      </c>
      <c r="CO248" s="319"/>
      <c r="CP248" s="320"/>
      <c r="CQ248" s="321" t="s">
        <v>12</v>
      </c>
      <c r="CR248" s="320"/>
      <c r="CS248" s="322" t="n">
        <v>-3.31404958677686</v>
      </c>
      <c r="CT248" s="322" t="n">
        <v>-73.5140495867769</v>
      </c>
      <c r="CU248" s="322" t="n">
        <v>-92.7140495867768</v>
      </c>
      <c r="CV248" s="323"/>
      <c r="CW248" s="322" t="n">
        <v>-13.5140495867768</v>
      </c>
      <c r="CX248" s="322" t="n">
        <v>-102.314049586777</v>
      </c>
      <c r="CY248" s="322" t="n">
        <v>-102.314049586777</v>
      </c>
      <c r="CZ248" s="322" t="n">
        <v>-102.314049586777</v>
      </c>
      <c r="DA248" s="322" t="n">
        <v>-102.314049586777</v>
      </c>
    </row>
    <row r="249" customFormat="false" ht="12.75" hidden="false" customHeight="false" outlineLevel="0" collapsed="false">
      <c r="B249" s="305" t="s">
        <v>184</v>
      </c>
      <c r="C249" s="305" t="s">
        <v>551</v>
      </c>
      <c r="D249" s="306" t="n">
        <v>191</v>
      </c>
      <c r="E249" s="306" t="n">
        <v>3.75</v>
      </c>
      <c r="F249" s="324" t="s">
        <v>541</v>
      </c>
      <c r="G249" s="144" t="n">
        <v>24</v>
      </c>
      <c r="H249" s="325" t="n">
        <v>166.115702479339</v>
      </c>
      <c r="I249" s="2"/>
      <c r="J249" s="144" t="s">
        <v>12</v>
      </c>
      <c r="K249" s="309" t="s">
        <v>12</v>
      </c>
      <c r="L249" s="310"/>
      <c r="M249" s="311" t="n">
        <v>29</v>
      </c>
      <c r="N249" s="312" t="n">
        <v>4.8</v>
      </c>
      <c r="O249" s="311" t="n">
        <v>0</v>
      </c>
      <c r="P249" s="312" t="n">
        <v>3.4</v>
      </c>
      <c r="Q249" s="310" t="n">
        <v>0</v>
      </c>
      <c r="R249" s="312" t="n">
        <v>2.5</v>
      </c>
      <c r="S249" s="310"/>
      <c r="T249" s="311" t="n">
        <v>0</v>
      </c>
      <c r="U249" s="312" t="n">
        <v>5.6</v>
      </c>
      <c r="V249" s="311" t="n">
        <v>0</v>
      </c>
      <c r="W249" s="312" t="n">
        <v>2.5</v>
      </c>
      <c r="X249" s="311" t="n">
        <v>0</v>
      </c>
      <c r="Y249" s="312" t="n">
        <v>1.8</v>
      </c>
      <c r="Z249" s="313" t="n">
        <v>0</v>
      </c>
      <c r="AA249" s="314" t="n">
        <v>1.8</v>
      </c>
      <c r="AB249" s="313" t="n">
        <v>0</v>
      </c>
      <c r="AC249" s="314" t="n">
        <v>1.8</v>
      </c>
      <c r="AD249" s="315"/>
      <c r="AE249" s="144" t="n">
        <v>25</v>
      </c>
      <c r="AF249" s="315"/>
      <c r="AG249" s="311" t="n">
        <v>0</v>
      </c>
      <c r="AH249" s="309" t="n">
        <v>0</v>
      </c>
      <c r="AI249" s="310"/>
      <c r="AJ249" s="311" t="n">
        <v>47</v>
      </c>
      <c r="AK249" s="309" t="n">
        <v>115.2</v>
      </c>
      <c r="AL249" s="311" t="n">
        <v>109</v>
      </c>
      <c r="AM249" s="309" t="n">
        <v>81.6</v>
      </c>
      <c r="AN249" s="310" t="n">
        <v>131</v>
      </c>
      <c r="AO249" s="309" t="n">
        <v>60</v>
      </c>
      <c r="AP249" s="310"/>
      <c r="AQ249" s="311" t="n">
        <v>57</v>
      </c>
      <c r="AR249" s="309" t="n">
        <v>134.4</v>
      </c>
      <c r="AS249" s="311" t="n">
        <v>131</v>
      </c>
      <c r="AT249" s="309" t="n">
        <v>60</v>
      </c>
      <c r="AU249" s="310" t="n">
        <v>148</v>
      </c>
      <c r="AV249" s="309" t="n">
        <v>43.2</v>
      </c>
      <c r="AW249" s="310" t="n">
        <v>148</v>
      </c>
      <c r="AX249" s="309" t="n">
        <v>43.2</v>
      </c>
      <c r="AY249" s="310" t="n">
        <v>148</v>
      </c>
      <c r="AZ249" s="309" t="n">
        <v>43.2</v>
      </c>
      <c r="BB249" s="144" t="n">
        <v>0</v>
      </c>
      <c r="BC249" s="315"/>
      <c r="BD249" s="311" t="n">
        <v>0</v>
      </c>
      <c r="BE249" s="316" t="n">
        <v>0</v>
      </c>
      <c r="BF249" s="310"/>
      <c r="BG249" s="317" t="n">
        <v>0</v>
      </c>
      <c r="BH249" s="318" t="n">
        <v>0.4</v>
      </c>
      <c r="BI249" s="317" t="n">
        <v>0</v>
      </c>
      <c r="BJ249" s="318" t="n">
        <v>0.9</v>
      </c>
      <c r="BK249" s="317" t="n">
        <v>0</v>
      </c>
      <c r="BL249" s="318" t="n">
        <v>0.8</v>
      </c>
      <c r="BM249" s="310"/>
      <c r="BN249" s="317" t="n">
        <v>0</v>
      </c>
      <c r="BO249" s="318" t="n">
        <v>0</v>
      </c>
      <c r="BP249" s="317" t="n">
        <v>0</v>
      </c>
      <c r="BQ249" s="318" t="n">
        <v>0.8</v>
      </c>
      <c r="BR249" s="317" t="n">
        <v>0</v>
      </c>
      <c r="BS249" s="318" t="n">
        <v>0.0999999999999999</v>
      </c>
      <c r="BT249" s="317" t="n">
        <v>0</v>
      </c>
      <c r="BU249" s="318" t="n">
        <v>0.0999999999999999</v>
      </c>
      <c r="BV249" s="317" t="n">
        <v>0</v>
      </c>
      <c r="BW249" s="318" t="n">
        <v>0.0999999999999999</v>
      </c>
      <c r="BY249" s="143"/>
      <c r="BZ249" s="315"/>
      <c r="CA249" s="144" t="s">
        <v>12</v>
      </c>
      <c r="CB249" s="315"/>
      <c r="CC249" s="144" t="n">
        <v>-21.9157024793388</v>
      </c>
      <c r="CD249" s="144" t="n">
        <v>-84.5157024793388</v>
      </c>
      <c r="CE249" s="144" t="n">
        <v>-106.115702479339</v>
      </c>
      <c r="CF249" s="315"/>
      <c r="CG249" s="144" t="n">
        <v>-31.7157024793388</v>
      </c>
      <c r="CH249" s="144" t="n">
        <v>-106.115702479339</v>
      </c>
      <c r="CI249" s="144" t="n">
        <v>-122.915702479339</v>
      </c>
      <c r="CJ249" s="144" t="n">
        <v>-122.915702479339</v>
      </c>
      <c r="CK249" s="144" t="n">
        <v>-122.915702479339</v>
      </c>
      <c r="CM249" s="144" t="n">
        <v>164.462809917355</v>
      </c>
      <c r="CO249" s="319"/>
      <c r="CP249" s="320"/>
      <c r="CQ249" s="321" t="s">
        <v>12</v>
      </c>
      <c r="CR249" s="320"/>
      <c r="CS249" s="322" t="n">
        <v>-20.2628099173554</v>
      </c>
      <c r="CT249" s="322" t="n">
        <v>-82.8628099173554</v>
      </c>
      <c r="CU249" s="322" t="n">
        <v>-104.462809917355</v>
      </c>
      <c r="CV249" s="323"/>
      <c r="CW249" s="322" t="n">
        <v>-30.0628099173554</v>
      </c>
      <c r="CX249" s="322" t="n">
        <v>-104.462809917355</v>
      </c>
      <c r="CY249" s="322" t="n">
        <v>-121.262809917355</v>
      </c>
      <c r="CZ249" s="322" t="n">
        <v>-121.262809917355</v>
      </c>
      <c r="DA249" s="322" t="n">
        <v>-121.262809917355</v>
      </c>
    </row>
    <row r="250" customFormat="false" ht="12.75" hidden="false" customHeight="false" outlineLevel="0" collapsed="false">
      <c r="B250" s="305" t="s">
        <v>200</v>
      </c>
      <c r="C250" s="305" t="s">
        <v>552</v>
      </c>
      <c r="D250" s="306" t="n">
        <v>182</v>
      </c>
      <c r="E250" s="306" t="n">
        <v>3.75</v>
      </c>
      <c r="F250" s="306" t="s">
        <v>541</v>
      </c>
      <c r="G250" s="307" t="n">
        <v>24</v>
      </c>
      <c r="H250" s="308" t="n">
        <v>176.859504132231</v>
      </c>
      <c r="I250" s="2"/>
      <c r="J250" s="144" t="s">
        <v>12</v>
      </c>
      <c r="K250" s="309" t="s">
        <v>12</v>
      </c>
      <c r="L250" s="310"/>
      <c r="M250" s="311" t="n">
        <v>29</v>
      </c>
      <c r="N250" s="312" t="n">
        <v>5.2</v>
      </c>
      <c r="O250" s="311" t="n">
        <v>0</v>
      </c>
      <c r="P250" s="312" t="n">
        <v>3.8</v>
      </c>
      <c r="Q250" s="310" t="n">
        <v>0</v>
      </c>
      <c r="R250" s="312" t="n">
        <v>2.9</v>
      </c>
      <c r="S250" s="310"/>
      <c r="T250" s="311" t="n">
        <v>0</v>
      </c>
      <c r="U250" s="312" t="n">
        <v>6.2</v>
      </c>
      <c r="V250" s="311" t="n">
        <v>0</v>
      </c>
      <c r="W250" s="312" t="n">
        <v>3.4</v>
      </c>
      <c r="X250" s="311" t="n">
        <v>0</v>
      </c>
      <c r="Y250" s="312" t="n">
        <v>3.4</v>
      </c>
      <c r="Z250" s="313" t="n">
        <v>0</v>
      </c>
      <c r="AA250" s="314" t="n">
        <v>3.3</v>
      </c>
      <c r="AB250" s="313" t="n">
        <v>0</v>
      </c>
      <c r="AC250" s="314" t="n">
        <v>3.3</v>
      </c>
      <c r="AD250" s="315"/>
      <c r="AE250" s="144" t="n">
        <v>5</v>
      </c>
      <c r="AF250" s="315"/>
      <c r="AG250" s="311" t="n">
        <v>0</v>
      </c>
      <c r="AH250" s="309" t="n">
        <v>0</v>
      </c>
      <c r="AI250" s="310"/>
      <c r="AJ250" s="311" t="n">
        <v>28</v>
      </c>
      <c r="AK250" s="309" t="n">
        <v>124.8</v>
      </c>
      <c r="AL250" s="311" t="n">
        <v>91</v>
      </c>
      <c r="AM250" s="309" t="n">
        <v>91.2</v>
      </c>
      <c r="AN250" s="311" t="n">
        <v>112</v>
      </c>
      <c r="AO250" s="309" t="n">
        <v>69.6</v>
      </c>
      <c r="AP250" s="310"/>
      <c r="AQ250" s="311" t="n">
        <v>33</v>
      </c>
      <c r="AR250" s="309" t="n">
        <v>148.8</v>
      </c>
      <c r="AS250" s="311" t="n">
        <v>100</v>
      </c>
      <c r="AT250" s="309" t="n">
        <v>81.6</v>
      </c>
      <c r="AU250" s="311" t="n">
        <v>100</v>
      </c>
      <c r="AV250" s="309" t="n">
        <v>81.6</v>
      </c>
      <c r="AW250" s="311" t="n">
        <v>103</v>
      </c>
      <c r="AX250" s="309" t="n">
        <v>79.2</v>
      </c>
      <c r="AY250" s="311" t="n">
        <v>103</v>
      </c>
      <c r="AZ250" s="309" t="n">
        <v>79.2</v>
      </c>
      <c r="BB250" s="144" t="n">
        <v>0</v>
      </c>
      <c r="BC250" s="315"/>
      <c r="BD250" s="311" t="n">
        <v>0</v>
      </c>
      <c r="BE250" s="316" t="n">
        <v>0</v>
      </c>
      <c r="BF250" s="310"/>
      <c r="BG250" s="317" t="n">
        <v>0</v>
      </c>
      <c r="BH250" s="318" t="n">
        <v>1</v>
      </c>
      <c r="BI250" s="317" t="n">
        <v>0</v>
      </c>
      <c r="BJ250" s="318" t="n">
        <v>1.5</v>
      </c>
      <c r="BK250" s="317" t="n">
        <v>0</v>
      </c>
      <c r="BL250" s="318" t="n">
        <v>1.4</v>
      </c>
      <c r="BM250" s="310"/>
      <c r="BN250" s="317" t="n">
        <v>0</v>
      </c>
      <c r="BO250" s="318" t="n">
        <v>0.6</v>
      </c>
      <c r="BP250" s="317" t="n">
        <v>0</v>
      </c>
      <c r="BQ250" s="318" t="n">
        <v>1.7</v>
      </c>
      <c r="BR250" s="317" t="n">
        <v>0</v>
      </c>
      <c r="BS250" s="318" t="n">
        <v>1.7</v>
      </c>
      <c r="BT250" s="317" t="n">
        <v>0</v>
      </c>
      <c r="BU250" s="318" t="n">
        <v>1.6</v>
      </c>
      <c r="BV250" s="317" t="n">
        <v>0</v>
      </c>
      <c r="BW250" s="318" t="n">
        <v>1.6</v>
      </c>
      <c r="BY250" s="143"/>
      <c r="BZ250" s="315"/>
      <c r="CA250" s="144" t="s">
        <v>12</v>
      </c>
      <c r="CB250" s="315"/>
      <c r="CC250" s="144" t="n">
        <v>-23.0595041322314</v>
      </c>
      <c r="CD250" s="144" t="n">
        <v>-85.6595041322314</v>
      </c>
      <c r="CE250" s="144" t="n">
        <v>-107.259504132231</v>
      </c>
      <c r="CF250" s="315"/>
      <c r="CG250" s="144" t="n">
        <v>-28.0595041322314</v>
      </c>
      <c r="CH250" s="144" t="n">
        <v>-95.2595041322314</v>
      </c>
      <c r="CI250" s="144" t="n">
        <v>-95.2595041322314</v>
      </c>
      <c r="CJ250" s="144" t="n">
        <v>-97.6595041322314</v>
      </c>
      <c r="CK250" s="144" t="n">
        <v>-97.6595041322314</v>
      </c>
      <c r="CM250" s="144" t="n">
        <v>180.99173553719</v>
      </c>
      <c r="CO250" s="319"/>
      <c r="CP250" s="320"/>
      <c r="CQ250" s="321" t="s">
        <v>12</v>
      </c>
      <c r="CR250" s="320"/>
      <c r="CS250" s="322" t="n">
        <v>-27.1917355371901</v>
      </c>
      <c r="CT250" s="322" t="n">
        <v>-89.7917355371901</v>
      </c>
      <c r="CU250" s="322" t="n">
        <v>-111.39173553719</v>
      </c>
      <c r="CV250" s="323"/>
      <c r="CW250" s="322" t="n">
        <v>-32.1917355371901</v>
      </c>
      <c r="CX250" s="322" t="n">
        <v>-99.3917355371901</v>
      </c>
      <c r="CY250" s="322" t="n">
        <v>-99.3917355371901</v>
      </c>
      <c r="CZ250" s="322" t="n">
        <v>-101.79173553719</v>
      </c>
      <c r="DA250" s="322" t="n">
        <v>-101.79173553719</v>
      </c>
    </row>
    <row r="251" customFormat="false" ht="12.75" hidden="false" customHeight="false" outlineLevel="0" collapsed="false">
      <c r="B251" s="305" t="s">
        <v>200</v>
      </c>
      <c r="C251" s="305" t="s">
        <v>553</v>
      </c>
      <c r="D251" s="306" t="n">
        <v>310</v>
      </c>
      <c r="E251" s="306" t="n">
        <v>3.75</v>
      </c>
      <c r="F251" s="324" t="s">
        <v>541</v>
      </c>
      <c r="G251" s="144" t="n">
        <v>24</v>
      </c>
      <c r="H251" s="325" t="n">
        <v>250.413223140496</v>
      </c>
      <c r="I251" s="2"/>
      <c r="J251" s="144" t="s">
        <v>12</v>
      </c>
      <c r="K251" s="309" t="s">
        <v>12</v>
      </c>
      <c r="L251" s="310"/>
      <c r="M251" s="311" t="n">
        <v>39</v>
      </c>
      <c r="N251" s="312" t="n">
        <v>7.3</v>
      </c>
      <c r="O251" s="311" t="n">
        <v>0</v>
      </c>
      <c r="P251" s="312" t="n">
        <v>6.2</v>
      </c>
      <c r="Q251" s="310" t="n">
        <v>0</v>
      </c>
      <c r="R251" s="312" t="n">
        <v>5.4</v>
      </c>
      <c r="S251" s="310"/>
      <c r="T251" s="311" t="n">
        <v>0</v>
      </c>
      <c r="U251" s="312" t="n">
        <v>8.5</v>
      </c>
      <c r="V251" s="311" t="n">
        <v>0</v>
      </c>
      <c r="W251" s="312" t="n">
        <v>5</v>
      </c>
      <c r="X251" s="311" t="n">
        <v>0</v>
      </c>
      <c r="Y251" s="312" t="n">
        <v>5</v>
      </c>
      <c r="Z251" s="313" t="n">
        <v>0</v>
      </c>
      <c r="AA251" s="314" t="n">
        <v>5</v>
      </c>
      <c r="AB251" s="313" t="n">
        <v>0</v>
      </c>
      <c r="AC251" s="314" t="n">
        <v>5</v>
      </c>
      <c r="AD251" s="315"/>
      <c r="AE251" s="144" t="n">
        <v>60</v>
      </c>
      <c r="AF251" s="315"/>
      <c r="AG251" s="311" t="n">
        <v>0</v>
      </c>
      <c r="AH251" s="309" t="n">
        <v>0</v>
      </c>
      <c r="AI251" s="310"/>
      <c r="AJ251" s="311" t="n">
        <v>96</v>
      </c>
      <c r="AK251" s="309" t="n">
        <v>175.2</v>
      </c>
      <c r="AL251" s="311" t="n">
        <v>161</v>
      </c>
      <c r="AM251" s="309" t="n">
        <v>148.8</v>
      </c>
      <c r="AN251" s="310" t="n">
        <v>180</v>
      </c>
      <c r="AO251" s="309" t="n">
        <v>129.6</v>
      </c>
      <c r="AP251" s="310"/>
      <c r="AQ251" s="311" t="n">
        <v>106</v>
      </c>
      <c r="AR251" s="309" t="n">
        <v>204</v>
      </c>
      <c r="AS251" s="311" t="n">
        <v>190</v>
      </c>
      <c r="AT251" s="309" t="n">
        <v>120</v>
      </c>
      <c r="AU251" s="310" t="n">
        <v>190</v>
      </c>
      <c r="AV251" s="309" t="n">
        <v>120</v>
      </c>
      <c r="AW251" s="310" t="n">
        <v>190</v>
      </c>
      <c r="AX251" s="309" t="n">
        <v>120</v>
      </c>
      <c r="AY251" s="310" t="n">
        <v>190</v>
      </c>
      <c r="AZ251" s="309" t="n">
        <v>120</v>
      </c>
      <c r="BB251" s="144" t="n">
        <v>0</v>
      </c>
      <c r="BC251" s="315"/>
      <c r="BD251" s="311" t="n">
        <v>0</v>
      </c>
      <c r="BE251" s="316" t="n">
        <v>0</v>
      </c>
      <c r="BF251" s="310"/>
      <c r="BG251" s="317" t="n">
        <v>0</v>
      </c>
      <c r="BH251" s="318" t="n">
        <v>0.4</v>
      </c>
      <c r="BI251" s="317" t="n">
        <v>0</v>
      </c>
      <c r="BJ251" s="318" t="n">
        <v>0.8</v>
      </c>
      <c r="BK251" s="317" t="n">
        <v>0</v>
      </c>
      <c r="BL251" s="318" t="n">
        <v>0.8</v>
      </c>
      <c r="BM251" s="310"/>
      <c r="BN251" s="317" t="n">
        <v>0</v>
      </c>
      <c r="BO251" s="318" t="n">
        <v>0</v>
      </c>
      <c r="BP251" s="317" t="n">
        <v>0</v>
      </c>
      <c r="BQ251" s="318" t="n">
        <v>0</v>
      </c>
      <c r="BR251" s="317" t="n">
        <v>0</v>
      </c>
      <c r="BS251" s="318" t="n">
        <v>0</v>
      </c>
      <c r="BT251" s="317" t="n">
        <v>0</v>
      </c>
      <c r="BU251" s="318" t="n">
        <v>0</v>
      </c>
      <c r="BV251" s="317" t="n">
        <v>0</v>
      </c>
      <c r="BW251" s="318" t="n">
        <v>0</v>
      </c>
      <c r="BY251" s="143"/>
      <c r="BZ251" s="315"/>
      <c r="CA251" s="144" t="s">
        <v>12</v>
      </c>
      <c r="CB251" s="315"/>
      <c r="CC251" s="144" t="n">
        <v>-36.2132231404959</v>
      </c>
      <c r="CD251" s="144" t="n">
        <v>-101.613223140496</v>
      </c>
      <c r="CE251" s="144" t="n">
        <v>-120.813223140496</v>
      </c>
      <c r="CF251" s="315"/>
      <c r="CG251" s="144" t="n">
        <v>-46.4132231404959</v>
      </c>
      <c r="CH251" s="144" t="n">
        <v>-130.413223140496</v>
      </c>
      <c r="CI251" s="144" t="n">
        <v>-130.413223140496</v>
      </c>
      <c r="CJ251" s="144" t="n">
        <v>-130.413223140496</v>
      </c>
      <c r="CK251" s="144" t="n">
        <v>-130.413223140496</v>
      </c>
      <c r="CM251" s="144" t="n">
        <v>243.355371900826</v>
      </c>
      <c r="CO251" s="319"/>
      <c r="CP251" s="320"/>
      <c r="CQ251" s="321" t="s">
        <v>12</v>
      </c>
      <c r="CR251" s="320"/>
      <c r="CS251" s="322" t="n">
        <v>-29.1553719008264</v>
      </c>
      <c r="CT251" s="322" t="n">
        <v>-94.5553719008264</v>
      </c>
      <c r="CU251" s="322" t="n">
        <v>-113.755371900826</v>
      </c>
      <c r="CV251" s="323"/>
      <c r="CW251" s="322" t="n">
        <v>-39.3553719008264</v>
      </c>
      <c r="CX251" s="322" t="n">
        <v>-123.355371900826</v>
      </c>
      <c r="CY251" s="322" t="n">
        <v>-123.355371900826</v>
      </c>
      <c r="CZ251" s="322" t="n">
        <v>-123.355371900826</v>
      </c>
      <c r="DA251" s="322" t="n">
        <v>-123.355371900826</v>
      </c>
    </row>
    <row r="252" customFormat="false" ht="12.75" hidden="false" customHeight="false" outlineLevel="0" collapsed="false">
      <c r="B252" s="305" t="s">
        <v>200</v>
      </c>
      <c r="C252" s="305" t="s">
        <v>554</v>
      </c>
      <c r="D252" s="306" t="n">
        <v>310</v>
      </c>
      <c r="E252" s="306" t="n">
        <v>3.75</v>
      </c>
      <c r="F252" s="306" t="s">
        <v>541</v>
      </c>
      <c r="G252" s="307" t="n">
        <v>24</v>
      </c>
      <c r="H252" s="308" t="n">
        <v>240.495867768595</v>
      </c>
      <c r="I252" s="2"/>
      <c r="J252" s="144" t="s">
        <v>12</v>
      </c>
      <c r="K252" s="309" t="s">
        <v>12</v>
      </c>
      <c r="L252" s="310"/>
      <c r="M252" s="311" t="n">
        <v>39</v>
      </c>
      <c r="N252" s="312" t="n">
        <v>6.9</v>
      </c>
      <c r="O252" s="311" t="n">
        <v>0</v>
      </c>
      <c r="P252" s="312" t="n">
        <v>5.8</v>
      </c>
      <c r="Q252" s="310" t="n">
        <v>0</v>
      </c>
      <c r="R252" s="312" t="n">
        <v>5</v>
      </c>
      <c r="S252" s="310"/>
      <c r="T252" s="311" t="n">
        <v>0</v>
      </c>
      <c r="U252" s="312" t="n">
        <v>8.1</v>
      </c>
      <c r="V252" s="311" t="n">
        <v>0</v>
      </c>
      <c r="W252" s="312" t="n">
        <v>4.2</v>
      </c>
      <c r="X252" s="311" t="n">
        <v>0</v>
      </c>
      <c r="Y252" s="312" t="n">
        <v>4.2</v>
      </c>
      <c r="Z252" s="313" t="n">
        <v>0</v>
      </c>
      <c r="AA252" s="314" t="n">
        <v>4.1</v>
      </c>
      <c r="AB252" s="313" t="n">
        <v>0</v>
      </c>
      <c r="AC252" s="314" t="n">
        <v>4.1</v>
      </c>
      <c r="AD252" s="315"/>
      <c r="AE252" s="144" t="n">
        <v>70</v>
      </c>
      <c r="AF252" s="315"/>
      <c r="AG252" s="311" t="n">
        <v>0</v>
      </c>
      <c r="AH252" s="309" t="n">
        <v>0</v>
      </c>
      <c r="AI252" s="310"/>
      <c r="AJ252" s="311" t="n">
        <v>105</v>
      </c>
      <c r="AK252" s="309" t="n">
        <v>165.6</v>
      </c>
      <c r="AL252" s="311" t="n">
        <v>171</v>
      </c>
      <c r="AM252" s="309" t="n">
        <v>139.2</v>
      </c>
      <c r="AN252" s="311" t="n">
        <v>190</v>
      </c>
      <c r="AO252" s="309" t="n">
        <v>120</v>
      </c>
      <c r="AP252" s="310"/>
      <c r="AQ252" s="311" t="n">
        <v>116</v>
      </c>
      <c r="AR252" s="309" t="n">
        <v>194.4</v>
      </c>
      <c r="AS252" s="311" t="n">
        <v>209</v>
      </c>
      <c r="AT252" s="309" t="n">
        <v>100.8</v>
      </c>
      <c r="AU252" s="311" t="n">
        <v>209</v>
      </c>
      <c r="AV252" s="309" t="n">
        <v>100.8</v>
      </c>
      <c r="AW252" s="311" t="n">
        <v>212</v>
      </c>
      <c r="AX252" s="309" t="n">
        <v>98.4</v>
      </c>
      <c r="AY252" s="311" t="n">
        <v>212</v>
      </c>
      <c r="AZ252" s="309" t="n">
        <v>98.4</v>
      </c>
      <c r="BB252" s="144" t="n">
        <v>0</v>
      </c>
      <c r="BC252" s="315"/>
      <c r="BD252" s="311" t="n">
        <v>0</v>
      </c>
      <c r="BE252" s="316" t="n">
        <v>0</v>
      </c>
      <c r="BF252" s="310"/>
      <c r="BG252" s="317" t="n">
        <v>0</v>
      </c>
      <c r="BH252" s="318" t="n">
        <v>0.4</v>
      </c>
      <c r="BI252" s="317" t="n">
        <v>0</v>
      </c>
      <c r="BJ252" s="318" t="n">
        <v>0.800000000000001</v>
      </c>
      <c r="BK252" s="317" t="n">
        <v>0</v>
      </c>
      <c r="BL252" s="318" t="n">
        <v>0.8</v>
      </c>
      <c r="BM252" s="310"/>
      <c r="BN252" s="317" t="n">
        <v>0</v>
      </c>
      <c r="BO252" s="318" t="n">
        <v>0</v>
      </c>
      <c r="BP252" s="317" t="n">
        <v>0</v>
      </c>
      <c r="BQ252" s="318" t="n">
        <v>0</v>
      </c>
      <c r="BR252" s="317" t="n">
        <v>0</v>
      </c>
      <c r="BS252" s="318" t="n">
        <v>0</v>
      </c>
      <c r="BT252" s="317" t="n">
        <v>0</v>
      </c>
      <c r="BU252" s="318" t="n">
        <v>0</v>
      </c>
      <c r="BV252" s="317" t="n">
        <v>0</v>
      </c>
      <c r="BW252" s="318" t="n">
        <v>0</v>
      </c>
      <c r="BY252" s="143"/>
      <c r="BZ252" s="315"/>
      <c r="CA252" s="144" t="s">
        <v>12</v>
      </c>
      <c r="CB252" s="315"/>
      <c r="CC252" s="144" t="n">
        <v>-35.895867768595</v>
      </c>
      <c r="CD252" s="144" t="n">
        <v>-101.295867768595</v>
      </c>
      <c r="CE252" s="144" t="n">
        <v>-120.495867768595</v>
      </c>
      <c r="CF252" s="315"/>
      <c r="CG252" s="144" t="n">
        <v>-46.0958677685951</v>
      </c>
      <c r="CH252" s="144" t="n">
        <v>-139.695867768595</v>
      </c>
      <c r="CI252" s="144" t="n">
        <v>-139.695867768595</v>
      </c>
      <c r="CJ252" s="144" t="n">
        <v>-142.095867768595</v>
      </c>
      <c r="CK252" s="144" t="n">
        <v>-142.095867768595</v>
      </c>
      <c r="CM252" s="144" t="n">
        <v>243.355371900826</v>
      </c>
      <c r="CO252" s="319"/>
      <c r="CP252" s="320"/>
      <c r="CQ252" s="321" t="s">
        <v>12</v>
      </c>
      <c r="CR252" s="320"/>
      <c r="CS252" s="322" t="n">
        <v>-38.7553719008264</v>
      </c>
      <c r="CT252" s="322" t="n">
        <v>-104.155371900826</v>
      </c>
      <c r="CU252" s="322" t="n">
        <v>-123.355371900826</v>
      </c>
      <c r="CV252" s="323"/>
      <c r="CW252" s="322" t="n">
        <v>-48.9553719008265</v>
      </c>
      <c r="CX252" s="322" t="n">
        <v>-142.555371900826</v>
      </c>
      <c r="CY252" s="322" t="n">
        <v>-142.555371900826</v>
      </c>
      <c r="CZ252" s="322" t="n">
        <v>-144.955371900826</v>
      </c>
      <c r="DA252" s="322" t="n">
        <v>-144.955371900826</v>
      </c>
    </row>
    <row r="253" customFormat="false" ht="12.75" hidden="false" customHeight="false" outlineLevel="0" collapsed="false">
      <c r="B253" s="305" t="s">
        <v>200</v>
      </c>
      <c r="C253" s="305" t="s">
        <v>555</v>
      </c>
      <c r="D253" s="306" t="n">
        <v>1195</v>
      </c>
      <c r="E253" s="306" t="n">
        <v>3.75</v>
      </c>
      <c r="F253" s="324" t="s">
        <v>541</v>
      </c>
      <c r="G253" s="144" t="n">
        <v>24</v>
      </c>
      <c r="H253" s="325" t="n">
        <v>1085.95041322314</v>
      </c>
      <c r="I253" s="2"/>
      <c r="J253" s="144" t="s">
        <v>12</v>
      </c>
      <c r="K253" s="309" t="s">
        <v>12</v>
      </c>
      <c r="L253" s="310"/>
      <c r="M253" s="311" t="n">
        <v>479</v>
      </c>
      <c r="N253" s="312" t="n">
        <v>19.5</v>
      </c>
      <c r="O253" s="311" t="n">
        <v>289</v>
      </c>
      <c r="P253" s="312" t="n">
        <v>25</v>
      </c>
      <c r="Q253" s="310" t="n">
        <v>289</v>
      </c>
      <c r="R253" s="312" t="n">
        <v>24.2</v>
      </c>
      <c r="S253" s="310"/>
      <c r="T253" s="311" t="n">
        <v>0</v>
      </c>
      <c r="U253" s="312" t="n">
        <v>39.1</v>
      </c>
      <c r="V253" s="311" t="n">
        <v>0</v>
      </c>
      <c r="W253" s="312" t="n">
        <v>35.6</v>
      </c>
      <c r="X253" s="311" t="n">
        <v>0</v>
      </c>
      <c r="Y253" s="312" t="n">
        <v>35.6</v>
      </c>
      <c r="Z253" s="313" t="n">
        <v>0</v>
      </c>
      <c r="AA253" s="314" t="n">
        <v>31.4</v>
      </c>
      <c r="AB253" s="313" t="n">
        <v>0</v>
      </c>
      <c r="AC253" s="314" t="n">
        <v>31.4</v>
      </c>
      <c r="AD253" s="315"/>
      <c r="AE253" s="144" t="n">
        <v>109</v>
      </c>
      <c r="AF253" s="315"/>
      <c r="AG253" s="311" t="n">
        <v>0</v>
      </c>
      <c r="AH253" s="309" t="n">
        <v>0</v>
      </c>
      <c r="AI253" s="310"/>
      <c r="AJ253" s="311" t="n">
        <v>248</v>
      </c>
      <c r="AK253" s="309" t="n">
        <v>468</v>
      </c>
      <c r="AL253" s="311" t="n">
        <v>306</v>
      </c>
      <c r="AM253" s="309" t="n">
        <v>600</v>
      </c>
      <c r="AN253" s="310" t="n">
        <v>325</v>
      </c>
      <c r="AO253" s="309" t="n">
        <v>580.8</v>
      </c>
      <c r="AP253" s="310"/>
      <c r="AQ253" s="311" t="n">
        <v>257</v>
      </c>
      <c r="AR253" s="309" t="n">
        <v>938.4</v>
      </c>
      <c r="AS253" s="311" t="n">
        <v>341</v>
      </c>
      <c r="AT253" s="309" t="n">
        <v>854.4</v>
      </c>
      <c r="AU253" s="310" t="n">
        <v>341</v>
      </c>
      <c r="AV253" s="309" t="n">
        <v>854.4</v>
      </c>
      <c r="AW253" s="310" t="n">
        <v>441</v>
      </c>
      <c r="AX253" s="309" t="n">
        <v>753.6</v>
      </c>
      <c r="AY253" s="310" t="n">
        <v>441</v>
      </c>
      <c r="AZ253" s="309" t="n">
        <v>753.6</v>
      </c>
      <c r="BB253" s="144" t="n">
        <v>0</v>
      </c>
      <c r="BC253" s="315"/>
      <c r="BD253" s="311" t="n">
        <v>0</v>
      </c>
      <c r="BE253" s="316" t="n">
        <v>0</v>
      </c>
      <c r="BF253" s="310"/>
      <c r="BG253" s="317" t="n">
        <v>50</v>
      </c>
      <c r="BH253" s="318" t="n">
        <v>2.1</v>
      </c>
      <c r="BI253" s="317" t="n">
        <v>30</v>
      </c>
      <c r="BJ253" s="318" t="n">
        <v>3.7</v>
      </c>
      <c r="BK253" s="317" t="n">
        <v>30</v>
      </c>
      <c r="BL253" s="318" t="n">
        <v>3.7</v>
      </c>
      <c r="BM253" s="310"/>
      <c r="BN253" s="317" t="n">
        <v>0</v>
      </c>
      <c r="BO253" s="318" t="n">
        <v>3.9</v>
      </c>
      <c r="BP253" s="317" t="n">
        <v>0</v>
      </c>
      <c r="BQ253" s="318" t="n">
        <v>4.1</v>
      </c>
      <c r="BR253" s="317" t="n">
        <v>0</v>
      </c>
      <c r="BS253" s="318" t="n">
        <v>4.1</v>
      </c>
      <c r="BT253" s="317" t="n">
        <v>0</v>
      </c>
      <c r="BU253" s="318" t="n">
        <v>-3.5527136788005E-015</v>
      </c>
      <c r="BV253" s="317" t="n">
        <v>0</v>
      </c>
      <c r="BW253" s="318" t="n">
        <v>-3.5527136788005E-015</v>
      </c>
      <c r="BY253" s="143"/>
      <c r="BZ253" s="315"/>
      <c r="CA253" s="144" t="s">
        <v>12</v>
      </c>
      <c r="CB253" s="315"/>
      <c r="CC253" s="144" t="n">
        <v>-138.95041322314</v>
      </c>
      <c r="CD253" s="144" t="n">
        <v>-196.95041322314</v>
      </c>
      <c r="CE253" s="144" t="n">
        <v>-216.15041322314</v>
      </c>
      <c r="CF253" s="315"/>
      <c r="CG253" s="144" t="n">
        <v>-147.55041322314</v>
      </c>
      <c r="CH253" s="144" t="n">
        <v>-231.55041322314</v>
      </c>
      <c r="CI253" s="144" t="n">
        <v>-231.55041322314</v>
      </c>
      <c r="CJ253" s="144" t="n">
        <v>-332.350413223141</v>
      </c>
      <c r="CK253" s="144" t="n">
        <v>-332.350413223141</v>
      </c>
      <c r="CM253" s="144" t="n">
        <v>1102.85950413223</v>
      </c>
      <c r="CO253" s="319"/>
      <c r="CP253" s="320"/>
      <c r="CQ253" s="321" t="s">
        <v>12</v>
      </c>
      <c r="CR253" s="320"/>
      <c r="CS253" s="322" t="n">
        <v>-155.859504132231</v>
      </c>
      <c r="CT253" s="322" t="n">
        <v>-213.859504132231</v>
      </c>
      <c r="CU253" s="322" t="n">
        <v>-233.059504132231</v>
      </c>
      <c r="CV253" s="323"/>
      <c r="CW253" s="322" t="n">
        <v>-164.459504132231</v>
      </c>
      <c r="CX253" s="322" t="n">
        <v>-248.459504132231</v>
      </c>
      <c r="CY253" s="322" t="n">
        <v>-248.459504132231</v>
      </c>
      <c r="CZ253" s="322" t="n">
        <v>-349.259504132232</v>
      </c>
      <c r="DA253" s="322" t="n">
        <v>-349.259504132232</v>
      </c>
    </row>
    <row r="254" customFormat="false" ht="12.75" hidden="false" customHeight="false" outlineLevel="0" collapsed="false">
      <c r="B254" s="305" t="s">
        <v>200</v>
      </c>
      <c r="C254" s="305" t="s">
        <v>555</v>
      </c>
      <c r="D254" s="306" t="n">
        <v>1195</v>
      </c>
      <c r="E254" s="306" t="n">
        <v>3.75</v>
      </c>
      <c r="F254" s="306" t="s">
        <v>541</v>
      </c>
      <c r="G254" s="307" t="n">
        <v>48</v>
      </c>
      <c r="H254" s="308" t="n">
        <v>1085.95041322314</v>
      </c>
      <c r="I254" s="2"/>
      <c r="J254" s="144" t="s">
        <v>12</v>
      </c>
      <c r="K254" s="309" t="s">
        <v>12</v>
      </c>
      <c r="L254" s="310"/>
      <c r="M254" s="311" t="n">
        <v>479</v>
      </c>
      <c r="N254" s="312" t="n">
        <v>9.8</v>
      </c>
      <c r="O254" s="311" t="n">
        <v>289</v>
      </c>
      <c r="P254" s="312" t="n">
        <v>12.5</v>
      </c>
      <c r="Q254" s="310" t="n">
        <v>289</v>
      </c>
      <c r="R254" s="312" t="n">
        <v>12.1</v>
      </c>
      <c r="S254" s="310"/>
      <c r="T254" s="311" t="n">
        <v>0</v>
      </c>
      <c r="U254" s="312" t="n">
        <v>19.6</v>
      </c>
      <c r="V254" s="311" t="n">
        <v>0</v>
      </c>
      <c r="W254" s="312" t="n">
        <v>17.8</v>
      </c>
      <c r="X254" s="311" t="n">
        <v>0</v>
      </c>
      <c r="Y254" s="312" t="n">
        <v>17.8</v>
      </c>
      <c r="Z254" s="313" t="n">
        <v>0</v>
      </c>
      <c r="AA254" s="314" t="n">
        <v>15.7</v>
      </c>
      <c r="AB254" s="313" t="n">
        <v>0</v>
      </c>
      <c r="AC254" s="314" t="n">
        <v>15.7</v>
      </c>
      <c r="AD254" s="315"/>
      <c r="AE254" s="144" t="n">
        <v>109</v>
      </c>
      <c r="AF254" s="315"/>
      <c r="AG254" s="311" t="n">
        <v>0</v>
      </c>
      <c r="AH254" s="309" t="n">
        <v>0</v>
      </c>
      <c r="AI254" s="310"/>
      <c r="AJ254" s="311" t="n">
        <v>246</v>
      </c>
      <c r="AK254" s="309" t="n">
        <v>470.4</v>
      </c>
      <c r="AL254" s="311" t="n">
        <v>306</v>
      </c>
      <c r="AM254" s="309" t="n">
        <v>600</v>
      </c>
      <c r="AN254" s="311" t="n">
        <v>325</v>
      </c>
      <c r="AO254" s="309" t="n">
        <v>580.8</v>
      </c>
      <c r="AP254" s="310"/>
      <c r="AQ254" s="311" t="n">
        <v>254</v>
      </c>
      <c r="AR254" s="309" t="n">
        <v>940.8</v>
      </c>
      <c r="AS254" s="311" t="n">
        <v>341</v>
      </c>
      <c r="AT254" s="309" t="n">
        <v>854.4</v>
      </c>
      <c r="AU254" s="311" t="n">
        <v>341</v>
      </c>
      <c r="AV254" s="309" t="n">
        <v>854.4</v>
      </c>
      <c r="AW254" s="311" t="n">
        <v>441</v>
      </c>
      <c r="AX254" s="309" t="n">
        <v>753.6</v>
      </c>
      <c r="AY254" s="311" t="n">
        <v>441</v>
      </c>
      <c r="AZ254" s="309" t="n">
        <v>753.6</v>
      </c>
      <c r="BB254" s="144" t="n">
        <v>0</v>
      </c>
      <c r="BC254" s="315"/>
      <c r="BD254" s="311" t="n">
        <v>0</v>
      </c>
      <c r="BE254" s="316" t="n">
        <v>0</v>
      </c>
      <c r="BF254" s="310"/>
      <c r="BG254" s="317" t="n">
        <v>0</v>
      </c>
      <c r="BH254" s="318" t="n">
        <v>0</v>
      </c>
      <c r="BI254" s="317" t="n">
        <v>0</v>
      </c>
      <c r="BJ254" s="318" t="n">
        <v>0</v>
      </c>
      <c r="BK254" s="317" t="n">
        <v>0</v>
      </c>
      <c r="BL254" s="318" t="n">
        <v>0</v>
      </c>
      <c r="BM254" s="310"/>
      <c r="BN254" s="317" t="n">
        <v>0</v>
      </c>
      <c r="BO254" s="318" t="n">
        <v>0</v>
      </c>
      <c r="BP254" s="317" t="n">
        <v>0</v>
      </c>
      <c r="BQ254" s="318" t="n">
        <v>0</v>
      </c>
      <c r="BR254" s="317" t="n">
        <v>0</v>
      </c>
      <c r="BS254" s="318" t="n">
        <v>0</v>
      </c>
      <c r="BT254" s="317" t="n">
        <v>0</v>
      </c>
      <c r="BU254" s="318" t="n">
        <v>0</v>
      </c>
      <c r="BV254" s="317" t="n">
        <v>0</v>
      </c>
      <c r="BW254" s="318" t="n">
        <v>0</v>
      </c>
      <c r="BY254" s="143"/>
      <c r="BZ254" s="315"/>
      <c r="CA254" s="144" t="s">
        <v>12</v>
      </c>
      <c r="CB254" s="315"/>
      <c r="CC254" s="144" t="n">
        <v>-136.55041322314</v>
      </c>
      <c r="CD254" s="144" t="n">
        <v>-196.95041322314</v>
      </c>
      <c r="CE254" s="144" t="n">
        <v>-216.15041322314</v>
      </c>
      <c r="CF254" s="315"/>
      <c r="CG254" s="144" t="n">
        <v>-145.15041322314</v>
      </c>
      <c r="CH254" s="144" t="n">
        <v>-231.55041322314</v>
      </c>
      <c r="CI254" s="144" t="n">
        <v>-231.55041322314</v>
      </c>
      <c r="CJ254" s="144" t="n">
        <v>-332.35041322314</v>
      </c>
      <c r="CK254" s="144" t="n">
        <v>-332.35041322314</v>
      </c>
      <c r="CM254" s="144" t="n">
        <v>1102.85950413223</v>
      </c>
      <c r="CO254" s="319"/>
      <c r="CP254" s="320"/>
      <c r="CQ254" s="321" t="s">
        <v>12</v>
      </c>
      <c r="CR254" s="320"/>
      <c r="CS254" s="322" t="n">
        <v>-153.459504132231</v>
      </c>
      <c r="CT254" s="322" t="n">
        <v>-213.859504132231</v>
      </c>
      <c r="CU254" s="322" t="n">
        <v>-233.059504132231</v>
      </c>
      <c r="CV254" s="323"/>
      <c r="CW254" s="322" t="n">
        <v>-162.059504132231</v>
      </c>
      <c r="CX254" s="322" t="n">
        <v>-248.459504132231</v>
      </c>
      <c r="CY254" s="322" t="n">
        <v>-248.459504132231</v>
      </c>
      <c r="CZ254" s="322" t="n">
        <v>-349.259504132231</v>
      </c>
      <c r="DA254" s="322" t="n">
        <v>-349.259504132231</v>
      </c>
    </row>
    <row r="255" customFormat="false" ht="12.75" hidden="false" customHeight="false" outlineLevel="0" collapsed="false">
      <c r="B255" s="305" t="s">
        <v>200</v>
      </c>
      <c r="C255" s="305" t="s">
        <v>556</v>
      </c>
      <c r="D255" s="306" t="n">
        <v>537</v>
      </c>
      <c r="E255" s="306" t="n">
        <v>3.75</v>
      </c>
      <c r="F255" s="324" t="s">
        <v>541</v>
      </c>
      <c r="G255" s="144" t="n">
        <v>24</v>
      </c>
      <c r="H255" s="325" t="n">
        <v>417.355371900826</v>
      </c>
      <c r="I255" s="2"/>
      <c r="J255" s="144" t="s">
        <v>12</v>
      </c>
      <c r="K255" s="309" t="s">
        <v>12</v>
      </c>
      <c r="L255" s="310"/>
      <c r="M255" s="311" t="n">
        <v>139</v>
      </c>
      <c r="N255" s="312" t="n">
        <v>8.5</v>
      </c>
      <c r="O255" s="311" t="n">
        <v>19</v>
      </c>
      <c r="P255" s="312" t="n">
        <v>11.2</v>
      </c>
      <c r="Q255" s="310" t="n">
        <v>19</v>
      </c>
      <c r="R255" s="312" t="n">
        <v>10.4</v>
      </c>
      <c r="S255" s="310"/>
      <c r="T255" s="311" t="n">
        <v>0</v>
      </c>
      <c r="U255" s="312" t="n">
        <v>14.3</v>
      </c>
      <c r="V255" s="311" t="n">
        <v>0</v>
      </c>
      <c r="W255" s="312" t="n">
        <v>10.8</v>
      </c>
      <c r="X255" s="311" t="n">
        <v>0</v>
      </c>
      <c r="Y255" s="312" t="n">
        <v>10.8</v>
      </c>
      <c r="Z255" s="313" t="n">
        <v>0</v>
      </c>
      <c r="AA255" s="314" t="n">
        <v>10.7</v>
      </c>
      <c r="AB255" s="313" t="n">
        <v>0</v>
      </c>
      <c r="AC255" s="314" t="n">
        <v>10.7</v>
      </c>
      <c r="AD255" s="315"/>
      <c r="AE255" s="144" t="n">
        <v>120</v>
      </c>
      <c r="AF255" s="315"/>
      <c r="AG255" s="311" t="n">
        <v>0</v>
      </c>
      <c r="AH255" s="309" t="n">
        <v>0</v>
      </c>
      <c r="AI255" s="310"/>
      <c r="AJ255" s="311" t="n">
        <v>194</v>
      </c>
      <c r="AK255" s="309" t="n">
        <v>204</v>
      </c>
      <c r="AL255" s="311" t="n">
        <v>249</v>
      </c>
      <c r="AM255" s="309" t="n">
        <v>268.8</v>
      </c>
      <c r="AN255" s="310" t="n">
        <v>268</v>
      </c>
      <c r="AO255" s="309" t="n">
        <v>249.6</v>
      </c>
      <c r="AP255" s="310"/>
      <c r="AQ255" s="311" t="n">
        <v>194</v>
      </c>
      <c r="AR255" s="309" t="n">
        <v>343.2</v>
      </c>
      <c r="AS255" s="311" t="n">
        <v>278</v>
      </c>
      <c r="AT255" s="309" t="n">
        <v>259.2</v>
      </c>
      <c r="AU255" s="310" t="n">
        <v>278</v>
      </c>
      <c r="AV255" s="309" t="n">
        <v>259.2</v>
      </c>
      <c r="AW255" s="310" t="n">
        <v>280</v>
      </c>
      <c r="AX255" s="309" t="n">
        <v>256.8</v>
      </c>
      <c r="AY255" s="310" t="n">
        <v>280</v>
      </c>
      <c r="AZ255" s="309" t="n">
        <v>256.8</v>
      </c>
      <c r="BB255" s="144" t="n">
        <v>0</v>
      </c>
      <c r="BC255" s="315"/>
      <c r="BD255" s="311" t="n">
        <v>0</v>
      </c>
      <c r="BE255" s="316" t="n">
        <v>0</v>
      </c>
      <c r="BF255" s="310"/>
      <c r="BG255" s="317" t="n">
        <v>0</v>
      </c>
      <c r="BH255" s="318" t="n">
        <v>0.8</v>
      </c>
      <c r="BI255" s="317" t="n">
        <v>0</v>
      </c>
      <c r="BJ255" s="318" t="n">
        <v>1.6</v>
      </c>
      <c r="BK255" s="317" t="n">
        <v>0</v>
      </c>
      <c r="BL255" s="318" t="n">
        <v>1.7</v>
      </c>
      <c r="BM255" s="310"/>
      <c r="BN255" s="317" t="n">
        <v>0</v>
      </c>
      <c r="BO255" s="318" t="n">
        <v>0.800000000000001</v>
      </c>
      <c r="BP255" s="317" t="n">
        <v>0</v>
      </c>
      <c r="BQ255" s="318" t="n">
        <v>0.800000000000001</v>
      </c>
      <c r="BR255" s="317" t="n">
        <v>0</v>
      </c>
      <c r="BS255" s="318" t="n">
        <v>0.800000000000001</v>
      </c>
      <c r="BT255" s="317" t="n">
        <v>0</v>
      </c>
      <c r="BU255" s="318" t="n">
        <v>0.800000000000001</v>
      </c>
      <c r="BV255" s="317" t="n">
        <v>0</v>
      </c>
      <c r="BW255" s="318" t="n">
        <v>0.800000000000001</v>
      </c>
      <c r="BY255" s="143"/>
      <c r="BZ255" s="315"/>
      <c r="CA255" s="144" t="s">
        <v>12</v>
      </c>
      <c r="CB255" s="315"/>
      <c r="CC255" s="144" t="n">
        <v>-74.3553719008265</v>
      </c>
      <c r="CD255" s="144" t="n">
        <v>-129.555371900826</v>
      </c>
      <c r="CE255" s="144" t="n">
        <v>-148.755371900826</v>
      </c>
      <c r="CF255" s="315"/>
      <c r="CG255" s="144" t="n">
        <v>-74.1553719008264</v>
      </c>
      <c r="CH255" s="144" t="n">
        <v>-158.155371900826</v>
      </c>
      <c r="CI255" s="144" t="n">
        <v>-158.155371900826</v>
      </c>
      <c r="CJ255" s="144" t="n">
        <v>-160.555371900826</v>
      </c>
      <c r="CK255" s="144" t="n">
        <v>-160.555371900826</v>
      </c>
      <c r="CM255" s="144" t="n">
        <v>441.702479338843</v>
      </c>
      <c r="CO255" s="319"/>
      <c r="CP255" s="320"/>
      <c r="CQ255" s="321" t="s">
        <v>12</v>
      </c>
      <c r="CR255" s="320"/>
      <c r="CS255" s="322" t="n">
        <v>-98.702479338843</v>
      </c>
      <c r="CT255" s="322" t="n">
        <v>-153.902479338843</v>
      </c>
      <c r="CU255" s="322" t="n">
        <v>-173.102479338843</v>
      </c>
      <c r="CV255" s="323"/>
      <c r="CW255" s="322" t="n">
        <v>-98.502479338843</v>
      </c>
      <c r="CX255" s="322" t="n">
        <v>-182.502479338843</v>
      </c>
      <c r="CY255" s="322" t="n">
        <v>-182.502479338843</v>
      </c>
      <c r="CZ255" s="322" t="n">
        <v>-184.902479338843</v>
      </c>
      <c r="DA255" s="322" t="n">
        <v>-184.902479338843</v>
      </c>
    </row>
    <row r="256" customFormat="false" ht="12.75" hidden="false" customHeight="false" outlineLevel="0" collapsed="false">
      <c r="B256" s="305" t="s">
        <v>200</v>
      </c>
      <c r="C256" s="305" t="s">
        <v>556</v>
      </c>
      <c r="D256" s="306" t="n">
        <v>537</v>
      </c>
      <c r="E256" s="306" t="n">
        <v>3.75</v>
      </c>
      <c r="F256" s="306" t="s">
        <v>541</v>
      </c>
      <c r="G256" s="307" t="n">
        <v>48</v>
      </c>
      <c r="H256" s="308" t="n">
        <v>417.355371900826</v>
      </c>
      <c r="I256" s="2"/>
      <c r="J256" s="144" t="s">
        <v>12</v>
      </c>
      <c r="K256" s="309" t="s">
        <v>12</v>
      </c>
      <c r="L256" s="310"/>
      <c r="M256" s="311" t="n">
        <v>139</v>
      </c>
      <c r="N256" s="312" t="n">
        <v>4.3</v>
      </c>
      <c r="O256" s="311" t="n">
        <v>19</v>
      </c>
      <c r="P256" s="312" t="n">
        <v>5.6</v>
      </c>
      <c r="Q256" s="310" t="n">
        <v>19</v>
      </c>
      <c r="R256" s="312" t="n">
        <v>5.2</v>
      </c>
      <c r="S256" s="310"/>
      <c r="T256" s="311" t="n">
        <v>0</v>
      </c>
      <c r="U256" s="312" t="n">
        <v>7.2</v>
      </c>
      <c r="V256" s="311" t="n">
        <v>0</v>
      </c>
      <c r="W256" s="312" t="n">
        <v>5.4</v>
      </c>
      <c r="X256" s="311" t="n">
        <v>0</v>
      </c>
      <c r="Y256" s="312" t="n">
        <v>5.4</v>
      </c>
      <c r="Z256" s="313" t="n">
        <v>0</v>
      </c>
      <c r="AA256" s="314" t="n">
        <v>5.4</v>
      </c>
      <c r="AB256" s="313" t="n">
        <v>0</v>
      </c>
      <c r="AC256" s="314" t="n">
        <v>5.4</v>
      </c>
      <c r="AD256" s="315"/>
      <c r="AE256" s="144" t="n">
        <v>120</v>
      </c>
      <c r="AF256" s="315"/>
      <c r="AG256" s="311" t="n">
        <v>0</v>
      </c>
      <c r="AH256" s="309" t="n">
        <v>0</v>
      </c>
      <c r="AI256" s="310"/>
      <c r="AJ256" s="311" t="n">
        <v>192</v>
      </c>
      <c r="AK256" s="309" t="n">
        <v>206.4</v>
      </c>
      <c r="AL256" s="311" t="n">
        <v>249</v>
      </c>
      <c r="AM256" s="309" t="n">
        <v>268.8</v>
      </c>
      <c r="AN256" s="311" t="n">
        <v>268</v>
      </c>
      <c r="AO256" s="309" t="n">
        <v>249.6</v>
      </c>
      <c r="AP256" s="310"/>
      <c r="AQ256" s="311" t="n">
        <v>191</v>
      </c>
      <c r="AR256" s="309" t="n">
        <v>345.6</v>
      </c>
      <c r="AS256" s="311" t="n">
        <v>278</v>
      </c>
      <c r="AT256" s="309" t="n">
        <v>259.2</v>
      </c>
      <c r="AU256" s="311" t="n">
        <v>278</v>
      </c>
      <c r="AV256" s="309" t="n">
        <v>259.2</v>
      </c>
      <c r="AW256" s="311" t="n">
        <v>278</v>
      </c>
      <c r="AX256" s="309" t="n">
        <v>259.2</v>
      </c>
      <c r="AY256" s="311" t="n">
        <v>278</v>
      </c>
      <c r="AZ256" s="309" t="n">
        <v>259.2</v>
      </c>
      <c r="BB256" s="144" t="n">
        <v>0</v>
      </c>
      <c r="BC256" s="315"/>
      <c r="BD256" s="311" t="n">
        <v>0</v>
      </c>
      <c r="BE256" s="316" t="n">
        <v>0</v>
      </c>
      <c r="BF256" s="310"/>
      <c r="BG256" s="317" t="n">
        <v>0</v>
      </c>
      <c r="BH256" s="318" t="n">
        <v>0</v>
      </c>
      <c r="BI256" s="317" t="n">
        <v>0</v>
      </c>
      <c r="BJ256" s="318" t="n">
        <v>0</v>
      </c>
      <c r="BK256" s="317" t="n">
        <v>0</v>
      </c>
      <c r="BL256" s="318" t="n">
        <v>0</v>
      </c>
      <c r="BM256" s="310"/>
      <c r="BN256" s="317" t="n">
        <v>0</v>
      </c>
      <c r="BO256" s="318" t="n">
        <v>0</v>
      </c>
      <c r="BP256" s="317" t="n">
        <v>0</v>
      </c>
      <c r="BQ256" s="318" t="n">
        <v>0</v>
      </c>
      <c r="BR256" s="317" t="n">
        <v>0</v>
      </c>
      <c r="BS256" s="318" t="n">
        <v>0</v>
      </c>
      <c r="BT256" s="317" t="n">
        <v>0</v>
      </c>
      <c r="BU256" s="318" t="n">
        <v>0</v>
      </c>
      <c r="BV256" s="317" t="n">
        <v>0</v>
      </c>
      <c r="BW256" s="318" t="n">
        <v>0</v>
      </c>
      <c r="BY256" s="143"/>
      <c r="BZ256" s="315"/>
      <c r="CA256" s="144" t="s">
        <v>12</v>
      </c>
      <c r="CB256" s="315"/>
      <c r="CC256" s="144" t="n">
        <v>-71.9553719008265</v>
      </c>
      <c r="CD256" s="144" t="n">
        <v>-129.555371900826</v>
      </c>
      <c r="CE256" s="144" t="n">
        <v>-148.755371900826</v>
      </c>
      <c r="CF256" s="315"/>
      <c r="CG256" s="144" t="n">
        <v>-71.7553719008265</v>
      </c>
      <c r="CH256" s="144" t="n">
        <v>-158.155371900826</v>
      </c>
      <c r="CI256" s="144" t="n">
        <v>-158.155371900826</v>
      </c>
      <c r="CJ256" s="144" t="n">
        <v>-158.155371900826</v>
      </c>
      <c r="CK256" s="144" t="n">
        <v>-158.155371900826</v>
      </c>
      <c r="CM256" s="144" t="n">
        <v>441.702479338843</v>
      </c>
      <c r="CO256" s="319"/>
      <c r="CP256" s="320"/>
      <c r="CQ256" s="321" t="s">
        <v>12</v>
      </c>
      <c r="CR256" s="320"/>
      <c r="CS256" s="322" t="n">
        <v>-96.3024793388431</v>
      </c>
      <c r="CT256" s="322" t="n">
        <v>-153.902479338843</v>
      </c>
      <c r="CU256" s="322" t="n">
        <v>-173.102479338843</v>
      </c>
      <c r="CV256" s="323"/>
      <c r="CW256" s="322" t="n">
        <v>-96.102479338843</v>
      </c>
      <c r="CX256" s="322" t="n">
        <v>-182.502479338843</v>
      </c>
      <c r="CY256" s="322" t="n">
        <v>-182.502479338843</v>
      </c>
      <c r="CZ256" s="322" t="n">
        <v>-182.502479338843</v>
      </c>
      <c r="DA256" s="322" t="n">
        <v>-182.502479338843</v>
      </c>
    </row>
    <row r="257" customFormat="false" ht="12.75" hidden="false" customHeight="false" outlineLevel="0" collapsed="false">
      <c r="B257" s="305" t="s">
        <v>200</v>
      </c>
      <c r="C257" s="326" t="s">
        <v>557</v>
      </c>
      <c r="D257" s="306" t="n">
        <v>544</v>
      </c>
      <c r="E257" s="306" t="n">
        <v>3.75</v>
      </c>
      <c r="F257" s="306" t="s">
        <v>541</v>
      </c>
      <c r="G257" s="307" t="n">
        <v>24</v>
      </c>
      <c r="H257" s="308" t="n">
        <v>443.801652892562</v>
      </c>
      <c r="I257" s="2"/>
      <c r="J257" s="144" t="s">
        <v>12</v>
      </c>
      <c r="K257" s="309" t="s">
        <v>12</v>
      </c>
      <c r="L257" s="310"/>
      <c r="M257" s="311" t="s">
        <v>12</v>
      </c>
      <c r="N257" s="312" t="s">
        <v>12</v>
      </c>
      <c r="O257" s="311" t="s">
        <v>12</v>
      </c>
      <c r="P257" s="312" t="s">
        <v>12</v>
      </c>
      <c r="Q257" s="310" t="s">
        <v>12</v>
      </c>
      <c r="R257" s="312" t="s">
        <v>12</v>
      </c>
      <c r="S257" s="310"/>
      <c r="T257" s="311" t="n">
        <v>0</v>
      </c>
      <c r="U257" s="312" t="n">
        <v>18.6</v>
      </c>
      <c r="V257" s="311" t="n">
        <v>0</v>
      </c>
      <c r="W257" s="312" t="n">
        <v>17.8</v>
      </c>
      <c r="X257" s="311" t="n">
        <v>0</v>
      </c>
      <c r="Y257" s="312" t="n">
        <v>10</v>
      </c>
      <c r="Z257" s="313" t="n">
        <v>0</v>
      </c>
      <c r="AA257" s="314" t="n">
        <v>10</v>
      </c>
      <c r="AB257" s="313" t="n">
        <v>0</v>
      </c>
      <c r="AC257" s="314" t="n">
        <v>10</v>
      </c>
      <c r="AD257" s="315"/>
      <c r="AE257" s="144" t="n">
        <v>100</v>
      </c>
      <c r="AF257" s="315"/>
      <c r="AG257" s="311" t="n">
        <v>0</v>
      </c>
      <c r="AH257" s="309" t="n">
        <v>0</v>
      </c>
      <c r="AI257" s="310"/>
      <c r="AJ257" s="311" t="s">
        <v>12</v>
      </c>
      <c r="AK257" s="309" t="s">
        <v>12</v>
      </c>
      <c r="AL257" s="311" t="s">
        <v>12</v>
      </c>
      <c r="AM257" s="309" t="s">
        <v>12</v>
      </c>
      <c r="AN257" s="311" t="s">
        <v>12</v>
      </c>
      <c r="AO257" s="309" t="s">
        <v>12</v>
      </c>
      <c r="AP257" s="310"/>
      <c r="AQ257" s="311" t="n">
        <v>98</v>
      </c>
      <c r="AR257" s="309" t="n">
        <v>446.4</v>
      </c>
      <c r="AS257" s="311" t="n">
        <v>117</v>
      </c>
      <c r="AT257" s="309" t="n">
        <v>427.2</v>
      </c>
      <c r="AU257" s="311" t="n">
        <v>304</v>
      </c>
      <c r="AV257" s="309" t="n">
        <v>240</v>
      </c>
      <c r="AW257" s="311" t="n">
        <v>304</v>
      </c>
      <c r="AX257" s="309" t="n">
        <v>240</v>
      </c>
      <c r="AY257" s="311" t="n">
        <v>304</v>
      </c>
      <c r="AZ257" s="309" t="n">
        <v>240</v>
      </c>
      <c r="BB257" s="144" t="n">
        <v>0</v>
      </c>
      <c r="BC257" s="315"/>
      <c r="BD257" s="311" t="n">
        <v>0</v>
      </c>
      <c r="BE257" s="316" t="n">
        <v>0</v>
      </c>
      <c r="BF257" s="310"/>
      <c r="BG257" s="317" t="n">
        <v>0</v>
      </c>
      <c r="BH257" s="318" t="n">
        <v>0</v>
      </c>
      <c r="BI257" s="317" t="n">
        <v>0</v>
      </c>
      <c r="BJ257" s="318" t="n">
        <v>0</v>
      </c>
      <c r="BK257" s="317" t="n">
        <v>0</v>
      </c>
      <c r="BL257" s="318" t="n">
        <v>0</v>
      </c>
      <c r="BM257" s="310"/>
      <c r="BN257" s="317" t="n">
        <v>0</v>
      </c>
      <c r="BO257" s="318" t="n">
        <v>0</v>
      </c>
      <c r="BP257" s="317" t="n">
        <v>0</v>
      </c>
      <c r="BQ257" s="318" t="n">
        <v>0</v>
      </c>
      <c r="BR257" s="317" t="n">
        <v>0</v>
      </c>
      <c r="BS257" s="318" t="n">
        <v>2</v>
      </c>
      <c r="BT257" s="317" t="n">
        <v>0</v>
      </c>
      <c r="BU257" s="318" t="n">
        <v>2</v>
      </c>
      <c r="BV257" s="317" t="n">
        <v>0</v>
      </c>
      <c r="BW257" s="318" t="n">
        <v>2</v>
      </c>
      <c r="BY257" s="143"/>
      <c r="BZ257" s="315"/>
      <c r="CA257" s="144"/>
      <c r="CB257" s="315"/>
      <c r="CC257" s="144" t="s">
        <v>12</v>
      </c>
      <c r="CD257" s="144" t="s">
        <v>12</v>
      </c>
      <c r="CE257" s="144" t="s">
        <v>12</v>
      </c>
      <c r="CF257" s="315"/>
      <c r="CG257" s="144" t="n">
        <v>2.59834710743803</v>
      </c>
      <c r="CH257" s="144" t="n">
        <v>-16.601652892562</v>
      </c>
      <c r="CI257" s="144" t="n">
        <v>-203.801652892562</v>
      </c>
      <c r="CJ257" s="144" t="n">
        <v>-203.801652892562</v>
      </c>
      <c r="CK257" s="144" t="n">
        <v>-203.801652892562</v>
      </c>
      <c r="CM257" s="144" t="n">
        <v>474.760330578512</v>
      </c>
      <c r="CO257" s="319"/>
      <c r="CP257" s="320"/>
      <c r="CQ257" s="321"/>
      <c r="CR257" s="320"/>
      <c r="CS257" s="322" t="s">
        <v>12</v>
      </c>
      <c r="CT257" s="322" t="s">
        <v>12</v>
      </c>
      <c r="CU257" s="322" t="s">
        <v>12</v>
      </c>
      <c r="CV257" s="323"/>
      <c r="CW257" s="322" t="n">
        <v>-28.3603305785124</v>
      </c>
      <c r="CX257" s="322" t="n">
        <v>-47.5603305785124</v>
      </c>
      <c r="CY257" s="322" t="n">
        <v>-234.760330578512</v>
      </c>
      <c r="CZ257" s="322" t="n">
        <v>-234.760330578512</v>
      </c>
      <c r="DA257" s="322" t="n">
        <v>-234.760330578512</v>
      </c>
    </row>
    <row r="258" customFormat="false" ht="12.75" hidden="false" customHeight="false" outlineLevel="0" collapsed="false">
      <c r="B258" s="305" t="s">
        <v>428</v>
      </c>
      <c r="C258" s="305" t="s">
        <v>558</v>
      </c>
      <c r="D258" s="306" t="n">
        <v>208</v>
      </c>
      <c r="E258" s="306" t="n">
        <v>3.75</v>
      </c>
      <c r="F258" s="324" t="s">
        <v>541</v>
      </c>
      <c r="G258" s="144" t="n">
        <v>24</v>
      </c>
      <c r="H258" s="325" t="n">
        <v>187.603305785124</v>
      </c>
      <c r="I258" s="2"/>
      <c r="J258" s="144" t="s">
        <v>12</v>
      </c>
      <c r="K258" s="309" t="s">
        <v>12</v>
      </c>
      <c r="L258" s="310"/>
      <c r="M258" s="311" t="n">
        <v>29</v>
      </c>
      <c r="N258" s="312" t="n">
        <v>5.6</v>
      </c>
      <c r="O258" s="311" t="n">
        <v>0</v>
      </c>
      <c r="P258" s="312" t="n">
        <v>4.2</v>
      </c>
      <c r="Q258" s="310" t="n">
        <v>0</v>
      </c>
      <c r="R258" s="312" t="n">
        <v>3.4</v>
      </c>
      <c r="S258" s="310"/>
      <c r="T258" s="311" t="n">
        <v>0</v>
      </c>
      <c r="U258" s="312" t="n">
        <v>6.7</v>
      </c>
      <c r="V258" s="311" t="n">
        <v>0</v>
      </c>
      <c r="W258" s="312" t="n">
        <v>3.4</v>
      </c>
      <c r="X258" s="311" t="n">
        <v>0</v>
      </c>
      <c r="Y258" s="312" t="n">
        <v>3.4</v>
      </c>
      <c r="Z258" s="313" t="n">
        <v>0</v>
      </c>
      <c r="AA258" s="314" t="n">
        <v>3.3</v>
      </c>
      <c r="AB258" s="313" t="n">
        <v>0</v>
      </c>
      <c r="AC258" s="314" t="n">
        <v>3.3</v>
      </c>
      <c r="AD258" s="315"/>
      <c r="AE258" s="144" t="n">
        <v>20</v>
      </c>
      <c r="AF258" s="315"/>
      <c r="AG258" s="311" t="n">
        <v>0</v>
      </c>
      <c r="AH258" s="309" t="n">
        <v>0</v>
      </c>
      <c r="AI258" s="310"/>
      <c r="AJ258" s="311" t="n">
        <v>45</v>
      </c>
      <c r="AK258" s="309" t="n">
        <v>134.4</v>
      </c>
      <c r="AL258" s="311" t="n">
        <v>107</v>
      </c>
      <c r="AM258" s="309" t="n">
        <v>100.8</v>
      </c>
      <c r="AN258" s="310" t="n">
        <v>126</v>
      </c>
      <c r="AO258" s="309" t="n">
        <v>81.6</v>
      </c>
      <c r="AP258" s="310"/>
      <c r="AQ258" s="311" t="n">
        <v>47</v>
      </c>
      <c r="AR258" s="309" t="n">
        <v>160.8</v>
      </c>
      <c r="AS258" s="311" t="n">
        <v>126</v>
      </c>
      <c r="AT258" s="309" t="n">
        <v>81.6</v>
      </c>
      <c r="AU258" s="310" t="n">
        <v>126</v>
      </c>
      <c r="AV258" s="309" t="n">
        <v>81.6</v>
      </c>
      <c r="AW258" s="310" t="n">
        <v>129</v>
      </c>
      <c r="AX258" s="309" t="n">
        <v>79.2</v>
      </c>
      <c r="AY258" s="310" t="n">
        <v>129</v>
      </c>
      <c r="AZ258" s="309" t="n">
        <v>79.2</v>
      </c>
      <c r="BB258" s="144" t="n">
        <v>0</v>
      </c>
      <c r="BC258" s="315"/>
      <c r="BD258" s="311" t="n">
        <v>0</v>
      </c>
      <c r="BE258" s="316" t="n">
        <v>0</v>
      </c>
      <c r="BF258" s="310"/>
      <c r="BG258" s="317" t="n">
        <v>0</v>
      </c>
      <c r="BH258" s="318" t="n">
        <v>0.2</v>
      </c>
      <c r="BI258" s="317" t="n">
        <v>0</v>
      </c>
      <c r="BJ258" s="318" t="n">
        <v>0.8</v>
      </c>
      <c r="BK258" s="317" t="n">
        <v>0</v>
      </c>
      <c r="BL258" s="318" t="n">
        <v>0.9</v>
      </c>
      <c r="BM258" s="310"/>
      <c r="BN258" s="317" t="n">
        <v>0</v>
      </c>
      <c r="BO258" s="318" t="n">
        <v>0</v>
      </c>
      <c r="BP258" s="317" t="n">
        <v>0</v>
      </c>
      <c r="BQ258" s="318" t="n">
        <v>0.9</v>
      </c>
      <c r="BR258" s="317" t="n">
        <v>0</v>
      </c>
      <c r="BS258" s="318" t="n">
        <v>0.9</v>
      </c>
      <c r="BT258" s="317" t="n">
        <v>0</v>
      </c>
      <c r="BU258" s="318" t="n">
        <v>0.8</v>
      </c>
      <c r="BV258" s="317" t="n">
        <v>0</v>
      </c>
      <c r="BW258" s="318" t="n">
        <v>0.8</v>
      </c>
      <c r="BY258" s="143"/>
      <c r="BZ258" s="315"/>
      <c r="CA258" s="144" t="s">
        <v>12</v>
      </c>
      <c r="CB258" s="315"/>
      <c r="CC258" s="144" t="n">
        <v>-24.203305785124</v>
      </c>
      <c r="CD258" s="144" t="n">
        <v>-86.803305785124</v>
      </c>
      <c r="CE258" s="144" t="n">
        <v>-106.003305785124</v>
      </c>
      <c r="CF258" s="315"/>
      <c r="CG258" s="144" t="n">
        <v>-26.803305785124</v>
      </c>
      <c r="CH258" s="144" t="n">
        <v>-106.003305785124</v>
      </c>
      <c r="CI258" s="144" t="n">
        <v>-106.003305785124</v>
      </c>
      <c r="CJ258" s="144" t="n">
        <v>-108.403305785124</v>
      </c>
      <c r="CK258" s="144" t="n">
        <v>-108.403305785124</v>
      </c>
      <c r="CM258" s="144" t="n">
        <v>205.785123966942</v>
      </c>
      <c r="CO258" s="319"/>
      <c r="CP258" s="320"/>
      <c r="CQ258" s="321" t="s">
        <v>12</v>
      </c>
      <c r="CR258" s="320"/>
      <c r="CS258" s="322" t="n">
        <v>-42.3851239669422</v>
      </c>
      <c r="CT258" s="322" t="n">
        <v>-104.985123966942</v>
      </c>
      <c r="CU258" s="322" t="n">
        <v>-124.185123966942</v>
      </c>
      <c r="CV258" s="323"/>
      <c r="CW258" s="322" t="n">
        <v>-44.9851239669422</v>
      </c>
      <c r="CX258" s="322" t="n">
        <v>-124.185123966942</v>
      </c>
      <c r="CY258" s="322" t="n">
        <v>-124.185123966942</v>
      </c>
      <c r="CZ258" s="322" t="n">
        <v>-126.585123966942</v>
      </c>
      <c r="DA258" s="322" t="n">
        <v>-126.585123966942</v>
      </c>
    </row>
    <row r="259" customFormat="false" ht="12.75" hidden="false" customHeight="false" outlineLevel="0" collapsed="false">
      <c r="B259" s="305" t="s">
        <v>428</v>
      </c>
      <c r="C259" s="305" t="s">
        <v>559</v>
      </c>
      <c r="D259" s="306" t="n">
        <v>132</v>
      </c>
      <c r="E259" s="306" t="n">
        <v>3.75</v>
      </c>
      <c r="F259" s="306" t="s">
        <v>541</v>
      </c>
      <c r="G259" s="307" t="n">
        <v>24</v>
      </c>
      <c r="H259" s="308" t="n">
        <v>90.9090909090909</v>
      </c>
      <c r="I259" s="2"/>
      <c r="J259" s="144" t="s">
        <v>12</v>
      </c>
      <c r="K259" s="309" t="s">
        <v>12</v>
      </c>
      <c r="L259" s="310"/>
      <c r="M259" s="311" t="n">
        <v>0</v>
      </c>
      <c r="N259" s="312" t="n">
        <v>1.5</v>
      </c>
      <c r="O259" s="311" t="n">
        <v>0</v>
      </c>
      <c r="P259" s="312" t="n">
        <v>1.1</v>
      </c>
      <c r="Q259" s="310" t="n">
        <v>0</v>
      </c>
      <c r="R259" s="312" t="n">
        <v>0.3</v>
      </c>
      <c r="S259" s="310"/>
      <c r="T259" s="311" t="n">
        <v>0</v>
      </c>
      <c r="U259" s="312" t="n">
        <v>0.9</v>
      </c>
      <c r="V259" s="311" t="n">
        <v>0</v>
      </c>
      <c r="W259" s="312" t="n">
        <v>0.9</v>
      </c>
      <c r="X259" s="311" t="n">
        <v>0</v>
      </c>
      <c r="Y259" s="312" t="n">
        <v>0.9</v>
      </c>
      <c r="Z259" s="313" t="n">
        <v>0</v>
      </c>
      <c r="AA259" s="314" t="n">
        <v>0.8</v>
      </c>
      <c r="AB259" s="313" t="n">
        <v>0</v>
      </c>
      <c r="AC259" s="314" t="n">
        <v>0.8</v>
      </c>
      <c r="AD259" s="315"/>
      <c r="AE259" s="144" t="n">
        <v>41</v>
      </c>
      <c r="AF259" s="315"/>
      <c r="AG259" s="311" t="n">
        <v>0</v>
      </c>
      <c r="AH259" s="309" t="n">
        <v>0</v>
      </c>
      <c r="AI259" s="310"/>
      <c r="AJ259" s="311" t="n">
        <v>96</v>
      </c>
      <c r="AK259" s="309" t="n">
        <v>36</v>
      </c>
      <c r="AL259" s="311" t="n">
        <v>106</v>
      </c>
      <c r="AM259" s="309" t="n">
        <v>26.4</v>
      </c>
      <c r="AN259" s="311" t="n">
        <v>125</v>
      </c>
      <c r="AO259" s="309" t="n">
        <v>7.2</v>
      </c>
      <c r="AP259" s="310"/>
      <c r="AQ259" s="311" t="n">
        <v>110</v>
      </c>
      <c r="AR259" s="309" t="n">
        <v>21.6</v>
      </c>
      <c r="AS259" s="311" t="n">
        <v>110</v>
      </c>
      <c r="AT259" s="309" t="n">
        <v>21.6</v>
      </c>
      <c r="AU259" s="311" t="n">
        <v>110</v>
      </c>
      <c r="AV259" s="309" t="n">
        <v>21.6</v>
      </c>
      <c r="AW259" s="311" t="n">
        <v>113</v>
      </c>
      <c r="AX259" s="309" t="n">
        <v>19.2</v>
      </c>
      <c r="AY259" s="311" t="n">
        <v>113</v>
      </c>
      <c r="AZ259" s="309" t="n">
        <v>19.2</v>
      </c>
      <c r="BB259" s="144" t="n">
        <v>0</v>
      </c>
      <c r="BC259" s="315"/>
      <c r="BD259" s="311" t="n">
        <v>0</v>
      </c>
      <c r="BE259" s="316" t="n">
        <v>0</v>
      </c>
      <c r="BF259" s="310"/>
      <c r="BG259" s="317" t="n">
        <v>0</v>
      </c>
      <c r="BH259" s="318" t="n">
        <v>0</v>
      </c>
      <c r="BI259" s="317" t="n">
        <v>0</v>
      </c>
      <c r="BJ259" s="318" t="n">
        <v>0.4</v>
      </c>
      <c r="BK259" s="317" t="n">
        <v>0</v>
      </c>
      <c r="BL259" s="318" t="n">
        <v>0</v>
      </c>
      <c r="BM259" s="310"/>
      <c r="BN259" s="317" t="n">
        <v>0</v>
      </c>
      <c r="BO259" s="318" t="n">
        <v>0</v>
      </c>
      <c r="BP259" s="317" t="n">
        <v>0</v>
      </c>
      <c r="BQ259" s="318" t="n">
        <v>0</v>
      </c>
      <c r="BR259" s="317" t="n">
        <v>0</v>
      </c>
      <c r="BS259" s="318" t="n">
        <v>0</v>
      </c>
      <c r="BT259" s="317" t="n">
        <v>0</v>
      </c>
      <c r="BU259" s="318" t="n">
        <v>0</v>
      </c>
      <c r="BV259" s="317" t="n">
        <v>0</v>
      </c>
      <c r="BW259" s="318" t="n">
        <v>0</v>
      </c>
      <c r="BY259" s="143"/>
      <c r="BZ259" s="315"/>
      <c r="CA259" s="144" t="s">
        <v>12</v>
      </c>
      <c r="CB259" s="315"/>
      <c r="CC259" s="144" t="n">
        <v>-54.9090909090909</v>
      </c>
      <c r="CD259" s="144" t="n">
        <v>-64.5090909090909</v>
      </c>
      <c r="CE259" s="144" t="n">
        <v>-83.7090909090909</v>
      </c>
      <c r="CF259" s="315"/>
      <c r="CG259" s="144" t="n">
        <v>-69.3090909090909</v>
      </c>
      <c r="CH259" s="144" t="n">
        <v>-69.3090909090909</v>
      </c>
      <c r="CI259" s="144" t="n">
        <v>-69.3090909090909</v>
      </c>
      <c r="CJ259" s="144" t="n">
        <v>-71.7090909090909</v>
      </c>
      <c r="CK259" s="144" t="n">
        <v>-71.7090909090909</v>
      </c>
      <c r="CM259" s="144" t="n">
        <v>131.404958677686</v>
      </c>
      <c r="CO259" s="319"/>
      <c r="CP259" s="320"/>
      <c r="CQ259" s="321" t="s">
        <v>12</v>
      </c>
      <c r="CR259" s="320"/>
      <c r="CS259" s="322" t="n">
        <v>-95.404958677686</v>
      </c>
      <c r="CT259" s="322" t="n">
        <v>-105.004958677686</v>
      </c>
      <c r="CU259" s="322" t="n">
        <v>-124.204958677686</v>
      </c>
      <c r="CV259" s="323"/>
      <c r="CW259" s="322" t="n">
        <v>-109.804958677686</v>
      </c>
      <c r="CX259" s="322" t="n">
        <v>-109.804958677686</v>
      </c>
      <c r="CY259" s="322" t="n">
        <v>-109.804958677686</v>
      </c>
      <c r="CZ259" s="322" t="n">
        <v>-112.204958677686</v>
      </c>
      <c r="DA259" s="322" t="n">
        <v>-112.204958677686</v>
      </c>
    </row>
    <row r="260" customFormat="false" ht="12.75" hidden="false" customHeight="false" outlineLevel="0" collapsed="false">
      <c r="B260" s="305" t="s">
        <v>428</v>
      </c>
      <c r="C260" s="305" t="s">
        <v>560</v>
      </c>
      <c r="D260" s="306" t="n">
        <v>115</v>
      </c>
      <c r="E260" s="306" t="n">
        <v>3.75</v>
      </c>
      <c r="F260" s="324" t="s">
        <v>541</v>
      </c>
      <c r="G260" s="144" t="n">
        <v>24</v>
      </c>
      <c r="H260" s="325" t="n">
        <v>105.785123966942</v>
      </c>
      <c r="I260" s="2"/>
      <c r="J260" s="144" t="s">
        <v>12</v>
      </c>
      <c r="K260" s="309" t="s">
        <v>12</v>
      </c>
      <c r="L260" s="310"/>
      <c r="M260" s="311" t="n">
        <v>0</v>
      </c>
      <c r="N260" s="312" t="n">
        <v>4.2</v>
      </c>
      <c r="O260" s="311" t="n">
        <v>0</v>
      </c>
      <c r="P260" s="312" t="n">
        <v>1.7</v>
      </c>
      <c r="Q260" s="310" t="n">
        <v>0</v>
      </c>
      <c r="R260" s="312" t="n">
        <v>0.9</v>
      </c>
      <c r="S260" s="310"/>
      <c r="T260" s="311" t="n">
        <v>0</v>
      </c>
      <c r="U260" s="312" t="n">
        <v>4</v>
      </c>
      <c r="V260" s="311" t="n">
        <v>0</v>
      </c>
      <c r="W260" s="312" t="n">
        <v>0.9</v>
      </c>
      <c r="X260" s="311" t="n">
        <v>0</v>
      </c>
      <c r="Y260" s="312" t="n">
        <v>0.9</v>
      </c>
      <c r="Z260" s="313" t="n">
        <v>0</v>
      </c>
      <c r="AA260" s="314" t="n">
        <v>0.8</v>
      </c>
      <c r="AB260" s="313" t="n">
        <v>0</v>
      </c>
      <c r="AC260" s="314" t="n">
        <v>0.8</v>
      </c>
      <c r="AD260" s="315"/>
      <c r="AE260" s="144" t="n">
        <v>9</v>
      </c>
      <c r="AF260" s="315"/>
      <c r="AG260" s="311" t="n">
        <v>0</v>
      </c>
      <c r="AH260" s="309" t="n">
        <v>0</v>
      </c>
      <c r="AI260" s="310"/>
      <c r="AJ260" s="311" t="n">
        <v>14</v>
      </c>
      <c r="AK260" s="309" t="n">
        <v>100.8</v>
      </c>
      <c r="AL260" s="311" t="n">
        <v>74</v>
      </c>
      <c r="AM260" s="309" t="n">
        <v>40.8</v>
      </c>
      <c r="AN260" s="310" t="n">
        <v>93</v>
      </c>
      <c r="AO260" s="309" t="n">
        <v>21.6</v>
      </c>
      <c r="AP260" s="310"/>
      <c r="AQ260" s="311" t="n">
        <v>19</v>
      </c>
      <c r="AR260" s="309" t="n">
        <v>96</v>
      </c>
      <c r="AS260" s="311" t="n">
        <v>93</v>
      </c>
      <c r="AT260" s="309" t="n">
        <v>21.6</v>
      </c>
      <c r="AU260" s="310" t="n">
        <v>93</v>
      </c>
      <c r="AV260" s="309" t="n">
        <v>21.6</v>
      </c>
      <c r="AW260" s="310" t="n">
        <v>96</v>
      </c>
      <c r="AX260" s="309" t="n">
        <v>19.2</v>
      </c>
      <c r="AY260" s="310" t="n">
        <v>96</v>
      </c>
      <c r="AZ260" s="309" t="n">
        <v>19.2</v>
      </c>
      <c r="BB260" s="144" t="n">
        <v>0</v>
      </c>
      <c r="BC260" s="315"/>
      <c r="BD260" s="311" t="n">
        <v>0</v>
      </c>
      <c r="BE260" s="316" t="n">
        <v>0</v>
      </c>
      <c r="BF260" s="310"/>
      <c r="BG260" s="317" t="n">
        <v>0</v>
      </c>
      <c r="BH260" s="318" t="n">
        <v>0.4</v>
      </c>
      <c r="BI260" s="317" t="n">
        <v>0</v>
      </c>
      <c r="BJ260" s="318" t="n">
        <v>0.8</v>
      </c>
      <c r="BK260" s="317" t="n">
        <v>0</v>
      </c>
      <c r="BL260" s="318" t="n">
        <v>0.6</v>
      </c>
      <c r="BM260" s="310"/>
      <c r="BN260" s="317" t="n">
        <v>0</v>
      </c>
      <c r="BO260" s="318" t="n">
        <v>0</v>
      </c>
      <c r="BP260" s="317" t="n">
        <v>0</v>
      </c>
      <c r="BQ260" s="318" t="n">
        <v>0</v>
      </c>
      <c r="BR260" s="317" t="n">
        <v>0</v>
      </c>
      <c r="BS260" s="318" t="n">
        <v>0</v>
      </c>
      <c r="BT260" s="317" t="n">
        <v>0</v>
      </c>
      <c r="BU260" s="318" t="n">
        <v>0</v>
      </c>
      <c r="BV260" s="317" t="n">
        <v>0</v>
      </c>
      <c r="BW260" s="318" t="n">
        <v>0</v>
      </c>
      <c r="BY260" s="143"/>
      <c r="BZ260" s="315"/>
      <c r="CA260" s="144" t="s">
        <v>12</v>
      </c>
      <c r="CB260" s="315"/>
      <c r="CC260" s="144" t="n">
        <v>-4.98512396694214</v>
      </c>
      <c r="CD260" s="144" t="n">
        <v>-64.9851239669422</v>
      </c>
      <c r="CE260" s="144" t="n">
        <v>-84.1851239669422</v>
      </c>
      <c r="CF260" s="315"/>
      <c r="CG260" s="144" t="n">
        <v>-9.78512396694215</v>
      </c>
      <c r="CH260" s="144" t="n">
        <v>-84.1851239669422</v>
      </c>
      <c r="CI260" s="144" t="n">
        <v>-84.1851239669422</v>
      </c>
      <c r="CJ260" s="144" t="n">
        <v>-86.5851239669422</v>
      </c>
      <c r="CK260" s="144" t="n">
        <v>-86.5851239669422</v>
      </c>
      <c r="CM260" s="144" t="n">
        <v>114.876033057851</v>
      </c>
      <c r="CO260" s="319"/>
      <c r="CP260" s="320"/>
      <c r="CQ260" s="321" t="s">
        <v>12</v>
      </c>
      <c r="CR260" s="320"/>
      <c r="CS260" s="322" t="n">
        <v>-14.0760330578512</v>
      </c>
      <c r="CT260" s="322" t="n">
        <v>-74.0760330578513</v>
      </c>
      <c r="CU260" s="322" t="n">
        <v>-93.2760330578512</v>
      </c>
      <c r="CV260" s="323"/>
      <c r="CW260" s="322" t="n">
        <v>-18.8760330578512</v>
      </c>
      <c r="CX260" s="322" t="n">
        <v>-93.2760330578512</v>
      </c>
      <c r="CY260" s="322" t="n">
        <v>-93.2760330578512</v>
      </c>
      <c r="CZ260" s="322" t="n">
        <v>-95.6760330578512</v>
      </c>
      <c r="DA260" s="322" t="n">
        <v>-95.6760330578512</v>
      </c>
    </row>
    <row r="261" customFormat="false" ht="12.75" hidden="false" customHeight="false" outlineLevel="0" collapsed="false">
      <c r="B261" s="305" t="s">
        <v>428</v>
      </c>
      <c r="C261" s="305" t="s">
        <v>561</v>
      </c>
      <c r="D261" s="306" t="n">
        <v>148</v>
      </c>
      <c r="E261" s="306" t="n">
        <v>3.75</v>
      </c>
      <c r="F261" s="306" t="s">
        <v>562</v>
      </c>
      <c r="G261" s="307" t="n">
        <v>24</v>
      </c>
      <c r="H261" s="308" t="n">
        <v>129.752066115703</v>
      </c>
      <c r="I261" s="2"/>
      <c r="J261" s="144" t="s">
        <v>12</v>
      </c>
      <c r="K261" s="309" t="s">
        <v>12</v>
      </c>
      <c r="L261" s="310"/>
      <c r="M261" s="311" t="n">
        <v>19</v>
      </c>
      <c r="N261" s="312" t="n">
        <v>4</v>
      </c>
      <c r="O261" s="311" t="n">
        <v>0</v>
      </c>
      <c r="P261" s="312" t="n">
        <v>2.3</v>
      </c>
      <c r="Q261" s="310" t="n">
        <v>0</v>
      </c>
      <c r="R261" s="312" t="n">
        <v>1.5</v>
      </c>
      <c r="S261" s="310"/>
      <c r="T261" s="311" t="n">
        <v>0</v>
      </c>
      <c r="U261" s="312" t="n">
        <v>4.6</v>
      </c>
      <c r="V261" s="311" t="n">
        <v>0</v>
      </c>
      <c r="W261" s="312" t="n">
        <v>1.7</v>
      </c>
      <c r="X261" s="311" t="n">
        <v>0</v>
      </c>
      <c r="Y261" s="312" t="n">
        <v>1.7</v>
      </c>
      <c r="Z261" s="313" t="n">
        <v>0</v>
      </c>
      <c r="AA261" s="314" t="n">
        <v>1.7</v>
      </c>
      <c r="AB261" s="313" t="n">
        <v>0</v>
      </c>
      <c r="AC261" s="314" t="n">
        <v>1.7</v>
      </c>
      <c r="AD261" s="315"/>
      <c r="AE261" s="144" t="n">
        <v>18</v>
      </c>
      <c r="AF261" s="315"/>
      <c r="AG261" s="311" t="n">
        <v>0</v>
      </c>
      <c r="AH261" s="309" t="n">
        <v>0</v>
      </c>
      <c r="AI261" s="310"/>
      <c r="AJ261" s="311" t="n">
        <v>33</v>
      </c>
      <c r="AK261" s="309" t="n">
        <v>96</v>
      </c>
      <c r="AL261" s="311" t="n">
        <v>93</v>
      </c>
      <c r="AM261" s="309" t="n">
        <v>55.2</v>
      </c>
      <c r="AN261" s="311" t="n">
        <v>112</v>
      </c>
      <c r="AO261" s="309" t="n">
        <v>36</v>
      </c>
      <c r="AP261" s="310"/>
      <c r="AQ261" s="311" t="n">
        <v>38</v>
      </c>
      <c r="AR261" s="309" t="n">
        <v>110.4</v>
      </c>
      <c r="AS261" s="311" t="n">
        <v>107</v>
      </c>
      <c r="AT261" s="309" t="n">
        <v>40.8</v>
      </c>
      <c r="AU261" s="311" t="n">
        <v>107</v>
      </c>
      <c r="AV261" s="309" t="n">
        <v>40.8</v>
      </c>
      <c r="AW261" s="311" t="n">
        <v>107</v>
      </c>
      <c r="AX261" s="309" t="n">
        <v>40.8</v>
      </c>
      <c r="AY261" s="311" t="n">
        <v>107</v>
      </c>
      <c r="AZ261" s="309" t="n">
        <v>40.8</v>
      </c>
      <c r="BB261" s="144" t="n">
        <v>0</v>
      </c>
      <c r="BC261" s="315"/>
      <c r="BD261" s="311" t="n">
        <v>0</v>
      </c>
      <c r="BE261" s="316" t="n">
        <v>0</v>
      </c>
      <c r="BF261" s="310"/>
      <c r="BG261" s="317" t="n">
        <v>0</v>
      </c>
      <c r="BH261" s="318" t="n">
        <v>0.2</v>
      </c>
      <c r="BI261" s="317" t="n">
        <v>0</v>
      </c>
      <c r="BJ261" s="318" t="n">
        <v>0.8</v>
      </c>
      <c r="BK261" s="317" t="n">
        <v>0</v>
      </c>
      <c r="BL261" s="318" t="n">
        <v>0.8</v>
      </c>
      <c r="BM261" s="310"/>
      <c r="BN261" s="317" t="n">
        <v>0</v>
      </c>
      <c r="BO261" s="318" t="n">
        <v>0</v>
      </c>
      <c r="BP261" s="317" t="n">
        <v>0</v>
      </c>
      <c r="BQ261" s="318" t="n">
        <v>0</v>
      </c>
      <c r="BR261" s="317" t="n">
        <v>0</v>
      </c>
      <c r="BS261" s="318" t="n">
        <v>0</v>
      </c>
      <c r="BT261" s="317" t="n">
        <v>0</v>
      </c>
      <c r="BU261" s="318" t="n">
        <v>0</v>
      </c>
      <c r="BV261" s="317" t="n">
        <v>0</v>
      </c>
      <c r="BW261" s="318" t="n">
        <v>0</v>
      </c>
      <c r="BY261" s="143"/>
      <c r="BZ261" s="315"/>
      <c r="CA261" s="144" t="s">
        <v>12</v>
      </c>
      <c r="CB261" s="315"/>
      <c r="CC261" s="144" t="n">
        <v>-14.7520661157025</v>
      </c>
      <c r="CD261" s="144" t="n">
        <v>-74.5520661157025</v>
      </c>
      <c r="CE261" s="144" t="n">
        <v>-93.7520661157025</v>
      </c>
      <c r="CF261" s="315"/>
      <c r="CG261" s="144" t="n">
        <v>-19.3520661157025</v>
      </c>
      <c r="CH261" s="144" t="n">
        <v>-88.9520661157025</v>
      </c>
      <c r="CI261" s="144" t="n">
        <v>-88.9520661157025</v>
      </c>
      <c r="CJ261" s="144" t="n">
        <v>-88.9520661157025</v>
      </c>
      <c r="CK261" s="144" t="n">
        <v>-88.9520661157025</v>
      </c>
      <c r="CM261" s="144" t="n">
        <v>147.933884297521</v>
      </c>
      <c r="CO261" s="319"/>
      <c r="CP261" s="320"/>
      <c r="CQ261" s="321" t="s">
        <v>12</v>
      </c>
      <c r="CR261" s="320"/>
      <c r="CS261" s="322" t="n">
        <v>-32.9338842975207</v>
      </c>
      <c r="CT261" s="322" t="n">
        <v>-92.7338842975207</v>
      </c>
      <c r="CU261" s="322" t="n">
        <v>-111.933884297521</v>
      </c>
      <c r="CV261" s="323"/>
      <c r="CW261" s="322" t="n">
        <v>-37.5338842975207</v>
      </c>
      <c r="CX261" s="322" t="n">
        <v>-107.133884297521</v>
      </c>
      <c r="CY261" s="322" t="n">
        <v>-107.133884297521</v>
      </c>
      <c r="CZ261" s="322" t="n">
        <v>-107.133884297521</v>
      </c>
      <c r="DA261" s="322" t="n">
        <v>-107.133884297521</v>
      </c>
    </row>
    <row r="262" customFormat="false" ht="12.75" hidden="false" customHeight="false" outlineLevel="0" collapsed="false">
      <c r="B262" s="305" t="s">
        <v>497</v>
      </c>
      <c r="C262" s="305" t="s">
        <v>563</v>
      </c>
      <c r="D262" s="306" t="n">
        <v>208</v>
      </c>
      <c r="E262" s="306" t="n">
        <v>3.75</v>
      </c>
      <c r="F262" s="324" t="s">
        <v>541</v>
      </c>
      <c r="G262" s="144" t="n">
        <v>24</v>
      </c>
      <c r="H262" s="325" t="n">
        <v>171.900826446281</v>
      </c>
      <c r="I262" s="2"/>
      <c r="J262" s="144" t="s">
        <v>12</v>
      </c>
      <c r="K262" s="309" t="s">
        <v>12</v>
      </c>
      <c r="L262" s="310"/>
      <c r="M262" s="311" t="n">
        <v>29</v>
      </c>
      <c r="N262" s="312" t="n">
        <v>5</v>
      </c>
      <c r="O262" s="311" t="n">
        <v>0</v>
      </c>
      <c r="P262" s="312" t="n">
        <v>3.6</v>
      </c>
      <c r="Q262" s="310" t="n">
        <v>0</v>
      </c>
      <c r="R262" s="312" t="n">
        <v>2.7</v>
      </c>
      <c r="S262" s="310"/>
      <c r="T262" s="311" t="n">
        <v>0</v>
      </c>
      <c r="U262" s="312" t="n">
        <v>6</v>
      </c>
      <c r="V262" s="311" t="n">
        <v>0</v>
      </c>
      <c r="W262" s="312" t="n">
        <v>2.5</v>
      </c>
      <c r="X262" s="311" t="n">
        <v>0</v>
      </c>
      <c r="Y262" s="312" t="n">
        <v>2.5</v>
      </c>
      <c r="Z262" s="313" t="n">
        <v>0</v>
      </c>
      <c r="AA262" s="314" t="n">
        <v>2.5</v>
      </c>
      <c r="AB262" s="313" t="n">
        <v>0</v>
      </c>
      <c r="AC262" s="314" t="n">
        <v>2.5</v>
      </c>
      <c r="AD262" s="315"/>
      <c r="AE262" s="144" t="n">
        <v>36</v>
      </c>
      <c r="AF262" s="315"/>
      <c r="AG262" s="311" t="n">
        <v>0</v>
      </c>
      <c r="AH262" s="309" t="n">
        <v>0</v>
      </c>
      <c r="AI262" s="310"/>
      <c r="AJ262" s="311" t="n">
        <v>59</v>
      </c>
      <c r="AK262" s="309" t="n">
        <v>120</v>
      </c>
      <c r="AL262" s="311" t="n">
        <v>122</v>
      </c>
      <c r="AM262" s="309" t="n">
        <v>86.4</v>
      </c>
      <c r="AN262" s="310" t="n">
        <v>143</v>
      </c>
      <c r="AO262" s="309" t="n">
        <v>64.8</v>
      </c>
      <c r="AP262" s="310"/>
      <c r="AQ262" s="311" t="n">
        <v>64</v>
      </c>
      <c r="AR262" s="309" t="n">
        <v>144</v>
      </c>
      <c r="AS262" s="311" t="n">
        <v>148</v>
      </c>
      <c r="AT262" s="309" t="n">
        <v>60</v>
      </c>
      <c r="AU262" s="310" t="n">
        <v>148</v>
      </c>
      <c r="AV262" s="309" t="n">
        <v>60</v>
      </c>
      <c r="AW262" s="310" t="n">
        <v>148</v>
      </c>
      <c r="AX262" s="309" t="n">
        <v>60</v>
      </c>
      <c r="AY262" s="310" t="n">
        <v>148</v>
      </c>
      <c r="AZ262" s="309" t="n">
        <v>60</v>
      </c>
      <c r="BB262" s="144" t="n">
        <v>0</v>
      </c>
      <c r="BC262" s="315"/>
      <c r="BD262" s="311" t="n">
        <v>0</v>
      </c>
      <c r="BE262" s="316" t="n">
        <v>0</v>
      </c>
      <c r="BF262" s="310"/>
      <c r="BG262" s="317" t="n">
        <v>0</v>
      </c>
      <c r="BH262" s="318" t="n">
        <v>0.199999999999999</v>
      </c>
      <c r="BI262" s="317" t="n">
        <v>0</v>
      </c>
      <c r="BJ262" s="318" t="n">
        <v>0.9</v>
      </c>
      <c r="BK262" s="317" t="n">
        <v>0</v>
      </c>
      <c r="BL262" s="318" t="n">
        <v>0.8</v>
      </c>
      <c r="BM262" s="310"/>
      <c r="BN262" s="317" t="n">
        <v>0</v>
      </c>
      <c r="BO262" s="318" t="n">
        <v>0</v>
      </c>
      <c r="BP262" s="317" t="n">
        <v>0</v>
      </c>
      <c r="BQ262" s="318" t="n">
        <v>0.8</v>
      </c>
      <c r="BR262" s="317" t="n">
        <v>0</v>
      </c>
      <c r="BS262" s="318" t="n">
        <v>0.8</v>
      </c>
      <c r="BT262" s="317" t="n">
        <v>0</v>
      </c>
      <c r="BU262" s="318" t="n">
        <v>0.8</v>
      </c>
      <c r="BV262" s="317" t="n">
        <v>0</v>
      </c>
      <c r="BW262" s="318" t="n">
        <v>0.8</v>
      </c>
      <c r="BY262" s="143"/>
      <c r="BZ262" s="315"/>
      <c r="CA262" s="144" t="s">
        <v>12</v>
      </c>
      <c r="CB262" s="315"/>
      <c r="CC262" s="144" t="n">
        <v>-22.900826446281</v>
      </c>
      <c r="CD262" s="144" t="n">
        <v>-85.500826446281</v>
      </c>
      <c r="CE262" s="144" t="n">
        <v>-107.100826446281</v>
      </c>
      <c r="CF262" s="315"/>
      <c r="CG262" s="144" t="n">
        <v>-27.900826446281</v>
      </c>
      <c r="CH262" s="144" t="n">
        <v>-111.900826446281</v>
      </c>
      <c r="CI262" s="144" t="n">
        <v>-111.900826446281</v>
      </c>
      <c r="CJ262" s="144" t="n">
        <v>-111.900826446281</v>
      </c>
      <c r="CK262" s="144" t="n">
        <v>-111.900826446281</v>
      </c>
      <c r="CM262" s="144" t="n">
        <v>164.462809917355</v>
      </c>
      <c r="CO262" s="319"/>
      <c r="CP262" s="320"/>
      <c r="CQ262" s="321" t="s">
        <v>12</v>
      </c>
      <c r="CR262" s="320"/>
      <c r="CS262" s="322" t="n">
        <v>-15.4628099173554</v>
      </c>
      <c r="CT262" s="322" t="n">
        <v>-78.0628099173554</v>
      </c>
      <c r="CU262" s="322" t="n">
        <v>-99.6628099173554</v>
      </c>
      <c r="CV262" s="323"/>
      <c r="CW262" s="322" t="n">
        <v>-20.4628099173554</v>
      </c>
      <c r="CX262" s="322" t="n">
        <v>-104.462809917355</v>
      </c>
      <c r="CY262" s="322" t="n">
        <v>-104.462809917355</v>
      </c>
      <c r="CZ262" s="322" t="n">
        <v>-104.462809917355</v>
      </c>
      <c r="DA262" s="322" t="n">
        <v>-104.462809917355</v>
      </c>
    </row>
    <row r="263" customFormat="false" ht="12.75" hidden="false" customHeight="false" outlineLevel="0" collapsed="false">
      <c r="B263" s="305" t="s">
        <v>497</v>
      </c>
      <c r="C263" s="305" t="s">
        <v>564</v>
      </c>
      <c r="D263" s="306" t="n">
        <v>327</v>
      </c>
      <c r="E263" s="306" t="n">
        <v>3.75</v>
      </c>
      <c r="F263" s="306" t="s">
        <v>541</v>
      </c>
      <c r="G263" s="307" t="n">
        <v>24</v>
      </c>
      <c r="H263" s="308" t="n">
        <v>276.03305785124</v>
      </c>
      <c r="I263" s="2"/>
      <c r="J263" s="144" t="s">
        <v>12</v>
      </c>
      <c r="K263" s="309" t="s">
        <v>12</v>
      </c>
      <c r="L263" s="310"/>
      <c r="M263" s="311" t="n">
        <v>39</v>
      </c>
      <c r="N263" s="312" t="n">
        <v>7.5</v>
      </c>
      <c r="O263" s="311" t="n">
        <v>0</v>
      </c>
      <c r="P263" s="312" t="n">
        <v>6.5</v>
      </c>
      <c r="Q263" s="310" t="n">
        <v>0</v>
      </c>
      <c r="R263" s="312" t="n">
        <v>5.6</v>
      </c>
      <c r="S263" s="310"/>
      <c r="T263" s="311" t="n">
        <v>0</v>
      </c>
      <c r="U263" s="312" t="n">
        <v>8.7</v>
      </c>
      <c r="V263" s="311" t="n">
        <v>0</v>
      </c>
      <c r="W263" s="312" t="n">
        <v>5.8</v>
      </c>
      <c r="X263" s="311" t="n">
        <v>0</v>
      </c>
      <c r="Y263" s="312" t="n">
        <v>5.8</v>
      </c>
      <c r="Z263" s="313" t="n">
        <v>0</v>
      </c>
      <c r="AA263" s="314" t="n">
        <v>5.8</v>
      </c>
      <c r="AB263" s="313" t="n">
        <v>0</v>
      </c>
      <c r="AC263" s="314" t="n">
        <v>5.8</v>
      </c>
      <c r="AD263" s="315"/>
      <c r="AE263" s="144" t="n">
        <v>51</v>
      </c>
      <c r="AF263" s="315"/>
      <c r="AG263" s="311" t="n">
        <v>0</v>
      </c>
      <c r="AH263" s="309" t="n">
        <v>0</v>
      </c>
      <c r="AI263" s="310"/>
      <c r="AJ263" s="311" t="n">
        <v>108</v>
      </c>
      <c r="AK263" s="309" t="n">
        <v>180</v>
      </c>
      <c r="AL263" s="311" t="n">
        <v>171</v>
      </c>
      <c r="AM263" s="309" t="n">
        <v>156</v>
      </c>
      <c r="AN263" s="311" t="n">
        <v>193</v>
      </c>
      <c r="AO263" s="309" t="n">
        <v>134.4</v>
      </c>
      <c r="AP263" s="310"/>
      <c r="AQ263" s="311" t="n">
        <v>118</v>
      </c>
      <c r="AR263" s="309" t="n">
        <v>208.8</v>
      </c>
      <c r="AS263" s="311" t="n">
        <v>188</v>
      </c>
      <c r="AT263" s="309" t="n">
        <v>139.2</v>
      </c>
      <c r="AU263" s="311" t="n">
        <v>188</v>
      </c>
      <c r="AV263" s="309" t="n">
        <v>139.2</v>
      </c>
      <c r="AW263" s="311" t="n">
        <v>188</v>
      </c>
      <c r="AX263" s="309" t="n">
        <v>139.2</v>
      </c>
      <c r="AY263" s="311" t="n">
        <v>188</v>
      </c>
      <c r="AZ263" s="309" t="n">
        <v>139.2</v>
      </c>
      <c r="BB263" s="144" t="n">
        <v>0</v>
      </c>
      <c r="BC263" s="315"/>
      <c r="BD263" s="311" t="n">
        <v>0</v>
      </c>
      <c r="BE263" s="316" t="n">
        <v>0</v>
      </c>
      <c r="BF263" s="310"/>
      <c r="BG263" s="317" t="n">
        <v>0</v>
      </c>
      <c r="BH263" s="318" t="n">
        <v>0.199999999999999</v>
      </c>
      <c r="BI263" s="317" t="n">
        <v>0</v>
      </c>
      <c r="BJ263" s="318" t="n">
        <v>0.9</v>
      </c>
      <c r="BK263" s="317" t="n">
        <v>0</v>
      </c>
      <c r="BL263" s="318" t="n">
        <v>0.8</v>
      </c>
      <c r="BM263" s="310"/>
      <c r="BN263" s="317" t="n">
        <v>0</v>
      </c>
      <c r="BO263" s="318" t="n">
        <v>0</v>
      </c>
      <c r="BP263" s="317" t="n">
        <v>0</v>
      </c>
      <c r="BQ263" s="318" t="n">
        <v>0.800000000000001</v>
      </c>
      <c r="BR263" s="317" t="n">
        <v>0</v>
      </c>
      <c r="BS263" s="318" t="n">
        <v>0.800000000000001</v>
      </c>
      <c r="BT263" s="317" t="n">
        <v>0</v>
      </c>
      <c r="BU263" s="318" t="n">
        <v>0.800000000000001</v>
      </c>
      <c r="BV263" s="317" t="n">
        <v>0</v>
      </c>
      <c r="BW263" s="318" t="n">
        <v>0.800000000000001</v>
      </c>
      <c r="BY263" s="143"/>
      <c r="BZ263" s="315"/>
      <c r="CA263" s="144" t="s">
        <v>12</v>
      </c>
      <c r="CB263" s="315"/>
      <c r="CC263" s="144" t="n">
        <v>-57.0330578512397</v>
      </c>
      <c r="CD263" s="144" t="n">
        <v>-120.03305785124</v>
      </c>
      <c r="CE263" s="144" t="n">
        <v>-141.63305785124</v>
      </c>
      <c r="CF263" s="315"/>
      <c r="CG263" s="144" t="n">
        <v>-67.2330578512397</v>
      </c>
      <c r="CH263" s="144" t="n">
        <v>-136.83305785124</v>
      </c>
      <c r="CI263" s="144" t="n">
        <v>-136.83305785124</v>
      </c>
      <c r="CJ263" s="144" t="n">
        <v>-136.83305785124</v>
      </c>
      <c r="CK263" s="144" t="n">
        <v>-136.83305785124</v>
      </c>
      <c r="CM263" s="144" t="n">
        <v>247.107438016529</v>
      </c>
      <c r="CO263" s="319"/>
      <c r="CP263" s="320"/>
      <c r="CQ263" s="321" t="s">
        <v>12</v>
      </c>
      <c r="CR263" s="320"/>
      <c r="CS263" s="322" t="n">
        <v>-28.1074380165289</v>
      </c>
      <c r="CT263" s="322" t="n">
        <v>-91.1074380165289</v>
      </c>
      <c r="CU263" s="322" t="n">
        <v>-112.707438016529</v>
      </c>
      <c r="CV263" s="323"/>
      <c r="CW263" s="322" t="n">
        <v>-38.3074380165289</v>
      </c>
      <c r="CX263" s="322" t="n">
        <v>-107.907438016529</v>
      </c>
      <c r="CY263" s="322" t="n">
        <v>-107.907438016529</v>
      </c>
      <c r="CZ263" s="322" t="n">
        <v>-107.907438016529</v>
      </c>
      <c r="DA263" s="322" t="n">
        <v>-107.907438016529</v>
      </c>
    </row>
    <row r="264" customFormat="false" ht="12.75" hidden="false" customHeight="false" outlineLevel="0" collapsed="false">
      <c r="B264" s="305" t="s">
        <v>112</v>
      </c>
      <c r="C264" s="305" t="s">
        <v>565</v>
      </c>
      <c r="D264" s="306" t="n">
        <v>367</v>
      </c>
      <c r="E264" s="306" t="n">
        <v>3.75</v>
      </c>
      <c r="F264" s="324" t="s">
        <v>562</v>
      </c>
      <c r="G264" s="144" t="n">
        <v>24</v>
      </c>
      <c r="H264" s="325" t="n">
        <v>366.115702479339</v>
      </c>
      <c r="I264" s="2"/>
      <c r="J264" s="144" t="s">
        <v>12</v>
      </c>
      <c r="K264" s="309" t="s">
        <v>12</v>
      </c>
      <c r="L264" s="310"/>
      <c r="M264" s="311" t="n">
        <v>129</v>
      </c>
      <c r="N264" s="312" t="n">
        <v>7.5</v>
      </c>
      <c r="O264" s="311" t="n">
        <v>19</v>
      </c>
      <c r="P264" s="312" t="n">
        <v>9.6</v>
      </c>
      <c r="Q264" s="310" t="n">
        <v>19</v>
      </c>
      <c r="R264" s="312" t="n">
        <v>8.7</v>
      </c>
      <c r="S264" s="310"/>
      <c r="T264" s="311" t="n">
        <v>0</v>
      </c>
      <c r="U264" s="312" t="n">
        <v>12.4</v>
      </c>
      <c r="V264" s="311" t="n">
        <v>0</v>
      </c>
      <c r="W264" s="312" t="n">
        <v>10</v>
      </c>
      <c r="X264" s="311" t="n">
        <v>0</v>
      </c>
      <c r="Y264" s="312" t="n">
        <v>10</v>
      </c>
      <c r="Z264" s="313" t="n">
        <v>0</v>
      </c>
      <c r="AA264" s="314" t="n">
        <v>9.9</v>
      </c>
      <c r="AB264" s="313" t="n">
        <v>0</v>
      </c>
      <c r="AC264" s="314" t="n">
        <v>9.9</v>
      </c>
      <c r="AD264" s="315"/>
      <c r="AE264" s="144" t="n">
        <v>1</v>
      </c>
      <c r="AF264" s="315"/>
      <c r="AG264" s="311" t="n">
        <v>0</v>
      </c>
      <c r="AH264" s="309" t="n">
        <v>0</v>
      </c>
      <c r="AI264" s="310"/>
      <c r="AJ264" s="311" t="n">
        <v>58</v>
      </c>
      <c r="AK264" s="309" t="n">
        <v>180</v>
      </c>
      <c r="AL264" s="311" t="n">
        <v>118</v>
      </c>
      <c r="AM264" s="309" t="n">
        <v>230.4</v>
      </c>
      <c r="AN264" s="310" t="n">
        <v>139</v>
      </c>
      <c r="AO264" s="309" t="n">
        <v>208.8</v>
      </c>
      <c r="AP264" s="310"/>
      <c r="AQ264" s="311" t="n">
        <v>69</v>
      </c>
      <c r="AR264" s="309" t="n">
        <v>297.6</v>
      </c>
      <c r="AS264" s="311" t="n">
        <v>127</v>
      </c>
      <c r="AT264" s="309" t="n">
        <v>240</v>
      </c>
      <c r="AU264" s="310" t="n">
        <v>127</v>
      </c>
      <c r="AV264" s="309" t="n">
        <v>240</v>
      </c>
      <c r="AW264" s="310" t="n">
        <v>129</v>
      </c>
      <c r="AX264" s="309" t="n">
        <v>237.6</v>
      </c>
      <c r="AY264" s="310" t="n">
        <v>129</v>
      </c>
      <c r="AZ264" s="309" t="n">
        <v>237.6</v>
      </c>
      <c r="BB264" s="144" t="n">
        <v>0</v>
      </c>
      <c r="BC264" s="315"/>
      <c r="BD264" s="311" t="n">
        <v>0</v>
      </c>
      <c r="BE264" s="316" t="n">
        <v>0</v>
      </c>
      <c r="BF264" s="310"/>
      <c r="BG264" s="317" t="n">
        <v>0</v>
      </c>
      <c r="BH264" s="318" t="n">
        <v>0.4</v>
      </c>
      <c r="BI264" s="317" t="n">
        <v>0</v>
      </c>
      <c r="BJ264" s="318" t="n">
        <v>0.9</v>
      </c>
      <c r="BK264" s="317" t="n">
        <v>0</v>
      </c>
      <c r="BL264" s="318" t="n">
        <v>0.800000000000001</v>
      </c>
      <c r="BM264" s="310"/>
      <c r="BN264" s="317" t="n">
        <v>0</v>
      </c>
      <c r="BO264" s="318" t="n">
        <v>0</v>
      </c>
      <c r="BP264" s="317" t="n">
        <v>0</v>
      </c>
      <c r="BQ264" s="318" t="n">
        <v>0.9</v>
      </c>
      <c r="BR264" s="317" t="n">
        <v>0</v>
      </c>
      <c r="BS264" s="318" t="n">
        <v>0.9</v>
      </c>
      <c r="BT264" s="317" t="n">
        <v>0</v>
      </c>
      <c r="BU264" s="318" t="n">
        <v>0.800000000000001</v>
      </c>
      <c r="BV264" s="317" t="n">
        <v>0</v>
      </c>
      <c r="BW264" s="318" t="n">
        <v>0.800000000000001</v>
      </c>
      <c r="BY264" s="143"/>
      <c r="BZ264" s="315"/>
      <c r="CA264" s="144" t="s">
        <v>12</v>
      </c>
      <c r="CB264" s="315"/>
      <c r="CC264" s="144" t="n">
        <v>-57.1157024793388</v>
      </c>
      <c r="CD264" s="144" t="n">
        <v>-116.715702479339</v>
      </c>
      <c r="CE264" s="144" t="n">
        <v>-138.315702479339</v>
      </c>
      <c r="CF264" s="315"/>
      <c r="CG264" s="144" t="n">
        <v>-68.5157024793388</v>
      </c>
      <c r="CH264" s="144" t="n">
        <v>-126.115702479339</v>
      </c>
      <c r="CI264" s="144" t="n">
        <v>-126.115702479339</v>
      </c>
      <c r="CJ264" s="144" t="n">
        <v>-128.515702479339</v>
      </c>
      <c r="CK264" s="144" t="n">
        <v>-128.515702479339</v>
      </c>
      <c r="CM264" s="144" t="n">
        <v>329.752066115702</v>
      </c>
      <c r="CO264" s="319"/>
      <c r="CP264" s="320"/>
      <c r="CQ264" s="321" t="s">
        <v>12</v>
      </c>
      <c r="CR264" s="320"/>
      <c r="CS264" s="322" t="n">
        <v>-20.7520661157025</v>
      </c>
      <c r="CT264" s="322" t="n">
        <v>-80.3520661157024</v>
      </c>
      <c r="CU264" s="322" t="n">
        <v>-101.952066115702</v>
      </c>
      <c r="CV264" s="323"/>
      <c r="CW264" s="322" t="n">
        <v>-32.1520661157024</v>
      </c>
      <c r="CX264" s="322" t="n">
        <v>-89.7520661157025</v>
      </c>
      <c r="CY264" s="322" t="n">
        <v>-89.7520661157025</v>
      </c>
      <c r="CZ264" s="322" t="n">
        <v>-92.1520661157024</v>
      </c>
      <c r="DA264" s="322" t="n">
        <v>-92.1520661157024</v>
      </c>
    </row>
    <row r="265" customFormat="false" ht="12.75" hidden="false" customHeight="false" outlineLevel="0" collapsed="false">
      <c r="B265" s="305" t="s">
        <v>112</v>
      </c>
      <c r="C265" s="305" t="s">
        <v>565</v>
      </c>
      <c r="D265" s="306" t="n">
        <v>367</v>
      </c>
      <c r="E265" s="306" t="n">
        <v>3.75</v>
      </c>
      <c r="F265" s="306" t="s">
        <v>562</v>
      </c>
      <c r="G265" s="307" t="n">
        <v>48</v>
      </c>
      <c r="H265" s="308" t="n">
        <v>366.115702479339</v>
      </c>
      <c r="I265" s="2"/>
      <c r="J265" s="144" t="s">
        <v>12</v>
      </c>
      <c r="K265" s="309" t="s">
        <v>12</v>
      </c>
      <c r="L265" s="310"/>
      <c r="M265" s="311" t="n">
        <v>129</v>
      </c>
      <c r="N265" s="312" t="n">
        <v>3.8</v>
      </c>
      <c r="O265" s="311" t="n">
        <v>19</v>
      </c>
      <c r="P265" s="312" t="n">
        <v>4.8</v>
      </c>
      <c r="Q265" s="310" t="n">
        <v>19</v>
      </c>
      <c r="R265" s="312" t="n">
        <v>4.4</v>
      </c>
      <c r="S265" s="310"/>
      <c r="T265" s="311" t="n">
        <v>0</v>
      </c>
      <c r="U265" s="312" t="n">
        <v>6.2</v>
      </c>
      <c r="V265" s="311" t="n">
        <v>0</v>
      </c>
      <c r="W265" s="312" t="n">
        <v>5</v>
      </c>
      <c r="X265" s="311" t="n">
        <v>0</v>
      </c>
      <c r="Y265" s="312" t="n">
        <v>5</v>
      </c>
      <c r="Z265" s="313" t="n">
        <v>0</v>
      </c>
      <c r="AA265" s="314" t="n">
        <v>5</v>
      </c>
      <c r="AB265" s="313" t="n">
        <v>0</v>
      </c>
      <c r="AC265" s="314" t="n">
        <v>5</v>
      </c>
      <c r="AD265" s="315"/>
      <c r="AE265" s="144" t="n">
        <v>1</v>
      </c>
      <c r="AF265" s="315"/>
      <c r="AG265" s="311" t="n">
        <v>0</v>
      </c>
      <c r="AH265" s="309" t="n">
        <v>0</v>
      </c>
      <c r="AI265" s="310"/>
      <c r="AJ265" s="311" t="n">
        <v>56</v>
      </c>
      <c r="AK265" s="309" t="n">
        <v>182.4</v>
      </c>
      <c r="AL265" s="311" t="n">
        <v>118</v>
      </c>
      <c r="AM265" s="309" t="n">
        <v>230.4</v>
      </c>
      <c r="AN265" s="311" t="n">
        <v>137</v>
      </c>
      <c r="AO265" s="309" t="n">
        <v>211.2</v>
      </c>
      <c r="AP265" s="310"/>
      <c r="AQ265" s="311" t="n">
        <v>69</v>
      </c>
      <c r="AR265" s="309" t="n">
        <v>297.6</v>
      </c>
      <c r="AS265" s="311" t="n">
        <v>127</v>
      </c>
      <c r="AT265" s="309" t="n">
        <v>240</v>
      </c>
      <c r="AU265" s="311" t="n">
        <v>127</v>
      </c>
      <c r="AV265" s="309" t="n">
        <v>240</v>
      </c>
      <c r="AW265" s="311" t="n">
        <v>127</v>
      </c>
      <c r="AX265" s="309" t="n">
        <v>240</v>
      </c>
      <c r="AY265" s="311" t="n">
        <v>127</v>
      </c>
      <c r="AZ265" s="309" t="n">
        <v>240</v>
      </c>
      <c r="BB265" s="144" t="n">
        <v>0</v>
      </c>
      <c r="BC265" s="315"/>
      <c r="BD265" s="311" t="n">
        <v>0</v>
      </c>
      <c r="BE265" s="316" t="n">
        <v>0</v>
      </c>
      <c r="BF265" s="310"/>
      <c r="BG265" s="317" t="n">
        <v>0</v>
      </c>
      <c r="BH265" s="318" t="n">
        <v>0</v>
      </c>
      <c r="BI265" s="317" t="n">
        <v>0</v>
      </c>
      <c r="BJ265" s="318" t="n">
        <v>0</v>
      </c>
      <c r="BK265" s="317" t="n">
        <v>0</v>
      </c>
      <c r="BL265" s="318" t="n">
        <v>0</v>
      </c>
      <c r="BM265" s="310"/>
      <c r="BN265" s="317" t="n">
        <v>0</v>
      </c>
      <c r="BO265" s="318" t="n">
        <v>0</v>
      </c>
      <c r="BP265" s="317" t="n">
        <v>0</v>
      </c>
      <c r="BQ265" s="318" t="n">
        <v>0</v>
      </c>
      <c r="BR265" s="317" t="n">
        <v>0</v>
      </c>
      <c r="BS265" s="318" t="n">
        <v>0</v>
      </c>
      <c r="BT265" s="317" t="n">
        <v>0</v>
      </c>
      <c r="BU265" s="318" t="n">
        <v>0</v>
      </c>
      <c r="BV265" s="317" t="n">
        <v>0</v>
      </c>
      <c r="BW265" s="318" t="n">
        <v>0</v>
      </c>
      <c r="BY265" s="143"/>
      <c r="BZ265" s="315"/>
      <c r="CA265" s="144" t="s">
        <v>12</v>
      </c>
      <c r="CB265" s="315"/>
      <c r="CC265" s="144" t="n">
        <v>-54.7157024793389</v>
      </c>
      <c r="CD265" s="144" t="n">
        <v>-116.715702479339</v>
      </c>
      <c r="CE265" s="144" t="n">
        <v>-135.915702479339</v>
      </c>
      <c r="CF265" s="315"/>
      <c r="CG265" s="144" t="n">
        <v>-68.5157024793388</v>
      </c>
      <c r="CH265" s="144" t="n">
        <v>-126.115702479339</v>
      </c>
      <c r="CI265" s="144" t="n">
        <v>-126.115702479339</v>
      </c>
      <c r="CJ265" s="144" t="n">
        <v>-126.115702479339</v>
      </c>
      <c r="CK265" s="144" t="n">
        <v>-126.115702479339</v>
      </c>
      <c r="CM265" s="144" t="n">
        <v>329.752066115702</v>
      </c>
      <c r="CO265" s="319"/>
      <c r="CP265" s="320"/>
      <c r="CQ265" s="321" t="s">
        <v>12</v>
      </c>
      <c r="CR265" s="320"/>
      <c r="CS265" s="322" t="n">
        <v>-18.3520661157025</v>
      </c>
      <c r="CT265" s="322" t="n">
        <v>-80.3520661157024</v>
      </c>
      <c r="CU265" s="322" t="n">
        <v>-99.5520661157024</v>
      </c>
      <c r="CV265" s="323"/>
      <c r="CW265" s="322" t="n">
        <v>-32.1520661157024</v>
      </c>
      <c r="CX265" s="322" t="n">
        <v>-89.7520661157025</v>
      </c>
      <c r="CY265" s="322" t="n">
        <v>-89.7520661157025</v>
      </c>
      <c r="CZ265" s="322" t="n">
        <v>-89.7520661157025</v>
      </c>
      <c r="DA265" s="322" t="n">
        <v>-89.7520661157025</v>
      </c>
    </row>
    <row r="266" customFormat="false" ht="12.75" hidden="false" customHeight="false" outlineLevel="0" collapsed="false">
      <c r="B266" s="305" t="s">
        <v>450</v>
      </c>
      <c r="C266" s="305" t="s">
        <v>566</v>
      </c>
      <c r="D266" s="306" t="n">
        <v>137</v>
      </c>
      <c r="E266" s="306" t="n">
        <v>3.75</v>
      </c>
      <c r="F266" s="324" t="s">
        <v>562</v>
      </c>
      <c r="G266" s="144" t="n">
        <v>24</v>
      </c>
      <c r="H266" s="325" t="n">
        <v>137.190082644628</v>
      </c>
      <c r="I266" s="2"/>
      <c r="J266" s="144" t="s">
        <v>12</v>
      </c>
      <c r="K266" s="309" t="s">
        <v>12</v>
      </c>
      <c r="L266" s="310"/>
      <c r="M266" s="311" t="n">
        <v>19</v>
      </c>
      <c r="N266" s="312" t="n">
        <v>4.4</v>
      </c>
      <c r="O266" s="311" t="n">
        <v>0</v>
      </c>
      <c r="P266" s="312" t="n">
        <v>2.5</v>
      </c>
      <c r="Q266" s="310" t="n">
        <v>0</v>
      </c>
      <c r="R266" s="312" t="n">
        <v>1.7</v>
      </c>
      <c r="S266" s="310"/>
      <c r="T266" s="311" t="n">
        <v>0</v>
      </c>
      <c r="U266" s="312" t="n">
        <v>5</v>
      </c>
      <c r="V266" s="311" t="n">
        <v>0</v>
      </c>
      <c r="W266" s="312" t="n">
        <v>1.7</v>
      </c>
      <c r="X266" s="311" t="n">
        <v>0</v>
      </c>
      <c r="Y266" s="312" t="n">
        <v>1.7</v>
      </c>
      <c r="Z266" s="313" t="n">
        <v>0</v>
      </c>
      <c r="AA266" s="314" t="n">
        <v>1.7</v>
      </c>
      <c r="AB266" s="313" t="n">
        <v>0</v>
      </c>
      <c r="AC266" s="314" t="n">
        <v>1.7</v>
      </c>
      <c r="AD266" s="315"/>
      <c r="AE266" s="144" t="n">
        <v>0</v>
      </c>
      <c r="AF266" s="315"/>
      <c r="AG266" s="311" t="n">
        <v>0</v>
      </c>
      <c r="AH266" s="309" t="n">
        <v>0</v>
      </c>
      <c r="AI266" s="310"/>
      <c r="AJ266" s="311" t="n">
        <v>12</v>
      </c>
      <c r="AK266" s="309" t="n">
        <v>105.6</v>
      </c>
      <c r="AL266" s="311" t="n">
        <v>77</v>
      </c>
      <c r="AM266" s="309" t="n">
        <v>60</v>
      </c>
      <c r="AN266" s="310" t="n">
        <v>96</v>
      </c>
      <c r="AO266" s="309" t="n">
        <v>40.8</v>
      </c>
      <c r="AP266" s="310"/>
      <c r="AQ266" s="311" t="n">
        <v>17</v>
      </c>
      <c r="AR266" s="309" t="n">
        <v>120</v>
      </c>
      <c r="AS266" s="311" t="n">
        <v>96</v>
      </c>
      <c r="AT266" s="309" t="n">
        <v>40.8</v>
      </c>
      <c r="AU266" s="310" t="n">
        <v>96</v>
      </c>
      <c r="AV266" s="309" t="n">
        <v>40.8</v>
      </c>
      <c r="AW266" s="310" t="n">
        <v>96</v>
      </c>
      <c r="AX266" s="309" t="n">
        <v>40.8</v>
      </c>
      <c r="AY266" s="310" t="n">
        <v>96</v>
      </c>
      <c r="AZ266" s="309" t="n">
        <v>40.8</v>
      </c>
      <c r="BB266" s="144" t="n">
        <v>0</v>
      </c>
      <c r="BC266" s="315"/>
      <c r="BD266" s="311" t="n">
        <v>0</v>
      </c>
      <c r="BE266" s="316" t="n">
        <v>0</v>
      </c>
      <c r="BF266" s="310"/>
      <c r="BG266" s="317" t="n">
        <v>0</v>
      </c>
      <c r="BH266" s="318" t="n">
        <v>0.4</v>
      </c>
      <c r="BI266" s="317" t="n">
        <v>0</v>
      </c>
      <c r="BJ266" s="318" t="n">
        <v>0.8</v>
      </c>
      <c r="BK266" s="317" t="n">
        <v>0</v>
      </c>
      <c r="BL266" s="318" t="n">
        <v>0.8</v>
      </c>
      <c r="BM266" s="310"/>
      <c r="BN266" s="317" t="n">
        <v>0</v>
      </c>
      <c r="BO266" s="318" t="n">
        <v>0</v>
      </c>
      <c r="BP266" s="317" t="n">
        <v>0</v>
      </c>
      <c r="BQ266" s="318" t="n">
        <v>0.8</v>
      </c>
      <c r="BR266" s="317" t="n">
        <v>0</v>
      </c>
      <c r="BS266" s="318" t="n">
        <v>0.8</v>
      </c>
      <c r="BT266" s="317" t="n">
        <v>0</v>
      </c>
      <c r="BU266" s="318" t="n">
        <v>0.9</v>
      </c>
      <c r="BV266" s="317" t="n">
        <v>0</v>
      </c>
      <c r="BW266" s="318" t="n">
        <v>0.9</v>
      </c>
      <c r="BY266" s="143"/>
      <c r="BZ266" s="315"/>
      <c r="CA266" s="144" t="s">
        <v>12</v>
      </c>
      <c r="CB266" s="315"/>
      <c r="CC266" s="144" t="n">
        <v>-12.5900826446281</v>
      </c>
      <c r="CD266" s="144" t="n">
        <v>-77.1900826446281</v>
      </c>
      <c r="CE266" s="144" t="n">
        <v>-96.3900826446281</v>
      </c>
      <c r="CF266" s="315"/>
      <c r="CG266" s="144" t="n">
        <v>-17.1900826446281</v>
      </c>
      <c r="CH266" s="144" t="n">
        <v>-96.3900826446281</v>
      </c>
      <c r="CI266" s="144" t="n">
        <v>-96.3900826446281</v>
      </c>
      <c r="CJ266" s="144" t="n">
        <v>-96.3900826446281</v>
      </c>
      <c r="CK266" s="144" t="n">
        <v>-96.3900826446281</v>
      </c>
      <c r="CM266" s="144" t="n">
        <v>123.140495867769</v>
      </c>
      <c r="CO266" s="319"/>
      <c r="CP266" s="320"/>
      <c r="CQ266" s="321" t="s">
        <v>12</v>
      </c>
      <c r="CR266" s="320"/>
      <c r="CS266" s="322" t="n">
        <v>1.45950413223142</v>
      </c>
      <c r="CT266" s="322" t="n">
        <v>-63.1404958677686</v>
      </c>
      <c r="CU266" s="322" t="n">
        <v>-82.3404958677686</v>
      </c>
      <c r="CV266" s="323"/>
      <c r="CW266" s="322" t="n">
        <v>-3.14049586776859</v>
      </c>
      <c r="CX266" s="322" t="n">
        <v>-82.3404958677686</v>
      </c>
      <c r="CY266" s="322" t="n">
        <v>-82.3404958677686</v>
      </c>
      <c r="CZ266" s="322" t="n">
        <v>-82.3404958677686</v>
      </c>
      <c r="DA266" s="322" t="n">
        <v>-82.3404958677686</v>
      </c>
    </row>
    <row r="267" customFormat="false" ht="12.75" hidden="false" customHeight="false" outlineLevel="0" collapsed="false">
      <c r="B267" s="305" t="s">
        <v>209</v>
      </c>
      <c r="C267" s="305" t="s">
        <v>567</v>
      </c>
      <c r="D267" s="306" t="n">
        <v>304</v>
      </c>
      <c r="E267" s="306" t="n">
        <v>0</v>
      </c>
      <c r="F267" s="306" t="s">
        <v>568</v>
      </c>
      <c r="G267" s="307" t="n">
        <v>24</v>
      </c>
      <c r="H267" s="308" t="n">
        <v>303.305785123967</v>
      </c>
      <c r="I267" s="2"/>
      <c r="J267" s="144" t="s">
        <v>12</v>
      </c>
      <c r="K267" s="309" t="s">
        <v>12</v>
      </c>
      <c r="L267" s="310"/>
      <c r="M267" s="311" t="n">
        <v>99</v>
      </c>
      <c r="N267" s="312" t="n">
        <v>5.8</v>
      </c>
      <c r="O267" s="311" t="n">
        <v>19</v>
      </c>
      <c r="P267" s="312" t="n">
        <v>6.9</v>
      </c>
      <c r="Q267" s="310" t="n">
        <v>19</v>
      </c>
      <c r="R267" s="312" t="n">
        <v>6</v>
      </c>
      <c r="S267" s="310"/>
      <c r="T267" s="311" t="n">
        <v>0</v>
      </c>
      <c r="U267" s="312" t="n">
        <v>10</v>
      </c>
      <c r="V267" s="311" t="n">
        <v>0</v>
      </c>
      <c r="W267" s="312" t="n">
        <v>6.2</v>
      </c>
      <c r="X267" s="311" t="n">
        <v>0</v>
      </c>
      <c r="Y267" s="312" t="n">
        <v>5.8</v>
      </c>
      <c r="Z267" s="313" t="n">
        <v>0</v>
      </c>
      <c r="AA267" s="314" t="n">
        <v>5.8</v>
      </c>
      <c r="AB267" s="313" t="n">
        <v>0</v>
      </c>
      <c r="AC267" s="314" t="n">
        <v>5.8</v>
      </c>
      <c r="AD267" s="315"/>
      <c r="AE267" s="144" t="n">
        <v>1</v>
      </c>
      <c r="AF267" s="315"/>
      <c r="AG267" s="311" t="n">
        <v>0</v>
      </c>
      <c r="AH267" s="309" t="n">
        <v>0</v>
      </c>
      <c r="AI267" s="310"/>
      <c r="AJ267" s="311" t="n">
        <v>66</v>
      </c>
      <c r="AK267" s="309" t="n">
        <v>139.2</v>
      </c>
      <c r="AL267" s="311" t="n">
        <v>119</v>
      </c>
      <c r="AM267" s="309" t="n">
        <v>165.6</v>
      </c>
      <c r="AN267" s="311" t="n">
        <v>141</v>
      </c>
      <c r="AO267" s="309" t="n">
        <v>144</v>
      </c>
      <c r="AP267" s="310"/>
      <c r="AQ267" s="311" t="n">
        <v>64</v>
      </c>
      <c r="AR267" s="309" t="n">
        <v>240</v>
      </c>
      <c r="AS267" s="311" t="n">
        <v>155</v>
      </c>
      <c r="AT267" s="309" t="n">
        <v>148.8</v>
      </c>
      <c r="AU267" s="311" t="n">
        <v>165</v>
      </c>
      <c r="AV267" s="309" t="n">
        <v>139.2</v>
      </c>
      <c r="AW267" s="311" t="n">
        <v>165</v>
      </c>
      <c r="AX267" s="309" t="n">
        <v>139.2</v>
      </c>
      <c r="AY267" s="311" t="n">
        <v>165</v>
      </c>
      <c r="AZ267" s="309" t="n">
        <v>139.2</v>
      </c>
      <c r="BB267" s="144" t="n">
        <v>0</v>
      </c>
      <c r="BC267" s="315"/>
      <c r="BD267" s="311" t="n">
        <v>0</v>
      </c>
      <c r="BE267" s="316" t="n">
        <v>0</v>
      </c>
      <c r="BF267" s="310"/>
      <c r="BG267" s="317" t="n">
        <v>0</v>
      </c>
      <c r="BH267" s="318" t="n">
        <v>0.2</v>
      </c>
      <c r="BI267" s="317" t="n">
        <v>0</v>
      </c>
      <c r="BJ267" s="318" t="n">
        <v>0.9</v>
      </c>
      <c r="BK267" s="317" t="n">
        <v>0</v>
      </c>
      <c r="BL267" s="318" t="n">
        <v>0.8</v>
      </c>
      <c r="BM267" s="310"/>
      <c r="BN267" s="317" t="n">
        <v>0</v>
      </c>
      <c r="BO267" s="318" t="n">
        <v>0</v>
      </c>
      <c r="BP267" s="317" t="n">
        <v>0</v>
      </c>
      <c r="BQ267" s="318" t="n">
        <v>0</v>
      </c>
      <c r="BR267" s="317" t="n">
        <v>0</v>
      </c>
      <c r="BS267" s="318" t="n">
        <v>-0.4</v>
      </c>
      <c r="BT267" s="317" t="n">
        <v>0</v>
      </c>
      <c r="BU267" s="318" t="n">
        <v>-0.4</v>
      </c>
      <c r="BV267" s="317" t="n">
        <v>0</v>
      </c>
      <c r="BW267" s="318" t="n">
        <v>-0.4</v>
      </c>
      <c r="BY267" s="143"/>
      <c r="BZ267" s="315"/>
      <c r="CA267" s="144" t="s">
        <v>12</v>
      </c>
      <c r="CB267" s="315"/>
      <c r="CC267" s="144" t="n">
        <v>-65.1057851239669</v>
      </c>
      <c r="CD267" s="144" t="n">
        <v>-118.705785123967</v>
      </c>
      <c r="CE267" s="144" t="n">
        <v>-140.305785123967</v>
      </c>
      <c r="CF267" s="315"/>
      <c r="CG267" s="144" t="n">
        <v>-63.3057851239669</v>
      </c>
      <c r="CH267" s="144" t="n">
        <v>-154.505785123967</v>
      </c>
      <c r="CI267" s="144" t="n">
        <v>-164.105785123967</v>
      </c>
      <c r="CJ267" s="144" t="n">
        <v>-164.105785123967</v>
      </c>
      <c r="CK267" s="144" t="n">
        <v>-164.105785123967</v>
      </c>
      <c r="CM267" s="144" t="n">
        <v>247.925619834711</v>
      </c>
      <c r="CO267" s="319"/>
      <c r="CP267" s="320"/>
      <c r="CQ267" s="321" t="s">
        <v>12</v>
      </c>
      <c r="CR267" s="320"/>
      <c r="CS267" s="322" t="n">
        <v>-9.72561983471076</v>
      </c>
      <c r="CT267" s="322" t="n">
        <v>-63.3256198347108</v>
      </c>
      <c r="CU267" s="322" t="n">
        <v>-84.9256198347108</v>
      </c>
      <c r="CV267" s="323"/>
      <c r="CW267" s="322" t="n">
        <v>-7.92561983471077</v>
      </c>
      <c r="CX267" s="322" t="n">
        <v>-99.1256198347108</v>
      </c>
      <c r="CY267" s="322" t="n">
        <v>-108.725619834711</v>
      </c>
      <c r="CZ267" s="322" t="n">
        <v>-108.725619834711</v>
      </c>
      <c r="DA267" s="322" t="n">
        <v>-108.725619834711</v>
      </c>
    </row>
    <row r="268" customFormat="false" ht="12.75" hidden="false" customHeight="false" outlineLevel="0" collapsed="false">
      <c r="B268" s="305" t="s">
        <v>209</v>
      </c>
      <c r="C268" s="305" t="s">
        <v>567</v>
      </c>
      <c r="D268" s="306" t="n">
        <v>304</v>
      </c>
      <c r="E268" s="306" t="n">
        <v>0</v>
      </c>
      <c r="F268" s="324" t="s">
        <v>568</v>
      </c>
      <c r="G268" s="144" t="n">
        <v>48</v>
      </c>
      <c r="H268" s="325" t="n">
        <v>303.305785123967</v>
      </c>
      <c r="I268" s="2"/>
      <c r="J268" s="144" t="s">
        <v>12</v>
      </c>
      <c r="K268" s="309" t="s">
        <v>12</v>
      </c>
      <c r="L268" s="310"/>
      <c r="M268" s="311" t="n">
        <v>99</v>
      </c>
      <c r="N268" s="312" t="n">
        <v>2.9</v>
      </c>
      <c r="O268" s="311" t="n">
        <v>19</v>
      </c>
      <c r="P268" s="312" t="n">
        <v>3.5</v>
      </c>
      <c r="Q268" s="310" t="n">
        <v>19</v>
      </c>
      <c r="R268" s="312" t="n">
        <v>3</v>
      </c>
      <c r="S268" s="310"/>
      <c r="T268" s="311" t="n">
        <v>0</v>
      </c>
      <c r="U268" s="312" t="n">
        <v>5</v>
      </c>
      <c r="V268" s="311" t="n">
        <v>0</v>
      </c>
      <c r="W268" s="312" t="n">
        <v>3.1</v>
      </c>
      <c r="X268" s="311" t="n">
        <v>0</v>
      </c>
      <c r="Y268" s="312" t="n">
        <v>2.9</v>
      </c>
      <c r="Z268" s="313" t="n">
        <v>0</v>
      </c>
      <c r="AA268" s="314" t="n">
        <v>2.9</v>
      </c>
      <c r="AB268" s="313" t="n">
        <v>0</v>
      </c>
      <c r="AC268" s="314" t="n">
        <v>2.9</v>
      </c>
      <c r="AD268" s="315"/>
      <c r="AE268" s="144" t="n">
        <v>1</v>
      </c>
      <c r="AF268" s="315"/>
      <c r="AG268" s="311" t="n">
        <v>0</v>
      </c>
      <c r="AH268" s="309" t="n">
        <v>0</v>
      </c>
      <c r="AI268" s="310"/>
      <c r="AJ268" s="311" t="n">
        <v>66</v>
      </c>
      <c r="AK268" s="309" t="n">
        <v>139.2</v>
      </c>
      <c r="AL268" s="311" t="n">
        <v>117</v>
      </c>
      <c r="AM268" s="309" t="n">
        <v>168</v>
      </c>
      <c r="AN268" s="310" t="n">
        <v>141</v>
      </c>
      <c r="AO268" s="309" t="n">
        <v>144</v>
      </c>
      <c r="AP268" s="310"/>
      <c r="AQ268" s="311" t="n">
        <v>64</v>
      </c>
      <c r="AR268" s="309" t="n">
        <v>240</v>
      </c>
      <c r="AS268" s="311" t="n">
        <v>155</v>
      </c>
      <c r="AT268" s="309" t="n">
        <v>148.8</v>
      </c>
      <c r="AU268" s="310" t="n">
        <v>165</v>
      </c>
      <c r="AV268" s="309" t="n">
        <v>139.2</v>
      </c>
      <c r="AW268" s="310" t="n">
        <v>165</v>
      </c>
      <c r="AX268" s="309" t="n">
        <v>139.2</v>
      </c>
      <c r="AY268" s="310" t="n">
        <v>165</v>
      </c>
      <c r="AZ268" s="309" t="n">
        <v>139.2</v>
      </c>
      <c r="BB268" s="144" t="n">
        <v>0</v>
      </c>
      <c r="BC268" s="315"/>
      <c r="BD268" s="311" t="n">
        <v>0</v>
      </c>
      <c r="BE268" s="316" t="n">
        <v>0</v>
      </c>
      <c r="BF268" s="310"/>
      <c r="BG268" s="317" t="n">
        <v>0</v>
      </c>
      <c r="BH268" s="318" t="n">
        <v>0</v>
      </c>
      <c r="BI268" s="317" t="n">
        <v>0</v>
      </c>
      <c r="BJ268" s="318" t="n">
        <v>0</v>
      </c>
      <c r="BK268" s="317" t="n">
        <v>0</v>
      </c>
      <c r="BL268" s="318" t="n">
        <v>0</v>
      </c>
      <c r="BM268" s="310"/>
      <c r="BN268" s="317" t="n">
        <v>0</v>
      </c>
      <c r="BO268" s="318" t="n">
        <v>0</v>
      </c>
      <c r="BP268" s="317" t="n">
        <v>0</v>
      </c>
      <c r="BQ268" s="318" t="n">
        <v>0</v>
      </c>
      <c r="BR268" s="317" t="n">
        <v>0</v>
      </c>
      <c r="BS268" s="318" t="n">
        <v>0</v>
      </c>
      <c r="BT268" s="317" t="n">
        <v>0</v>
      </c>
      <c r="BU268" s="318" t="n">
        <v>0</v>
      </c>
      <c r="BV268" s="317" t="n">
        <v>0</v>
      </c>
      <c r="BW268" s="318" t="n">
        <v>0</v>
      </c>
      <c r="BY268" s="143"/>
      <c r="BZ268" s="315"/>
      <c r="CA268" s="144" t="s">
        <v>12</v>
      </c>
      <c r="CB268" s="315"/>
      <c r="CC268" s="144" t="n">
        <v>-65.1057851239669</v>
      </c>
      <c r="CD268" s="144" t="n">
        <v>-116.305785123967</v>
      </c>
      <c r="CE268" s="144" t="n">
        <v>-140.305785123967</v>
      </c>
      <c r="CF268" s="315"/>
      <c r="CG268" s="144" t="n">
        <v>-63.3057851239669</v>
      </c>
      <c r="CH268" s="144" t="n">
        <v>-154.505785123967</v>
      </c>
      <c r="CI268" s="144" t="n">
        <v>-164.105785123967</v>
      </c>
      <c r="CJ268" s="144" t="n">
        <v>-164.105785123967</v>
      </c>
      <c r="CK268" s="144" t="n">
        <v>-164.105785123967</v>
      </c>
      <c r="CM268" s="144" t="n">
        <v>247.925619834711</v>
      </c>
      <c r="CO268" s="319"/>
      <c r="CP268" s="320"/>
      <c r="CQ268" s="321" t="s">
        <v>12</v>
      </c>
      <c r="CR268" s="320"/>
      <c r="CS268" s="322" t="n">
        <v>-9.72561983471076</v>
      </c>
      <c r="CT268" s="322" t="n">
        <v>-60.9256198347108</v>
      </c>
      <c r="CU268" s="322" t="n">
        <v>-84.9256198347108</v>
      </c>
      <c r="CV268" s="323"/>
      <c r="CW268" s="322" t="n">
        <v>-7.92561983471077</v>
      </c>
      <c r="CX268" s="322" t="n">
        <v>-99.1256198347108</v>
      </c>
      <c r="CY268" s="322" t="n">
        <v>-108.725619834711</v>
      </c>
      <c r="CZ268" s="322" t="n">
        <v>-108.725619834711</v>
      </c>
      <c r="DA268" s="322" t="n">
        <v>-108.725619834711</v>
      </c>
    </row>
    <row r="269" customFormat="false" ht="12.75" hidden="false" customHeight="false" outlineLevel="0" collapsed="false">
      <c r="B269" s="305" t="s">
        <v>216</v>
      </c>
      <c r="C269" s="305" t="s">
        <v>569</v>
      </c>
      <c r="D269" s="306" t="n">
        <v>412</v>
      </c>
      <c r="E269" s="306" t="n">
        <v>0</v>
      </c>
      <c r="F269" s="306" t="s">
        <v>568</v>
      </c>
      <c r="G269" s="307" t="n">
        <v>24</v>
      </c>
      <c r="H269" s="308" t="n">
        <v>361.98347107438</v>
      </c>
      <c r="I269" s="2"/>
      <c r="J269" s="144" t="s">
        <v>12</v>
      </c>
      <c r="K269" s="309" t="s">
        <v>12</v>
      </c>
      <c r="L269" s="310"/>
      <c r="M269" s="311" t="n">
        <v>119</v>
      </c>
      <c r="N269" s="312" t="n">
        <v>7.7</v>
      </c>
      <c r="O269" s="311" t="n">
        <v>19</v>
      </c>
      <c r="P269" s="312" t="n">
        <v>9.3</v>
      </c>
      <c r="Q269" s="310" t="n">
        <v>19</v>
      </c>
      <c r="R269" s="312" t="n">
        <v>8.5</v>
      </c>
      <c r="S269" s="310"/>
      <c r="T269" s="311" t="n">
        <v>0</v>
      </c>
      <c r="U269" s="312" t="n">
        <v>12.4</v>
      </c>
      <c r="V269" s="311" t="n">
        <v>0</v>
      </c>
      <c r="W269" s="312" t="n">
        <v>9</v>
      </c>
      <c r="X269" s="311" t="n">
        <v>0</v>
      </c>
      <c r="Y269" s="312" t="n">
        <v>9</v>
      </c>
      <c r="Z269" s="313" t="n">
        <v>0</v>
      </c>
      <c r="AA269" s="314" t="n">
        <v>8.3</v>
      </c>
      <c r="AB269" s="313" t="n">
        <v>0</v>
      </c>
      <c r="AC269" s="314" t="n">
        <v>8.3</v>
      </c>
      <c r="AD269" s="315"/>
      <c r="AE269" s="144" t="n">
        <v>50</v>
      </c>
      <c r="AF269" s="315"/>
      <c r="AG269" s="311" t="n">
        <v>0</v>
      </c>
      <c r="AH269" s="309" t="n">
        <v>0</v>
      </c>
      <c r="AI269" s="310"/>
      <c r="AJ269" s="311" t="n">
        <v>108</v>
      </c>
      <c r="AK269" s="309" t="n">
        <v>184.8</v>
      </c>
      <c r="AL269" s="311" t="n">
        <v>170</v>
      </c>
      <c r="AM269" s="309" t="n">
        <v>223.2</v>
      </c>
      <c r="AN269" s="311" t="n">
        <v>189</v>
      </c>
      <c r="AO269" s="309" t="n">
        <v>204</v>
      </c>
      <c r="AP269" s="310"/>
      <c r="AQ269" s="311" t="n">
        <v>114</v>
      </c>
      <c r="AR269" s="309" t="n">
        <v>297.6</v>
      </c>
      <c r="AS269" s="311" t="n">
        <v>196</v>
      </c>
      <c r="AT269" s="309" t="n">
        <v>216</v>
      </c>
      <c r="AU269" s="311" t="n">
        <v>196</v>
      </c>
      <c r="AV269" s="309" t="n">
        <v>216</v>
      </c>
      <c r="AW269" s="311" t="n">
        <v>213</v>
      </c>
      <c r="AX269" s="309" t="n">
        <v>199.2</v>
      </c>
      <c r="AY269" s="311" t="n">
        <v>213</v>
      </c>
      <c r="AZ269" s="309" t="n">
        <v>199.2</v>
      </c>
      <c r="BB269" s="144" t="n">
        <v>0</v>
      </c>
      <c r="BC269" s="315"/>
      <c r="BD269" s="311" t="n">
        <v>0</v>
      </c>
      <c r="BE269" s="316" t="n">
        <v>0</v>
      </c>
      <c r="BF269" s="310"/>
      <c r="BG269" s="317" t="n">
        <v>0</v>
      </c>
      <c r="BH269" s="318" t="n">
        <v>0.4</v>
      </c>
      <c r="BI269" s="317" t="n">
        <v>0</v>
      </c>
      <c r="BJ269" s="318" t="n">
        <v>0.6</v>
      </c>
      <c r="BK269" s="317" t="n">
        <v>0</v>
      </c>
      <c r="BL269" s="318" t="n">
        <v>0.6</v>
      </c>
      <c r="BM269" s="310"/>
      <c r="BN269" s="317" t="n">
        <v>0</v>
      </c>
      <c r="BO269" s="318" t="n">
        <v>0</v>
      </c>
      <c r="BP269" s="317" t="n">
        <v>0</v>
      </c>
      <c r="BQ269" s="318" t="n">
        <v>0</v>
      </c>
      <c r="BR269" s="317" t="n">
        <v>0</v>
      </c>
      <c r="BS269" s="318" t="n">
        <v>0</v>
      </c>
      <c r="BT269" s="317" t="n">
        <v>0</v>
      </c>
      <c r="BU269" s="318" t="n">
        <v>-2</v>
      </c>
      <c r="BV269" s="317" t="n">
        <v>0</v>
      </c>
      <c r="BW269" s="318" t="n">
        <v>-2</v>
      </c>
      <c r="BY269" s="143"/>
      <c r="BZ269" s="315"/>
      <c r="CA269" s="144" t="s">
        <v>12</v>
      </c>
      <c r="CB269" s="315"/>
      <c r="CC269" s="144" t="n">
        <v>-58.1834710743802</v>
      </c>
      <c r="CD269" s="144" t="n">
        <v>-119.78347107438</v>
      </c>
      <c r="CE269" s="144" t="n">
        <v>-138.98347107438</v>
      </c>
      <c r="CF269" s="315"/>
      <c r="CG269" s="144" t="n">
        <v>-64.3834710743802</v>
      </c>
      <c r="CH269" s="144" t="n">
        <v>-145.98347107438</v>
      </c>
      <c r="CI269" s="144" t="n">
        <v>-145.98347107438</v>
      </c>
      <c r="CJ269" s="144" t="n">
        <v>-162.78347107438</v>
      </c>
      <c r="CK269" s="144" t="n">
        <v>-162.78347107438</v>
      </c>
      <c r="CM269" s="144" t="n">
        <v>338.826446280992</v>
      </c>
      <c r="CO269" s="319"/>
      <c r="CP269" s="320"/>
      <c r="CQ269" s="321" t="s">
        <v>12</v>
      </c>
      <c r="CR269" s="320"/>
      <c r="CS269" s="322" t="n">
        <v>-35.0264462809918</v>
      </c>
      <c r="CT269" s="322" t="n">
        <v>-96.6264462809918</v>
      </c>
      <c r="CU269" s="322" t="n">
        <v>-115.826446280992</v>
      </c>
      <c r="CV269" s="323"/>
      <c r="CW269" s="322" t="n">
        <v>-41.2264462809918</v>
      </c>
      <c r="CX269" s="322" t="n">
        <v>-122.826446280992</v>
      </c>
      <c r="CY269" s="322" t="n">
        <v>-122.826446280992</v>
      </c>
      <c r="CZ269" s="322" t="n">
        <v>-139.626446280992</v>
      </c>
      <c r="DA269" s="322" t="n">
        <v>-139.626446280992</v>
      </c>
    </row>
    <row r="270" customFormat="false" ht="12.75" hidden="false" customHeight="false" outlineLevel="0" collapsed="false">
      <c r="B270" s="305" t="s">
        <v>216</v>
      </c>
      <c r="C270" s="305" t="s">
        <v>569</v>
      </c>
      <c r="D270" s="306" t="n">
        <v>412</v>
      </c>
      <c r="E270" s="306" t="n">
        <v>0</v>
      </c>
      <c r="F270" s="324" t="s">
        <v>568</v>
      </c>
      <c r="G270" s="144" t="n">
        <v>48</v>
      </c>
      <c r="H270" s="325" t="n">
        <v>361.98347107438</v>
      </c>
      <c r="I270" s="2"/>
      <c r="J270" s="144" t="s">
        <v>12</v>
      </c>
      <c r="K270" s="309" t="s">
        <v>12</v>
      </c>
      <c r="L270" s="310"/>
      <c r="M270" s="311" t="n">
        <v>119</v>
      </c>
      <c r="N270" s="312" t="n">
        <v>3.9</v>
      </c>
      <c r="O270" s="311" t="n">
        <v>19</v>
      </c>
      <c r="P270" s="312" t="n">
        <v>4.7</v>
      </c>
      <c r="Q270" s="310" t="n">
        <v>19</v>
      </c>
      <c r="R270" s="312" t="n">
        <v>4.3</v>
      </c>
      <c r="S270" s="310"/>
      <c r="T270" s="311" t="n">
        <v>0</v>
      </c>
      <c r="U270" s="312" t="n">
        <v>6.2</v>
      </c>
      <c r="V270" s="311" t="n">
        <v>0</v>
      </c>
      <c r="W270" s="312" t="n">
        <v>4.5</v>
      </c>
      <c r="X270" s="311" t="n">
        <v>0</v>
      </c>
      <c r="Y270" s="312" t="n">
        <v>4.5</v>
      </c>
      <c r="Z270" s="313" t="n">
        <v>0</v>
      </c>
      <c r="AA270" s="314" t="n">
        <v>4.2</v>
      </c>
      <c r="AB270" s="313" t="n">
        <v>0</v>
      </c>
      <c r="AC270" s="314" t="n">
        <v>4.2</v>
      </c>
      <c r="AD270" s="315"/>
      <c r="AE270" s="144" t="n">
        <v>50</v>
      </c>
      <c r="AF270" s="315"/>
      <c r="AG270" s="311" t="n">
        <v>0</v>
      </c>
      <c r="AH270" s="309" t="n">
        <v>0</v>
      </c>
      <c r="AI270" s="310"/>
      <c r="AJ270" s="311" t="n">
        <v>106</v>
      </c>
      <c r="AK270" s="309" t="n">
        <v>187.2</v>
      </c>
      <c r="AL270" s="311" t="n">
        <v>167</v>
      </c>
      <c r="AM270" s="309" t="n">
        <v>225.6</v>
      </c>
      <c r="AN270" s="310" t="n">
        <v>187</v>
      </c>
      <c r="AO270" s="309" t="n">
        <v>206.4</v>
      </c>
      <c r="AP270" s="310"/>
      <c r="AQ270" s="311" t="n">
        <v>114</v>
      </c>
      <c r="AR270" s="309" t="n">
        <v>297.6</v>
      </c>
      <c r="AS270" s="311" t="n">
        <v>196</v>
      </c>
      <c r="AT270" s="309" t="n">
        <v>216</v>
      </c>
      <c r="AU270" s="310" t="n">
        <v>196</v>
      </c>
      <c r="AV270" s="309" t="n">
        <v>216</v>
      </c>
      <c r="AW270" s="310" t="n">
        <v>210</v>
      </c>
      <c r="AX270" s="309" t="n">
        <v>201.6</v>
      </c>
      <c r="AY270" s="310" t="n">
        <v>210</v>
      </c>
      <c r="AZ270" s="309" t="n">
        <v>201.6</v>
      </c>
      <c r="BB270" s="144" t="n">
        <v>0</v>
      </c>
      <c r="BC270" s="315"/>
      <c r="BD270" s="311" t="n">
        <v>0</v>
      </c>
      <c r="BE270" s="316" t="n">
        <v>0</v>
      </c>
      <c r="BF270" s="310"/>
      <c r="BG270" s="317" t="n">
        <v>0</v>
      </c>
      <c r="BH270" s="318" t="n">
        <v>0</v>
      </c>
      <c r="BI270" s="317" t="n">
        <v>0</v>
      </c>
      <c r="BJ270" s="318" t="n">
        <v>0</v>
      </c>
      <c r="BK270" s="317" t="n">
        <v>0</v>
      </c>
      <c r="BL270" s="318" t="n">
        <v>0</v>
      </c>
      <c r="BM270" s="310"/>
      <c r="BN270" s="317" t="n">
        <v>0</v>
      </c>
      <c r="BO270" s="318" t="n">
        <v>0</v>
      </c>
      <c r="BP270" s="317" t="n">
        <v>0</v>
      </c>
      <c r="BQ270" s="318" t="n">
        <v>0</v>
      </c>
      <c r="BR270" s="317" t="n">
        <v>0</v>
      </c>
      <c r="BS270" s="318" t="n">
        <v>0</v>
      </c>
      <c r="BT270" s="317" t="n">
        <v>0</v>
      </c>
      <c r="BU270" s="318" t="n">
        <v>0</v>
      </c>
      <c r="BV270" s="317" t="n">
        <v>0</v>
      </c>
      <c r="BW270" s="318" t="n">
        <v>0</v>
      </c>
      <c r="BY270" s="143"/>
      <c r="BZ270" s="315"/>
      <c r="CA270" s="144" t="s">
        <v>12</v>
      </c>
      <c r="CB270" s="315"/>
      <c r="CC270" s="144" t="n">
        <v>-55.7834710743802</v>
      </c>
      <c r="CD270" s="144" t="n">
        <v>-117.38347107438</v>
      </c>
      <c r="CE270" s="144" t="n">
        <v>-136.58347107438</v>
      </c>
      <c r="CF270" s="315"/>
      <c r="CG270" s="144" t="n">
        <v>-64.3834710743802</v>
      </c>
      <c r="CH270" s="144" t="n">
        <v>-145.98347107438</v>
      </c>
      <c r="CI270" s="144" t="n">
        <v>-145.98347107438</v>
      </c>
      <c r="CJ270" s="144" t="n">
        <v>-160.38347107438</v>
      </c>
      <c r="CK270" s="144" t="n">
        <v>-160.38347107438</v>
      </c>
      <c r="CM270" s="144" t="n">
        <v>338.826446280992</v>
      </c>
      <c r="CO270" s="319"/>
      <c r="CP270" s="320"/>
      <c r="CQ270" s="321" t="s">
        <v>12</v>
      </c>
      <c r="CR270" s="320"/>
      <c r="CS270" s="322" t="n">
        <v>-32.6264462809917</v>
      </c>
      <c r="CT270" s="322" t="n">
        <v>-94.2264462809917</v>
      </c>
      <c r="CU270" s="322" t="n">
        <v>-113.426446280992</v>
      </c>
      <c r="CV270" s="323"/>
      <c r="CW270" s="322" t="n">
        <v>-41.2264462809918</v>
      </c>
      <c r="CX270" s="322" t="n">
        <v>-122.826446280992</v>
      </c>
      <c r="CY270" s="322" t="n">
        <v>-122.826446280992</v>
      </c>
      <c r="CZ270" s="322" t="n">
        <v>-137.226446280992</v>
      </c>
      <c r="DA270" s="322" t="n">
        <v>-137.226446280992</v>
      </c>
    </row>
    <row r="271" customFormat="false" ht="12.75" hidden="false" customHeight="false" outlineLevel="0" collapsed="false">
      <c r="B271" s="305" t="s">
        <v>216</v>
      </c>
      <c r="C271" s="305" t="s">
        <v>570</v>
      </c>
      <c r="D271" s="306" t="n">
        <v>198</v>
      </c>
      <c r="E271" s="306" t="n">
        <v>0</v>
      </c>
      <c r="F271" s="306" t="s">
        <v>568</v>
      </c>
      <c r="G271" s="307" t="n">
        <v>24</v>
      </c>
      <c r="H271" s="308" t="n">
        <v>212.396694214876</v>
      </c>
      <c r="I271" s="2"/>
      <c r="J271" s="144" t="s">
        <v>12</v>
      </c>
      <c r="K271" s="309" t="s">
        <v>12</v>
      </c>
      <c r="L271" s="310"/>
      <c r="M271" s="311" t="n">
        <v>39</v>
      </c>
      <c r="N271" s="312" t="n">
        <v>6.5</v>
      </c>
      <c r="O271" s="311" t="n">
        <v>0</v>
      </c>
      <c r="P271" s="312" t="n">
        <v>5.2</v>
      </c>
      <c r="Q271" s="310" t="n">
        <v>0</v>
      </c>
      <c r="R271" s="312" t="n">
        <v>4.4</v>
      </c>
      <c r="S271" s="310"/>
      <c r="T271" s="311" t="n">
        <v>0</v>
      </c>
      <c r="U271" s="312" t="n">
        <v>7.7</v>
      </c>
      <c r="V271" s="311" t="n">
        <v>0</v>
      </c>
      <c r="W271" s="312" t="n">
        <v>2.1</v>
      </c>
      <c r="X271" s="311" t="n">
        <v>0</v>
      </c>
      <c r="Y271" s="312" t="n">
        <v>2.1</v>
      </c>
      <c r="Z271" s="313" t="n">
        <v>0</v>
      </c>
      <c r="AA271" s="314" t="n">
        <v>3.1</v>
      </c>
      <c r="AB271" s="313" t="n">
        <v>0</v>
      </c>
      <c r="AC271" s="314" t="n">
        <v>3.1</v>
      </c>
      <c r="AD271" s="315"/>
      <c r="AE271" s="144" t="n">
        <v>-14</v>
      </c>
      <c r="AF271" s="315"/>
      <c r="AG271" s="311" t="n">
        <v>0</v>
      </c>
      <c r="AH271" s="309" t="n">
        <v>0</v>
      </c>
      <c r="AI271" s="310"/>
      <c r="AJ271" s="311" t="n">
        <v>3</v>
      </c>
      <c r="AK271" s="309" t="n">
        <v>156</v>
      </c>
      <c r="AL271" s="311" t="n">
        <v>73</v>
      </c>
      <c r="AM271" s="309" t="n">
        <v>124.8</v>
      </c>
      <c r="AN271" s="311" t="n">
        <v>92</v>
      </c>
      <c r="AO271" s="309" t="n">
        <v>105.6</v>
      </c>
      <c r="AP271" s="310"/>
      <c r="AQ271" s="311" t="n">
        <v>13</v>
      </c>
      <c r="AR271" s="309" t="n">
        <v>184.8</v>
      </c>
      <c r="AS271" s="311" t="n">
        <v>148</v>
      </c>
      <c r="AT271" s="309" t="n">
        <v>50.4</v>
      </c>
      <c r="AU271" s="311" t="n">
        <v>148</v>
      </c>
      <c r="AV271" s="309" t="n">
        <v>50.4</v>
      </c>
      <c r="AW271" s="311" t="n">
        <v>124</v>
      </c>
      <c r="AX271" s="309" t="n">
        <v>74.4</v>
      </c>
      <c r="AY271" s="311" t="n">
        <v>124</v>
      </c>
      <c r="AZ271" s="309" t="n">
        <v>74.4</v>
      </c>
      <c r="BB271" s="144" t="n">
        <v>0</v>
      </c>
      <c r="BC271" s="315"/>
      <c r="BD271" s="311" t="n">
        <v>0</v>
      </c>
      <c r="BE271" s="316" t="n">
        <v>0</v>
      </c>
      <c r="BF271" s="310"/>
      <c r="BG271" s="317" t="n">
        <v>0</v>
      </c>
      <c r="BH271" s="318" t="n">
        <v>0.5</v>
      </c>
      <c r="BI271" s="317" t="n">
        <v>0</v>
      </c>
      <c r="BJ271" s="318" t="n">
        <v>0.6</v>
      </c>
      <c r="BK271" s="317" t="n">
        <v>0</v>
      </c>
      <c r="BL271" s="318" t="n">
        <v>0.6</v>
      </c>
      <c r="BM271" s="310"/>
      <c r="BN271" s="317" t="n">
        <v>0</v>
      </c>
      <c r="BO271" s="318" t="n">
        <v>-0.2</v>
      </c>
      <c r="BP271" s="317" t="n">
        <v>0</v>
      </c>
      <c r="BQ271" s="318" t="n">
        <v>-2.1</v>
      </c>
      <c r="BR271" s="317" t="n">
        <v>0</v>
      </c>
      <c r="BS271" s="318" t="n">
        <v>-2.1</v>
      </c>
      <c r="BT271" s="317" t="n">
        <v>0</v>
      </c>
      <c r="BU271" s="318" t="n">
        <v>-2.1</v>
      </c>
      <c r="BV271" s="317" t="n">
        <v>0</v>
      </c>
      <c r="BW271" s="318" t="n">
        <v>-2.1</v>
      </c>
      <c r="BY271" s="143"/>
      <c r="BZ271" s="315"/>
      <c r="CA271" s="144" t="s">
        <v>12</v>
      </c>
      <c r="CB271" s="315"/>
      <c r="CC271" s="144" t="n">
        <v>-17.3966942148761</v>
      </c>
      <c r="CD271" s="144" t="n">
        <v>-87.596694214876</v>
      </c>
      <c r="CE271" s="144" t="n">
        <v>-106.796694214876</v>
      </c>
      <c r="CF271" s="315"/>
      <c r="CG271" s="144" t="n">
        <v>-27.596694214876</v>
      </c>
      <c r="CH271" s="144" t="n">
        <v>-161.996694214876</v>
      </c>
      <c r="CI271" s="144" t="n">
        <v>-161.996694214876</v>
      </c>
      <c r="CJ271" s="144" t="n">
        <v>-137.996694214876</v>
      </c>
      <c r="CK271" s="144" t="n">
        <v>-137.996694214876</v>
      </c>
      <c r="CM271" s="144" t="n">
        <v>181.809917355372</v>
      </c>
      <c r="CO271" s="319"/>
      <c r="CP271" s="320"/>
      <c r="CQ271" s="321" t="s">
        <v>12</v>
      </c>
      <c r="CR271" s="320"/>
      <c r="CS271" s="322" t="n">
        <v>13.1900826446281</v>
      </c>
      <c r="CT271" s="322" t="n">
        <v>-57.0099173553719</v>
      </c>
      <c r="CU271" s="322" t="n">
        <v>-76.2099173553719</v>
      </c>
      <c r="CV271" s="323"/>
      <c r="CW271" s="322" t="n">
        <v>2.9900826446281</v>
      </c>
      <c r="CX271" s="322" t="n">
        <v>-131.409917355372</v>
      </c>
      <c r="CY271" s="322" t="n">
        <v>-131.409917355372</v>
      </c>
      <c r="CZ271" s="322" t="n">
        <v>-107.409917355372</v>
      </c>
      <c r="DA271" s="322" t="n">
        <v>-107.409917355372</v>
      </c>
    </row>
    <row r="272" customFormat="false" ht="12.75" hidden="false" customHeight="false" outlineLevel="0" collapsed="false">
      <c r="B272" s="305" t="s">
        <v>216</v>
      </c>
      <c r="C272" s="305" t="s">
        <v>570</v>
      </c>
      <c r="D272" s="306" t="n">
        <v>198</v>
      </c>
      <c r="E272" s="306" t="n">
        <v>0</v>
      </c>
      <c r="F272" s="324" t="s">
        <v>568</v>
      </c>
      <c r="G272" s="144" t="n">
        <v>48</v>
      </c>
      <c r="H272" s="325" t="n">
        <v>212.396694214876</v>
      </c>
      <c r="I272" s="2"/>
      <c r="J272" s="144" t="s">
        <v>12</v>
      </c>
      <c r="K272" s="309" t="s">
        <v>12</v>
      </c>
      <c r="L272" s="310"/>
      <c r="M272" s="311" t="n">
        <v>39</v>
      </c>
      <c r="N272" s="312" t="n">
        <v>3.3</v>
      </c>
      <c r="O272" s="311" t="n">
        <v>0</v>
      </c>
      <c r="P272" s="312" t="n">
        <v>2.6</v>
      </c>
      <c r="Q272" s="310" t="n">
        <v>0</v>
      </c>
      <c r="R272" s="312" t="n">
        <v>2.2</v>
      </c>
      <c r="S272" s="310"/>
      <c r="T272" s="311" t="n">
        <v>0</v>
      </c>
      <c r="U272" s="312" t="n">
        <v>3.9</v>
      </c>
      <c r="V272" s="311" t="n">
        <v>0</v>
      </c>
      <c r="W272" s="312" t="n">
        <v>1.1</v>
      </c>
      <c r="X272" s="311" t="n">
        <v>0</v>
      </c>
      <c r="Y272" s="312" t="n">
        <v>1.1</v>
      </c>
      <c r="Z272" s="313" t="n">
        <v>0</v>
      </c>
      <c r="AA272" s="314" t="n">
        <v>1.6</v>
      </c>
      <c r="AB272" s="313" t="n">
        <v>0</v>
      </c>
      <c r="AC272" s="314" t="n">
        <v>1.6</v>
      </c>
      <c r="AD272" s="315"/>
      <c r="AE272" s="144" t="n">
        <v>-14</v>
      </c>
      <c r="AF272" s="315"/>
      <c r="AG272" s="311" t="n">
        <v>0</v>
      </c>
      <c r="AH272" s="309" t="n">
        <v>0</v>
      </c>
      <c r="AI272" s="310"/>
      <c r="AJ272" s="311" t="n">
        <v>1</v>
      </c>
      <c r="AK272" s="309" t="n">
        <v>158.4</v>
      </c>
      <c r="AL272" s="311" t="n">
        <v>73</v>
      </c>
      <c r="AM272" s="309" t="n">
        <v>124.8</v>
      </c>
      <c r="AN272" s="310" t="n">
        <v>92</v>
      </c>
      <c r="AO272" s="309" t="n">
        <v>105.6</v>
      </c>
      <c r="AP272" s="310"/>
      <c r="AQ272" s="311" t="n">
        <v>11</v>
      </c>
      <c r="AR272" s="309" t="n">
        <v>187.2</v>
      </c>
      <c r="AS272" s="311" t="n">
        <v>145</v>
      </c>
      <c r="AT272" s="309" t="n">
        <v>52.8</v>
      </c>
      <c r="AU272" s="310" t="n">
        <v>145</v>
      </c>
      <c r="AV272" s="309" t="n">
        <v>52.8</v>
      </c>
      <c r="AW272" s="310" t="n">
        <v>121</v>
      </c>
      <c r="AX272" s="309" t="n">
        <v>76.8</v>
      </c>
      <c r="AY272" s="310" t="n">
        <v>121</v>
      </c>
      <c r="AZ272" s="309" t="n">
        <v>76.8</v>
      </c>
      <c r="BB272" s="144" t="n">
        <v>0</v>
      </c>
      <c r="BC272" s="315"/>
      <c r="BD272" s="311" t="n">
        <v>0</v>
      </c>
      <c r="BE272" s="316" t="n">
        <v>0</v>
      </c>
      <c r="BF272" s="310"/>
      <c r="BG272" s="317" t="n">
        <v>0</v>
      </c>
      <c r="BH272" s="318" t="n">
        <v>0</v>
      </c>
      <c r="BI272" s="317" t="n">
        <v>0</v>
      </c>
      <c r="BJ272" s="318" t="n">
        <v>0</v>
      </c>
      <c r="BK272" s="317" t="n">
        <v>0</v>
      </c>
      <c r="BL272" s="318" t="n">
        <v>0</v>
      </c>
      <c r="BM272" s="310"/>
      <c r="BN272" s="317" t="n">
        <v>0</v>
      </c>
      <c r="BO272" s="318" t="n">
        <v>0</v>
      </c>
      <c r="BP272" s="317" t="n">
        <v>0</v>
      </c>
      <c r="BQ272" s="318" t="n">
        <v>0</v>
      </c>
      <c r="BR272" s="317" t="n">
        <v>0</v>
      </c>
      <c r="BS272" s="318" t="n">
        <v>0</v>
      </c>
      <c r="BT272" s="317" t="n">
        <v>0</v>
      </c>
      <c r="BU272" s="318" t="n">
        <v>0</v>
      </c>
      <c r="BV272" s="317" t="n">
        <v>0</v>
      </c>
      <c r="BW272" s="318" t="n">
        <v>0</v>
      </c>
      <c r="BY272" s="143"/>
      <c r="BZ272" s="315"/>
      <c r="CA272" s="144" t="s">
        <v>12</v>
      </c>
      <c r="CB272" s="315"/>
      <c r="CC272" s="144" t="n">
        <v>-14.996694214876</v>
      </c>
      <c r="CD272" s="144" t="n">
        <v>-87.596694214876</v>
      </c>
      <c r="CE272" s="144" t="n">
        <v>-106.796694214876</v>
      </c>
      <c r="CF272" s="315"/>
      <c r="CG272" s="144" t="n">
        <v>-25.196694214876</v>
      </c>
      <c r="CH272" s="144" t="n">
        <v>-159.596694214876</v>
      </c>
      <c r="CI272" s="144" t="n">
        <v>-159.596694214876</v>
      </c>
      <c r="CJ272" s="144" t="n">
        <v>-135.596694214876</v>
      </c>
      <c r="CK272" s="144" t="n">
        <v>-135.596694214876</v>
      </c>
      <c r="CM272" s="144" t="n">
        <v>181.809917355372</v>
      </c>
      <c r="CO272" s="319"/>
      <c r="CP272" s="320"/>
      <c r="CQ272" s="321" t="s">
        <v>12</v>
      </c>
      <c r="CR272" s="320"/>
      <c r="CS272" s="322" t="n">
        <v>15.5900826446281</v>
      </c>
      <c r="CT272" s="322" t="n">
        <v>-57.0099173553719</v>
      </c>
      <c r="CU272" s="322" t="n">
        <v>-76.2099173553719</v>
      </c>
      <c r="CV272" s="323"/>
      <c r="CW272" s="322" t="n">
        <v>5.39008264462811</v>
      </c>
      <c r="CX272" s="322" t="n">
        <v>-129.009917355372</v>
      </c>
      <c r="CY272" s="322" t="n">
        <v>-129.009917355372</v>
      </c>
      <c r="CZ272" s="322" t="n">
        <v>-105.009917355372</v>
      </c>
      <c r="DA272" s="322" t="n">
        <v>-105.009917355372</v>
      </c>
    </row>
    <row r="273" customFormat="false" ht="12.75" hidden="false" customHeight="false" outlineLevel="0" collapsed="false">
      <c r="B273" s="305" t="s">
        <v>216</v>
      </c>
      <c r="C273" s="305" t="s">
        <v>571</v>
      </c>
      <c r="D273" s="306" t="n">
        <v>358</v>
      </c>
      <c r="E273" s="306" t="n">
        <v>0</v>
      </c>
      <c r="F273" s="306" t="s">
        <v>568</v>
      </c>
      <c r="G273" s="307" t="n">
        <v>24</v>
      </c>
      <c r="H273" s="308" t="n">
        <v>411.570247933884</v>
      </c>
      <c r="I273" s="2"/>
      <c r="J273" s="144" t="s">
        <v>12</v>
      </c>
      <c r="K273" s="309" t="s">
        <v>12</v>
      </c>
      <c r="L273" s="310"/>
      <c r="M273" s="311" t="n">
        <v>139</v>
      </c>
      <c r="N273" s="312" t="n">
        <v>8.5</v>
      </c>
      <c r="O273" s="311" t="n">
        <v>19</v>
      </c>
      <c r="P273" s="312" t="n">
        <v>11</v>
      </c>
      <c r="Q273" s="310" t="n">
        <v>19</v>
      </c>
      <c r="R273" s="312" t="n">
        <v>10.2</v>
      </c>
      <c r="S273" s="310"/>
      <c r="T273" s="311" t="n">
        <v>0</v>
      </c>
      <c r="U273" s="312" t="n">
        <v>16.6</v>
      </c>
      <c r="V273" s="311" t="n">
        <v>0</v>
      </c>
      <c r="W273" s="312" t="n">
        <v>11</v>
      </c>
      <c r="X273" s="311" t="n">
        <v>0</v>
      </c>
      <c r="Y273" s="312" t="n">
        <v>11</v>
      </c>
      <c r="Z273" s="313" t="n">
        <v>0</v>
      </c>
      <c r="AA273" s="314" t="n">
        <v>11</v>
      </c>
      <c r="AB273" s="313" t="n">
        <v>0</v>
      </c>
      <c r="AC273" s="314" t="n">
        <v>11</v>
      </c>
      <c r="AD273" s="315"/>
      <c r="AE273" s="144" t="n">
        <v>-54</v>
      </c>
      <c r="AF273" s="315"/>
      <c r="AG273" s="311" t="n">
        <v>0</v>
      </c>
      <c r="AH273" s="309" t="n">
        <v>0</v>
      </c>
      <c r="AI273" s="310"/>
      <c r="AJ273" s="311" t="n">
        <v>15</v>
      </c>
      <c r="AK273" s="309" t="n">
        <v>204</v>
      </c>
      <c r="AL273" s="311" t="n">
        <v>75</v>
      </c>
      <c r="AM273" s="309" t="n">
        <v>264</v>
      </c>
      <c r="AN273" s="311" t="n">
        <v>94</v>
      </c>
      <c r="AO273" s="309" t="n">
        <v>244.8</v>
      </c>
      <c r="AP273" s="310"/>
      <c r="AQ273" s="311" t="n">
        <v>-40</v>
      </c>
      <c r="AR273" s="309" t="n">
        <v>398.4</v>
      </c>
      <c r="AS273" s="311" t="n">
        <v>94</v>
      </c>
      <c r="AT273" s="309" t="n">
        <v>264</v>
      </c>
      <c r="AU273" s="311" t="n">
        <v>94</v>
      </c>
      <c r="AV273" s="309" t="n">
        <v>264</v>
      </c>
      <c r="AW273" s="311" t="n">
        <v>94</v>
      </c>
      <c r="AX273" s="309" t="n">
        <v>264</v>
      </c>
      <c r="AY273" s="311" t="n">
        <v>94</v>
      </c>
      <c r="AZ273" s="309" t="n">
        <v>264</v>
      </c>
      <c r="BB273" s="144" t="n">
        <v>0</v>
      </c>
      <c r="BC273" s="315"/>
      <c r="BD273" s="311" t="n">
        <v>0</v>
      </c>
      <c r="BE273" s="316" t="n">
        <v>0</v>
      </c>
      <c r="BF273" s="310"/>
      <c r="BG273" s="317" t="n">
        <v>0</v>
      </c>
      <c r="BH273" s="318" t="n">
        <v>0.199999999999999</v>
      </c>
      <c r="BI273" s="317" t="n">
        <v>0</v>
      </c>
      <c r="BJ273" s="318" t="n">
        <v>0.799999999999999</v>
      </c>
      <c r="BK273" s="317" t="n">
        <v>0</v>
      </c>
      <c r="BL273" s="318" t="n">
        <v>0.9</v>
      </c>
      <c r="BM273" s="310"/>
      <c r="BN273" s="317" t="n">
        <v>0</v>
      </c>
      <c r="BO273" s="318" t="n">
        <v>0</v>
      </c>
      <c r="BP273" s="317" t="n">
        <v>0</v>
      </c>
      <c r="BQ273" s="318" t="n">
        <v>0</v>
      </c>
      <c r="BR273" s="317" t="n">
        <v>0</v>
      </c>
      <c r="BS273" s="318" t="n">
        <v>0</v>
      </c>
      <c r="BT273" s="317" t="n">
        <v>0</v>
      </c>
      <c r="BU273" s="318" t="n">
        <v>-1.4</v>
      </c>
      <c r="BV273" s="317" t="n">
        <v>0</v>
      </c>
      <c r="BW273" s="318" t="n">
        <v>-1.4</v>
      </c>
      <c r="BY273" s="143"/>
      <c r="BZ273" s="315"/>
      <c r="CA273" s="144" t="s">
        <v>12</v>
      </c>
      <c r="CB273" s="315"/>
      <c r="CC273" s="144" t="n">
        <v>-68.5702479338843</v>
      </c>
      <c r="CD273" s="144" t="n">
        <v>-128.570247933884</v>
      </c>
      <c r="CE273" s="144" t="n">
        <v>-147.770247933884</v>
      </c>
      <c r="CF273" s="315"/>
      <c r="CG273" s="144" t="n">
        <v>-13.1702479338843</v>
      </c>
      <c r="CH273" s="144" t="n">
        <v>-147.570247933884</v>
      </c>
      <c r="CI273" s="144" t="n">
        <v>-147.570247933884</v>
      </c>
      <c r="CJ273" s="144" t="n">
        <v>-147.570247933884</v>
      </c>
      <c r="CK273" s="144" t="n">
        <v>-147.570247933884</v>
      </c>
      <c r="CM273" s="144" t="n">
        <v>338.826446280992</v>
      </c>
      <c r="CO273" s="319"/>
      <c r="CP273" s="320"/>
      <c r="CQ273" s="321" t="s">
        <v>12</v>
      </c>
      <c r="CR273" s="320"/>
      <c r="CS273" s="322" t="n">
        <v>4.17355371900823</v>
      </c>
      <c r="CT273" s="322" t="n">
        <v>-55.8264462809918</v>
      </c>
      <c r="CU273" s="322" t="n">
        <v>-75.0264462809918</v>
      </c>
      <c r="CV273" s="323"/>
      <c r="CW273" s="322" t="n">
        <v>59.5735537190083</v>
      </c>
      <c r="CX273" s="322" t="n">
        <v>-74.8264462809918</v>
      </c>
      <c r="CY273" s="322" t="n">
        <v>-74.8264462809918</v>
      </c>
      <c r="CZ273" s="322" t="n">
        <v>-74.8264462809918</v>
      </c>
      <c r="DA273" s="322" t="n">
        <v>-74.8264462809918</v>
      </c>
    </row>
    <row r="274" customFormat="false" ht="12.75" hidden="false" customHeight="false" outlineLevel="0" collapsed="false">
      <c r="B274" s="305" t="s">
        <v>216</v>
      </c>
      <c r="C274" s="305" t="s">
        <v>571</v>
      </c>
      <c r="D274" s="306" t="n">
        <v>358</v>
      </c>
      <c r="E274" s="306" t="n">
        <v>0</v>
      </c>
      <c r="F274" s="324" t="s">
        <v>568</v>
      </c>
      <c r="G274" s="144" t="n">
        <v>48</v>
      </c>
      <c r="H274" s="325" t="n">
        <v>411.570247933884</v>
      </c>
      <c r="I274" s="2"/>
      <c r="J274" s="144" t="s">
        <v>12</v>
      </c>
      <c r="K274" s="309" t="s">
        <v>12</v>
      </c>
      <c r="L274" s="310"/>
      <c r="M274" s="311" t="n">
        <v>139</v>
      </c>
      <c r="N274" s="312" t="n">
        <v>4.3</v>
      </c>
      <c r="O274" s="311" t="n">
        <v>19</v>
      </c>
      <c r="P274" s="312" t="n">
        <v>5.5</v>
      </c>
      <c r="Q274" s="310" t="n">
        <v>19</v>
      </c>
      <c r="R274" s="312" t="n">
        <v>5.1</v>
      </c>
      <c r="S274" s="310"/>
      <c r="T274" s="311" t="n">
        <v>0</v>
      </c>
      <c r="U274" s="312" t="n">
        <v>8.3</v>
      </c>
      <c r="V274" s="311" t="n">
        <v>0</v>
      </c>
      <c r="W274" s="312" t="n">
        <v>5.5</v>
      </c>
      <c r="X274" s="311" t="n">
        <v>0</v>
      </c>
      <c r="Y274" s="312" t="n">
        <v>5.5</v>
      </c>
      <c r="Z274" s="313" t="n">
        <v>0</v>
      </c>
      <c r="AA274" s="314" t="n">
        <v>5.5</v>
      </c>
      <c r="AB274" s="313" t="n">
        <v>0</v>
      </c>
      <c r="AC274" s="314" t="n">
        <v>5.5</v>
      </c>
      <c r="AD274" s="315"/>
      <c r="AE274" s="144" t="n">
        <v>-54</v>
      </c>
      <c r="AF274" s="315"/>
      <c r="AG274" s="311" t="n">
        <v>0</v>
      </c>
      <c r="AH274" s="309" t="n">
        <v>0</v>
      </c>
      <c r="AI274" s="310"/>
      <c r="AJ274" s="311" t="n">
        <v>13</v>
      </c>
      <c r="AK274" s="309" t="n">
        <v>206.4</v>
      </c>
      <c r="AL274" s="311" t="n">
        <v>75</v>
      </c>
      <c r="AM274" s="309" t="n">
        <v>264</v>
      </c>
      <c r="AN274" s="310" t="n">
        <v>94</v>
      </c>
      <c r="AO274" s="309" t="n">
        <v>244.8</v>
      </c>
      <c r="AP274" s="310"/>
      <c r="AQ274" s="311" t="n">
        <v>-40</v>
      </c>
      <c r="AR274" s="309" t="n">
        <v>398.4</v>
      </c>
      <c r="AS274" s="311" t="n">
        <v>94</v>
      </c>
      <c r="AT274" s="309" t="n">
        <v>264</v>
      </c>
      <c r="AU274" s="310" t="n">
        <v>94</v>
      </c>
      <c r="AV274" s="309" t="n">
        <v>264</v>
      </c>
      <c r="AW274" s="310" t="n">
        <v>94</v>
      </c>
      <c r="AX274" s="309" t="n">
        <v>264</v>
      </c>
      <c r="AY274" s="310" t="n">
        <v>94</v>
      </c>
      <c r="AZ274" s="309" t="n">
        <v>264</v>
      </c>
      <c r="BB274" s="144" t="n">
        <v>0</v>
      </c>
      <c r="BC274" s="315"/>
      <c r="BD274" s="311" t="n">
        <v>0</v>
      </c>
      <c r="BE274" s="316" t="n">
        <v>0</v>
      </c>
      <c r="BF274" s="310"/>
      <c r="BG274" s="317" t="n">
        <v>0</v>
      </c>
      <c r="BH274" s="318" t="n">
        <v>0</v>
      </c>
      <c r="BI274" s="317" t="n">
        <v>0</v>
      </c>
      <c r="BJ274" s="318" t="n">
        <v>0</v>
      </c>
      <c r="BK274" s="317" t="n">
        <v>0</v>
      </c>
      <c r="BL274" s="318" t="n">
        <v>0</v>
      </c>
      <c r="BM274" s="310"/>
      <c r="BN274" s="317" t="n">
        <v>0</v>
      </c>
      <c r="BO274" s="318" t="n">
        <v>0</v>
      </c>
      <c r="BP274" s="317" t="n">
        <v>0</v>
      </c>
      <c r="BQ274" s="318" t="n">
        <v>0</v>
      </c>
      <c r="BR274" s="317" t="n">
        <v>0</v>
      </c>
      <c r="BS274" s="318" t="n">
        <v>0</v>
      </c>
      <c r="BT274" s="317" t="n">
        <v>0</v>
      </c>
      <c r="BU274" s="318" t="n">
        <v>0</v>
      </c>
      <c r="BV274" s="317" t="n">
        <v>0</v>
      </c>
      <c r="BW274" s="318" t="n">
        <v>0</v>
      </c>
      <c r="BY274" s="143"/>
      <c r="BZ274" s="315"/>
      <c r="CA274" s="144" t="s">
        <v>12</v>
      </c>
      <c r="CB274" s="315"/>
      <c r="CC274" s="144" t="n">
        <v>-66.1702479338844</v>
      </c>
      <c r="CD274" s="144" t="n">
        <v>-128.570247933884</v>
      </c>
      <c r="CE274" s="144" t="n">
        <v>-147.770247933884</v>
      </c>
      <c r="CF274" s="315"/>
      <c r="CG274" s="144" t="n">
        <v>-13.1702479338843</v>
      </c>
      <c r="CH274" s="144" t="n">
        <v>-147.570247933884</v>
      </c>
      <c r="CI274" s="144" t="n">
        <v>-147.570247933884</v>
      </c>
      <c r="CJ274" s="144" t="n">
        <v>-147.570247933884</v>
      </c>
      <c r="CK274" s="144" t="n">
        <v>-147.570247933884</v>
      </c>
      <c r="CM274" s="144" t="n">
        <v>338.826446280992</v>
      </c>
      <c r="CO274" s="319"/>
      <c r="CP274" s="320"/>
      <c r="CQ274" s="321" t="s">
        <v>12</v>
      </c>
      <c r="CR274" s="320"/>
      <c r="CS274" s="322" t="n">
        <v>6.5735537190082</v>
      </c>
      <c r="CT274" s="322" t="n">
        <v>-55.8264462809918</v>
      </c>
      <c r="CU274" s="322" t="n">
        <v>-75.0264462809918</v>
      </c>
      <c r="CV274" s="323"/>
      <c r="CW274" s="322" t="n">
        <v>59.5735537190083</v>
      </c>
      <c r="CX274" s="322" t="n">
        <v>-74.8264462809918</v>
      </c>
      <c r="CY274" s="322" t="n">
        <v>-74.8264462809918</v>
      </c>
      <c r="CZ274" s="322" t="n">
        <v>-74.8264462809918</v>
      </c>
      <c r="DA274" s="322" t="n">
        <v>-74.8264462809918</v>
      </c>
    </row>
    <row r="275" customFormat="false" ht="12.75" hidden="false" customHeight="false" outlineLevel="0" collapsed="false">
      <c r="B275" s="305" t="s">
        <v>260</v>
      </c>
      <c r="C275" s="305" t="s">
        <v>572</v>
      </c>
      <c r="D275" s="306" t="n">
        <v>447</v>
      </c>
      <c r="E275" s="306" t="n">
        <v>0</v>
      </c>
      <c r="F275" s="306" t="s">
        <v>568</v>
      </c>
      <c r="G275" s="307" t="n">
        <v>24</v>
      </c>
      <c r="H275" s="308" t="n">
        <v>541.322314049587</v>
      </c>
      <c r="I275" s="2"/>
      <c r="J275" s="144" t="s">
        <v>12</v>
      </c>
      <c r="K275" s="309" t="s">
        <v>12</v>
      </c>
      <c r="L275" s="310"/>
      <c r="M275" s="311" t="n">
        <v>229</v>
      </c>
      <c r="N275" s="312" t="n">
        <v>9.3</v>
      </c>
      <c r="O275" s="311" t="n">
        <v>139</v>
      </c>
      <c r="P275" s="312" t="n">
        <v>10.8</v>
      </c>
      <c r="Q275" s="310" t="n">
        <v>139</v>
      </c>
      <c r="R275" s="312" t="n">
        <v>10</v>
      </c>
      <c r="S275" s="310"/>
      <c r="T275" s="311" t="n">
        <v>0</v>
      </c>
      <c r="U275" s="312" t="n">
        <v>18.6</v>
      </c>
      <c r="V275" s="311" t="n">
        <v>0</v>
      </c>
      <c r="W275" s="312" t="n">
        <v>15</v>
      </c>
      <c r="X275" s="311" t="n">
        <v>0</v>
      </c>
      <c r="Y275" s="312" t="n">
        <v>16.5</v>
      </c>
      <c r="Z275" s="313" t="n">
        <v>0</v>
      </c>
      <c r="AA275" s="314" t="n">
        <v>16.5</v>
      </c>
      <c r="AB275" s="313" t="n">
        <v>0</v>
      </c>
      <c r="AC275" s="314" t="n">
        <v>16.5</v>
      </c>
      <c r="AD275" s="315"/>
      <c r="AE275" s="144" t="n">
        <v>-94</v>
      </c>
      <c r="AF275" s="315"/>
      <c r="AG275" s="311" t="n">
        <v>0</v>
      </c>
      <c r="AH275" s="309" t="n">
        <v>0</v>
      </c>
      <c r="AI275" s="310"/>
      <c r="AJ275" s="311" t="n">
        <v>-5</v>
      </c>
      <c r="AK275" s="309" t="n">
        <v>223.2</v>
      </c>
      <c r="AL275" s="311" t="n">
        <v>49</v>
      </c>
      <c r="AM275" s="309" t="n">
        <v>259.2</v>
      </c>
      <c r="AN275" s="311" t="n">
        <v>68</v>
      </c>
      <c r="AO275" s="309" t="n">
        <v>240</v>
      </c>
      <c r="AP275" s="310"/>
      <c r="AQ275" s="311" t="n">
        <v>1</v>
      </c>
      <c r="AR275" s="309" t="n">
        <v>446.4</v>
      </c>
      <c r="AS275" s="311" t="n">
        <v>87</v>
      </c>
      <c r="AT275" s="309" t="n">
        <v>360</v>
      </c>
      <c r="AU275" s="311" t="n">
        <v>51</v>
      </c>
      <c r="AV275" s="309" t="n">
        <v>396</v>
      </c>
      <c r="AW275" s="311" t="n">
        <v>51</v>
      </c>
      <c r="AX275" s="309" t="n">
        <v>396</v>
      </c>
      <c r="AY275" s="311" t="n">
        <v>51</v>
      </c>
      <c r="AZ275" s="309" t="n">
        <v>396</v>
      </c>
      <c r="BB275" s="144" t="n">
        <v>0</v>
      </c>
      <c r="BC275" s="315"/>
      <c r="BD275" s="311" t="n">
        <v>0</v>
      </c>
      <c r="BE275" s="316" t="n">
        <v>0</v>
      </c>
      <c r="BF275" s="310"/>
      <c r="BG275" s="317" t="n">
        <v>0</v>
      </c>
      <c r="BH275" s="318" t="n">
        <v>0.200000000000001</v>
      </c>
      <c r="BI275" s="317" t="n">
        <v>0</v>
      </c>
      <c r="BJ275" s="318" t="n">
        <v>0.800000000000001</v>
      </c>
      <c r="BK275" s="317" t="n">
        <v>0</v>
      </c>
      <c r="BL275" s="318" t="n">
        <v>0.9</v>
      </c>
      <c r="BM275" s="310"/>
      <c r="BN275" s="317" t="n">
        <v>0</v>
      </c>
      <c r="BO275" s="318" t="n">
        <v>0</v>
      </c>
      <c r="BP275" s="317" t="n">
        <v>0</v>
      </c>
      <c r="BQ275" s="318" t="n">
        <v>0</v>
      </c>
      <c r="BR275" s="317" t="n">
        <v>0</v>
      </c>
      <c r="BS275" s="318" t="n">
        <v>1.5</v>
      </c>
      <c r="BT275" s="317" t="n">
        <v>0</v>
      </c>
      <c r="BU275" s="318" t="n">
        <v>1.5</v>
      </c>
      <c r="BV275" s="317" t="n">
        <v>0</v>
      </c>
      <c r="BW275" s="318" t="n">
        <v>1.5</v>
      </c>
      <c r="BY275" s="143"/>
      <c r="BZ275" s="315"/>
      <c r="CA275" s="144" t="s">
        <v>12</v>
      </c>
      <c r="CB275" s="315"/>
      <c r="CC275" s="144" t="n">
        <v>-89.1223140495868</v>
      </c>
      <c r="CD275" s="144" t="n">
        <v>-143.122314049587</v>
      </c>
      <c r="CE275" s="144" t="n">
        <v>-162.322314049587</v>
      </c>
      <c r="CF275" s="315"/>
      <c r="CG275" s="144" t="n">
        <v>-94.9223140495868</v>
      </c>
      <c r="CH275" s="144" t="n">
        <v>-181.322314049587</v>
      </c>
      <c r="CI275" s="144" t="n">
        <v>-145.322314049587</v>
      </c>
      <c r="CJ275" s="144" t="n">
        <v>-145.322314049587</v>
      </c>
      <c r="CK275" s="144" t="n">
        <v>-145.322314049587</v>
      </c>
      <c r="CM275" s="144" t="n">
        <v>454.537190082645</v>
      </c>
      <c r="CO275" s="319"/>
      <c r="CP275" s="320"/>
      <c r="CQ275" s="321" t="s">
        <v>12</v>
      </c>
      <c r="CR275" s="320"/>
      <c r="CS275" s="322" t="n">
        <v>-2.33719008264461</v>
      </c>
      <c r="CT275" s="322" t="n">
        <v>-56.3371900826446</v>
      </c>
      <c r="CU275" s="322" t="n">
        <v>-75.5371900826447</v>
      </c>
      <c r="CV275" s="323"/>
      <c r="CW275" s="322" t="n">
        <v>-8.13719008264462</v>
      </c>
      <c r="CX275" s="322" t="n">
        <v>-94.5371900826447</v>
      </c>
      <c r="CY275" s="322" t="n">
        <v>-58.5371900826447</v>
      </c>
      <c r="CZ275" s="322" t="n">
        <v>-58.5371900826447</v>
      </c>
      <c r="DA275" s="322" t="n">
        <v>-58.5371900826447</v>
      </c>
    </row>
    <row r="276" customFormat="false" ht="12.75" hidden="false" customHeight="false" outlineLevel="0" collapsed="false">
      <c r="B276" s="305" t="s">
        <v>260</v>
      </c>
      <c r="C276" s="305" t="s">
        <v>572</v>
      </c>
      <c r="D276" s="306" t="n">
        <v>447</v>
      </c>
      <c r="E276" s="306" t="n">
        <v>0</v>
      </c>
      <c r="F276" s="324" t="s">
        <v>568</v>
      </c>
      <c r="G276" s="144" t="n">
        <v>48</v>
      </c>
      <c r="H276" s="325" t="n">
        <v>541.322314049587</v>
      </c>
      <c r="I276" s="2"/>
      <c r="J276" s="144" t="s">
        <v>12</v>
      </c>
      <c r="K276" s="309" t="s">
        <v>12</v>
      </c>
      <c r="L276" s="310"/>
      <c r="M276" s="311" t="n">
        <v>229</v>
      </c>
      <c r="N276" s="312" t="n">
        <v>4.7</v>
      </c>
      <c r="O276" s="311" t="n">
        <v>139</v>
      </c>
      <c r="P276" s="312" t="n">
        <v>5.4</v>
      </c>
      <c r="Q276" s="310" t="n">
        <v>139</v>
      </c>
      <c r="R276" s="312" t="n">
        <v>5</v>
      </c>
      <c r="S276" s="310"/>
      <c r="T276" s="311" t="n">
        <v>0</v>
      </c>
      <c r="U276" s="312" t="n">
        <v>9.3</v>
      </c>
      <c r="V276" s="311" t="n">
        <v>0</v>
      </c>
      <c r="W276" s="312" t="n">
        <v>7.5</v>
      </c>
      <c r="X276" s="311" t="n">
        <v>0</v>
      </c>
      <c r="Y276" s="312" t="n">
        <v>8.3</v>
      </c>
      <c r="Z276" s="313" t="n">
        <v>0</v>
      </c>
      <c r="AA276" s="314" t="n">
        <v>8.3</v>
      </c>
      <c r="AB276" s="313" t="n">
        <v>0</v>
      </c>
      <c r="AC276" s="314" t="n">
        <v>8.3</v>
      </c>
      <c r="AD276" s="315"/>
      <c r="AE276" s="144" t="n">
        <v>-94</v>
      </c>
      <c r="AF276" s="315"/>
      <c r="AG276" s="311" t="n">
        <v>0</v>
      </c>
      <c r="AH276" s="309" t="n">
        <v>0</v>
      </c>
      <c r="AI276" s="310"/>
      <c r="AJ276" s="311" t="n">
        <v>-8</v>
      </c>
      <c r="AK276" s="309" t="n">
        <v>225.6</v>
      </c>
      <c r="AL276" s="311" t="n">
        <v>49</v>
      </c>
      <c r="AM276" s="309" t="n">
        <v>259.2</v>
      </c>
      <c r="AN276" s="310" t="n">
        <v>68</v>
      </c>
      <c r="AO276" s="309" t="n">
        <v>240</v>
      </c>
      <c r="AP276" s="310"/>
      <c r="AQ276" s="311" t="n">
        <v>1</v>
      </c>
      <c r="AR276" s="309" t="n">
        <v>446.4</v>
      </c>
      <c r="AS276" s="311" t="n">
        <v>87</v>
      </c>
      <c r="AT276" s="309" t="n">
        <v>360</v>
      </c>
      <c r="AU276" s="310" t="n">
        <v>49</v>
      </c>
      <c r="AV276" s="309" t="n">
        <v>398.4</v>
      </c>
      <c r="AW276" s="310" t="n">
        <v>49</v>
      </c>
      <c r="AX276" s="309" t="n">
        <v>398.4</v>
      </c>
      <c r="AY276" s="310" t="n">
        <v>49</v>
      </c>
      <c r="AZ276" s="309" t="n">
        <v>398.4</v>
      </c>
      <c r="BB276" s="144" t="n">
        <v>0</v>
      </c>
      <c r="BC276" s="315"/>
      <c r="BD276" s="311" t="n">
        <v>0</v>
      </c>
      <c r="BE276" s="316" t="n">
        <v>0</v>
      </c>
      <c r="BF276" s="310"/>
      <c r="BG276" s="317" t="n">
        <v>0</v>
      </c>
      <c r="BH276" s="318" t="n">
        <v>0</v>
      </c>
      <c r="BI276" s="317" t="n">
        <v>0</v>
      </c>
      <c r="BJ276" s="318" t="n">
        <v>0</v>
      </c>
      <c r="BK276" s="317" t="n">
        <v>0</v>
      </c>
      <c r="BL276" s="318" t="n">
        <v>0</v>
      </c>
      <c r="BM276" s="310"/>
      <c r="BN276" s="317" t="n">
        <v>0</v>
      </c>
      <c r="BO276" s="318" t="n">
        <v>0</v>
      </c>
      <c r="BP276" s="317" t="n">
        <v>0</v>
      </c>
      <c r="BQ276" s="318" t="n">
        <v>0</v>
      </c>
      <c r="BR276" s="317" t="n">
        <v>0</v>
      </c>
      <c r="BS276" s="318" t="n">
        <v>0</v>
      </c>
      <c r="BT276" s="317" t="n">
        <v>0</v>
      </c>
      <c r="BU276" s="318" t="n">
        <v>0</v>
      </c>
      <c r="BV276" s="317" t="n">
        <v>0</v>
      </c>
      <c r="BW276" s="318" t="n">
        <v>0</v>
      </c>
      <c r="BY276" s="143"/>
      <c r="BZ276" s="315"/>
      <c r="CA276" s="144" t="s">
        <v>12</v>
      </c>
      <c r="CB276" s="315"/>
      <c r="CC276" s="144" t="n">
        <v>-86.7223140495868</v>
      </c>
      <c r="CD276" s="144" t="n">
        <v>-143.122314049587</v>
      </c>
      <c r="CE276" s="144" t="n">
        <v>-162.322314049587</v>
      </c>
      <c r="CF276" s="315"/>
      <c r="CG276" s="144" t="n">
        <v>-94.9223140495868</v>
      </c>
      <c r="CH276" s="144" t="n">
        <v>-181.322314049587</v>
      </c>
      <c r="CI276" s="144" t="n">
        <v>-142.922314049587</v>
      </c>
      <c r="CJ276" s="144" t="n">
        <v>-142.922314049587</v>
      </c>
      <c r="CK276" s="144" t="n">
        <v>-142.922314049587</v>
      </c>
      <c r="CM276" s="144" t="n">
        <v>454.537190082645</v>
      </c>
      <c r="CO276" s="319"/>
      <c r="CP276" s="320"/>
      <c r="CQ276" s="321" t="s">
        <v>12</v>
      </c>
      <c r="CR276" s="320"/>
      <c r="CS276" s="322" t="n">
        <v>0.0628099173553665</v>
      </c>
      <c r="CT276" s="322" t="n">
        <v>-56.3371900826446</v>
      </c>
      <c r="CU276" s="322" t="n">
        <v>-75.5371900826447</v>
      </c>
      <c r="CV276" s="323"/>
      <c r="CW276" s="322" t="n">
        <v>-8.13719008264462</v>
      </c>
      <c r="CX276" s="322" t="n">
        <v>-94.5371900826447</v>
      </c>
      <c r="CY276" s="322" t="n">
        <v>-56.1371900826446</v>
      </c>
      <c r="CZ276" s="322" t="n">
        <v>-56.1371900826446</v>
      </c>
      <c r="DA276" s="322" t="n">
        <v>-56.1371900826446</v>
      </c>
    </row>
    <row r="277" customFormat="false" ht="12.75" hidden="false" customHeight="false" outlineLevel="0" collapsed="false">
      <c r="B277" s="305" t="s">
        <v>260</v>
      </c>
      <c r="C277" s="305" t="s">
        <v>573</v>
      </c>
      <c r="D277" s="306" t="n">
        <v>542</v>
      </c>
      <c r="E277" s="306" t="n">
        <v>0</v>
      </c>
      <c r="F277" s="306" t="s">
        <v>568</v>
      </c>
      <c r="G277" s="307" t="n">
        <v>24</v>
      </c>
      <c r="H277" s="308" t="n">
        <v>541.322314049587</v>
      </c>
      <c r="I277" s="2"/>
      <c r="J277" s="144" t="s">
        <v>12</v>
      </c>
      <c r="K277" s="309" t="s">
        <v>12</v>
      </c>
      <c r="L277" s="310"/>
      <c r="M277" s="311" t="n">
        <v>229</v>
      </c>
      <c r="N277" s="312" t="n">
        <v>9.3</v>
      </c>
      <c r="O277" s="311" t="n">
        <v>139</v>
      </c>
      <c r="P277" s="312" t="n">
        <v>10.8</v>
      </c>
      <c r="Q277" s="310" t="n">
        <v>139</v>
      </c>
      <c r="R277" s="312" t="n">
        <v>10</v>
      </c>
      <c r="S277" s="310"/>
      <c r="T277" s="311" t="n">
        <v>0</v>
      </c>
      <c r="U277" s="312" t="n">
        <v>18.6</v>
      </c>
      <c r="V277" s="311" t="n">
        <v>0</v>
      </c>
      <c r="W277" s="312" t="n">
        <v>16.5</v>
      </c>
      <c r="X277" s="311" t="n">
        <v>0</v>
      </c>
      <c r="Y277" s="312" t="n">
        <v>16.5</v>
      </c>
      <c r="Z277" s="313" t="n">
        <v>0</v>
      </c>
      <c r="AA277" s="314" t="n">
        <v>16.5</v>
      </c>
      <c r="AB277" s="313" t="n">
        <v>0</v>
      </c>
      <c r="AC277" s="314" t="n">
        <v>16.5</v>
      </c>
      <c r="AD277" s="315"/>
      <c r="AE277" s="144" t="n">
        <v>1</v>
      </c>
      <c r="AF277" s="315"/>
      <c r="AG277" s="311" t="n">
        <v>0</v>
      </c>
      <c r="AH277" s="309" t="n">
        <v>0</v>
      </c>
      <c r="AI277" s="310"/>
      <c r="AJ277" s="311" t="n">
        <v>90</v>
      </c>
      <c r="AK277" s="309" t="n">
        <v>223.2</v>
      </c>
      <c r="AL277" s="311" t="n">
        <v>144</v>
      </c>
      <c r="AM277" s="309" t="n">
        <v>259.2</v>
      </c>
      <c r="AN277" s="311" t="n">
        <v>163</v>
      </c>
      <c r="AO277" s="309" t="n">
        <v>240</v>
      </c>
      <c r="AP277" s="310"/>
      <c r="AQ277" s="311" t="n">
        <v>96</v>
      </c>
      <c r="AR277" s="309" t="n">
        <v>446.4</v>
      </c>
      <c r="AS277" s="311" t="n">
        <v>146</v>
      </c>
      <c r="AT277" s="309" t="n">
        <v>396</v>
      </c>
      <c r="AU277" s="311" t="n">
        <v>146</v>
      </c>
      <c r="AV277" s="309" t="n">
        <v>396</v>
      </c>
      <c r="AW277" s="311" t="n">
        <v>146</v>
      </c>
      <c r="AX277" s="309" t="n">
        <v>396</v>
      </c>
      <c r="AY277" s="311" t="n">
        <v>146</v>
      </c>
      <c r="AZ277" s="309" t="n">
        <v>396</v>
      </c>
      <c r="BB277" s="144" t="n">
        <v>0</v>
      </c>
      <c r="BC277" s="315"/>
      <c r="BD277" s="311" t="n">
        <v>0</v>
      </c>
      <c r="BE277" s="316" t="n">
        <v>0</v>
      </c>
      <c r="BF277" s="310"/>
      <c r="BG277" s="317" t="n">
        <v>0</v>
      </c>
      <c r="BH277" s="318" t="n">
        <v>0.200000000000001</v>
      </c>
      <c r="BI277" s="317" t="n">
        <v>0</v>
      </c>
      <c r="BJ277" s="318" t="n">
        <v>0.800000000000001</v>
      </c>
      <c r="BK277" s="317" t="n">
        <v>0</v>
      </c>
      <c r="BL277" s="318" t="n">
        <v>0.9</v>
      </c>
      <c r="BM277" s="310"/>
      <c r="BN277" s="317" t="n">
        <v>0</v>
      </c>
      <c r="BO277" s="318" t="n">
        <v>0</v>
      </c>
      <c r="BP277" s="317" t="n">
        <v>0</v>
      </c>
      <c r="BQ277" s="318" t="n">
        <v>2</v>
      </c>
      <c r="BR277" s="317" t="n">
        <v>0</v>
      </c>
      <c r="BS277" s="318" t="n">
        <v>2</v>
      </c>
      <c r="BT277" s="317" t="n">
        <v>0</v>
      </c>
      <c r="BU277" s="318" t="n">
        <v>2</v>
      </c>
      <c r="BV277" s="317" t="n">
        <v>0</v>
      </c>
      <c r="BW277" s="318" t="n">
        <v>2</v>
      </c>
      <c r="BY277" s="143"/>
      <c r="BZ277" s="315"/>
      <c r="CA277" s="144" t="s">
        <v>12</v>
      </c>
      <c r="CB277" s="315"/>
      <c r="CC277" s="144" t="n">
        <v>-89.1223140495868</v>
      </c>
      <c r="CD277" s="144" t="n">
        <v>-143.122314049587</v>
      </c>
      <c r="CE277" s="144" t="n">
        <v>-162.322314049587</v>
      </c>
      <c r="CF277" s="315"/>
      <c r="CG277" s="144" t="n">
        <v>-94.9223140495868</v>
      </c>
      <c r="CH277" s="144" t="n">
        <v>-145.322314049587</v>
      </c>
      <c r="CI277" s="144" t="n">
        <v>-145.322314049587</v>
      </c>
      <c r="CJ277" s="144" t="n">
        <v>-145.322314049587</v>
      </c>
      <c r="CK277" s="144" t="n">
        <v>-145.322314049587</v>
      </c>
      <c r="CM277" s="144" t="n">
        <v>454.537190082645</v>
      </c>
      <c r="CO277" s="319"/>
      <c r="CP277" s="320"/>
      <c r="CQ277" s="321" t="s">
        <v>12</v>
      </c>
      <c r="CR277" s="320"/>
      <c r="CS277" s="322" t="n">
        <v>-2.33719008264461</v>
      </c>
      <c r="CT277" s="322" t="n">
        <v>-56.3371900826446</v>
      </c>
      <c r="CU277" s="322" t="n">
        <v>-75.5371900826447</v>
      </c>
      <c r="CV277" s="323"/>
      <c r="CW277" s="322" t="n">
        <v>-8.13719008264462</v>
      </c>
      <c r="CX277" s="322" t="n">
        <v>-58.5371900826447</v>
      </c>
      <c r="CY277" s="322" t="n">
        <v>-58.5371900826447</v>
      </c>
      <c r="CZ277" s="322" t="n">
        <v>-58.5371900826447</v>
      </c>
      <c r="DA277" s="322" t="n">
        <v>-58.5371900826447</v>
      </c>
    </row>
    <row r="278" customFormat="false" ht="12.75" hidden="false" customHeight="false" outlineLevel="0" collapsed="false">
      <c r="B278" s="305" t="s">
        <v>260</v>
      </c>
      <c r="C278" s="305" t="s">
        <v>573</v>
      </c>
      <c r="D278" s="306" t="n">
        <v>542</v>
      </c>
      <c r="E278" s="306" t="n">
        <v>0</v>
      </c>
      <c r="F278" s="324" t="s">
        <v>568</v>
      </c>
      <c r="G278" s="144" t="n">
        <v>48</v>
      </c>
      <c r="H278" s="325" t="n">
        <v>541.322314049587</v>
      </c>
      <c r="I278" s="2"/>
      <c r="J278" s="144" t="s">
        <v>12</v>
      </c>
      <c r="K278" s="309" t="s">
        <v>12</v>
      </c>
      <c r="L278" s="310"/>
      <c r="M278" s="311" t="n">
        <v>229</v>
      </c>
      <c r="N278" s="312" t="n">
        <v>4.7</v>
      </c>
      <c r="O278" s="311" t="n">
        <v>139</v>
      </c>
      <c r="P278" s="312" t="n">
        <v>5.4</v>
      </c>
      <c r="Q278" s="310" t="n">
        <v>139</v>
      </c>
      <c r="R278" s="312" t="n">
        <v>5</v>
      </c>
      <c r="S278" s="310"/>
      <c r="T278" s="311" t="n">
        <v>0</v>
      </c>
      <c r="U278" s="312" t="n">
        <v>9.3</v>
      </c>
      <c r="V278" s="311" t="n">
        <v>0</v>
      </c>
      <c r="W278" s="312" t="n">
        <v>8.3</v>
      </c>
      <c r="X278" s="311" t="n">
        <v>0</v>
      </c>
      <c r="Y278" s="312" t="n">
        <v>8.3</v>
      </c>
      <c r="Z278" s="313" t="n">
        <v>0</v>
      </c>
      <c r="AA278" s="314" t="n">
        <v>8.3</v>
      </c>
      <c r="AB278" s="313" t="n">
        <v>0</v>
      </c>
      <c r="AC278" s="314" t="n">
        <v>8.3</v>
      </c>
      <c r="AD278" s="315"/>
      <c r="AE278" s="144" t="n">
        <v>1</v>
      </c>
      <c r="AF278" s="315"/>
      <c r="AG278" s="311" t="n">
        <v>0</v>
      </c>
      <c r="AH278" s="309" t="n">
        <v>0</v>
      </c>
      <c r="AI278" s="310"/>
      <c r="AJ278" s="311" t="n">
        <v>87</v>
      </c>
      <c r="AK278" s="309" t="n">
        <v>225.6</v>
      </c>
      <c r="AL278" s="311" t="n">
        <v>144</v>
      </c>
      <c r="AM278" s="309" t="n">
        <v>259.2</v>
      </c>
      <c r="AN278" s="310" t="n">
        <v>163</v>
      </c>
      <c r="AO278" s="309" t="n">
        <v>240</v>
      </c>
      <c r="AP278" s="310"/>
      <c r="AQ278" s="311" t="n">
        <v>96</v>
      </c>
      <c r="AR278" s="309" t="n">
        <v>446.4</v>
      </c>
      <c r="AS278" s="311" t="n">
        <v>144</v>
      </c>
      <c r="AT278" s="309" t="n">
        <v>398.4</v>
      </c>
      <c r="AU278" s="310" t="n">
        <v>144</v>
      </c>
      <c r="AV278" s="309" t="n">
        <v>398.4</v>
      </c>
      <c r="AW278" s="310" t="n">
        <v>144</v>
      </c>
      <c r="AX278" s="309" t="n">
        <v>398.4</v>
      </c>
      <c r="AY278" s="310" t="n">
        <v>144</v>
      </c>
      <c r="AZ278" s="309" t="n">
        <v>398.4</v>
      </c>
      <c r="BB278" s="144" t="n">
        <v>0</v>
      </c>
      <c r="BC278" s="315"/>
      <c r="BD278" s="311" t="n">
        <v>0</v>
      </c>
      <c r="BE278" s="316" t="n">
        <v>0</v>
      </c>
      <c r="BF278" s="310"/>
      <c r="BG278" s="317" t="n">
        <v>0</v>
      </c>
      <c r="BH278" s="318" t="n">
        <v>0</v>
      </c>
      <c r="BI278" s="317" t="n">
        <v>0</v>
      </c>
      <c r="BJ278" s="318" t="n">
        <v>0</v>
      </c>
      <c r="BK278" s="317" t="n">
        <v>0</v>
      </c>
      <c r="BL278" s="318" t="n">
        <v>0</v>
      </c>
      <c r="BM278" s="310"/>
      <c r="BN278" s="317" t="n">
        <v>0</v>
      </c>
      <c r="BO278" s="318" t="n">
        <v>0</v>
      </c>
      <c r="BP278" s="317" t="n">
        <v>0</v>
      </c>
      <c r="BQ278" s="318" t="n">
        <v>0</v>
      </c>
      <c r="BR278" s="317" t="n">
        <v>0</v>
      </c>
      <c r="BS278" s="318" t="n">
        <v>0</v>
      </c>
      <c r="BT278" s="317" t="n">
        <v>0</v>
      </c>
      <c r="BU278" s="318" t="n">
        <v>0</v>
      </c>
      <c r="BV278" s="317" t="n">
        <v>0</v>
      </c>
      <c r="BW278" s="318" t="n">
        <v>0</v>
      </c>
      <c r="BY278" s="143"/>
      <c r="BZ278" s="315"/>
      <c r="CA278" s="144" t="s">
        <v>12</v>
      </c>
      <c r="CB278" s="315"/>
      <c r="CC278" s="144" t="n">
        <v>-86.7223140495868</v>
      </c>
      <c r="CD278" s="144" t="n">
        <v>-143.122314049587</v>
      </c>
      <c r="CE278" s="144" t="n">
        <v>-162.322314049587</v>
      </c>
      <c r="CF278" s="315"/>
      <c r="CG278" s="144" t="n">
        <v>-94.9223140495868</v>
      </c>
      <c r="CH278" s="144" t="n">
        <v>-142.922314049587</v>
      </c>
      <c r="CI278" s="144" t="n">
        <v>-142.922314049587</v>
      </c>
      <c r="CJ278" s="144" t="n">
        <v>-142.922314049587</v>
      </c>
      <c r="CK278" s="144" t="n">
        <v>-142.922314049587</v>
      </c>
      <c r="CM278" s="144" t="n">
        <v>454.537190082645</v>
      </c>
      <c r="CO278" s="319"/>
      <c r="CP278" s="320"/>
      <c r="CQ278" s="321" t="s">
        <v>12</v>
      </c>
      <c r="CR278" s="320"/>
      <c r="CS278" s="322" t="n">
        <v>0.0628099173553665</v>
      </c>
      <c r="CT278" s="322" t="n">
        <v>-56.3371900826446</v>
      </c>
      <c r="CU278" s="322" t="n">
        <v>-75.5371900826447</v>
      </c>
      <c r="CV278" s="323"/>
      <c r="CW278" s="322" t="n">
        <v>-8.13719008264462</v>
      </c>
      <c r="CX278" s="322" t="n">
        <v>-56.1371900826446</v>
      </c>
      <c r="CY278" s="322" t="n">
        <v>-56.1371900826446</v>
      </c>
      <c r="CZ278" s="322" t="n">
        <v>-56.1371900826446</v>
      </c>
      <c r="DA278" s="322" t="n">
        <v>-56.1371900826446</v>
      </c>
    </row>
    <row r="279" customFormat="false" ht="12.75" hidden="false" customHeight="false" outlineLevel="0" collapsed="false">
      <c r="B279" s="305" t="s">
        <v>260</v>
      </c>
      <c r="C279" s="305" t="s">
        <v>574</v>
      </c>
      <c r="D279" s="306" t="n">
        <v>366</v>
      </c>
      <c r="E279" s="306" t="n">
        <v>0</v>
      </c>
      <c r="F279" s="306" t="s">
        <v>568</v>
      </c>
      <c r="G279" s="307" t="n">
        <v>24</v>
      </c>
      <c r="H279" s="308" t="n">
        <v>442.148760330579</v>
      </c>
      <c r="I279" s="2"/>
      <c r="J279" s="144" t="s">
        <v>12</v>
      </c>
      <c r="K279" s="309" t="s">
        <v>12</v>
      </c>
      <c r="L279" s="310"/>
      <c r="M279" s="311" t="n">
        <v>149</v>
      </c>
      <c r="N279" s="312" t="n">
        <v>9.1</v>
      </c>
      <c r="O279" s="311" t="n">
        <v>19</v>
      </c>
      <c r="P279" s="312" t="n">
        <v>12.2</v>
      </c>
      <c r="Q279" s="310" t="n">
        <v>19</v>
      </c>
      <c r="R279" s="312" t="n">
        <v>11.4</v>
      </c>
      <c r="S279" s="310"/>
      <c r="T279" s="311" t="n">
        <v>0</v>
      </c>
      <c r="U279" s="312" t="n">
        <v>15.3</v>
      </c>
      <c r="V279" s="311" t="n">
        <v>0</v>
      </c>
      <c r="W279" s="312" t="n">
        <v>11.4</v>
      </c>
      <c r="X279" s="311" t="n">
        <v>0</v>
      </c>
      <c r="Y279" s="312" t="n">
        <v>10.4</v>
      </c>
      <c r="Z279" s="313" t="n">
        <v>0</v>
      </c>
      <c r="AA279" s="314" t="n">
        <v>11.4</v>
      </c>
      <c r="AB279" s="313" t="n">
        <v>0</v>
      </c>
      <c r="AC279" s="314" t="n">
        <v>11.4</v>
      </c>
      <c r="AD279" s="315"/>
      <c r="AE279" s="144" t="n">
        <v>-76</v>
      </c>
      <c r="AF279" s="315"/>
      <c r="AG279" s="311" t="n">
        <v>0</v>
      </c>
      <c r="AH279" s="309" t="n">
        <v>0</v>
      </c>
      <c r="AI279" s="310"/>
      <c r="AJ279" s="311" t="n">
        <v>-1</v>
      </c>
      <c r="AK279" s="309" t="n">
        <v>218.4</v>
      </c>
      <c r="AL279" s="311" t="n">
        <v>54</v>
      </c>
      <c r="AM279" s="309" t="n">
        <v>292.8</v>
      </c>
      <c r="AN279" s="311" t="n">
        <v>73</v>
      </c>
      <c r="AO279" s="309" t="n">
        <v>273.6</v>
      </c>
      <c r="AP279" s="310"/>
      <c r="AQ279" s="311" t="n">
        <v>-1</v>
      </c>
      <c r="AR279" s="309" t="n">
        <v>367.2</v>
      </c>
      <c r="AS279" s="311" t="n">
        <v>92</v>
      </c>
      <c r="AT279" s="309" t="n">
        <v>273.6</v>
      </c>
      <c r="AU279" s="311" t="n">
        <v>116</v>
      </c>
      <c r="AV279" s="309" t="n">
        <v>249.6</v>
      </c>
      <c r="AW279" s="311" t="n">
        <v>92</v>
      </c>
      <c r="AX279" s="309" t="n">
        <v>273.6</v>
      </c>
      <c r="AY279" s="311" t="n">
        <v>92</v>
      </c>
      <c r="AZ279" s="309" t="n">
        <v>273.6</v>
      </c>
      <c r="BB279" s="144" t="n">
        <v>0</v>
      </c>
      <c r="BC279" s="315"/>
      <c r="BD279" s="311" t="n">
        <v>0</v>
      </c>
      <c r="BE279" s="316" t="n">
        <v>0</v>
      </c>
      <c r="BF279" s="310"/>
      <c r="BG279" s="317" t="n">
        <v>0</v>
      </c>
      <c r="BH279" s="318" t="n">
        <v>0.199999999999999</v>
      </c>
      <c r="BI279" s="317" t="n">
        <v>0</v>
      </c>
      <c r="BJ279" s="318" t="n">
        <v>0.800000000000001</v>
      </c>
      <c r="BK279" s="317" t="n">
        <v>0</v>
      </c>
      <c r="BL279" s="318" t="n">
        <v>0.6</v>
      </c>
      <c r="BM279" s="310"/>
      <c r="BN279" s="317" t="n">
        <v>0</v>
      </c>
      <c r="BO279" s="318" t="n">
        <v>0</v>
      </c>
      <c r="BP279" s="317" t="n">
        <v>0</v>
      </c>
      <c r="BQ279" s="318" t="n">
        <v>0</v>
      </c>
      <c r="BR279" s="317" t="n">
        <v>0</v>
      </c>
      <c r="BS279" s="318" t="n">
        <v>-1</v>
      </c>
      <c r="BT279" s="317" t="n">
        <v>0</v>
      </c>
      <c r="BU279" s="318" t="n">
        <v>-1</v>
      </c>
      <c r="BV279" s="317" t="n">
        <v>0</v>
      </c>
      <c r="BW279" s="318" t="n">
        <v>-1</v>
      </c>
      <c r="BY279" s="143"/>
      <c r="BZ279" s="315"/>
      <c r="CA279" s="144" t="s">
        <v>12</v>
      </c>
      <c r="CB279" s="315"/>
      <c r="CC279" s="144" t="n">
        <v>-74.7487603305785</v>
      </c>
      <c r="CD279" s="144" t="n">
        <v>-130.348760330579</v>
      </c>
      <c r="CE279" s="144" t="n">
        <v>-149.548760330579</v>
      </c>
      <c r="CF279" s="315"/>
      <c r="CG279" s="144" t="n">
        <v>-74.9487603305785</v>
      </c>
      <c r="CH279" s="144" t="n">
        <v>-168.548760330578</v>
      </c>
      <c r="CI279" s="144" t="n">
        <v>-192.548760330578</v>
      </c>
      <c r="CJ279" s="144" t="n">
        <v>-168.548760330578</v>
      </c>
      <c r="CK279" s="144" t="n">
        <v>-168.548760330578</v>
      </c>
      <c r="CM279" s="144" t="n">
        <v>371.892561983471</v>
      </c>
      <c r="CO279" s="319"/>
      <c r="CP279" s="320"/>
      <c r="CQ279" s="321" t="s">
        <v>12</v>
      </c>
      <c r="CR279" s="320"/>
      <c r="CS279" s="322" t="n">
        <v>-4.49256198347109</v>
      </c>
      <c r="CT279" s="322" t="n">
        <v>-60.0925619834711</v>
      </c>
      <c r="CU279" s="322" t="n">
        <v>-79.292561983471</v>
      </c>
      <c r="CV279" s="323"/>
      <c r="CW279" s="322" t="n">
        <v>-4.69256198347102</v>
      </c>
      <c r="CX279" s="322" t="n">
        <v>-98.2925619834711</v>
      </c>
      <c r="CY279" s="322" t="n">
        <v>-122.292561983471</v>
      </c>
      <c r="CZ279" s="322" t="n">
        <v>-98.2925619834711</v>
      </c>
      <c r="DA279" s="322" t="n">
        <v>-98.2925619834711</v>
      </c>
    </row>
    <row r="280" customFormat="false" ht="12.75" hidden="false" customHeight="false" outlineLevel="0" collapsed="false">
      <c r="B280" s="305" t="s">
        <v>260</v>
      </c>
      <c r="C280" s="305" t="s">
        <v>574</v>
      </c>
      <c r="D280" s="306" t="n">
        <v>366</v>
      </c>
      <c r="E280" s="306" t="n">
        <v>0</v>
      </c>
      <c r="F280" s="324" t="s">
        <v>568</v>
      </c>
      <c r="G280" s="144" t="n">
        <v>48</v>
      </c>
      <c r="H280" s="325" t="n">
        <v>442.148760330579</v>
      </c>
      <c r="I280" s="2"/>
      <c r="J280" s="144" t="s">
        <v>12</v>
      </c>
      <c r="K280" s="309" t="s">
        <v>12</v>
      </c>
      <c r="L280" s="310"/>
      <c r="M280" s="311" t="n">
        <v>149</v>
      </c>
      <c r="N280" s="312" t="n">
        <v>4.6</v>
      </c>
      <c r="O280" s="311" t="n">
        <v>19</v>
      </c>
      <c r="P280" s="312" t="n">
        <v>6.1</v>
      </c>
      <c r="Q280" s="310" t="n">
        <v>19</v>
      </c>
      <c r="R280" s="312" t="n">
        <v>5.7</v>
      </c>
      <c r="S280" s="310"/>
      <c r="T280" s="311" t="n">
        <v>0</v>
      </c>
      <c r="U280" s="312" t="n">
        <v>7.7</v>
      </c>
      <c r="V280" s="311" t="n">
        <v>0</v>
      </c>
      <c r="W280" s="312" t="n">
        <v>5.7</v>
      </c>
      <c r="X280" s="311" t="n">
        <v>0</v>
      </c>
      <c r="Y280" s="312" t="n">
        <v>5.2</v>
      </c>
      <c r="Z280" s="313" t="n">
        <v>0</v>
      </c>
      <c r="AA280" s="314" t="n">
        <v>5.7</v>
      </c>
      <c r="AB280" s="313" t="n">
        <v>0</v>
      </c>
      <c r="AC280" s="314" t="n">
        <v>5.7</v>
      </c>
      <c r="AD280" s="315"/>
      <c r="AE280" s="144" t="n">
        <v>-76</v>
      </c>
      <c r="AF280" s="315"/>
      <c r="AG280" s="311" t="n">
        <v>0</v>
      </c>
      <c r="AH280" s="309" t="n">
        <v>0</v>
      </c>
      <c r="AI280" s="310"/>
      <c r="AJ280" s="311" t="n">
        <v>-4</v>
      </c>
      <c r="AK280" s="309" t="n">
        <v>220.8</v>
      </c>
      <c r="AL280" s="311" t="n">
        <v>54</v>
      </c>
      <c r="AM280" s="309" t="n">
        <v>292.8</v>
      </c>
      <c r="AN280" s="310" t="n">
        <v>73</v>
      </c>
      <c r="AO280" s="309" t="n">
        <v>273.6</v>
      </c>
      <c r="AP280" s="310"/>
      <c r="AQ280" s="311" t="n">
        <v>-4</v>
      </c>
      <c r="AR280" s="309" t="n">
        <v>369.6</v>
      </c>
      <c r="AS280" s="311" t="n">
        <v>92</v>
      </c>
      <c r="AT280" s="309" t="n">
        <v>273.6</v>
      </c>
      <c r="AU280" s="310" t="n">
        <v>116</v>
      </c>
      <c r="AV280" s="309" t="n">
        <v>249.6</v>
      </c>
      <c r="AW280" s="310" t="n">
        <v>92</v>
      </c>
      <c r="AX280" s="309" t="n">
        <v>273.6</v>
      </c>
      <c r="AY280" s="310" t="n">
        <v>92</v>
      </c>
      <c r="AZ280" s="309" t="n">
        <v>273.6</v>
      </c>
      <c r="BB280" s="144" t="n">
        <v>0</v>
      </c>
      <c r="BC280" s="315"/>
      <c r="BD280" s="311" t="n">
        <v>0</v>
      </c>
      <c r="BE280" s="316" t="n">
        <v>0</v>
      </c>
      <c r="BF280" s="310"/>
      <c r="BG280" s="317" t="n">
        <v>0</v>
      </c>
      <c r="BH280" s="318" t="n">
        <v>0</v>
      </c>
      <c r="BI280" s="317" t="n">
        <v>0</v>
      </c>
      <c r="BJ280" s="318" t="n">
        <v>0</v>
      </c>
      <c r="BK280" s="317" t="n">
        <v>0</v>
      </c>
      <c r="BL280" s="318" t="n">
        <v>0</v>
      </c>
      <c r="BM280" s="310"/>
      <c r="BN280" s="317" t="n">
        <v>0</v>
      </c>
      <c r="BO280" s="318" t="n">
        <v>0</v>
      </c>
      <c r="BP280" s="317" t="n">
        <v>0</v>
      </c>
      <c r="BQ280" s="318" t="n">
        <v>0</v>
      </c>
      <c r="BR280" s="317" t="n">
        <v>0</v>
      </c>
      <c r="BS280" s="318" t="n">
        <v>0</v>
      </c>
      <c r="BT280" s="317" t="n">
        <v>0</v>
      </c>
      <c r="BU280" s="318" t="n">
        <v>0</v>
      </c>
      <c r="BV280" s="317" t="n">
        <v>0</v>
      </c>
      <c r="BW280" s="318" t="n">
        <v>0</v>
      </c>
      <c r="BY280" s="143"/>
      <c r="BZ280" s="315"/>
      <c r="CA280" s="144" t="s">
        <v>12</v>
      </c>
      <c r="CB280" s="315"/>
      <c r="CC280" s="144" t="n">
        <v>-72.3487603305785</v>
      </c>
      <c r="CD280" s="144" t="n">
        <v>-130.348760330579</v>
      </c>
      <c r="CE280" s="144" t="n">
        <v>-149.548760330579</v>
      </c>
      <c r="CF280" s="315"/>
      <c r="CG280" s="144" t="n">
        <v>-72.5487603305785</v>
      </c>
      <c r="CH280" s="144" t="n">
        <v>-168.548760330578</v>
      </c>
      <c r="CI280" s="144" t="n">
        <v>-192.548760330578</v>
      </c>
      <c r="CJ280" s="144" t="n">
        <v>-168.548760330578</v>
      </c>
      <c r="CK280" s="144" t="n">
        <v>-168.548760330578</v>
      </c>
      <c r="CM280" s="144" t="n">
        <v>371.892561983471</v>
      </c>
      <c r="CO280" s="319"/>
      <c r="CP280" s="320"/>
      <c r="CQ280" s="321" t="s">
        <v>12</v>
      </c>
      <c r="CR280" s="320"/>
      <c r="CS280" s="322" t="n">
        <v>-2.09256198347106</v>
      </c>
      <c r="CT280" s="322" t="n">
        <v>-60.0925619834711</v>
      </c>
      <c r="CU280" s="322" t="n">
        <v>-79.292561983471</v>
      </c>
      <c r="CV280" s="323"/>
      <c r="CW280" s="322" t="n">
        <v>-2.29256198347105</v>
      </c>
      <c r="CX280" s="322" t="n">
        <v>-98.2925619834711</v>
      </c>
      <c r="CY280" s="322" t="n">
        <v>-122.292561983471</v>
      </c>
      <c r="CZ280" s="322" t="n">
        <v>-98.2925619834711</v>
      </c>
      <c r="DA280" s="322" t="n">
        <v>-98.2925619834711</v>
      </c>
    </row>
    <row r="281" customFormat="false" ht="12.75" hidden="false" customHeight="false" outlineLevel="0" collapsed="false">
      <c r="B281" s="305" t="s">
        <v>260</v>
      </c>
      <c r="C281" s="305" t="s">
        <v>575</v>
      </c>
      <c r="D281" s="306" t="n">
        <v>443</v>
      </c>
      <c r="E281" s="306" t="n">
        <v>0</v>
      </c>
      <c r="F281" s="306" t="s">
        <v>568</v>
      </c>
      <c r="G281" s="307" t="n">
        <v>24</v>
      </c>
      <c r="H281" s="308" t="n">
        <v>442.148760330579</v>
      </c>
      <c r="I281" s="2"/>
      <c r="J281" s="144" t="s">
        <v>12</v>
      </c>
      <c r="K281" s="309" t="s">
        <v>12</v>
      </c>
      <c r="L281" s="310"/>
      <c r="M281" s="311" t="n">
        <v>149</v>
      </c>
      <c r="N281" s="312" t="n">
        <v>9.1</v>
      </c>
      <c r="O281" s="311" t="n">
        <v>19</v>
      </c>
      <c r="P281" s="312" t="n">
        <v>12.2</v>
      </c>
      <c r="Q281" s="310" t="n">
        <v>19</v>
      </c>
      <c r="R281" s="312" t="n">
        <v>11.4</v>
      </c>
      <c r="S281" s="310"/>
      <c r="T281" s="311" t="n">
        <v>0</v>
      </c>
      <c r="U281" s="312" t="n">
        <v>15.3</v>
      </c>
      <c r="V281" s="311" t="n">
        <v>0</v>
      </c>
      <c r="W281" s="312" t="n">
        <v>11.4</v>
      </c>
      <c r="X281" s="311" t="n">
        <v>0</v>
      </c>
      <c r="Y281" s="312" t="n">
        <v>11.4</v>
      </c>
      <c r="Z281" s="313" t="n">
        <v>0</v>
      </c>
      <c r="AA281" s="314" t="n">
        <v>12.4</v>
      </c>
      <c r="AB281" s="313" t="n">
        <v>0</v>
      </c>
      <c r="AC281" s="314" t="n">
        <v>12.4</v>
      </c>
      <c r="AD281" s="315"/>
      <c r="AE281" s="144" t="n">
        <v>1</v>
      </c>
      <c r="AF281" s="315"/>
      <c r="AG281" s="311" t="n">
        <v>0</v>
      </c>
      <c r="AH281" s="309" t="n">
        <v>0</v>
      </c>
      <c r="AI281" s="310"/>
      <c r="AJ281" s="311" t="n">
        <v>76</v>
      </c>
      <c r="AK281" s="309" t="n">
        <v>218.4</v>
      </c>
      <c r="AL281" s="311" t="n">
        <v>131</v>
      </c>
      <c r="AM281" s="309" t="n">
        <v>292.8</v>
      </c>
      <c r="AN281" s="311" t="n">
        <v>150</v>
      </c>
      <c r="AO281" s="309" t="n">
        <v>273.6</v>
      </c>
      <c r="AP281" s="310"/>
      <c r="AQ281" s="311" t="n">
        <v>76</v>
      </c>
      <c r="AR281" s="309" t="n">
        <v>367.2</v>
      </c>
      <c r="AS281" s="311" t="n">
        <v>169</v>
      </c>
      <c r="AT281" s="309" t="n">
        <v>273.6</v>
      </c>
      <c r="AU281" s="311" t="n">
        <v>169</v>
      </c>
      <c r="AV281" s="309" t="n">
        <v>273.6</v>
      </c>
      <c r="AW281" s="311" t="n">
        <v>145</v>
      </c>
      <c r="AX281" s="309" t="n">
        <v>297.6</v>
      </c>
      <c r="AY281" s="311" t="n">
        <v>145</v>
      </c>
      <c r="AZ281" s="309" t="n">
        <v>297.6</v>
      </c>
      <c r="BB281" s="144" t="n">
        <v>0</v>
      </c>
      <c r="BC281" s="315"/>
      <c r="BD281" s="311" t="n">
        <v>0</v>
      </c>
      <c r="BE281" s="316" t="n">
        <v>0</v>
      </c>
      <c r="BF281" s="310"/>
      <c r="BG281" s="317" t="n">
        <v>0</v>
      </c>
      <c r="BH281" s="318" t="n">
        <v>0.199999999999999</v>
      </c>
      <c r="BI281" s="317" t="n">
        <v>0</v>
      </c>
      <c r="BJ281" s="318" t="n">
        <v>0.800000000000001</v>
      </c>
      <c r="BK281" s="317" t="n">
        <v>0</v>
      </c>
      <c r="BL281" s="318" t="n">
        <v>0.6</v>
      </c>
      <c r="BM281" s="310"/>
      <c r="BN281" s="317" t="n">
        <v>0</v>
      </c>
      <c r="BO281" s="318" t="n">
        <v>0</v>
      </c>
      <c r="BP281" s="317" t="n">
        <v>0</v>
      </c>
      <c r="BQ281" s="318" t="n">
        <v>0</v>
      </c>
      <c r="BR281" s="317" t="n">
        <v>0</v>
      </c>
      <c r="BS281" s="318" t="n">
        <v>0</v>
      </c>
      <c r="BT281" s="317" t="n">
        <v>0</v>
      </c>
      <c r="BU281" s="318" t="n">
        <v>0</v>
      </c>
      <c r="BV281" s="317" t="n">
        <v>0</v>
      </c>
      <c r="BW281" s="318" t="n">
        <v>0</v>
      </c>
      <c r="BY281" s="143"/>
      <c r="BZ281" s="315"/>
      <c r="CA281" s="144" t="s">
        <v>12</v>
      </c>
      <c r="CB281" s="315"/>
      <c r="CC281" s="144" t="n">
        <v>-74.7487603305785</v>
      </c>
      <c r="CD281" s="144" t="n">
        <v>-130.348760330579</v>
      </c>
      <c r="CE281" s="144" t="n">
        <v>-149.548760330579</v>
      </c>
      <c r="CF281" s="315"/>
      <c r="CG281" s="144" t="n">
        <v>-74.9487603305785</v>
      </c>
      <c r="CH281" s="144" t="n">
        <v>-168.548760330578</v>
      </c>
      <c r="CI281" s="144" t="n">
        <v>-168.548760330578</v>
      </c>
      <c r="CJ281" s="144" t="n">
        <v>-144.548760330579</v>
      </c>
      <c r="CK281" s="144" t="n">
        <v>-144.548760330579</v>
      </c>
      <c r="CM281" s="144" t="n">
        <v>371.892561983471</v>
      </c>
      <c r="CO281" s="319"/>
      <c r="CP281" s="320"/>
      <c r="CQ281" s="321" t="s">
        <v>12</v>
      </c>
      <c r="CR281" s="320"/>
      <c r="CS281" s="322" t="n">
        <v>-4.49256198347109</v>
      </c>
      <c r="CT281" s="322" t="n">
        <v>-60.0925619834711</v>
      </c>
      <c r="CU281" s="322" t="n">
        <v>-79.292561983471</v>
      </c>
      <c r="CV281" s="323"/>
      <c r="CW281" s="322" t="n">
        <v>-4.69256198347102</v>
      </c>
      <c r="CX281" s="322" t="n">
        <v>-98.2925619834711</v>
      </c>
      <c r="CY281" s="322" t="n">
        <v>-98.2925619834711</v>
      </c>
      <c r="CZ281" s="322" t="n">
        <v>-74.292561983471</v>
      </c>
      <c r="DA281" s="322" t="n">
        <v>-74.292561983471</v>
      </c>
    </row>
    <row r="282" customFormat="false" ht="12.75" hidden="false" customHeight="false" outlineLevel="0" collapsed="false">
      <c r="B282" s="305" t="s">
        <v>260</v>
      </c>
      <c r="C282" s="305" t="s">
        <v>575</v>
      </c>
      <c r="D282" s="306" t="n">
        <v>443</v>
      </c>
      <c r="E282" s="306" t="n">
        <v>0</v>
      </c>
      <c r="F282" s="324" t="s">
        <v>568</v>
      </c>
      <c r="G282" s="144" t="n">
        <v>48</v>
      </c>
      <c r="H282" s="325" t="n">
        <v>442.148760330579</v>
      </c>
      <c r="I282" s="2"/>
      <c r="J282" s="144" t="s">
        <v>12</v>
      </c>
      <c r="K282" s="309" t="s">
        <v>12</v>
      </c>
      <c r="L282" s="310"/>
      <c r="M282" s="311" t="n">
        <v>149</v>
      </c>
      <c r="N282" s="312" t="n">
        <v>4.6</v>
      </c>
      <c r="O282" s="311" t="n">
        <v>19</v>
      </c>
      <c r="P282" s="312" t="n">
        <v>6.1</v>
      </c>
      <c r="Q282" s="310" t="n">
        <v>19</v>
      </c>
      <c r="R282" s="312" t="n">
        <v>5.7</v>
      </c>
      <c r="S282" s="310"/>
      <c r="T282" s="311" t="n">
        <v>0</v>
      </c>
      <c r="U282" s="312" t="n">
        <v>7.7</v>
      </c>
      <c r="V282" s="311" t="n">
        <v>0</v>
      </c>
      <c r="W282" s="312" t="n">
        <v>5.7</v>
      </c>
      <c r="X282" s="311" t="n">
        <v>0</v>
      </c>
      <c r="Y282" s="312" t="n">
        <v>5.7</v>
      </c>
      <c r="Z282" s="313" t="n">
        <v>0</v>
      </c>
      <c r="AA282" s="314" t="n">
        <v>6.2</v>
      </c>
      <c r="AB282" s="313" t="n">
        <v>0</v>
      </c>
      <c r="AC282" s="314" t="n">
        <v>6.2</v>
      </c>
      <c r="AD282" s="315"/>
      <c r="AE282" s="144" t="n">
        <v>1</v>
      </c>
      <c r="AF282" s="315"/>
      <c r="AG282" s="311" t="n">
        <v>0</v>
      </c>
      <c r="AH282" s="309" t="n">
        <v>0</v>
      </c>
      <c r="AI282" s="310"/>
      <c r="AJ282" s="311" t="n">
        <v>73</v>
      </c>
      <c r="AK282" s="309" t="n">
        <v>220.8</v>
      </c>
      <c r="AL282" s="311" t="n">
        <v>131</v>
      </c>
      <c r="AM282" s="309" t="n">
        <v>292.8</v>
      </c>
      <c r="AN282" s="310" t="n">
        <v>150</v>
      </c>
      <c r="AO282" s="309" t="n">
        <v>273.6</v>
      </c>
      <c r="AP282" s="310"/>
      <c r="AQ282" s="311" t="n">
        <v>73</v>
      </c>
      <c r="AR282" s="309" t="n">
        <v>369.6</v>
      </c>
      <c r="AS282" s="311" t="n">
        <v>169</v>
      </c>
      <c r="AT282" s="309" t="n">
        <v>273.6</v>
      </c>
      <c r="AU282" s="310" t="n">
        <v>169</v>
      </c>
      <c r="AV282" s="309" t="n">
        <v>273.6</v>
      </c>
      <c r="AW282" s="310" t="n">
        <v>145</v>
      </c>
      <c r="AX282" s="309" t="n">
        <v>297.6</v>
      </c>
      <c r="AY282" s="310" t="n">
        <v>145</v>
      </c>
      <c r="AZ282" s="309" t="n">
        <v>297.6</v>
      </c>
      <c r="BB282" s="144" t="n">
        <v>0</v>
      </c>
      <c r="BC282" s="315"/>
      <c r="BD282" s="311" t="n">
        <v>0</v>
      </c>
      <c r="BE282" s="316" t="n">
        <v>0</v>
      </c>
      <c r="BF282" s="310"/>
      <c r="BG282" s="317" t="n">
        <v>0</v>
      </c>
      <c r="BH282" s="318" t="n">
        <v>0</v>
      </c>
      <c r="BI282" s="317" t="n">
        <v>0</v>
      </c>
      <c r="BJ282" s="318" t="n">
        <v>0</v>
      </c>
      <c r="BK282" s="317" t="n">
        <v>0</v>
      </c>
      <c r="BL282" s="318" t="n">
        <v>0</v>
      </c>
      <c r="BM282" s="310"/>
      <c r="BN282" s="317" t="n">
        <v>0</v>
      </c>
      <c r="BO282" s="318" t="n">
        <v>0</v>
      </c>
      <c r="BP282" s="317" t="n">
        <v>0</v>
      </c>
      <c r="BQ282" s="318" t="n">
        <v>0</v>
      </c>
      <c r="BR282" s="317" t="n">
        <v>0</v>
      </c>
      <c r="BS282" s="318" t="n">
        <v>0</v>
      </c>
      <c r="BT282" s="317" t="n">
        <v>0</v>
      </c>
      <c r="BU282" s="318" t="n">
        <v>0</v>
      </c>
      <c r="BV282" s="317" t="n">
        <v>0</v>
      </c>
      <c r="BW282" s="318" t="n">
        <v>0</v>
      </c>
      <c r="BY282" s="143"/>
      <c r="BZ282" s="315"/>
      <c r="CA282" s="144" t="s">
        <v>12</v>
      </c>
      <c r="CB282" s="315"/>
      <c r="CC282" s="144" t="n">
        <v>-72.3487603305785</v>
      </c>
      <c r="CD282" s="144" t="n">
        <v>-130.348760330579</v>
      </c>
      <c r="CE282" s="144" t="n">
        <v>-149.548760330579</v>
      </c>
      <c r="CF282" s="315"/>
      <c r="CG282" s="144" t="n">
        <v>-72.5487603305785</v>
      </c>
      <c r="CH282" s="144" t="n">
        <v>-168.548760330578</v>
      </c>
      <c r="CI282" s="144" t="n">
        <v>-168.548760330578</v>
      </c>
      <c r="CJ282" s="144" t="n">
        <v>-144.548760330579</v>
      </c>
      <c r="CK282" s="144" t="n">
        <v>-144.548760330579</v>
      </c>
      <c r="CM282" s="144" t="n">
        <v>371.892561983471</v>
      </c>
      <c r="CO282" s="319"/>
      <c r="CP282" s="320"/>
      <c r="CQ282" s="321" t="s">
        <v>12</v>
      </c>
      <c r="CR282" s="320"/>
      <c r="CS282" s="322" t="n">
        <v>-2.09256198347106</v>
      </c>
      <c r="CT282" s="322" t="n">
        <v>-60.0925619834711</v>
      </c>
      <c r="CU282" s="322" t="n">
        <v>-79.292561983471</v>
      </c>
      <c r="CV282" s="323"/>
      <c r="CW282" s="322" t="n">
        <v>-2.29256198347105</v>
      </c>
      <c r="CX282" s="322" t="n">
        <v>-98.2925619834711</v>
      </c>
      <c r="CY282" s="322" t="n">
        <v>-98.2925619834711</v>
      </c>
      <c r="CZ282" s="322" t="n">
        <v>-74.292561983471</v>
      </c>
      <c r="DA282" s="322" t="n">
        <v>-74.292561983471</v>
      </c>
    </row>
    <row r="283" customFormat="false" ht="12.75" hidden="false" customHeight="false" outlineLevel="0" collapsed="false">
      <c r="B283" s="305" t="s">
        <v>260</v>
      </c>
      <c r="C283" s="305" t="s">
        <v>576</v>
      </c>
      <c r="D283" s="306" t="n">
        <v>778</v>
      </c>
      <c r="E283" s="306" t="n">
        <v>0</v>
      </c>
      <c r="F283" s="306" t="s">
        <v>568</v>
      </c>
      <c r="G283" s="307" t="n">
        <v>24</v>
      </c>
      <c r="H283" s="308" t="n">
        <v>777.685950413223</v>
      </c>
      <c r="I283" s="2"/>
      <c r="J283" s="144" t="s">
        <v>12</v>
      </c>
      <c r="K283" s="309" t="s">
        <v>12</v>
      </c>
      <c r="L283" s="310"/>
      <c r="M283" s="311" t="n">
        <v>329</v>
      </c>
      <c r="N283" s="312" t="n">
        <v>13.5</v>
      </c>
      <c r="O283" s="311" t="n">
        <v>189</v>
      </c>
      <c r="P283" s="312" t="n">
        <v>16.6</v>
      </c>
      <c r="Q283" s="310" t="n">
        <v>189</v>
      </c>
      <c r="R283" s="312" t="n">
        <v>15.8</v>
      </c>
      <c r="S283" s="310"/>
      <c r="T283" s="311" t="n">
        <v>0</v>
      </c>
      <c r="U283" s="312" t="n">
        <v>26.7</v>
      </c>
      <c r="V283" s="311" t="n">
        <v>0</v>
      </c>
      <c r="W283" s="312" t="n">
        <v>22.5</v>
      </c>
      <c r="X283" s="311" t="n">
        <v>0</v>
      </c>
      <c r="Y283" s="312" t="n">
        <v>23.1</v>
      </c>
      <c r="Z283" s="313" t="n">
        <v>0</v>
      </c>
      <c r="AA283" s="314" t="n">
        <v>23.1</v>
      </c>
      <c r="AB283" s="313" t="n">
        <v>0</v>
      </c>
      <c r="AC283" s="314" t="n">
        <v>23.1</v>
      </c>
      <c r="AD283" s="315"/>
      <c r="AE283" s="144" t="n">
        <v>0</v>
      </c>
      <c r="AF283" s="315"/>
      <c r="AG283" s="311" t="n">
        <v>0</v>
      </c>
      <c r="AH283" s="309" t="n">
        <v>0</v>
      </c>
      <c r="AI283" s="310"/>
      <c r="AJ283" s="311" t="n">
        <v>125</v>
      </c>
      <c r="AK283" s="309" t="n">
        <v>324</v>
      </c>
      <c r="AL283" s="311" t="n">
        <v>191</v>
      </c>
      <c r="AM283" s="309" t="n">
        <v>398.4</v>
      </c>
      <c r="AN283" s="311" t="n">
        <v>210</v>
      </c>
      <c r="AO283" s="309" t="n">
        <v>379.2</v>
      </c>
      <c r="AP283" s="310"/>
      <c r="AQ283" s="311" t="n">
        <v>137</v>
      </c>
      <c r="AR283" s="309" t="n">
        <v>640.8</v>
      </c>
      <c r="AS283" s="311" t="n">
        <v>238</v>
      </c>
      <c r="AT283" s="309" t="n">
        <v>540</v>
      </c>
      <c r="AU283" s="311" t="n">
        <v>224</v>
      </c>
      <c r="AV283" s="309" t="n">
        <v>554.4</v>
      </c>
      <c r="AW283" s="311" t="n">
        <v>224</v>
      </c>
      <c r="AX283" s="309" t="n">
        <v>554.4</v>
      </c>
      <c r="AY283" s="311" t="n">
        <v>224</v>
      </c>
      <c r="AZ283" s="309" t="n">
        <v>554.4</v>
      </c>
      <c r="BB283" s="144" t="n">
        <v>0</v>
      </c>
      <c r="BC283" s="315"/>
      <c r="BD283" s="311" t="n">
        <v>0</v>
      </c>
      <c r="BE283" s="316" t="n">
        <v>0</v>
      </c>
      <c r="BF283" s="310"/>
      <c r="BG283" s="317" t="n">
        <v>0</v>
      </c>
      <c r="BH283" s="318" t="n">
        <v>0.399999999999999</v>
      </c>
      <c r="BI283" s="317" t="n">
        <v>0</v>
      </c>
      <c r="BJ283" s="318" t="n">
        <v>0.600000000000001</v>
      </c>
      <c r="BK283" s="317" t="n">
        <v>0</v>
      </c>
      <c r="BL283" s="318" t="n">
        <v>0.9</v>
      </c>
      <c r="BM283" s="310"/>
      <c r="BN283" s="317" t="n">
        <v>0</v>
      </c>
      <c r="BO283" s="318" t="n">
        <v>0</v>
      </c>
      <c r="BP283" s="317" t="n">
        <v>0</v>
      </c>
      <c r="BQ283" s="318" t="n">
        <v>0</v>
      </c>
      <c r="BR283" s="317" t="n">
        <v>0</v>
      </c>
      <c r="BS283" s="318" t="n">
        <v>0.600000000000001</v>
      </c>
      <c r="BT283" s="317" t="n">
        <v>0</v>
      </c>
      <c r="BU283" s="318" t="n">
        <v>0.600000000000001</v>
      </c>
      <c r="BV283" s="317" t="n">
        <v>0</v>
      </c>
      <c r="BW283" s="318" t="n">
        <v>0.600000000000001</v>
      </c>
      <c r="BY283" s="143"/>
      <c r="BZ283" s="315"/>
      <c r="CA283" s="144" t="s">
        <v>12</v>
      </c>
      <c r="CB283" s="315"/>
      <c r="CC283" s="144" t="n">
        <v>-124.685950413223</v>
      </c>
      <c r="CD283" s="144" t="n">
        <v>-190.285950413223</v>
      </c>
      <c r="CE283" s="144" t="n">
        <v>-209.485950413223</v>
      </c>
      <c r="CF283" s="315"/>
      <c r="CG283" s="144" t="n">
        <v>-136.885950413223</v>
      </c>
      <c r="CH283" s="144" t="n">
        <v>-237.685950413223</v>
      </c>
      <c r="CI283" s="144" t="n">
        <v>-223.285950413223</v>
      </c>
      <c r="CJ283" s="144" t="n">
        <v>-223.285950413223</v>
      </c>
      <c r="CK283" s="144" t="n">
        <v>-223.285950413223</v>
      </c>
      <c r="CM283" s="144" t="n">
        <v>661.148760330579</v>
      </c>
      <c r="CO283" s="319"/>
      <c r="CP283" s="320"/>
      <c r="CQ283" s="321" t="s">
        <v>12</v>
      </c>
      <c r="CR283" s="320"/>
      <c r="CS283" s="322" t="n">
        <v>-8.14876033057851</v>
      </c>
      <c r="CT283" s="322" t="n">
        <v>-73.7487603305784</v>
      </c>
      <c r="CU283" s="322" t="n">
        <v>-92.9487603305785</v>
      </c>
      <c r="CV283" s="323"/>
      <c r="CW283" s="322" t="n">
        <v>-20.3487603305784</v>
      </c>
      <c r="CX283" s="322" t="n">
        <v>-121.148760330579</v>
      </c>
      <c r="CY283" s="322" t="n">
        <v>-106.748760330578</v>
      </c>
      <c r="CZ283" s="322" t="n">
        <v>-106.748760330578</v>
      </c>
      <c r="DA283" s="322" t="n">
        <v>-106.748760330578</v>
      </c>
    </row>
    <row r="284" customFormat="false" ht="12.75" hidden="false" customHeight="false" outlineLevel="0" collapsed="false">
      <c r="B284" s="305" t="s">
        <v>260</v>
      </c>
      <c r="C284" s="305" t="s">
        <v>576</v>
      </c>
      <c r="D284" s="306" t="n">
        <v>778</v>
      </c>
      <c r="E284" s="306" t="n">
        <v>0</v>
      </c>
      <c r="F284" s="324" t="s">
        <v>568</v>
      </c>
      <c r="G284" s="144" t="n">
        <v>48</v>
      </c>
      <c r="H284" s="325" t="n">
        <v>777.685950413223</v>
      </c>
      <c r="I284" s="2"/>
      <c r="J284" s="144" t="s">
        <v>12</v>
      </c>
      <c r="K284" s="309" t="s">
        <v>12</v>
      </c>
      <c r="L284" s="310"/>
      <c r="M284" s="311" t="n">
        <v>329</v>
      </c>
      <c r="N284" s="312" t="n">
        <v>6.8</v>
      </c>
      <c r="O284" s="311" t="n">
        <v>189</v>
      </c>
      <c r="P284" s="312" t="n">
        <v>8.3</v>
      </c>
      <c r="Q284" s="310" t="n">
        <v>189</v>
      </c>
      <c r="R284" s="312" t="n">
        <v>7.9</v>
      </c>
      <c r="S284" s="310"/>
      <c r="T284" s="311" t="n">
        <v>0</v>
      </c>
      <c r="U284" s="312" t="n">
        <v>13.4</v>
      </c>
      <c r="V284" s="311" t="n">
        <v>0</v>
      </c>
      <c r="W284" s="312" t="n">
        <v>11.3</v>
      </c>
      <c r="X284" s="311" t="n">
        <v>0</v>
      </c>
      <c r="Y284" s="312" t="n">
        <v>11.6</v>
      </c>
      <c r="Z284" s="313" t="n">
        <v>0</v>
      </c>
      <c r="AA284" s="314" t="n">
        <v>11.6</v>
      </c>
      <c r="AB284" s="313" t="n">
        <v>0</v>
      </c>
      <c r="AC284" s="314" t="n">
        <v>11.6</v>
      </c>
      <c r="AD284" s="315"/>
      <c r="AE284" s="144" t="n">
        <v>0</v>
      </c>
      <c r="AF284" s="315"/>
      <c r="AG284" s="311" t="n">
        <v>0</v>
      </c>
      <c r="AH284" s="309" t="n">
        <v>0</v>
      </c>
      <c r="AI284" s="310"/>
      <c r="AJ284" s="311" t="n">
        <v>123</v>
      </c>
      <c r="AK284" s="309" t="n">
        <v>326.4</v>
      </c>
      <c r="AL284" s="311" t="n">
        <v>191</v>
      </c>
      <c r="AM284" s="309" t="n">
        <v>398.4</v>
      </c>
      <c r="AN284" s="310" t="n">
        <v>210</v>
      </c>
      <c r="AO284" s="309" t="n">
        <v>379.2</v>
      </c>
      <c r="AP284" s="310"/>
      <c r="AQ284" s="311" t="n">
        <v>135</v>
      </c>
      <c r="AR284" s="309" t="n">
        <v>643.2</v>
      </c>
      <c r="AS284" s="311" t="n">
        <v>236</v>
      </c>
      <c r="AT284" s="309" t="n">
        <v>542.4</v>
      </c>
      <c r="AU284" s="310" t="n">
        <v>221</v>
      </c>
      <c r="AV284" s="309" t="n">
        <v>556.8</v>
      </c>
      <c r="AW284" s="310" t="n">
        <v>221</v>
      </c>
      <c r="AX284" s="309" t="n">
        <v>556.8</v>
      </c>
      <c r="AY284" s="310" t="n">
        <v>221</v>
      </c>
      <c r="AZ284" s="309" t="n">
        <v>556.8</v>
      </c>
      <c r="BB284" s="144" t="n">
        <v>0</v>
      </c>
      <c r="BC284" s="315"/>
      <c r="BD284" s="311" t="n">
        <v>0</v>
      </c>
      <c r="BE284" s="316" t="n">
        <v>0</v>
      </c>
      <c r="BF284" s="310"/>
      <c r="BG284" s="317" t="n">
        <v>0</v>
      </c>
      <c r="BH284" s="318" t="n">
        <v>0</v>
      </c>
      <c r="BI284" s="317" t="n">
        <v>0</v>
      </c>
      <c r="BJ284" s="318" t="n">
        <v>0</v>
      </c>
      <c r="BK284" s="317" t="n">
        <v>0</v>
      </c>
      <c r="BL284" s="318" t="n">
        <v>0</v>
      </c>
      <c r="BM284" s="310"/>
      <c r="BN284" s="317" t="n">
        <v>0</v>
      </c>
      <c r="BO284" s="318" t="n">
        <v>0</v>
      </c>
      <c r="BP284" s="317" t="n">
        <v>0</v>
      </c>
      <c r="BQ284" s="318" t="n">
        <v>0</v>
      </c>
      <c r="BR284" s="317" t="n">
        <v>0</v>
      </c>
      <c r="BS284" s="318" t="n">
        <v>0</v>
      </c>
      <c r="BT284" s="317" t="n">
        <v>0</v>
      </c>
      <c r="BU284" s="318" t="n">
        <v>0</v>
      </c>
      <c r="BV284" s="317" t="n">
        <v>0</v>
      </c>
      <c r="BW284" s="318" t="n">
        <v>0</v>
      </c>
      <c r="BY284" s="143"/>
      <c r="BZ284" s="315"/>
      <c r="CA284" s="144" t="s">
        <v>12</v>
      </c>
      <c r="CB284" s="315"/>
      <c r="CC284" s="144" t="n">
        <v>-122.285950413223</v>
      </c>
      <c r="CD284" s="144" t="n">
        <v>-190.285950413223</v>
      </c>
      <c r="CE284" s="144" t="n">
        <v>-209.485950413223</v>
      </c>
      <c r="CF284" s="315"/>
      <c r="CG284" s="144" t="n">
        <v>-134.485950413223</v>
      </c>
      <c r="CH284" s="144" t="n">
        <v>-235.285950413223</v>
      </c>
      <c r="CI284" s="144" t="n">
        <v>-220.885950413223</v>
      </c>
      <c r="CJ284" s="144" t="n">
        <v>-220.885950413223</v>
      </c>
      <c r="CK284" s="144" t="n">
        <v>-220.885950413223</v>
      </c>
      <c r="CM284" s="144" t="n">
        <v>661.148760330579</v>
      </c>
      <c r="CO284" s="319"/>
      <c r="CP284" s="320"/>
      <c r="CQ284" s="321" t="s">
        <v>12</v>
      </c>
      <c r="CR284" s="320"/>
      <c r="CS284" s="322" t="n">
        <v>-5.74876033057842</v>
      </c>
      <c r="CT284" s="322" t="n">
        <v>-73.7487603305784</v>
      </c>
      <c r="CU284" s="322" t="n">
        <v>-92.9487603305785</v>
      </c>
      <c r="CV284" s="323"/>
      <c r="CW284" s="322" t="n">
        <v>-17.9487603305785</v>
      </c>
      <c r="CX284" s="322" t="n">
        <v>-118.748760330578</v>
      </c>
      <c r="CY284" s="322" t="n">
        <v>-104.348760330578</v>
      </c>
      <c r="CZ284" s="322" t="n">
        <v>-104.348760330578</v>
      </c>
      <c r="DA284" s="322" t="n">
        <v>-104.348760330578</v>
      </c>
    </row>
    <row r="285" customFormat="false" ht="12.75" hidden="false" customHeight="false" outlineLevel="0" collapsed="false">
      <c r="B285" s="305" t="s">
        <v>260</v>
      </c>
      <c r="C285" s="327" t="s">
        <v>577</v>
      </c>
      <c r="D285" s="306" t="n">
        <v>482</v>
      </c>
      <c r="E285" s="306" t="n">
        <v>0</v>
      </c>
      <c r="F285" s="306" t="s">
        <v>568</v>
      </c>
      <c r="G285" s="307" t="n">
        <v>24</v>
      </c>
      <c r="H285" s="308" t="n">
        <v>481.818181818182</v>
      </c>
      <c r="I285" s="2"/>
      <c r="J285" s="144" t="s">
        <v>12</v>
      </c>
      <c r="K285" s="309" t="s">
        <v>12</v>
      </c>
      <c r="L285" s="310"/>
      <c r="M285" s="311" t="n">
        <v>169</v>
      </c>
      <c r="N285" s="312" t="n">
        <v>10.2</v>
      </c>
      <c r="O285" s="311" t="n">
        <v>19</v>
      </c>
      <c r="P285" s="312" t="n">
        <v>13.9</v>
      </c>
      <c r="Q285" s="310" t="n">
        <v>19</v>
      </c>
      <c r="R285" s="312" t="n">
        <v>13.1</v>
      </c>
      <c r="S285" s="310"/>
      <c r="T285" s="311" t="n">
        <v>0</v>
      </c>
      <c r="U285" s="312" t="n">
        <v>17</v>
      </c>
      <c r="V285" s="311" t="n">
        <v>0</v>
      </c>
      <c r="W285" s="312" t="n">
        <v>13.3</v>
      </c>
      <c r="X285" s="311" t="n">
        <v>0</v>
      </c>
      <c r="Y285" s="312" t="n">
        <v>13.3</v>
      </c>
      <c r="Z285" s="313" t="n">
        <v>0</v>
      </c>
      <c r="AA285" s="314" t="n">
        <v>13.2</v>
      </c>
      <c r="AB285" s="313" t="n">
        <v>0</v>
      </c>
      <c r="AC285" s="314" t="n">
        <v>13.2</v>
      </c>
      <c r="AD285" s="315"/>
      <c r="AE285" s="144" t="n">
        <v>0</v>
      </c>
      <c r="AF285" s="315"/>
      <c r="AG285" s="311" t="n">
        <v>0</v>
      </c>
      <c r="AH285" s="309" t="n">
        <v>0</v>
      </c>
      <c r="AI285" s="310"/>
      <c r="AJ285" s="311" t="n">
        <v>68</v>
      </c>
      <c r="AK285" s="309" t="n">
        <v>244.8</v>
      </c>
      <c r="AL285" s="311" t="n">
        <v>129</v>
      </c>
      <c r="AM285" s="309" t="n">
        <v>333.6</v>
      </c>
      <c r="AN285" s="311" t="n">
        <v>149</v>
      </c>
      <c r="AO285" s="309" t="n">
        <v>314.4</v>
      </c>
      <c r="AP285" s="310"/>
      <c r="AQ285" s="311" t="n">
        <v>74</v>
      </c>
      <c r="AR285" s="309" t="n">
        <v>408</v>
      </c>
      <c r="AS285" s="311" t="n">
        <v>163</v>
      </c>
      <c r="AT285" s="309" t="n">
        <v>319.2</v>
      </c>
      <c r="AU285" s="311" t="n">
        <v>163</v>
      </c>
      <c r="AV285" s="309" t="n">
        <v>319.2</v>
      </c>
      <c r="AW285" s="311" t="n">
        <v>165</v>
      </c>
      <c r="AX285" s="309" t="n">
        <v>316.8</v>
      </c>
      <c r="AY285" s="311" t="n">
        <v>165</v>
      </c>
      <c r="AZ285" s="309" t="n">
        <v>316.8</v>
      </c>
      <c r="BB285" s="144" t="n">
        <v>0</v>
      </c>
      <c r="BC285" s="315"/>
      <c r="BD285" s="311" t="n">
        <v>0</v>
      </c>
      <c r="BE285" s="316" t="n">
        <v>0</v>
      </c>
      <c r="BF285" s="310"/>
      <c r="BG285" s="317" t="n">
        <v>0</v>
      </c>
      <c r="BH285" s="318" t="n">
        <v>0</v>
      </c>
      <c r="BI285" s="317" t="n">
        <v>0</v>
      </c>
      <c r="BJ285" s="318" t="n">
        <v>0</v>
      </c>
      <c r="BK285" s="317" t="n">
        <v>0</v>
      </c>
      <c r="BL285" s="318" t="n">
        <v>0</v>
      </c>
      <c r="BM285" s="310"/>
      <c r="BN285" s="317" t="n">
        <v>0</v>
      </c>
      <c r="BO285" s="318" t="n">
        <v>0</v>
      </c>
      <c r="BP285" s="317" t="n">
        <v>0</v>
      </c>
      <c r="BQ285" s="318" t="n">
        <v>0</v>
      </c>
      <c r="BR285" s="317" t="n">
        <v>0</v>
      </c>
      <c r="BS285" s="318" t="n">
        <v>0</v>
      </c>
      <c r="BT285" s="317" t="n">
        <v>0</v>
      </c>
      <c r="BU285" s="318" t="n">
        <v>0</v>
      </c>
      <c r="BV285" s="317" t="n">
        <v>0</v>
      </c>
      <c r="BW285" s="318" t="n">
        <v>0</v>
      </c>
      <c r="BY285" s="143"/>
      <c r="BZ285" s="315"/>
      <c r="CA285" s="144" t="s">
        <v>12</v>
      </c>
      <c r="CB285" s="315"/>
      <c r="CC285" s="144" t="n">
        <v>-68.0181818181818</v>
      </c>
      <c r="CD285" s="144" t="n">
        <v>-129.218181818182</v>
      </c>
      <c r="CE285" s="144" t="n">
        <v>-148.418181818182</v>
      </c>
      <c r="CF285" s="315"/>
      <c r="CG285" s="144" t="n">
        <v>-73.8181818181818</v>
      </c>
      <c r="CH285" s="144" t="n">
        <v>-162.618181818182</v>
      </c>
      <c r="CI285" s="144" t="n">
        <v>-162.618181818182</v>
      </c>
      <c r="CJ285" s="144" t="n">
        <v>-165.018181818182</v>
      </c>
      <c r="CK285" s="144" t="n">
        <v>-165.018181818182</v>
      </c>
      <c r="CM285" s="144" t="n">
        <v>413.214876033058</v>
      </c>
      <c r="CO285" s="319"/>
      <c r="CP285" s="320"/>
      <c r="CQ285" s="321" t="s">
        <v>12</v>
      </c>
      <c r="CR285" s="320"/>
      <c r="CS285" s="322" t="n">
        <v>0.585123966942149</v>
      </c>
      <c r="CT285" s="322" t="n">
        <v>-60.6148760330578</v>
      </c>
      <c r="CU285" s="322" t="n">
        <v>-79.8148760330578</v>
      </c>
      <c r="CV285" s="323"/>
      <c r="CW285" s="322" t="n">
        <v>-5.21487603305786</v>
      </c>
      <c r="CX285" s="322" t="n">
        <v>-94.0148760330578</v>
      </c>
      <c r="CY285" s="322" t="n">
        <v>-94.0148760330578</v>
      </c>
      <c r="CZ285" s="322" t="n">
        <v>-96.4148760330579</v>
      </c>
      <c r="DA285" s="322" t="n">
        <v>-96.4148760330579</v>
      </c>
    </row>
    <row r="286" customFormat="false" ht="12.75" hidden="false" customHeight="false" outlineLevel="0" collapsed="false">
      <c r="B286" s="305" t="s">
        <v>260</v>
      </c>
      <c r="C286" s="327" t="s">
        <v>577</v>
      </c>
      <c r="D286" s="306" t="n">
        <v>482</v>
      </c>
      <c r="E286" s="306" t="n">
        <v>0</v>
      </c>
      <c r="F286" s="324" t="s">
        <v>568</v>
      </c>
      <c r="G286" s="144" t="n">
        <v>48</v>
      </c>
      <c r="H286" s="325" t="n">
        <v>481.818181818182</v>
      </c>
      <c r="I286" s="2"/>
      <c r="J286" s="144" t="s">
        <v>12</v>
      </c>
      <c r="K286" s="309" t="s">
        <v>12</v>
      </c>
      <c r="L286" s="310"/>
      <c r="M286" s="311" t="n">
        <v>169</v>
      </c>
      <c r="N286" s="312" t="n">
        <v>5.1</v>
      </c>
      <c r="O286" s="311" t="n">
        <v>19</v>
      </c>
      <c r="P286" s="312" t="n">
        <v>7</v>
      </c>
      <c r="Q286" s="310" t="n">
        <v>19</v>
      </c>
      <c r="R286" s="312" t="n">
        <v>6.6</v>
      </c>
      <c r="S286" s="310"/>
      <c r="T286" s="311" t="n">
        <v>0</v>
      </c>
      <c r="U286" s="312" t="n">
        <v>8.5</v>
      </c>
      <c r="V286" s="311" t="n">
        <v>0</v>
      </c>
      <c r="W286" s="312" t="n">
        <v>6.7</v>
      </c>
      <c r="X286" s="311" t="n">
        <v>0</v>
      </c>
      <c r="Y286" s="312" t="n">
        <v>6.7</v>
      </c>
      <c r="Z286" s="313" t="n">
        <v>0</v>
      </c>
      <c r="AA286" s="314" t="n">
        <v>6.6</v>
      </c>
      <c r="AB286" s="313" t="n">
        <v>0</v>
      </c>
      <c r="AC286" s="314" t="n">
        <v>6.6</v>
      </c>
      <c r="AD286" s="315"/>
      <c r="AE286" s="144" t="n">
        <v>0</v>
      </c>
      <c r="AF286" s="315"/>
      <c r="AG286" s="311" t="n">
        <v>0</v>
      </c>
      <c r="AH286" s="309" t="n">
        <v>0</v>
      </c>
      <c r="AI286" s="310"/>
      <c r="AJ286" s="311" t="n">
        <v>68</v>
      </c>
      <c r="AK286" s="309" t="n">
        <v>244.8</v>
      </c>
      <c r="AL286" s="311" t="n">
        <v>127</v>
      </c>
      <c r="AM286" s="309" t="n">
        <v>336</v>
      </c>
      <c r="AN286" s="310" t="n">
        <v>146</v>
      </c>
      <c r="AO286" s="309" t="n">
        <v>316.8</v>
      </c>
      <c r="AP286" s="310"/>
      <c r="AQ286" s="311" t="n">
        <v>74</v>
      </c>
      <c r="AR286" s="309" t="n">
        <v>408</v>
      </c>
      <c r="AS286" s="311" t="n">
        <v>160</v>
      </c>
      <c r="AT286" s="309" t="n">
        <v>321.6</v>
      </c>
      <c r="AU286" s="310" t="n">
        <v>160</v>
      </c>
      <c r="AV286" s="309" t="n">
        <v>321.6</v>
      </c>
      <c r="AW286" s="310" t="n">
        <v>165</v>
      </c>
      <c r="AX286" s="309" t="n">
        <v>316.8</v>
      </c>
      <c r="AY286" s="310" t="n">
        <v>165</v>
      </c>
      <c r="AZ286" s="309" t="n">
        <v>316.8</v>
      </c>
      <c r="BB286" s="144" t="n">
        <v>0</v>
      </c>
      <c r="BC286" s="315"/>
      <c r="BD286" s="311" t="n">
        <v>0</v>
      </c>
      <c r="BE286" s="316" t="n">
        <v>0</v>
      </c>
      <c r="BF286" s="310"/>
      <c r="BG286" s="317" t="n">
        <v>0</v>
      </c>
      <c r="BH286" s="318" t="n">
        <v>0</v>
      </c>
      <c r="BI286" s="317" t="n">
        <v>0</v>
      </c>
      <c r="BJ286" s="318" t="n">
        <v>0</v>
      </c>
      <c r="BK286" s="317" t="n">
        <v>0</v>
      </c>
      <c r="BL286" s="318" t="n">
        <v>0</v>
      </c>
      <c r="BM286" s="310"/>
      <c r="BN286" s="317" t="n">
        <v>0</v>
      </c>
      <c r="BO286" s="318" t="n">
        <v>0</v>
      </c>
      <c r="BP286" s="317" t="n">
        <v>0</v>
      </c>
      <c r="BQ286" s="318" t="n">
        <v>0</v>
      </c>
      <c r="BR286" s="317" t="n">
        <v>0</v>
      </c>
      <c r="BS286" s="318" t="n">
        <v>0</v>
      </c>
      <c r="BT286" s="317" t="n">
        <v>0</v>
      </c>
      <c r="BU286" s="318" t="n">
        <v>0</v>
      </c>
      <c r="BV286" s="317" t="n">
        <v>0</v>
      </c>
      <c r="BW286" s="318" t="n">
        <v>0</v>
      </c>
      <c r="BY286" s="143"/>
      <c r="BZ286" s="315"/>
      <c r="CA286" s="144" t="s">
        <v>12</v>
      </c>
      <c r="CB286" s="315"/>
      <c r="CC286" s="144" t="n">
        <v>-68.0181818181818</v>
      </c>
      <c r="CD286" s="144" t="n">
        <v>-126.818181818182</v>
      </c>
      <c r="CE286" s="144" t="n">
        <v>-146.018181818182</v>
      </c>
      <c r="CF286" s="315"/>
      <c r="CG286" s="144" t="n">
        <v>-73.8181818181818</v>
      </c>
      <c r="CH286" s="144" t="n">
        <v>-160.218181818182</v>
      </c>
      <c r="CI286" s="144" t="n">
        <v>-160.218181818182</v>
      </c>
      <c r="CJ286" s="144" t="n">
        <v>-165.018181818182</v>
      </c>
      <c r="CK286" s="144" t="n">
        <v>-165.018181818182</v>
      </c>
      <c r="CM286" s="144" t="n">
        <v>413.214876033058</v>
      </c>
      <c r="CO286" s="319"/>
      <c r="CP286" s="320"/>
      <c r="CQ286" s="321" t="s">
        <v>12</v>
      </c>
      <c r="CR286" s="320"/>
      <c r="CS286" s="322" t="n">
        <v>0.585123966942149</v>
      </c>
      <c r="CT286" s="322" t="n">
        <v>-58.2148760330579</v>
      </c>
      <c r="CU286" s="322" t="n">
        <v>-77.4148760330579</v>
      </c>
      <c r="CV286" s="323"/>
      <c r="CW286" s="322" t="n">
        <v>-5.21487603305786</v>
      </c>
      <c r="CX286" s="322" t="n">
        <v>-91.6148760330578</v>
      </c>
      <c r="CY286" s="322" t="n">
        <v>-91.6148760330578</v>
      </c>
      <c r="CZ286" s="322" t="n">
        <v>-96.4148760330579</v>
      </c>
      <c r="DA286" s="322" t="n">
        <v>-96.4148760330579</v>
      </c>
    </row>
    <row r="287" customFormat="false" ht="12.75" hidden="false" customHeight="false" outlineLevel="0" collapsed="false">
      <c r="B287" s="305" t="s">
        <v>260</v>
      </c>
      <c r="C287" s="327" t="s">
        <v>578</v>
      </c>
      <c r="D287" s="306" t="n">
        <v>391</v>
      </c>
      <c r="E287" s="306" t="n">
        <v>0</v>
      </c>
      <c r="F287" s="306" t="s">
        <v>568</v>
      </c>
      <c r="G287" s="307" t="n">
        <v>24</v>
      </c>
      <c r="H287" s="308" t="n">
        <v>390.082644628099</v>
      </c>
      <c r="I287" s="2"/>
      <c r="J287" s="144" t="s">
        <v>12</v>
      </c>
      <c r="K287" s="309" t="s">
        <v>12</v>
      </c>
      <c r="L287" s="310"/>
      <c r="M287" s="311" t="n">
        <v>139</v>
      </c>
      <c r="N287" s="312" t="n">
        <v>8.1</v>
      </c>
      <c r="O287" s="311" t="n">
        <v>19</v>
      </c>
      <c r="P287" s="312" t="n">
        <v>10.6</v>
      </c>
      <c r="Q287" s="310" t="n">
        <v>19</v>
      </c>
      <c r="R287" s="312" t="n">
        <v>9.8</v>
      </c>
      <c r="S287" s="310"/>
      <c r="T287" s="311" t="n">
        <v>0</v>
      </c>
      <c r="U287" s="312" t="n">
        <v>13.5</v>
      </c>
      <c r="V287" s="311" t="n">
        <v>0</v>
      </c>
      <c r="W287" s="312" t="n">
        <v>12.4</v>
      </c>
      <c r="X287" s="311" t="n">
        <v>0</v>
      </c>
      <c r="Y287" s="312" t="n">
        <v>12.4</v>
      </c>
      <c r="Z287" s="313" t="n">
        <v>0</v>
      </c>
      <c r="AA287" s="314" t="n">
        <v>10</v>
      </c>
      <c r="AB287" s="313" t="n">
        <v>0</v>
      </c>
      <c r="AC287" s="314" t="n">
        <v>10</v>
      </c>
      <c r="AD287" s="315"/>
      <c r="AE287" s="144" t="n">
        <v>1</v>
      </c>
      <c r="AF287" s="315"/>
      <c r="AG287" s="311" t="n">
        <v>0</v>
      </c>
      <c r="AH287" s="309" t="n">
        <v>0</v>
      </c>
      <c r="AI287" s="310"/>
      <c r="AJ287" s="311" t="n">
        <v>58</v>
      </c>
      <c r="AK287" s="309" t="n">
        <v>194.4</v>
      </c>
      <c r="AL287" s="311" t="n">
        <v>118</v>
      </c>
      <c r="AM287" s="309" t="n">
        <v>254.4</v>
      </c>
      <c r="AN287" s="311" t="n">
        <v>137</v>
      </c>
      <c r="AO287" s="309" t="n">
        <v>235.2</v>
      </c>
      <c r="AP287" s="310"/>
      <c r="AQ287" s="311" t="n">
        <v>67</v>
      </c>
      <c r="AR287" s="309" t="n">
        <v>324</v>
      </c>
      <c r="AS287" s="311" t="n">
        <v>93</v>
      </c>
      <c r="AT287" s="309" t="n">
        <v>297.6</v>
      </c>
      <c r="AU287" s="311" t="n">
        <v>93</v>
      </c>
      <c r="AV287" s="309" t="n">
        <v>297.6</v>
      </c>
      <c r="AW287" s="311" t="n">
        <v>151</v>
      </c>
      <c r="AX287" s="309" t="n">
        <v>240</v>
      </c>
      <c r="AY287" s="311" t="n">
        <v>151</v>
      </c>
      <c r="AZ287" s="309" t="n">
        <v>240</v>
      </c>
      <c r="BB287" s="144" t="n">
        <v>0</v>
      </c>
      <c r="BC287" s="315"/>
      <c r="BD287" s="311" t="n">
        <v>0</v>
      </c>
      <c r="BE287" s="316" t="n">
        <v>0</v>
      </c>
      <c r="BF287" s="310"/>
      <c r="BG287" s="317" t="n">
        <v>0</v>
      </c>
      <c r="BH287" s="318" t="n">
        <v>0</v>
      </c>
      <c r="BI287" s="317" t="n">
        <v>0</v>
      </c>
      <c r="BJ287" s="318" t="n">
        <v>0</v>
      </c>
      <c r="BK287" s="317" t="n">
        <v>0</v>
      </c>
      <c r="BL287" s="318" t="n">
        <v>0</v>
      </c>
      <c r="BM287" s="310"/>
      <c r="BN287" s="317" t="n">
        <v>0</v>
      </c>
      <c r="BO287" s="318" t="n">
        <v>0</v>
      </c>
      <c r="BP287" s="317" t="n">
        <v>0</v>
      </c>
      <c r="BQ287" s="318" t="n">
        <v>0</v>
      </c>
      <c r="BR287" s="317" t="n">
        <v>0</v>
      </c>
      <c r="BS287" s="318" t="n">
        <v>0</v>
      </c>
      <c r="BT287" s="317" t="n">
        <v>0</v>
      </c>
      <c r="BU287" s="318" t="n">
        <v>0</v>
      </c>
      <c r="BV287" s="317" t="n">
        <v>0</v>
      </c>
      <c r="BW287" s="318" t="n">
        <v>0</v>
      </c>
      <c r="BY287" s="143"/>
      <c r="BZ287" s="315"/>
      <c r="CA287" s="144" t="s">
        <v>12</v>
      </c>
      <c r="CB287" s="315"/>
      <c r="CC287" s="144" t="n">
        <v>-56.6826446280992</v>
      </c>
      <c r="CD287" s="144" t="n">
        <v>-116.682644628099</v>
      </c>
      <c r="CE287" s="144" t="n">
        <v>-135.882644628099</v>
      </c>
      <c r="CF287" s="315"/>
      <c r="CG287" s="144" t="n">
        <v>-66.0826446280992</v>
      </c>
      <c r="CH287" s="144" t="n">
        <v>-92.4826446280991</v>
      </c>
      <c r="CI287" s="144" t="n">
        <v>-92.4826446280991</v>
      </c>
      <c r="CJ287" s="144" t="n">
        <v>-150.082644628099</v>
      </c>
      <c r="CK287" s="144" t="n">
        <v>-150.082644628099</v>
      </c>
      <c r="CM287" s="144" t="n">
        <v>330.570247933884</v>
      </c>
      <c r="CO287" s="319"/>
      <c r="CP287" s="320"/>
      <c r="CQ287" s="321" t="s">
        <v>12</v>
      </c>
      <c r="CR287" s="320"/>
      <c r="CS287" s="322" t="n">
        <v>2.82975206611565</v>
      </c>
      <c r="CT287" s="322" t="n">
        <v>-57.1702479338843</v>
      </c>
      <c r="CU287" s="322" t="n">
        <v>-76.3702479338843</v>
      </c>
      <c r="CV287" s="323"/>
      <c r="CW287" s="322" t="n">
        <v>-6.57024793388433</v>
      </c>
      <c r="CX287" s="322" t="n">
        <v>-32.9702479338843</v>
      </c>
      <c r="CY287" s="322" t="n">
        <v>-32.9702479338843</v>
      </c>
      <c r="CZ287" s="322" t="n">
        <v>-90.5702479338843</v>
      </c>
      <c r="DA287" s="322" t="n">
        <v>-90.5702479338843</v>
      </c>
    </row>
    <row r="288" customFormat="false" ht="12.75" hidden="false" customHeight="false" outlineLevel="0" collapsed="false">
      <c r="B288" s="305" t="s">
        <v>260</v>
      </c>
      <c r="C288" s="327" t="s">
        <v>578</v>
      </c>
      <c r="D288" s="306" t="n">
        <v>391</v>
      </c>
      <c r="E288" s="306" t="n">
        <v>0</v>
      </c>
      <c r="F288" s="324" t="s">
        <v>568</v>
      </c>
      <c r="G288" s="144" t="n">
        <v>48</v>
      </c>
      <c r="H288" s="325" t="n">
        <v>390.082644628099</v>
      </c>
      <c r="I288" s="2"/>
      <c r="J288" s="144" t="s">
        <v>12</v>
      </c>
      <c r="K288" s="309" t="s">
        <v>12</v>
      </c>
      <c r="L288" s="310"/>
      <c r="M288" s="311" t="n">
        <v>139</v>
      </c>
      <c r="N288" s="312" t="n">
        <v>4.1</v>
      </c>
      <c r="O288" s="311" t="n">
        <v>19</v>
      </c>
      <c r="P288" s="312" t="n">
        <v>5.3</v>
      </c>
      <c r="Q288" s="310" t="n">
        <v>19</v>
      </c>
      <c r="R288" s="312" t="n">
        <v>4.9</v>
      </c>
      <c r="S288" s="310"/>
      <c r="T288" s="311" t="n">
        <v>0</v>
      </c>
      <c r="U288" s="312" t="n">
        <v>6.8</v>
      </c>
      <c r="V288" s="311" t="n">
        <v>0</v>
      </c>
      <c r="W288" s="312" t="n">
        <v>6.2</v>
      </c>
      <c r="X288" s="311" t="n">
        <v>0</v>
      </c>
      <c r="Y288" s="312" t="n">
        <v>6.2</v>
      </c>
      <c r="Z288" s="313" t="n">
        <v>0</v>
      </c>
      <c r="AA288" s="314" t="n">
        <v>5</v>
      </c>
      <c r="AB288" s="313" t="n">
        <v>0</v>
      </c>
      <c r="AC288" s="314" t="n">
        <v>5</v>
      </c>
      <c r="AD288" s="315"/>
      <c r="AE288" s="144" t="n">
        <v>1</v>
      </c>
      <c r="AF288" s="315"/>
      <c r="AG288" s="311" t="n">
        <v>0</v>
      </c>
      <c r="AH288" s="309" t="n">
        <v>0</v>
      </c>
      <c r="AI288" s="310"/>
      <c r="AJ288" s="311" t="n">
        <v>55</v>
      </c>
      <c r="AK288" s="309" t="n">
        <v>196.8</v>
      </c>
      <c r="AL288" s="311" t="n">
        <v>118</v>
      </c>
      <c r="AM288" s="309" t="n">
        <v>254.4</v>
      </c>
      <c r="AN288" s="310" t="n">
        <v>137</v>
      </c>
      <c r="AO288" s="309" t="n">
        <v>235.2</v>
      </c>
      <c r="AP288" s="310"/>
      <c r="AQ288" s="311" t="n">
        <v>65</v>
      </c>
      <c r="AR288" s="309" t="n">
        <v>326.4</v>
      </c>
      <c r="AS288" s="311" t="n">
        <v>93</v>
      </c>
      <c r="AT288" s="309" t="n">
        <v>297.6</v>
      </c>
      <c r="AU288" s="310" t="n">
        <v>93</v>
      </c>
      <c r="AV288" s="309" t="n">
        <v>297.6</v>
      </c>
      <c r="AW288" s="310" t="n">
        <v>151</v>
      </c>
      <c r="AX288" s="309" t="n">
        <v>240</v>
      </c>
      <c r="AY288" s="310" t="n">
        <v>151</v>
      </c>
      <c r="AZ288" s="309" t="n">
        <v>240</v>
      </c>
      <c r="BB288" s="144" t="n">
        <v>0</v>
      </c>
      <c r="BC288" s="315"/>
      <c r="BD288" s="311" t="n">
        <v>0</v>
      </c>
      <c r="BE288" s="316" t="n">
        <v>0</v>
      </c>
      <c r="BF288" s="310"/>
      <c r="BG288" s="317" t="n">
        <v>0</v>
      </c>
      <c r="BH288" s="318" t="n">
        <v>0</v>
      </c>
      <c r="BI288" s="317" t="n">
        <v>0</v>
      </c>
      <c r="BJ288" s="318" t="n">
        <v>0</v>
      </c>
      <c r="BK288" s="317" t="n">
        <v>0</v>
      </c>
      <c r="BL288" s="318" t="n">
        <v>0</v>
      </c>
      <c r="BM288" s="310"/>
      <c r="BN288" s="317" t="n">
        <v>0</v>
      </c>
      <c r="BO288" s="318" t="n">
        <v>0</v>
      </c>
      <c r="BP288" s="317" t="n">
        <v>0</v>
      </c>
      <c r="BQ288" s="318" t="n">
        <v>0</v>
      </c>
      <c r="BR288" s="317" t="n">
        <v>0</v>
      </c>
      <c r="BS288" s="318" t="n">
        <v>0</v>
      </c>
      <c r="BT288" s="317" t="n">
        <v>0</v>
      </c>
      <c r="BU288" s="318" t="n">
        <v>0</v>
      </c>
      <c r="BV288" s="317" t="n">
        <v>0</v>
      </c>
      <c r="BW288" s="318" t="n">
        <v>0</v>
      </c>
      <c r="BY288" s="143"/>
      <c r="BZ288" s="315"/>
      <c r="CA288" s="144" t="s">
        <v>12</v>
      </c>
      <c r="CB288" s="315"/>
      <c r="CC288" s="144" t="n">
        <v>-54.2826446280992</v>
      </c>
      <c r="CD288" s="144" t="n">
        <v>-116.682644628099</v>
      </c>
      <c r="CE288" s="144" t="n">
        <v>-135.882644628099</v>
      </c>
      <c r="CF288" s="315"/>
      <c r="CG288" s="144" t="n">
        <v>-63.6826446280991</v>
      </c>
      <c r="CH288" s="144" t="n">
        <v>-92.4826446280991</v>
      </c>
      <c r="CI288" s="144" t="n">
        <v>-92.4826446280991</v>
      </c>
      <c r="CJ288" s="144" t="n">
        <v>-150.082644628099</v>
      </c>
      <c r="CK288" s="144" t="n">
        <v>-150.082644628099</v>
      </c>
      <c r="CM288" s="144" t="n">
        <v>330.570247933884</v>
      </c>
      <c r="CO288" s="319"/>
      <c r="CP288" s="320"/>
      <c r="CQ288" s="321" t="s">
        <v>12</v>
      </c>
      <c r="CR288" s="320"/>
      <c r="CS288" s="322" t="n">
        <v>5.22975206611568</v>
      </c>
      <c r="CT288" s="322" t="n">
        <v>-57.1702479338843</v>
      </c>
      <c r="CU288" s="322" t="n">
        <v>-76.3702479338843</v>
      </c>
      <c r="CV288" s="323"/>
      <c r="CW288" s="322" t="n">
        <v>-4.1702479338843</v>
      </c>
      <c r="CX288" s="322" t="n">
        <v>-32.9702479338843</v>
      </c>
      <c r="CY288" s="322" t="n">
        <v>-32.9702479338843</v>
      </c>
      <c r="CZ288" s="322" t="n">
        <v>-90.5702479338843</v>
      </c>
      <c r="DA288" s="322" t="n">
        <v>-90.5702479338843</v>
      </c>
    </row>
    <row r="289" customFormat="false" ht="12.75" hidden="false" customHeight="false" outlineLevel="0" collapsed="false">
      <c r="B289" s="305" t="s">
        <v>130</v>
      </c>
      <c r="C289" s="305" t="s">
        <v>579</v>
      </c>
      <c r="D289" s="306" t="n">
        <v>751</v>
      </c>
      <c r="E289" s="306" t="n">
        <v>5.33</v>
      </c>
      <c r="F289" s="306" t="s">
        <v>580</v>
      </c>
      <c r="G289" s="307" t="n">
        <v>24</v>
      </c>
      <c r="H289" s="308" t="n">
        <v>621.487603305785</v>
      </c>
      <c r="I289" s="2"/>
      <c r="J289" s="144" t="s">
        <v>12</v>
      </c>
      <c r="K289" s="309" t="s">
        <v>12</v>
      </c>
      <c r="L289" s="310"/>
      <c r="M289" s="311" t="n">
        <v>269</v>
      </c>
      <c r="N289" s="312" t="n">
        <v>11</v>
      </c>
      <c r="O289" s="311" t="n">
        <v>159</v>
      </c>
      <c r="P289" s="312" t="n">
        <v>13.1</v>
      </c>
      <c r="Q289" s="310" t="n">
        <v>159</v>
      </c>
      <c r="R289" s="312" t="n">
        <v>12.2</v>
      </c>
      <c r="S289" s="310"/>
      <c r="T289" s="311" t="n">
        <v>0</v>
      </c>
      <c r="U289" s="312" t="n">
        <v>22</v>
      </c>
      <c r="V289" s="311" t="n">
        <v>0</v>
      </c>
      <c r="W289" s="312" t="n">
        <v>19.1</v>
      </c>
      <c r="X289" s="311" t="n">
        <v>0</v>
      </c>
      <c r="Y289" s="312" t="n">
        <v>10.5</v>
      </c>
      <c r="Z289" s="313" t="n">
        <v>0</v>
      </c>
      <c r="AA289" s="314" t="n">
        <v>10.5</v>
      </c>
      <c r="AB289" s="313" t="n">
        <v>0</v>
      </c>
      <c r="AC289" s="314" t="n">
        <v>10.5</v>
      </c>
      <c r="AD289" s="315"/>
      <c r="AE289" s="144" t="n">
        <v>130</v>
      </c>
      <c r="AF289" s="315"/>
      <c r="AG289" s="311" t="n">
        <v>0</v>
      </c>
      <c r="AH289" s="309" t="n">
        <v>0</v>
      </c>
      <c r="AI289" s="310"/>
      <c r="AJ289" s="311" t="n">
        <v>218</v>
      </c>
      <c r="AK289" s="309" t="n">
        <v>264</v>
      </c>
      <c r="AL289" s="311" t="n">
        <v>278</v>
      </c>
      <c r="AM289" s="309" t="n">
        <v>314.4</v>
      </c>
      <c r="AN289" s="311" t="n">
        <v>299</v>
      </c>
      <c r="AO289" s="309" t="n">
        <v>292.8</v>
      </c>
      <c r="AP289" s="310"/>
      <c r="AQ289" s="311" t="n">
        <v>223</v>
      </c>
      <c r="AR289" s="309" t="n">
        <v>528</v>
      </c>
      <c r="AS289" s="311" t="n">
        <v>293</v>
      </c>
      <c r="AT289" s="309" t="n">
        <v>458.4</v>
      </c>
      <c r="AU289" s="311" t="n">
        <v>499</v>
      </c>
      <c r="AV289" s="309" t="n">
        <v>252</v>
      </c>
      <c r="AW289" s="311" t="n">
        <v>499</v>
      </c>
      <c r="AX289" s="309" t="n">
        <v>252</v>
      </c>
      <c r="AY289" s="311" t="n">
        <v>499</v>
      </c>
      <c r="AZ289" s="309" t="n">
        <v>252</v>
      </c>
      <c r="BB289" s="144" t="n">
        <v>0</v>
      </c>
      <c r="BC289" s="315"/>
      <c r="BD289" s="311" t="n">
        <v>0</v>
      </c>
      <c r="BE289" s="316" t="n">
        <v>0</v>
      </c>
      <c r="BF289" s="310"/>
      <c r="BG289" s="317" t="n">
        <v>0</v>
      </c>
      <c r="BH289" s="318" t="n">
        <v>0.199999999999999</v>
      </c>
      <c r="BI289" s="317" t="n">
        <v>0</v>
      </c>
      <c r="BJ289" s="318" t="n">
        <v>0.9</v>
      </c>
      <c r="BK289" s="317" t="n">
        <v>0</v>
      </c>
      <c r="BL289" s="318" t="n">
        <v>0.800000000000001</v>
      </c>
      <c r="BM289" s="310"/>
      <c r="BN289" s="317" t="n">
        <v>0</v>
      </c>
      <c r="BO289" s="318" t="n">
        <v>-0.200000000000003</v>
      </c>
      <c r="BP289" s="317" t="n">
        <v>0</v>
      </c>
      <c r="BQ289" s="318" t="n">
        <v>2.5</v>
      </c>
      <c r="BR289" s="317" t="n">
        <v>0</v>
      </c>
      <c r="BS289" s="318" t="n">
        <v>2.5</v>
      </c>
      <c r="BT289" s="317" t="n">
        <v>0</v>
      </c>
      <c r="BU289" s="318" t="n">
        <v>2.5</v>
      </c>
      <c r="BV289" s="317" t="n">
        <v>0</v>
      </c>
      <c r="BW289" s="318" t="n">
        <v>2.5</v>
      </c>
      <c r="BY289" s="143"/>
      <c r="BZ289" s="315"/>
      <c r="CA289" s="144" t="s">
        <v>12</v>
      </c>
      <c r="CB289" s="315"/>
      <c r="CC289" s="144" t="n">
        <v>-88.4876033057851</v>
      </c>
      <c r="CD289" s="144" t="n">
        <v>-148.087603305785</v>
      </c>
      <c r="CE289" s="144" t="n">
        <v>-169.687603305785</v>
      </c>
      <c r="CF289" s="315"/>
      <c r="CG289" s="144" t="n">
        <v>-93.4876033057851</v>
      </c>
      <c r="CH289" s="144" t="n">
        <v>-163.087603305785</v>
      </c>
      <c r="CI289" s="144" t="n">
        <v>-369.487603305785</v>
      </c>
      <c r="CJ289" s="144" t="n">
        <v>-369.487603305785</v>
      </c>
      <c r="CK289" s="144" t="n">
        <v>-369.487603305785</v>
      </c>
      <c r="CM289" s="144" t="n">
        <v>661.074380165289</v>
      </c>
      <c r="CO289" s="319"/>
      <c r="CP289" s="320"/>
      <c r="CQ289" s="321" t="s">
        <v>12</v>
      </c>
      <c r="CR289" s="320"/>
      <c r="CS289" s="322" t="n">
        <v>-128.074380165289</v>
      </c>
      <c r="CT289" s="322" t="n">
        <v>-187.674380165289</v>
      </c>
      <c r="CU289" s="322" t="n">
        <v>-209.274380165289</v>
      </c>
      <c r="CV289" s="323"/>
      <c r="CW289" s="322" t="n">
        <v>-133.074380165289</v>
      </c>
      <c r="CX289" s="322" t="n">
        <v>-202.674380165289</v>
      </c>
      <c r="CY289" s="322" t="n">
        <v>-409.074380165289</v>
      </c>
      <c r="CZ289" s="322" t="n">
        <v>-409.074380165289</v>
      </c>
      <c r="DA289" s="322" t="n">
        <v>-409.074380165289</v>
      </c>
    </row>
    <row r="290" customFormat="false" ht="12.75" hidden="false" customHeight="false" outlineLevel="0" collapsed="false">
      <c r="B290" s="305" t="s">
        <v>130</v>
      </c>
      <c r="C290" s="305" t="s">
        <v>579</v>
      </c>
      <c r="D290" s="306" t="n">
        <v>751</v>
      </c>
      <c r="E290" s="306" t="n">
        <v>5.33</v>
      </c>
      <c r="F290" s="324" t="s">
        <v>580</v>
      </c>
      <c r="G290" s="144" t="n">
        <v>48</v>
      </c>
      <c r="H290" s="325" t="n">
        <v>621.487603305785</v>
      </c>
      <c r="I290" s="2"/>
      <c r="J290" s="144" t="s">
        <v>12</v>
      </c>
      <c r="K290" s="309" t="s">
        <v>12</v>
      </c>
      <c r="L290" s="310"/>
      <c r="M290" s="311" t="n">
        <v>269</v>
      </c>
      <c r="N290" s="312" t="n">
        <v>5.5</v>
      </c>
      <c r="O290" s="311" t="n">
        <v>159</v>
      </c>
      <c r="P290" s="312" t="n">
        <v>6.6</v>
      </c>
      <c r="Q290" s="310" t="n">
        <v>159</v>
      </c>
      <c r="R290" s="312" t="n">
        <v>6.1</v>
      </c>
      <c r="S290" s="310"/>
      <c r="T290" s="311" t="n">
        <v>0</v>
      </c>
      <c r="U290" s="312" t="n">
        <v>11</v>
      </c>
      <c r="V290" s="311" t="n">
        <v>0</v>
      </c>
      <c r="W290" s="312" t="n">
        <v>9.6</v>
      </c>
      <c r="X290" s="311" t="n">
        <v>0</v>
      </c>
      <c r="Y290" s="312" t="n">
        <v>5.3</v>
      </c>
      <c r="Z290" s="313" t="n">
        <v>0</v>
      </c>
      <c r="AA290" s="314" t="n">
        <v>5.3</v>
      </c>
      <c r="AB290" s="313" t="n">
        <v>0</v>
      </c>
      <c r="AC290" s="314" t="n">
        <v>5.3</v>
      </c>
      <c r="AD290" s="315"/>
      <c r="AE290" s="144" t="n">
        <v>130</v>
      </c>
      <c r="AF290" s="315"/>
      <c r="AG290" s="311" t="n">
        <v>0</v>
      </c>
      <c r="AH290" s="309" t="n">
        <v>0</v>
      </c>
      <c r="AI290" s="310"/>
      <c r="AJ290" s="311" t="n">
        <v>218</v>
      </c>
      <c r="AK290" s="309" t="n">
        <v>264</v>
      </c>
      <c r="AL290" s="311" t="n">
        <v>275</v>
      </c>
      <c r="AM290" s="309" t="n">
        <v>316.8</v>
      </c>
      <c r="AN290" s="310" t="n">
        <v>299</v>
      </c>
      <c r="AO290" s="309" t="n">
        <v>292.8</v>
      </c>
      <c r="AP290" s="310"/>
      <c r="AQ290" s="311" t="n">
        <v>223</v>
      </c>
      <c r="AR290" s="309" t="n">
        <v>528</v>
      </c>
      <c r="AS290" s="311" t="n">
        <v>290</v>
      </c>
      <c r="AT290" s="309" t="n">
        <v>460.8</v>
      </c>
      <c r="AU290" s="310" t="n">
        <v>497</v>
      </c>
      <c r="AV290" s="309" t="n">
        <v>254.4</v>
      </c>
      <c r="AW290" s="310" t="n">
        <v>497</v>
      </c>
      <c r="AX290" s="309" t="n">
        <v>254.4</v>
      </c>
      <c r="AY290" s="310" t="n">
        <v>497</v>
      </c>
      <c r="AZ290" s="309" t="n">
        <v>254.4</v>
      </c>
      <c r="BB290" s="144" t="n">
        <v>0</v>
      </c>
      <c r="BC290" s="315"/>
      <c r="BD290" s="311" t="n">
        <v>0</v>
      </c>
      <c r="BE290" s="316" t="n">
        <v>0</v>
      </c>
      <c r="BF290" s="310"/>
      <c r="BG290" s="317" t="n">
        <v>0</v>
      </c>
      <c r="BH290" s="318" t="n">
        <v>0</v>
      </c>
      <c r="BI290" s="317" t="n">
        <v>0</v>
      </c>
      <c r="BJ290" s="318" t="n">
        <v>0</v>
      </c>
      <c r="BK290" s="317" t="n">
        <v>0</v>
      </c>
      <c r="BL290" s="318" t="n">
        <v>0</v>
      </c>
      <c r="BM290" s="310"/>
      <c r="BN290" s="317" t="n">
        <v>0</v>
      </c>
      <c r="BO290" s="318" t="n">
        <v>0</v>
      </c>
      <c r="BP290" s="317" t="n">
        <v>0</v>
      </c>
      <c r="BQ290" s="318" t="n">
        <v>0</v>
      </c>
      <c r="BR290" s="317" t="n">
        <v>0</v>
      </c>
      <c r="BS290" s="318" t="n">
        <v>0</v>
      </c>
      <c r="BT290" s="317" t="n">
        <v>0</v>
      </c>
      <c r="BU290" s="318" t="n">
        <v>0</v>
      </c>
      <c r="BV290" s="317" t="n">
        <v>0</v>
      </c>
      <c r="BW290" s="318" t="n">
        <v>0</v>
      </c>
      <c r="BY290" s="143"/>
      <c r="BZ290" s="315"/>
      <c r="CA290" s="144" t="s">
        <v>12</v>
      </c>
      <c r="CB290" s="315"/>
      <c r="CC290" s="144" t="n">
        <v>-88.4876033057851</v>
      </c>
      <c r="CD290" s="144" t="n">
        <v>-145.687603305785</v>
      </c>
      <c r="CE290" s="144" t="n">
        <v>-169.687603305785</v>
      </c>
      <c r="CF290" s="315"/>
      <c r="CG290" s="144" t="n">
        <v>-93.4876033057851</v>
      </c>
      <c r="CH290" s="144" t="n">
        <v>-160.687603305785</v>
      </c>
      <c r="CI290" s="144" t="n">
        <v>-367.087603305785</v>
      </c>
      <c r="CJ290" s="144" t="n">
        <v>-367.087603305785</v>
      </c>
      <c r="CK290" s="144" t="n">
        <v>-367.087603305785</v>
      </c>
      <c r="CM290" s="144" t="n">
        <v>661.074380165289</v>
      </c>
      <c r="CO290" s="319"/>
      <c r="CP290" s="320"/>
      <c r="CQ290" s="321" t="s">
        <v>12</v>
      </c>
      <c r="CR290" s="320"/>
      <c r="CS290" s="322" t="n">
        <v>-128.074380165289</v>
      </c>
      <c r="CT290" s="322" t="n">
        <v>-185.274380165289</v>
      </c>
      <c r="CU290" s="322" t="n">
        <v>-209.274380165289</v>
      </c>
      <c r="CV290" s="323"/>
      <c r="CW290" s="322" t="n">
        <v>-133.074380165289</v>
      </c>
      <c r="CX290" s="322" t="n">
        <v>-200.274380165289</v>
      </c>
      <c r="CY290" s="322" t="n">
        <v>-406.674380165289</v>
      </c>
      <c r="CZ290" s="322" t="n">
        <v>-406.674380165289</v>
      </c>
      <c r="DA290" s="322" t="n">
        <v>-406.674380165289</v>
      </c>
    </row>
    <row r="291" customFormat="false" ht="12.75" hidden="false" customHeight="false" outlineLevel="0" collapsed="false">
      <c r="B291" s="305" t="s">
        <v>130</v>
      </c>
      <c r="C291" s="305" t="s">
        <v>581</v>
      </c>
      <c r="D291" s="306" t="n">
        <v>915</v>
      </c>
      <c r="E291" s="306" t="n">
        <v>5.33</v>
      </c>
      <c r="F291" s="306" t="s">
        <v>580</v>
      </c>
      <c r="G291" s="307" t="n">
        <v>24</v>
      </c>
      <c r="H291" s="308" t="n">
        <v>680.99173553719</v>
      </c>
      <c r="I291" s="2"/>
      <c r="J291" s="144" t="s">
        <v>12</v>
      </c>
      <c r="K291" s="309" t="s">
        <v>12</v>
      </c>
      <c r="L291" s="310"/>
      <c r="M291" s="311" t="n">
        <v>289</v>
      </c>
      <c r="N291" s="312" t="n">
        <v>12.4</v>
      </c>
      <c r="O291" s="311" t="n">
        <v>179</v>
      </c>
      <c r="P291" s="312" t="n">
        <v>14.9</v>
      </c>
      <c r="Q291" s="310" t="n">
        <v>179</v>
      </c>
      <c r="R291" s="312" t="n">
        <v>14.1</v>
      </c>
      <c r="S291" s="310"/>
      <c r="T291" s="311" t="n">
        <v>0</v>
      </c>
      <c r="U291" s="312" t="n">
        <v>24.4</v>
      </c>
      <c r="V291" s="311" t="n">
        <v>0</v>
      </c>
      <c r="W291" s="312" t="n">
        <v>21.5</v>
      </c>
      <c r="X291" s="311" t="n">
        <v>0</v>
      </c>
      <c r="Y291" s="312" t="n">
        <v>21.5</v>
      </c>
      <c r="Z291" s="313" t="n">
        <v>0</v>
      </c>
      <c r="AA291" s="314" t="n">
        <v>21.5</v>
      </c>
      <c r="AB291" s="313" t="n">
        <v>0</v>
      </c>
      <c r="AC291" s="314" t="n">
        <v>21.5</v>
      </c>
      <c r="AD291" s="315"/>
      <c r="AE291" s="144" t="n">
        <v>234</v>
      </c>
      <c r="AF291" s="315"/>
      <c r="AG291" s="311" t="n">
        <v>0</v>
      </c>
      <c r="AH291" s="309" t="n">
        <v>0</v>
      </c>
      <c r="AI291" s="310"/>
      <c r="AJ291" s="311" t="n">
        <v>328</v>
      </c>
      <c r="AK291" s="309" t="n">
        <v>297.6</v>
      </c>
      <c r="AL291" s="311" t="n">
        <v>378</v>
      </c>
      <c r="AM291" s="309" t="n">
        <v>357.6</v>
      </c>
      <c r="AN291" s="311" t="n">
        <v>398</v>
      </c>
      <c r="AO291" s="309" t="n">
        <v>338.4</v>
      </c>
      <c r="AP291" s="310"/>
      <c r="AQ291" s="311" t="n">
        <v>329</v>
      </c>
      <c r="AR291" s="309" t="n">
        <v>585.6</v>
      </c>
      <c r="AS291" s="311" t="n">
        <v>399</v>
      </c>
      <c r="AT291" s="309" t="n">
        <v>516</v>
      </c>
      <c r="AU291" s="311" t="n">
        <v>399</v>
      </c>
      <c r="AV291" s="309" t="n">
        <v>516</v>
      </c>
      <c r="AW291" s="311" t="n">
        <v>399</v>
      </c>
      <c r="AX291" s="309" t="n">
        <v>516</v>
      </c>
      <c r="AY291" s="311" t="n">
        <v>399</v>
      </c>
      <c r="AZ291" s="309" t="n">
        <v>516</v>
      </c>
      <c r="BB291" s="144" t="n">
        <v>0</v>
      </c>
      <c r="BC291" s="315"/>
      <c r="BD291" s="311" t="n">
        <v>0</v>
      </c>
      <c r="BE291" s="316" t="n">
        <v>0</v>
      </c>
      <c r="BF291" s="310"/>
      <c r="BG291" s="317" t="n">
        <v>0</v>
      </c>
      <c r="BH291" s="318" t="n">
        <v>0.199999999999999</v>
      </c>
      <c r="BI291" s="317" t="n">
        <v>0</v>
      </c>
      <c r="BJ291" s="318" t="n">
        <v>0.799999999999999</v>
      </c>
      <c r="BK291" s="317" t="n">
        <v>0</v>
      </c>
      <c r="BL291" s="318" t="n">
        <v>0.800000000000001</v>
      </c>
      <c r="BM291" s="310"/>
      <c r="BN291" s="317" t="n">
        <v>0</v>
      </c>
      <c r="BO291" s="318" t="n">
        <v>0</v>
      </c>
      <c r="BP291" s="317" t="n">
        <v>0</v>
      </c>
      <c r="BQ291" s="318" t="n">
        <v>1.8</v>
      </c>
      <c r="BR291" s="317" t="n">
        <v>0</v>
      </c>
      <c r="BS291" s="318" t="n">
        <v>1.8</v>
      </c>
      <c r="BT291" s="317" t="n">
        <v>0</v>
      </c>
      <c r="BU291" s="318" t="n">
        <v>1.9</v>
      </c>
      <c r="BV291" s="317" t="n">
        <v>0</v>
      </c>
      <c r="BW291" s="318" t="n">
        <v>1.9</v>
      </c>
      <c r="BY291" s="143"/>
      <c r="BZ291" s="315"/>
      <c r="CA291" s="144" t="s">
        <v>12</v>
      </c>
      <c r="CB291" s="315"/>
      <c r="CC291" s="144" t="n">
        <v>-94.3917355371901</v>
      </c>
      <c r="CD291" s="144" t="n">
        <v>-144.39173553719</v>
      </c>
      <c r="CE291" s="144" t="n">
        <v>-163.59173553719</v>
      </c>
      <c r="CF291" s="315"/>
      <c r="CG291" s="144" t="n">
        <v>-95.3917355371901</v>
      </c>
      <c r="CH291" s="144" t="n">
        <v>-164.99173553719</v>
      </c>
      <c r="CI291" s="144" t="n">
        <v>-164.99173553719</v>
      </c>
      <c r="CJ291" s="144" t="n">
        <v>-164.99173553719</v>
      </c>
      <c r="CK291" s="144" t="n">
        <v>-164.99173553719</v>
      </c>
      <c r="CM291" s="144" t="n">
        <v>743.719008264463</v>
      </c>
      <c r="CO291" s="319"/>
      <c r="CP291" s="320"/>
      <c r="CQ291" s="321" t="s">
        <v>12</v>
      </c>
      <c r="CR291" s="320"/>
      <c r="CS291" s="322" t="n">
        <v>-157.119008264463</v>
      </c>
      <c r="CT291" s="322" t="n">
        <v>-207.119008264463</v>
      </c>
      <c r="CU291" s="322" t="n">
        <v>-226.319008264463</v>
      </c>
      <c r="CV291" s="323"/>
      <c r="CW291" s="322" t="n">
        <v>-158.119008264463</v>
      </c>
      <c r="CX291" s="322" t="n">
        <v>-227.719008264463</v>
      </c>
      <c r="CY291" s="322" t="n">
        <v>-227.719008264463</v>
      </c>
      <c r="CZ291" s="322" t="n">
        <v>-227.719008264463</v>
      </c>
      <c r="DA291" s="322" t="n">
        <v>-227.719008264463</v>
      </c>
    </row>
    <row r="292" customFormat="false" ht="12.75" hidden="false" customHeight="false" outlineLevel="0" collapsed="false">
      <c r="B292" s="305" t="s">
        <v>130</v>
      </c>
      <c r="C292" s="305" t="s">
        <v>581</v>
      </c>
      <c r="D292" s="306" t="n">
        <v>915</v>
      </c>
      <c r="E292" s="306" t="n">
        <v>5.33</v>
      </c>
      <c r="F292" s="324" t="s">
        <v>580</v>
      </c>
      <c r="G292" s="144" t="n">
        <v>48</v>
      </c>
      <c r="H292" s="325" t="n">
        <v>680.99173553719</v>
      </c>
      <c r="I292" s="2"/>
      <c r="J292" s="144" t="s">
        <v>12</v>
      </c>
      <c r="K292" s="309" t="s">
        <v>12</v>
      </c>
      <c r="L292" s="310"/>
      <c r="M292" s="311" t="n">
        <v>289</v>
      </c>
      <c r="N292" s="312" t="n">
        <v>6.2</v>
      </c>
      <c r="O292" s="311" t="n">
        <v>179</v>
      </c>
      <c r="P292" s="312" t="n">
        <v>7.5</v>
      </c>
      <c r="Q292" s="310" t="n">
        <v>179</v>
      </c>
      <c r="R292" s="312" t="n">
        <v>7.1</v>
      </c>
      <c r="S292" s="310"/>
      <c r="T292" s="311" t="n">
        <v>0</v>
      </c>
      <c r="U292" s="312" t="n">
        <v>12.2</v>
      </c>
      <c r="V292" s="311" t="n">
        <v>0</v>
      </c>
      <c r="W292" s="312" t="n">
        <v>10.8</v>
      </c>
      <c r="X292" s="311" t="n">
        <v>0</v>
      </c>
      <c r="Y292" s="312" t="n">
        <v>10.8</v>
      </c>
      <c r="Z292" s="313" t="n">
        <v>0</v>
      </c>
      <c r="AA292" s="314" t="n">
        <v>10.8</v>
      </c>
      <c r="AB292" s="313" t="n">
        <v>0</v>
      </c>
      <c r="AC292" s="314" t="n">
        <v>10.8</v>
      </c>
      <c r="AD292" s="315"/>
      <c r="AE292" s="144" t="n">
        <v>234</v>
      </c>
      <c r="AF292" s="315"/>
      <c r="AG292" s="311" t="n">
        <v>0</v>
      </c>
      <c r="AH292" s="309" t="n">
        <v>0</v>
      </c>
      <c r="AI292" s="310"/>
      <c r="AJ292" s="311" t="n">
        <v>328</v>
      </c>
      <c r="AK292" s="309" t="n">
        <v>297.6</v>
      </c>
      <c r="AL292" s="311" t="n">
        <v>376</v>
      </c>
      <c r="AM292" s="309" t="n">
        <v>360</v>
      </c>
      <c r="AN292" s="310" t="n">
        <v>395</v>
      </c>
      <c r="AO292" s="309" t="n">
        <v>340.8</v>
      </c>
      <c r="AP292" s="310"/>
      <c r="AQ292" s="311" t="n">
        <v>329</v>
      </c>
      <c r="AR292" s="309" t="n">
        <v>585.6</v>
      </c>
      <c r="AS292" s="311" t="n">
        <v>397</v>
      </c>
      <c r="AT292" s="309" t="n">
        <v>518.4</v>
      </c>
      <c r="AU292" s="310" t="n">
        <v>397</v>
      </c>
      <c r="AV292" s="309" t="n">
        <v>518.4</v>
      </c>
      <c r="AW292" s="310" t="n">
        <v>397</v>
      </c>
      <c r="AX292" s="309" t="n">
        <v>518.4</v>
      </c>
      <c r="AY292" s="310" t="n">
        <v>397</v>
      </c>
      <c r="AZ292" s="309" t="n">
        <v>518.4</v>
      </c>
      <c r="BB292" s="144" t="n">
        <v>0</v>
      </c>
      <c r="BC292" s="315"/>
      <c r="BD292" s="311" t="n">
        <v>0</v>
      </c>
      <c r="BE292" s="316" t="n">
        <v>0</v>
      </c>
      <c r="BF292" s="310"/>
      <c r="BG292" s="317" t="n">
        <v>0</v>
      </c>
      <c r="BH292" s="318" t="n">
        <v>0</v>
      </c>
      <c r="BI292" s="317" t="n">
        <v>0</v>
      </c>
      <c r="BJ292" s="318" t="n">
        <v>0</v>
      </c>
      <c r="BK292" s="317" t="n">
        <v>0</v>
      </c>
      <c r="BL292" s="318" t="n">
        <v>0</v>
      </c>
      <c r="BM292" s="310"/>
      <c r="BN292" s="317" t="n">
        <v>0</v>
      </c>
      <c r="BO292" s="318" t="n">
        <v>0</v>
      </c>
      <c r="BP292" s="317" t="n">
        <v>0</v>
      </c>
      <c r="BQ292" s="318" t="n">
        <v>0</v>
      </c>
      <c r="BR292" s="317" t="n">
        <v>0</v>
      </c>
      <c r="BS292" s="318" t="n">
        <v>0</v>
      </c>
      <c r="BT292" s="317" t="n">
        <v>0</v>
      </c>
      <c r="BU292" s="318" t="n">
        <v>0</v>
      </c>
      <c r="BV292" s="317" t="n">
        <v>0</v>
      </c>
      <c r="BW292" s="318" t="n">
        <v>0</v>
      </c>
      <c r="BY292" s="143"/>
      <c r="BZ292" s="315"/>
      <c r="CA292" s="144" t="s">
        <v>12</v>
      </c>
      <c r="CB292" s="315"/>
      <c r="CC292" s="144" t="n">
        <v>-94.3917355371901</v>
      </c>
      <c r="CD292" s="144" t="n">
        <v>-141.99173553719</v>
      </c>
      <c r="CE292" s="144" t="n">
        <v>-161.19173553719</v>
      </c>
      <c r="CF292" s="315"/>
      <c r="CG292" s="144" t="n">
        <v>-95.3917355371901</v>
      </c>
      <c r="CH292" s="144" t="n">
        <v>-162.59173553719</v>
      </c>
      <c r="CI292" s="144" t="n">
        <v>-162.59173553719</v>
      </c>
      <c r="CJ292" s="144" t="n">
        <v>-162.59173553719</v>
      </c>
      <c r="CK292" s="144" t="n">
        <v>-162.59173553719</v>
      </c>
      <c r="CM292" s="144" t="n">
        <v>743.719008264463</v>
      </c>
      <c r="CO292" s="319"/>
      <c r="CP292" s="320"/>
      <c r="CQ292" s="321" t="s">
        <v>12</v>
      </c>
      <c r="CR292" s="320"/>
      <c r="CS292" s="322" t="n">
        <v>-157.119008264463</v>
      </c>
      <c r="CT292" s="322" t="n">
        <v>-204.719008264463</v>
      </c>
      <c r="CU292" s="322" t="n">
        <v>-223.919008264463</v>
      </c>
      <c r="CV292" s="323"/>
      <c r="CW292" s="322" t="n">
        <v>-158.119008264463</v>
      </c>
      <c r="CX292" s="322" t="n">
        <v>-225.319008264463</v>
      </c>
      <c r="CY292" s="322" t="n">
        <v>-225.319008264463</v>
      </c>
      <c r="CZ292" s="322" t="n">
        <v>-225.319008264463</v>
      </c>
      <c r="DA292" s="322" t="n">
        <v>-225.319008264463</v>
      </c>
    </row>
    <row r="293" customFormat="false" ht="12.75" hidden="false" customHeight="false" outlineLevel="0" collapsed="false">
      <c r="B293" s="305" t="s">
        <v>184</v>
      </c>
      <c r="C293" s="305" t="s">
        <v>582</v>
      </c>
      <c r="D293" s="306" t="n">
        <v>472</v>
      </c>
      <c r="E293" s="306" t="n">
        <v>5.33</v>
      </c>
      <c r="F293" s="306" t="s">
        <v>580</v>
      </c>
      <c r="G293" s="307" t="n">
        <v>24</v>
      </c>
      <c r="H293" s="308" t="n">
        <v>431.404958677686</v>
      </c>
      <c r="I293" s="2"/>
      <c r="J293" s="144" t="s">
        <v>12</v>
      </c>
      <c r="K293" s="309" t="s">
        <v>12</v>
      </c>
      <c r="L293" s="310"/>
      <c r="M293" s="311" t="n">
        <v>139</v>
      </c>
      <c r="N293" s="312" t="n">
        <v>9.1</v>
      </c>
      <c r="O293" s="311" t="n">
        <v>19</v>
      </c>
      <c r="P293" s="312" t="n">
        <v>11.8</v>
      </c>
      <c r="Q293" s="310" t="n">
        <v>19</v>
      </c>
      <c r="R293" s="312" t="n">
        <v>11</v>
      </c>
      <c r="S293" s="310"/>
      <c r="T293" s="311" t="n">
        <v>0</v>
      </c>
      <c r="U293" s="312" t="n">
        <v>14.7</v>
      </c>
      <c r="V293" s="311" t="n">
        <v>0</v>
      </c>
      <c r="W293" s="312" t="n">
        <v>4</v>
      </c>
      <c r="X293" s="311" t="n">
        <v>0</v>
      </c>
      <c r="Y293" s="312" t="n">
        <v>4</v>
      </c>
      <c r="Z293" s="313" t="n">
        <v>0</v>
      </c>
      <c r="AA293" s="314" t="n">
        <v>4</v>
      </c>
      <c r="AB293" s="313" t="n">
        <v>0</v>
      </c>
      <c r="AC293" s="314" t="n">
        <v>4</v>
      </c>
      <c r="AD293" s="315"/>
      <c r="AE293" s="144" t="n">
        <v>41</v>
      </c>
      <c r="AF293" s="315"/>
      <c r="AG293" s="311" t="n">
        <v>0</v>
      </c>
      <c r="AH293" s="309" t="n">
        <v>0</v>
      </c>
      <c r="AI293" s="310"/>
      <c r="AJ293" s="311" t="n">
        <v>115</v>
      </c>
      <c r="AK293" s="309" t="n">
        <v>218.4</v>
      </c>
      <c r="AL293" s="311" t="n">
        <v>170</v>
      </c>
      <c r="AM293" s="309" t="n">
        <v>283.2</v>
      </c>
      <c r="AN293" s="311" t="n">
        <v>189</v>
      </c>
      <c r="AO293" s="309" t="n">
        <v>264</v>
      </c>
      <c r="AP293" s="310"/>
      <c r="AQ293" s="311" t="n">
        <v>119</v>
      </c>
      <c r="AR293" s="309" t="n">
        <v>352.8</v>
      </c>
      <c r="AS293" s="311" t="n">
        <v>376</v>
      </c>
      <c r="AT293" s="309" t="n">
        <v>96</v>
      </c>
      <c r="AU293" s="311" t="n">
        <v>376</v>
      </c>
      <c r="AV293" s="309" t="n">
        <v>96</v>
      </c>
      <c r="AW293" s="311" t="n">
        <v>376</v>
      </c>
      <c r="AX293" s="309" t="n">
        <v>96</v>
      </c>
      <c r="AY293" s="311" t="n">
        <v>376</v>
      </c>
      <c r="AZ293" s="309" t="n">
        <v>96</v>
      </c>
      <c r="BB293" s="144" t="n">
        <v>0</v>
      </c>
      <c r="BC293" s="315"/>
      <c r="BD293" s="311" t="n">
        <v>0</v>
      </c>
      <c r="BE293" s="316" t="n">
        <v>0</v>
      </c>
      <c r="BF293" s="310"/>
      <c r="BG293" s="317" t="n">
        <v>0</v>
      </c>
      <c r="BH293" s="318" t="n">
        <v>0.199999999999999</v>
      </c>
      <c r="BI293" s="317" t="n">
        <v>0</v>
      </c>
      <c r="BJ293" s="318" t="n">
        <v>0.800000000000001</v>
      </c>
      <c r="BK293" s="317" t="n">
        <v>0</v>
      </c>
      <c r="BL293" s="318" t="n">
        <v>0.799999999999999</v>
      </c>
      <c r="BM293" s="310"/>
      <c r="BN293" s="317" t="n">
        <v>0</v>
      </c>
      <c r="BO293" s="318" t="n">
        <v>-0.199999999999999</v>
      </c>
      <c r="BP293" s="317" t="n">
        <v>0</v>
      </c>
      <c r="BQ293" s="318" t="n">
        <v>-4.3</v>
      </c>
      <c r="BR293" s="317" t="n">
        <v>0</v>
      </c>
      <c r="BS293" s="318" t="n">
        <v>0</v>
      </c>
      <c r="BT293" s="317" t="n">
        <v>0</v>
      </c>
      <c r="BU293" s="318" t="n">
        <v>0</v>
      </c>
      <c r="BV293" s="317" t="n">
        <v>0</v>
      </c>
      <c r="BW293" s="318" t="n">
        <v>0</v>
      </c>
      <c r="BY293" s="143"/>
      <c r="BZ293" s="315"/>
      <c r="CA293" s="144" t="s">
        <v>12</v>
      </c>
      <c r="CB293" s="315"/>
      <c r="CC293" s="144" t="n">
        <v>-74.004958677686</v>
      </c>
      <c r="CD293" s="144" t="n">
        <v>-129.204958677686</v>
      </c>
      <c r="CE293" s="144" t="n">
        <v>-148.404958677686</v>
      </c>
      <c r="CF293" s="315"/>
      <c r="CG293" s="144" t="n">
        <v>-78.6049586776859</v>
      </c>
      <c r="CH293" s="144" t="n">
        <v>-335.404958677686</v>
      </c>
      <c r="CI293" s="144" t="n">
        <v>-335.404958677686</v>
      </c>
      <c r="CJ293" s="144" t="n">
        <v>-335.404958677686</v>
      </c>
      <c r="CK293" s="144" t="n">
        <v>-335.404958677686</v>
      </c>
      <c r="CM293" s="144" t="n">
        <v>412.396694214876</v>
      </c>
      <c r="CO293" s="319"/>
      <c r="CP293" s="320"/>
      <c r="CQ293" s="321" t="s">
        <v>12</v>
      </c>
      <c r="CR293" s="320"/>
      <c r="CS293" s="322" t="n">
        <v>-54.9966942148761</v>
      </c>
      <c r="CT293" s="322" t="n">
        <v>-110.196694214876</v>
      </c>
      <c r="CU293" s="322" t="n">
        <v>-129.396694214876</v>
      </c>
      <c r="CV293" s="323"/>
      <c r="CW293" s="322" t="n">
        <v>-59.596694214876</v>
      </c>
      <c r="CX293" s="322" t="n">
        <v>-316.396694214876</v>
      </c>
      <c r="CY293" s="322" t="n">
        <v>-316.396694214876</v>
      </c>
      <c r="CZ293" s="322" t="n">
        <v>-316.396694214876</v>
      </c>
      <c r="DA293" s="322" t="n">
        <v>-316.396694214876</v>
      </c>
    </row>
    <row r="294" customFormat="false" ht="12.75" hidden="false" customHeight="false" outlineLevel="0" collapsed="false">
      <c r="B294" s="305" t="s">
        <v>184</v>
      </c>
      <c r="C294" s="305" t="s">
        <v>582</v>
      </c>
      <c r="D294" s="306" t="n">
        <v>472</v>
      </c>
      <c r="E294" s="306" t="n">
        <v>5.33</v>
      </c>
      <c r="F294" s="324" t="s">
        <v>580</v>
      </c>
      <c r="G294" s="144" t="n">
        <v>48</v>
      </c>
      <c r="H294" s="325" t="n">
        <v>431.404958677686</v>
      </c>
      <c r="I294" s="2"/>
      <c r="J294" s="144" t="s">
        <v>12</v>
      </c>
      <c r="K294" s="309" t="s">
        <v>12</v>
      </c>
      <c r="L294" s="310"/>
      <c r="M294" s="311" t="n">
        <v>139</v>
      </c>
      <c r="N294" s="312" t="n">
        <v>4.6</v>
      </c>
      <c r="O294" s="311" t="n">
        <v>19</v>
      </c>
      <c r="P294" s="312" t="n">
        <v>5.9</v>
      </c>
      <c r="Q294" s="310" t="n">
        <v>19</v>
      </c>
      <c r="R294" s="312" t="n">
        <v>5.5</v>
      </c>
      <c r="S294" s="310"/>
      <c r="T294" s="311" t="n">
        <v>0</v>
      </c>
      <c r="U294" s="312" t="n">
        <v>7.4</v>
      </c>
      <c r="V294" s="311" t="n">
        <v>0</v>
      </c>
      <c r="W294" s="312" t="n">
        <v>2</v>
      </c>
      <c r="X294" s="311" t="n">
        <v>0</v>
      </c>
      <c r="Y294" s="312" t="n">
        <v>2</v>
      </c>
      <c r="Z294" s="313" t="n">
        <v>0</v>
      </c>
      <c r="AA294" s="314" t="n">
        <v>2</v>
      </c>
      <c r="AB294" s="313" t="n">
        <v>0</v>
      </c>
      <c r="AC294" s="314" t="n">
        <v>2</v>
      </c>
      <c r="AD294" s="315"/>
      <c r="AE294" s="144" t="n">
        <v>41</v>
      </c>
      <c r="AF294" s="315"/>
      <c r="AG294" s="311" t="n">
        <v>0</v>
      </c>
      <c r="AH294" s="309" t="n">
        <v>0</v>
      </c>
      <c r="AI294" s="310"/>
      <c r="AJ294" s="311" t="n">
        <v>112</v>
      </c>
      <c r="AK294" s="309" t="n">
        <v>220.8</v>
      </c>
      <c r="AL294" s="311" t="n">
        <v>170</v>
      </c>
      <c r="AM294" s="309" t="n">
        <v>283.2</v>
      </c>
      <c r="AN294" s="310" t="n">
        <v>189</v>
      </c>
      <c r="AO294" s="309" t="n">
        <v>264</v>
      </c>
      <c r="AP294" s="310"/>
      <c r="AQ294" s="311" t="n">
        <v>117</v>
      </c>
      <c r="AR294" s="309" t="n">
        <v>355.2</v>
      </c>
      <c r="AS294" s="311" t="n">
        <v>376</v>
      </c>
      <c r="AT294" s="309" t="n">
        <v>96</v>
      </c>
      <c r="AU294" s="310" t="n">
        <v>376</v>
      </c>
      <c r="AV294" s="309" t="n">
        <v>96</v>
      </c>
      <c r="AW294" s="310" t="n">
        <v>376</v>
      </c>
      <c r="AX294" s="309" t="n">
        <v>96</v>
      </c>
      <c r="AY294" s="310" t="n">
        <v>376</v>
      </c>
      <c r="AZ294" s="309" t="n">
        <v>96</v>
      </c>
      <c r="BB294" s="144" t="n">
        <v>0</v>
      </c>
      <c r="BC294" s="315"/>
      <c r="BD294" s="311" t="n">
        <v>0</v>
      </c>
      <c r="BE294" s="316" t="n">
        <v>0</v>
      </c>
      <c r="BF294" s="310"/>
      <c r="BG294" s="317" t="n">
        <v>0</v>
      </c>
      <c r="BH294" s="318" t="n">
        <v>0</v>
      </c>
      <c r="BI294" s="317" t="n">
        <v>0</v>
      </c>
      <c r="BJ294" s="318" t="n">
        <v>0</v>
      </c>
      <c r="BK294" s="317" t="n">
        <v>0</v>
      </c>
      <c r="BL294" s="318" t="n">
        <v>0</v>
      </c>
      <c r="BM294" s="310"/>
      <c r="BN294" s="317" t="n">
        <v>0</v>
      </c>
      <c r="BO294" s="318" t="n">
        <v>0</v>
      </c>
      <c r="BP294" s="317" t="n">
        <v>0</v>
      </c>
      <c r="BQ294" s="318" t="n">
        <v>0</v>
      </c>
      <c r="BR294" s="317" t="n">
        <v>0</v>
      </c>
      <c r="BS294" s="318" t="n">
        <v>0</v>
      </c>
      <c r="BT294" s="317" t="n">
        <v>0</v>
      </c>
      <c r="BU294" s="318" t="n">
        <v>0</v>
      </c>
      <c r="BV294" s="317" t="n">
        <v>0</v>
      </c>
      <c r="BW294" s="318" t="n">
        <v>0</v>
      </c>
      <c r="BY294" s="143"/>
      <c r="BZ294" s="315"/>
      <c r="CA294" s="144" t="s">
        <v>12</v>
      </c>
      <c r="CB294" s="315"/>
      <c r="CC294" s="144" t="n">
        <v>-71.6049586776859</v>
      </c>
      <c r="CD294" s="144" t="n">
        <v>-129.204958677686</v>
      </c>
      <c r="CE294" s="144" t="n">
        <v>-148.404958677686</v>
      </c>
      <c r="CF294" s="315"/>
      <c r="CG294" s="144" t="n">
        <v>-76.2049586776859</v>
      </c>
      <c r="CH294" s="144" t="n">
        <v>-335.404958677686</v>
      </c>
      <c r="CI294" s="144" t="n">
        <v>-335.404958677686</v>
      </c>
      <c r="CJ294" s="144" t="n">
        <v>-335.404958677686</v>
      </c>
      <c r="CK294" s="144" t="n">
        <v>-335.404958677686</v>
      </c>
      <c r="CM294" s="144" t="n">
        <v>412.396694214876</v>
      </c>
      <c r="CO294" s="319"/>
      <c r="CP294" s="320"/>
      <c r="CQ294" s="321" t="s">
        <v>12</v>
      </c>
      <c r="CR294" s="320"/>
      <c r="CS294" s="322" t="n">
        <v>-52.596694214876</v>
      </c>
      <c r="CT294" s="322" t="n">
        <v>-110.196694214876</v>
      </c>
      <c r="CU294" s="322" t="n">
        <v>-129.396694214876</v>
      </c>
      <c r="CV294" s="323"/>
      <c r="CW294" s="322" t="n">
        <v>-57.196694214876</v>
      </c>
      <c r="CX294" s="322" t="n">
        <v>-316.396694214876</v>
      </c>
      <c r="CY294" s="322" t="n">
        <v>-316.396694214876</v>
      </c>
      <c r="CZ294" s="322" t="n">
        <v>-316.396694214876</v>
      </c>
      <c r="DA294" s="322" t="n">
        <v>-316.396694214876</v>
      </c>
    </row>
    <row r="295" customFormat="false" ht="12.75" hidden="false" customHeight="false" outlineLevel="0" collapsed="false">
      <c r="B295" s="305" t="s">
        <v>184</v>
      </c>
      <c r="C295" s="305" t="s">
        <v>583</v>
      </c>
      <c r="D295" s="306" t="n">
        <v>620</v>
      </c>
      <c r="E295" s="306" t="n">
        <v>5.33</v>
      </c>
      <c r="F295" s="306" t="s">
        <v>580</v>
      </c>
      <c r="G295" s="307" t="n">
        <v>24</v>
      </c>
      <c r="H295" s="308" t="n">
        <v>554.545454545455</v>
      </c>
      <c r="I295" s="2"/>
      <c r="J295" s="144" t="s">
        <v>12</v>
      </c>
      <c r="K295" s="309" t="s">
        <v>12</v>
      </c>
      <c r="L295" s="310"/>
      <c r="M295" s="311" t="n">
        <v>239</v>
      </c>
      <c r="N295" s="312" t="n">
        <v>9.6</v>
      </c>
      <c r="O295" s="311" t="n">
        <v>139</v>
      </c>
      <c r="P295" s="312" t="n">
        <v>11</v>
      </c>
      <c r="Q295" s="310" t="n">
        <v>139</v>
      </c>
      <c r="R295" s="312" t="n">
        <v>10.2</v>
      </c>
      <c r="S295" s="310"/>
      <c r="T295" s="311" t="n">
        <v>0</v>
      </c>
      <c r="U295" s="312" t="n">
        <v>19.1</v>
      </c>
      <c r="V295" s="311" t="n">
        <v>0</v>
      </c>
      <c r="W295" s="312" t="n">
        <v>16.6</v>
      </c>
      <c r="X295" s="311" t="n">
        <v>0</v>
      </c>
      <c r="Y295" s="312" t="n">
        <v>8</v>
      </c>
      <c r="Z295" s="313" t="n">
        <v>0</v>
      </c>
      <c r="AA295" s="314" t="n">
        <v>8</v>
      </c>
      <c r="AB295" s="313" t="n">
        <v>0</v>
      </c>
      <c r="AC295" s="314" t="n">
        <v>8</v>
      </c>
      <c r="AD295" s="315"/>
      <c r="AE295" s="144" t="n">
        <v>65</v>
      </c>
      <c r="AF295" s="315"/>
      <c r="AG295" s="311" t="n">
        <v>0</v>
      </c>
      <c r="AH295" s="309" t="n">
        <v>0</v>
      </c>
      <c r="AI295" s="310"/>
      <c r="AJ295" s="311" t="n">
        <v>151</v>
      </c>
      <c r="AK295" s="309" t="n">
        <v>230.4</v>
      </c>
      <c r="AL295" s="311" t="n">
        <v>217</v>
      </c>
      <c r="AM295" s="309" t="n">
        <v>264</v>
      </c>
      <c r="AN295" s="311" t="n">
        <v>236</v>
      </c>
      <c r="AO295" s="309" t="n">
        <v>244.8</v>
      </c>
      <c r="AP295" s="310"/>
      <c r="AQ295" s="311" t="n">
        <v>162</v>
      </c>
      <c r="AR295" s="309" t="n">
        <v>458.4</v>
      </c>
      <c r="AS295" s="311" t="n">
        <v>222</v>
      </c>
      <c r="AT295" s="309" t="n">
        <v>398.4</v>
      </c>
      <c r="AU295" s="311" t="n">
        <v>428</v>
      </c>
      <c r="AV295" s="309" t="n">
        <v>192</v>
      </c>
      <c r="AW295" s="311" t="n">
        <v>428</v>
      </c>
      <c r="AX295" s="309" t="n">
        <v>192</v>
      </c>
      <c r="AY295" s="311" t="n">
        <v>428</v>
      </c>
      <c r="AZ295" s="309" t="n">
        <v>192</v>
      </c>
      <c r="BB295" s="144" t="n">
        <v>0</v>
      </c>
      <c r="BC295" s="315"/>
      <c r="BD295" s="311" t="n">
        <v>0</v>
      </c>
      <c r="BE295" s="316" t="n">
        <v>0</v>
      </c>
      <c r="BF295" s="310"/>
      <c r="BG295" s="317" t="n">
        <v>0</v>
      </c>
      <c r="BH295" s="318" t="n">
        <v>-0.199999999999999</v>
      </c>
      <c r="BI295" s="317" t="n">
        <v>0</v>
      </c>
      <c r="BJ295" s="318" t="n">
        <v>0.199999999999999</v>
      </c>
      <c r="BK295" s="317" t="n">
        <v>0</v>
      </c>
      <c r="BL295" s="318" t="n">
        <v>0.200000000000001</v>
      </c>
      <c r="BM295" s="310"/>
      <c r="BN295" s="317" t="n">
        <v>0</v>
      </c>
      <c r="BO295" s="318" t="n">
        <v>-0.600000000000001</v>
      </c>
      <c r="BP295" s="317" t="n">
        <v>0</v>
      </c>
      <c r="BQ295" s="318" t="n">
        <v>2.1</v>
      </c>
      <c r="BR295" s="317" t="n">
        <v>0</v>
      </c>
      <c r="BS295" s="318" t="n">
        <v>0</v>
      </c>
      <c r="BT295" s="317" t="n">
        <v>0</v>
      </c>
      <c r="BU295" s="318" t="n">
        <v>0</v>
      </c>
      <c r="BV295" s="317" t="n">
        <v>0</v>
      </c>
      <c r="BW295" s="318" t="n">
        <v>0</v>
      </c>
      <c r="BY295" s="143"/>
      <c r="BZ295" s="315"/>
      <c r="CA295" s="144" t="s">
        <v>12</v>
      </c>
      <c r="CB295" s="315"/>
      <c r="CC295" s="144" t="n">
        <v>-85.1454545454546</v>
      </c>
      <c r="CD295" s="144" t="n">
        <v>-151.545454545455</v>
      </c>
      <c r="CE295" s="144" t="n">
        <v>-170.745454545455</v>
      </c>
      <c r="CF295" s="315"/>
      <c r="CG295" s="144" t="n">
        <v>-96.1454545454546</v>
      </c>
      <c r="CH295" s="144" t="n">
        <v>-156.145454545455</v>
      </c>
      <c r="CI295" s="144" t="n">
        <v>-362.545454545455</v>
      </c>
      <c r="CJ295" s="144" t="n">
        <v>-362.545454545455</v>
      </c>
      <c r="CK295" s="144" t="n">
        <v>-362.545454545455</v>
      </c>
      <c r="CM295" s="144" t="n">
        <v>577.685950413223</v>
      </c>
      <c r="CO295" s="319"/>
      <c r="CP295" s="320"/>
      <c r="CQ295" s="321" t="s">
        <v>12</v>
      </c>
      <c r="CR295" s="320"/>
      <c r="CS295" s="322" t="n">
        <v>-108.285950413223</v>
      </c>
      <c r="CT295" s="322" t="n">
        <v>-174.685950413223</v>
      </c>
      <c r="CU295" s="322" t="n">
        <v>-193.885950413223</v>
      </c>
      <c r="CV295" s="323"/>
      <c r="CW295" s="322" t="n">
        <v>-119.285950413223</v>
      </c>
      <c r="CX295" s="322" t="n">
        <v>-179.285950413223</v>
      </c>
      <c r="CY295" s="322" t="n">
        <v>-385.685950413223</v>
      </c>
      <c r="CZ295" s="322" t="n">
        <v>-385.685950413223</v>
      </c>
      <c r="DA295" s="322" t="n">
        <v>-385.685950413223</v>
      </c>
    </row>
    <row r="296" customFormat="false" ht="12.75" hidden="false" customHeight="false" outlineLevel="0" collapsed="false">
      <c r="B296" s="305" t="s">
        <v>184</v>
      </c>
      <c r="C296" s="305" t="s">
        <v>583</v>
      </c>
      <c r="D296" s="306" t="n">
        <v>620</v>
      </c>
      <c r="E296" s="306" t="n">
        <v>5.33</v>
      </c>
      <c r="F296" s="324" t="s">
        <v>580</v>
      </c>
      <c r="G296" s="144" t="n">
        <v>48</v>
      </c>
      <c r="H296" s="325" t="n">
        <v>554.545454545455</v>
      </c>
      <c r="I296" s="2"/>
      <c r="J296" s="144" t="s">
        <v>12</v>
      </c>
      <c r="K296" s="309" t="s">
        <v>12</v>
      </c>
      <c r="L296" s="310"/>
      <c r="M296" s="311" t="n">
        <v>239</v>
      </c>
      <c r="N296" s="312" t="n">
        <v>4.8</v>
      </c>
      <c r="O296" s="311" t="n">
        <v>139</v>
      </c>
      <c r="P296" s="312" t="n">
        <v>5.5</v>
      </c>
      <c r="Q296" s="310" t="n">
        <v>139</v>
      </c>
      <c r="R296" s="312" t="n">
        <v>5.1</v>
      </c>
      <c r="S296" s="310"/>
      <c r="T296" s="311" t="n">
        <v>0</v>
      </c>
      <c r="U296" s="312" t="n">
        <v>9.6</v>
      </c>
      <c r="V296" s="311" t="n">
        <v>0</v>
      </c>
      <c r="W296" s="312" t="n">
        <v>8.3</v>
      </c>
      <c r="X296" s="311" t="n">
        <v>0</v>
      </c>
      <c r="Y296" s="312" t="n">
        <v>4</v>
      </c>
      <c r="Z296" s="313" t="n">
        <v>0</v>
      </c>
      <c r="AA296" s="314" t="n">
        <v>4</v>
      </c>
      <c r="AB296" s="313" t="n">
        <v>0</v>
      </c>
      <c r="AC296" s="314" t="n">
        <v>4</v>
      </c>
      <c r="AD296" s="315"/>
      <c r="AE296" s="144" t="n">
        <v>65</v>
      </c>
      <c r="AF296" s="315"/>
      <c r="AG296" s="311" t="n">
        <v>0</v>
      </c>
      <c r="AH296" s="309" t="n">
        <v>0</v>
      </c>
      <c r="AI296" s="310"/>
      <c r="AJ296" s="311" t="n">
        <v>151</v>
      </c>
      <c r="AK296" s="309" t="n">
        <v>230.4</v>
      </c>
      <c r="AL296" s="311" t="n">
        <v>217</v>
      </c>
      <c r="AM296" s="309" t="n">
        <v>264</v>
      </c>
      <c r="AN296" s="310" t="n">
        <v>236</v>
      </c>
      <c r="AO296" s="309" t="n">
        <v>244.8</v>
      </c>
      <c r="AP296" s="310"/>
      <c r="AQ296" s="311" t="n">
        <v>159</v>
      </c>
      <c r="AR296" s="309" t="n">
        <v>460.8</v>
      </c>
      <c r="AS296" s="311" t="n">
        <v>222</v>
      </c>
      <c r="AT296" s="309" t="n">
        <v>398.4</v>
      </c>
      <c r="AU296" s="310" t="n">
        <v>428</v>
      </c>
      <c r="AV296" s="309" t="n">
        <v>192</v>
      </c>
      <c r="AW296" s="310" t="n">
        <v>428</v>
      </c>
      <c r="AX296" s="309" t="n">
        <v>192</v>
      </c>
      <c r="AY296" s="310" t="n">
        <v>428</v>
      </c>
      <c r="AZ296" s="309" t="n">
        <v>192</v>
      </c>
      <c r="BB296" s="144" t="n">
        <v>0</v>
      </c>
      <c r="BC296" s="315"/>
      <c r="BD296" s="311" t="n">
        <v>0</v>
      </c>
      <c r="BE296" s="316" t="n">
        <v>0</v>
      </c>
      <c r="BF296" s="310"/>
      <c r="BG296" s="317" t="n">
        <v>0</v>
      </c>
      <c r="BH296" s="318" t="n">
        <v>0</v>
      </c>
      <c r="BI296" s="317" t="n">
        <v>0</v>
      </c>
      <c r="BJ296" s="318" t="n">
        <v>0</v>
      </c>
      <c r="BK296" s="317" t="n">
        <v>0</v>
      </c>
      <c r="BL296" s="318" t="n">
        <v>0</v>
      </c>
      <c r="BM296" s="310"/>
      <c r="BN296" s="317" t="n">
        <v>0</v>
      </c>
      <c r="BO296" s="318" t="n">
        <v>0</v>
      </c>
      <c r="BP296" s="317" t="n">
        <v>0</v>
      </c>
      <c r="BQ296" s="318" t="n">
        <v>0</v>
      </c>
      <c r="BR296" s="317" t="n">
        <v>0</v>
      </c>
      <c r="BS296" s="318" t="n">
        <v>0</v>
      </c>
      <c r="BT296" s="317" t="n">
        <v>0</v>
      </c>
      <c r="BU296" s="318" t="n">
        <v>0</v>
      </c>
      <c r="BV296" s="317" t="n">
        <v>0</v>
      </c>
      <c r="BW296" s="318" t="n">
        <v>0</v>
      </c>
      <c r="BY296" s="143"/>
      <c r="BZ296" s="315"/>
      <c r="CA296" s="144" t="s">
        <v>12</v>
      </c>
      <c r="CB296" s="315"/>
      <c r="CC296" s="144" t="n">
        <v>-85.1454545454546</v>
      </c>
      <c r="CD296" s="144" t="n">
        <v>-151.545454545455</v>
      </c>
      <c r="CE296" s="144" t="n">
        <v>-170.745454545455</v>
      </c>
      <c r="CF296" s="315"/>
      <c r="CG296" s="144" t="n">
        <v>-93.7454545454546</v>
      </c>
      <c r="CH296" s="144" t="n">
        <v>-156.145454545455</v>
      </c>
      <c r="CI296" s="144" t="n">
        <v>-362.545454545455</v>
      </c>
      <c r="CJ296" s="144" t="n">
        <v>-362.545454545455</v>
      </c>
      <c r="CK296" s="144" t="n">
        <v>-362.545454545455</v>
      </c>
      <c r="CM296" s="144" t="n">
        <v>577.685950413223</v>
      </c>
      <c r="CO296" s="319"/>
      <c r="CP296" s="320"/>
      <c r="CQ296" s="321" t="s">
        <v>12</v>
      </c>
      <c r="CR296" s="320"/>
      <c r="CS296" s="322" t="n">
        <v>-108.285950413223</v>
      </c>
      <c r="CT296" s="322" t="n">
        <v>-174.685950413223</v>
      </c>
      <c r="CU296" s="322" t="n">
        <v>-193.885950413223</v>
      </c>
      <c r="CV296" s="323"/>
      <c r="CW296" s="322" t="n">
        <v>-116.885950413223</v>
      </c>
      <c r="CX296" s="322" t="n">
        <v>-179.285950413223</v>
      </c>
      <c r="CY296" s="322" t="n">
        <v>-385.685950413223</v>
      </c>
      <c r="CZ296" s="322" t="n">
        <v>-385.685950413223</v>
      </c>
      <c r="DA296" s="322" t="n">
        <v>-385.685950413223</v>
      </c>
    </row>
    <row r="297" customFormat="false" ht="12.75" hidden="false" customHeight="false" outlineLevel="0" collapsed="false">
      <c r="B297" s="305" t="s">
        <v>184</v>
      </c>
      <c r="C297" s="305" t="s">
        <v>584</v>
      </c>
      <c r="D297" s="306" t="n">
        <v>915</v>
      </c>
      <c r="E297" s="306" t="n">
        <v>5.33</v>
      </c>
      <c r="F297" s="306" t="s">
        <v>580</v>
      </c>
      <c r="G297" s="307" t="n">
        <v>24</v>
      </c>
      <c r="H297" s="308" t="n">
        <v>914.04958677686</v>
      </c>
      <c r="I297" s="2"/>
      <c r="J297" s="144" t="s">
        <v>12</v>
      </c>
      <c r="K297" s="309" t="s">
        <v>12</v>
      </c>
      <c r="L297" s="310"/>
      <c r="M297" s="311" t="n">
        <v>379</v>
      </c>
      <c r="N297" s="312" t="n">
        <v>16.2</v>
      </c>
      <c r="O297" s="311" t="n">
        <v>239</v>
      </c>
      <c r="P297" s="312" t="n">
        <v>19.9</v>
      </c>
      <c r="Q297" s="310" t="n">
        <v>239</v>
      </c>
      <c r="R297" s="312" t="n">
        <v>19.1</v>
      </c>
      <c r="S297" s="310"/>
      <c r="T297" s="311" t="n">
        <v>0</v>
      </c>
      <c r="U297" s="312" t="n">
        <v>31.9</v>
      </c>
      <c r="V297" s="311" t="n">
        <v>0</v>
      </c>
      <c r="W297" s="312" t="n">
        <v>27.3</v>
      </c>
      <c r="X297" s="311" t="n">
        <v>0</v>
      </c>
      <c r="Y297" s="312" t="n">
        <v>27.3</v>
      </c>
      <c r="Z297" s="313" t="n">
        <v>0</v>
      </c>
      <c r="AA297" s="314" t="n">
        <v>27.3</v>
      </c>
      <c r="AB297" s="313" t="n">
        <v>0</v>
      </c>
      <c r="AC297" s="314" t="n">
        <v>27.3</v>
      </c>
      <c r="AD297" s="315"/>
      <c r="AE297" s="144" t="n">
        <v>1</v>
      </c>
      <c r="AF297" s="315"/>
      <c r="AG297" s="311" t="n">
        <v>0</v>
      </c>
      <c r="AH297" s="309" t="n">
        <v>0</v>
      </c>
      <c r="AI297" s="310"/>
      <c r="AJ297" s="311" t="n">
        <v>147</v>
      </c>
      <c r="AK297" s="309" t="n">
        <v>388.8</v>
      </c>
      <c r="AL297" s="311" t="n">
        <v>198</v>
      </c>
      <c r="AM297" s="309" t="n">
        <v>477.6</v>
      </c>
      <c r="AN297" s="311" t="n">
        <v>218</v>
      </c>
      <c r="AO297" s="309" t="n">
        <v>458.4</v>
      </c>
      <c r="AP297" s="310"/>
      <c r="AQ297" s="311" t="n">
        <v>149</v>
      </c>
      <c r="AR297" s="309" t="n">
        <v>765.6</v>
      </c>
      <c r="AS297" s="311" t="n">
        <v>260</v>
      </c>
      <c r="AT297" s="309" t="n">
        <v>655.2</v>
      </c>
      <c r="AU297" s="311" t="n">
        <v>260</v>
      </c>
      <c r="AV297" s="309" t="n">
        <v>655.2</v>
      </c>
      <c r="AW297" s="311" t="n">
        <v>260</v>
      </c>
      <c r="AX297" s="309" t="n">
        <v>655.2</v>
      </c>
      <c r="AY297" s="311" t="n">
        <v>260</v>
      </c>
      <c r="AZ297" s="309" t="n">
        <v>655.2</v>
      </c>
      <c r="BB297" s="144" t="n">
        <v>0</v>
      </c>
      <c r="BC297" s="315"/>
      <c r="BD297" s="311" t="n">
        <v>0</v>
      </c>
      <c r="BE297" s="316" t="n">
        <v>0</v>
      </c>
      <c r="BF297" s="310"/>
      <c r="BG297" s="317" t="n">
        <v>10</v>
      </c>
      <c r="BH297" s="318" t="n">
        <v>1.1</v>
      </c>
      <c r="BI297" s="317" t="n">
        <v>10</v>
      </c>
      <c r="BJ297" s="318" t="n">
        <v>1.9</v>
      </c>
      <c r="BK297" s="317" t="n">
        <v>10</v>
      </c>
      <c r="BL297" s="318" t="n">
        <v>1.9</v>
      </c>
      <c r="BM297" s="310"/>
      <c r="BN297" s="317" t="n">
        <v>0</v>
      </c>
      <c r="BO297" s="318" t="n">
        <v>1.3</v>
      </c>
      <c r="BP297" s="317" t="n">
        <v>0</v>
      </c>
      <c r="BQ297" s="318" t="n">
        <v>2.5</v>
      </c>
      <c r="BR297" s="317" t="n">
        <v>0</v>
      </c>
      <c r="BS297" s="318" t="n">
        <v>2.5</v>
      </c>
      <c r="BT297" s="317" t="n">
        <v>0</v>
      </c>
      <c r="BU297" s="318" t="n">
        <v>2.5</v>
      </c>
      <c r="BV297" s="317" t="n">
        <v>0</v>
      </c>
      <c r="BW297" s="318" t="n">
        <v>2.5</v>
      </c>
      <c r="BY297" s="143"/>
      <c r="BZ297" s="315"/>
      <c r="CA297" s="144" t="s">
        <v>12</v>
      </c>
      <c r="CB297" s="315"/>
      <c r="CC297" s="144" t="n">
        <v>-146.24958677686</v>
      </c>
      <c r="CD297" s="144" t="n">
        <v>-197.44958677686</v>
      </c>
      <c r="CE297" s="144" t="n">
        <v>-216.649586776859</v>
      </c>
      <c r="CF297" s="315"/>
      <c r="CG297" s="144" t="n">
        <v>-148.44958677686</v>
      </c>
      <c r="CH297" s="144" t="n">
        <v>-258.849586776859</v>
      </c>
      <c r="CI297" s="144" t="n">
        <v>-258.849586776859</v>
      </c>
      <c r="CJ297" s="144" t="n">
        <v>-258.849586776859</v>
      </c>
      <c r="CK297" s="144" t="n">
        <v>-258.849586776859</v>
      </c>
      <c r="CM297" s="144" t="n">
        <v>842.148760330579</v>
      </c>
      <c r="CO297" s="319"/>
      <c r="CP297" s="320"/>
      <c r="CQ297" s="321" t="s">
        <v>12</v>
      </c>
      <c r="CR297" s="320"/>
      <c r="CS297" s="322" t="n">
        <v>-74.3487603305786</v>
      </c>
      <c r="CT297" s="322" t="n">
        <v>-125.548760330579</v>
      </c>
      <c r="CU297" s="322" t="n">
        <v>-144.748760330578</v>
      </c>
      <c r="CV297" s="323"/>
      <c r="CW297" s="322" t="n">
        <v>-76.5487603305785</v>
      </c>
      <c r="CX297" s="322" t="n">
        <v>-186.948760330578</v>
      </c>
      <c r="CY297" s="322" t="n">
        <v>-186.948760330578</v>
      </c>
      <c r="CZ297" s="322" t="n">
        <v>-186.948760330578</v>
      </c>
      <c r="DA297" s="322" t="n">
        <v>-186.948760330578</v>
      </c>
    </row>
    <row r="298" customFormat="false" ht="12.75" hidden="false" customHeight="false" outlineLevel="0" collapsed="false">
      <c r="B298" s="305" t="s">
        <v>184</v>
      </c>
      <c r="C298" s="305" t="s">
        <v>584</v>
      </c>
      <c r="D298" s="306" t="n">
        <v>915</v>
      </c>
      <c r="E298" s="306" t="n">
        <v>5.33</v>
      </c>
      <c r="F298" s="324" t="s">
        <v>580</v>
      </c>
      <c r="G298" s="144" t="n">
        <v>48</v>
      </c>
      <c r="H298" s="325" t="n">
        <v>914.04958677686</v>
      </c>
      <c r="I298" s="2"/>
      <c r="J298" s="144" t="s">
        <v>12</v>
      </c>
      <c r="K298" s="309" t="s">
        <v>12</v>
      </c>
      <c r="L298" s="310"/>
      <c r="M298" s="311" t="n">
        <v>379</v>
      </c>
      <c r="N298" s="312" t="n">
        <v>8.1</v>
      </c>
      <c r="O298" s="311" t="n">
        <v>239</v>
      </c>
      <c r="P298" s="312" t="n">
        <v>10</v>
      </c>
      <c r="Q298" s="310" t="n">
        <v>239</v>
      </c>
      <c r="R298" s="312" t="n">
        <v>9.6</v>
      </c>
      <c r="S298" s="310"/>
      <c r="T298" s="311" t="n">
        <v>0</v>
      </c>
      <c r="U298" s="312" t="n">
        <v>16</v>
      </c>
      <c r="V298" s="311" t="n">
        <v>0</v>
      </c>
      <c r="W298" s="312" t="n">
        <v>13.7</v>
      </c>
      <c r="X298" s="311" t="n">
        <v>0</v>
      </c>
      <c r="Y298" s="312" t="n">
        <v>13.7</v>
      </c>
      <c r="Z298" s="313" t="n">
        <v>0</v>
      </c>
      <c r="AA298" s="314" t="n">
        <v>13.7</v>
      </c>
      <c r="AB298" s="313" t="n">
        <v>0</v>
      </c>
      <c r="AC298" s="314" t="n">
        <v>13.7</v>
      </c>
      <c r="AD298" s="315"/>
      <c r="AE298" s="144" t="n">
        <v>1</v>
      </c>
      <c r="AF298" s="315"/>
      <c r="AG298" s="311" t="n">
        <v>0</v>
      </c>
      <c r="AH298" s="309" t="n">
        <v>0</v>
      </c>
      <c r="AI298" s="310"/>
      <c r="AJ298" s="311" t="n">
        <v>147</v>
      </c>
      <c r="AK298" s="309" t="n">
        <v>388.8</v>
      </c>
      <c r="AL298" s="311" t="n">
        <v>196</v>
      </c>
      <c r="AM298" s="309" t="n">
        <v>480</v>
      </c>
      <c r="AN298" s="310" t="n">
        <v>215</v>
      </c>
      <c r="AO298" s="309" t="n">
        <v>460.8</v>
      </c>
      <c r="AP298" s="310"/>
      <c r="AQ298" s="311" t="n">
        <v>147</v>
      </c>
      <c r="AR298" s="309" t="n">
        <v>768</v>
      </c>
      <c r="AS298" s="311" t="n">
        <v>257</v>
      </c>
      <c r="AT298" s="309" t="n">
        <v>657.6</v>
      </c>
      <c r="AU298" s="310" t="n">
        <v>257</v>
      </c>
      <c r="AV298" s="309" t="n">
        <v>657.6</v>
      </c>
      <c r="AW298" s="310" t="n">
        <v>257</v>
      </c>
      <c r="AX298" s="309" t="n">
        <v>657.6</v>
      </c>
      <c r="AY298" s="310" t="n">
        <v>257</v>
      </c>
      <c r="AZ298" s="309" t="n">
        <v>657.6</v>
      </c>
      <c r="BB298" s="144" t="n">
        <v>0</v>
      </c>
      <c r="BC298" s="315"/>
      <c r="BD298" s="311" t="n">
        <v>0</v>
      </c>
      <c r="BE298" s="316" t="n">
        <v>0</v>
      </c>
      <c r="BF298" s="310"/>
      <c r="BG298" s="317" t="n">
        <v>0</v>
      </c>
      <c r="BH298" s="318" t="n">
        <v>0</v>
      </c>
      <c r="BI298" s="317" t="n">
        <v>0</v>
      </c>
      <c r="BJ298" s="318" t="n">
        <v>0</v>
      </c>
      <c r="BK298" s="317" t="n">
        <v>0</v>
      </c>
      <c r="BL298" s="318" t="n">
        <v>0</v>
      </c>
      <c r="BM298" s="310"/>
      <c r="BN298" s="317" t="n">
        <v>0</v>
      </c>
      <c r="BO298" s="318" t="n">
        <v>0</v>
      </c>
      <c r="BP298" s="317" t="n">
        <v>0</v>
      </c>
      <c r="BQ298" s="318" t="n">
        <v>0</v>
      </c>
      <c r="BR298" s="317" t="n">
        <v>0</v>
      </c>
      <c r="BS298" s="318" t="n">
        <v>0</v>
      </c>
      <c r="BT298" s="317" t="n">
        <v>0</v>
      </c>
      <c r="BU298" s="318" t="n">
        <v>0</v>
      </c>
      <c r="BV298" s="317" t="n">
        <v>0</v>
      </c>
      <c r="BW298" s="318" t="n">
        <v>0</v>
      </c>
      <c r="BY298" s="143"/>
      <c r="BZ298" s="315"/>
      <c r="CA298" s="144" t="s">
        <v>12</v>
      </c>
      <c r="CB298" s="315"/>
      <c r="CC298" s="144" t="n">
        <v>-146.24958677686</v>
      </c>
      <c r="CD298" s="144" t="n">
        <v>-195.04958677686</v>
      </c>
      <c r="CE298" s="144" t="n">
        <v>-214.249586776859</v>
      </c>
      <c r="CF298" s="315"/>
      <c r="CG298" s="144" t="n">
        <v>-146.04958677686</v>
      </c>
      <c r="CH298" s="144" t="n">
        <v>-256.44958677686</v>
      </c>
      <c r="CI298" s="144" t="n">
        <v>-256.44958677686</v>
      </c>
      <c r="CJ298" s="144" t="n">
        <v>-256.44958677686</v>
      </c>
      <c r="CK298" s="144" t="n">
        <v>-256.44958677686</v>
      </c>
      <c r="CM298" s="144" t="n">
        <v>842.148760330579</v>
      </c>
      <c r="CO298" s="319"/>
      <c r="CP298" s="320"/>
      <c r="CQ298" s="321" t="s">
        <v>12</v>
      </c>
      <c r="CR298" s="320"/>
      <c r="CS298" s="322" t="n">
        <v>-74.3487603305786</v>
      </c>
      <c r="CT298" s="322" t="n">
        <v>-123.148760330579</v>
      </c>
      <c r="CU298" s="322" t="n">
        <v>-142.348760330578</v>
      </c>
      <c r="CV298" s="323"/>
      <c r="CW298" s="322" t="n">
        <v>-74.1487603305785</v>
      </c>
      <c r="CX298" s="322" t="n">
        <v>-184.548760330579</v>
      </c>
      <c r="CY298" s="322" t="n">
        <v>-184.548760330579</v>
      </c>
      <c r="CZ298" s="322" t="n">
        <v>-184.548760330579</v>
      </c>
      <c r="DA298" s="322" t="n">
        <v>-184.548760330579</v>
      </c>
    </row>
    <row r="299" customFormat="false" ht="12.75" hidden="false" customHeight="false" outlineLevel="0" collapsed="false">
      <c r="B299" s="305" t="s">
        <v>184</v>
      </c>
      <c r="C299" s="305" t="s">
        <v>585</v>
      </c>
      <c r="D299" s="306" t="n">
        <v>948</v>
      </c>
      <c r="E299" s="306" t="n">
        <v>5.33</v>
      </c>
      <c r="F299" s="306" t="s">
        <v>580</v>
      </c>
      <c r="G299" s="307" t="n">
        <v>24</v>
      </c>
      <c r="H299" s="308" t="n">
        <v>949.586776859504</v>
      </c>
      <c r="I299" s="2"/>
      <c r="J299" s="144" t="s">
        <v>12</v>
      </c>
      <c r="K299" s="309" t="s">
        <v>12</v>
      </c>
      <c r="L299" s="310"/>
      <c r="M299" s="311" t="n">
        <v>399</v>
      </c>
      <c r="N299" s="312" t="n">
        <v>17</v>
      </c>
      <c r="O299" s="311" t="n">
        <v>239</v>
      </c>
      <c r="P299" s="312" t="n">
        <v>21.1</v>
      </c>
      <c r="Q299" s="310" t="n">
        <v>239</v>
      </c>
      <c r="R299" s="312" t="n">
        <v>20.3</v>
      </c>
      <c r="S299" s="310"/>
      <c r="T299" s="311" t="n">
        <v>0</v>
      </c>
      <c r="U299" s="312" t="n">
        <v>33.3</v>
      </c>
      <c r="V299" s="311" t="n">
        <v>0</v>
      </c>
      <c r="W299" s="312" t="n">
        <v>29.8</v>
      </c>
      <c r="X299" s="311" t="n">
        <v>0</v>
      </c>
      <c r="Y299" s="312" t="n">
        <v>29.8</v>
      </c>
      <c r="Z299" s="313" t="n">
        <v>0</v>
      </c>
      <c r="AA299" s="314" t="n">
        <v>29.8</v>
      </c>
      <c r="AB299" s="313" t="n">
        <v>0</v>
      </c>
      <c r="AC299" s="314" t="n">
        <v>29.8</v>
      </c>
      <c r="AD299" s="315"/>
      <c r="AE299" s="144" t="n">
        <v>-2</v>
      </c>
      <c r="AF299" s="315"/>
      <c r="AG299" s="311" t="n">
        <v>0</v>
      </c>
      <c r="AH299" s="309" t="n">
        <v>0</v>
      </c>
      <c r="AI299" s="310"/>
      <c r="AJ299" s="311" t="n">
        <v>141</v>
      </c>
      <c r="AK299" s="309" t="n">
        <v>408</v>
      </c>
      <c r="AL299" s="311" t="n">
        <v>203</v>
      </c>
      <c r="AM299" s="309" t="n">
        <v>506.4</v>
      </c>
      <c r="AN299" s="311" t="n">
        <v>222</v>
      </c>
      <c r="AO299" s="309" t="n">
        <v>487.2</v>
      </c>
      <c r="AP299" s="310"/>
      <c r="AQ299" s="311" t="n">
        <v>149</v>
      </c>
      <c r="AR299" s="309" t="n">
        <v>799.2</v>
      </c>
      <c r="AS299" s="311" t="n">
        <v>233</v>
      </c>
      <c r="AT299" s="309" t="n">
        <v>715.2</v>
      </c>
      <c r="AU299" s="311" t="n">
        <v>233</v>
      </c>
      <c r="AV299" s="309" t="n">
        <v>715.2</v>
      </c>
      <c r="AW299" s="311" t="n">
        <v>233</v>
      </c>
      <c r="AX299" s="309" t="n">
        <v>715.2</v>
      </c>
      <c r="AY299" s="311" t="n">
        <v>233</v>
      </c>
      <c r="AZ299" s="309" t="n">
        <v>715.2</v>
      </c>
      <c r="BB299" s="144" t="n">
        <v>0</v>
      </c>
      <c r="BC299" s="315"/>
      <c r="BD299" s="311" t="n">
        <v>0</v>
      </c>
      <c r="BE299" s="316" t="n">
        <v>0</v>
      </c>
      <c r="BF299" s="310"/>
      <c r="BG299" s="317" t="n">
        <v>0</v>
      </c>
      <c r="BH299" s="318" t="n">
        <v>0.399999999999999</v>
      </c>
      <c r="BI299" s="317" t="n">
        <v>0</v>
      </c>
      <c r="BJ299" s="318" t="n">
        <v>0.800000000000001</v>
      </c>
      <c r="BK299" s="317" t="n">
        <v>0</v>
      </c>
      <c r="BL299" s="318" t="n">
        <v>0.800000000000001</v>
      </c>
      <c r="BM299" s="310"/>
      <c r="BN299" s="317" t="n">
        <v>0</v>
      </c>
      <c r="BO299" s="318" t="n">
        <v>-0.199999999999996</v>
      </c>
      <c r="BP299" s="317" t="n">
        <v>0</v>
      </c>
      <c r="BQ299" s="318" t="n">
        <v>1.9</v>
      </c>
      <c r="BR299" s="317" t="n">
        <v>0</v>
      </c>
      <c r="BS299" s="318" t="n">
        <v>1.9</v>
      </c>
      <c r="BT299" s="317" t="n">
        <v>0</v>
      </c>
      <c r="BU299" s="318" t="n">
        <v>1.9</v>
      </c>
      <c r="BV299" s="317" t="n">
        <v>0</v>
      </c>
      <c r="BW299" s="318" t="n">
        <v>1.9</v>
      </c>
      <c r="BY299" s="143"/>
      <c r="BZ299" s="315"/>
      <c r="CA299" s="144" t="s">
        <v>12</v>
      </c>
      <c r="CB299" s="315"/>
      <c r="CC299" s="144" t="n">
        <v>-142.586776859504</v>
      </c>
      <c r="CD299" s="144" t="n">
        <v>-204.186776859504</v>
      </c>
      <c r="CE299" s="144" t="n">
        <v>-223.386776859504</v>
      </c>
      <c r="CF299" s="315"/>
      <c r="CG299" s="144" t="n">
        <v>-150.386776859504</v>
      </c>
      <c r="CH299" s="144" t="n">
        <v>-234.386776859504</v>
      </c>
      <c r="CI299" s="144" t="n">
        <v>-234.386776859504</v>
      </c>
      <c r="CJ299" s="144" t="n">
        <v>-234.386776859504</v>
      </c>
      <c r="CK299" s="144" t="n">
        <v>-234.386776859504</v>
      </c>
      <c r="CM299" s="144" t="n">
        <v>866.942148760331</v>
      </c>
      <c r="CO299" s="319"/>
      <c r="CP299" s="320"/>
      <c r="CQ299" s="321" t="s">
        <v>12</v>
      </c>
      <c r="CR299" s="320"/>
      <c r="CS299" s="322" t="n">
        <v>-59.9421487603306</v>
      </c>
      <c r="CT299" s="322" t="n">
        <v>-121.542148760331</v>
      </c>
      <c r="CU299" s="322" t="n">
        <v>-140.742148760331</v>
      </c>
      <c r="CV299" s="323"/>
      <c r="CW299" s="322" t="n">
        <v>-67.7421487603306</v>
      </c>
      <c r="CX299" s="322" t="n">
        <v>-151.742148760331</v>
      </c>
      <c r="CY299" s="322" t="n">
        <v>-151.742148760331</v>
      </c>
      <c r="CZ299" s="322" t="n">
        <v>-151.742148760331</v>
      </c>
      <c r="DA299" s="322" t="n">
        <v>-151.742148760331</v>
      </c>
    </row>
    <row r="300" customFormat="false" ht="12.75" hidden="false" customHeight="false" outlineLevel="0" collapsed="false">
      <c r="B300" s="305" t="s">
        <v>184</v>
      </c>
      <c r="C300" s="305" t="s">
        <v>585</v>
      </c>
      <c r="D300" s="306" t="n">
        <v>948</v>
      </c>
      <c r="E300" s="306" t="n">
        <v>5.33</v>
      </c>
      <c r="F300" s="324" t="s">
        <v>580</v>
      </c>
      <c r="G300" s="144" t="n">
        <v>48</v>
      </c>
      <c r="H300" s="325" t="n">
        <v>949.586776859504</v>
      </c>
      <c r="I300" s="2"/>
      <c r="J300" s="144" t="s">
        <v>12</v>
      </c>
      <c r="K300" s="309" t="s">
        <v>12</v>
      </c>
      <c r="L300" s="310"/>
      <c r="M300" s="311" t="n">
        <v>399</v>
      </c>
      <c r="N300" s="312" t="n">
        <v>8.5</v>
      </c>
      <c r="O300" s="311" t="n">
        <v>239</v>
      </c>
      <c r="P300" s="312" t="n">
        <v>10.6</v>
      </c>
      <c r="Q300" s="310" t="n">
        <v>239</v>
      </c>
      <c r="R300" s="312" t="n">
        <v>10.2</v>
      </c>
      <c r="S300" s="310"/>
      <c r="T300" s="311" t="n">
        <v>0</v>
      </c>
      <c r="U300" s="312" t="n">
        <v>16.7</v>
      </c>
      <c r="V300" s="311" t="n">
        <v>0</v>
      </c>
      <c r="W300" s="312" t="n">
        <v>14.9</v>
      </c>
      <c r="X300" s="311" t="n">
        <v>0</v>
      </c>
      <c r="Y300" s="312" t="n">
        <v>14.9</v>
      </c>
      <c r="Z300" s="313" t="n">
        <v>0</v>
      </c>
      <c r="AA300" s="314" t="n">
        <v>14.9</v>
      </c>
      <c r="AB300" s="313" t="n">
        <v>0</v>
      </c>
      <c r="AC300" s="314" t="n">
        <v>14.9</v>
      </c>
      <c r="AD300" s="315"/>
      <c r="AE300" s="144" t="n">
        <v>-2</v>
      </c>
      <c r="AF300" s="315"/>
      <c r="AG300" s="311" t="n">
        <v>0</v>
      </c>
      <c r="AH300" s="309" t="n">
        <v>0</v>
      </c>
      <c r="AI300" s="310"/>
      <c r="AJ300" s="311" t="n">
        <v>141</v>
      </c>
      <c r="AK300" s="309" t="n">
        <v>408</v>
      </c>
      <c r="AL300" s="311" t="n">
        <v>200</v>
      </c>
      <c r="AM300" s="309" t="n">
        <v>508.8</v>
      </c>
      <c r="AN300" s="310" t="n">
        <v>219</v>
      </c>
      <c r="AO300" s="309" t="n">
        <v>489.6</v>
      </c>
      <c r="AP300" s="310"/>
      <c r="AQ300" s="311" t="n">
        <v>146</v>
      </c>
      <c r="AR300" s="309" t="n">
        <v>801.6</v>
      </c>
      <c r="AS300" s="311" t="n">
        <v>233</v>
      </c>
      <c r="AT300" s="309" t="n">
        <v>715.2</v>
      </c>
      <c r="AU300" s="310" t="n">
        <v>233</v>
      </c>
      <c r="AV300" s="309" t="n">
        <v>715.2</v>
      </c>
      <c r="AW300" s="310" t="n">
        <v>233</v>
      </c>
      <c r="AX300" s="309" t="n">
        <v>715.2</v>
      </c>
      <c r="AY300" s="310" t="n">
        <v>233</v>
      </c>
      <c r="AZ300" s="309" t="n">
        <v>715.2</v>
      </c>
      <c r="BB300" s="144" t="n">
        <v>0</v>
      </c>
      <c r="BC300" s="315"/>
      <c r="BD300" s="311" t="n">
        <v>0</v>
      </c>
      <c r="BE300" s="316" t="n">
        <v>0</v>
      </c>
      <c r="BF300" s="310"/>
      <c r="BG300" s="317" t="n">
        <v>0</v>
      </c>
      <c r="BH300" s="318" t="n">
        <v>0</v>
      </c>
      <c r="BI300" s="317" t="n">
        <v>0</v>
      </c>
      <c r="BJ300" s="318" t="n">
        <v>0</v>
      </c>
      <c r="BK300" s="317" t="n">
        <v>0</v>
      </c>
      <c r="BL300" s="318" t="n">
        <v>0</v>
      </c>
      <c r="BM300" s="310"/>
      <c r="BN300" s="317" t="n">
        <v>0</v>
      </c>
      <c r="BO300" s="318" t="n">
        <v>0</v>
      </c>
      <c r="BP300" s="317" t="n">
        <v>0</v>
      </c>
      <c r="BQ300" s="318" t="n">
        <v>0</v>
      </c>
      <c r="BR300" s="317" t="n">
        <v>0</v>
      </c>
      <c r="BS300" s="318" t="n">
        <v>0</v>
      </c>
      <c r="BT300" s="317" t="n">
        <v>0</v>
      </c>
      <c r="BU300" s="318" t="n">
        <v>0</v>
      </c>
      <c r="BV300" s="317" t="n">
        <v>0</v>
      </c>
      <c r="BW300" s="318" t="n">
        <v>0</v>
      </c>
      <c r="BY300" s="143"/>
      <c r="BZ300" s="315"/>
      <c r="CA300" s="144" t="s">
        <v>12</v>
      </c>
      <c r="CB300" s="315"/>
      <c r="CC300" s="144" t="n">
        <v>-142.586776859504</v>
      </c>
      <c r="CD300" s="144" t="n">
        <v>-201.786776859504</v>
      </c>
      <c r="CE300" s="144" t="n">
        <v>-220.986776859504</v>
      </c>
      <c r="CF300" s="315"/>
      <c r="CG300" s="144" t="n">
        <v>-147.986776859504</v>
      </c>
      <c r="CH300" s="144" t="n">
        <v>-234.386776859504</v>
      </c>
      <c r="CI300" s="144" t="n">
        <v>-234.386776859504</v>
      </c>
      <c r="CJ300" s="144" t="n">
        <v>-234.386776859504</v>
      </c>
      <c r="CK300" s="144" t="n">
        <v>-234.386776859504</v>
      </c>
      <c r="CM300" s="144" t="n">
        <v>866.942148760331</v>
      </c>
      <c r="CO300" s="319"/>
      <c r="CP300" s="320"/>
      <c r="CQ300" s="321" t="s">
        <v>12</v>
      </c>
      <c r="CR300" s="320"/>
      <c r="CS300" s="322" t="n">
        <v>-59.9421487603306</v>
      </c>
      <c r="CT300" s="322" t="n">
        <v>-119.142148760331</v>
      </c>
      <c r="CU300" s="322" t="n">
        <v>-138.342148760331</v>
      </c>
      <c r="CV300" s="323"/>
      <c r="CW300" s="322" t="n">
        <v>-65.3421487603307</v>
      </c>
      <c r="CX300" s="322" t="n">
        <v>-151.742148760331</v>
      </c>
      <c r="CY300" s="322" t="n">
        <v>-151.742148760331</v>
      </c>
      <c r="CZ300" s="322" t="n">
        <v>-151.742148760331</v>
      </c>
      <c r="DA300" s="322" t="n">
        <v>-151.742148760331</v>
      </c>
    </row>
    <row r="301" customFormat="false" ht="12.75" hidden="false" customHeight="false" outlineLevel="0" collapsed="false">
      <c r="B301" s="305" t="s">
        <v>184</v>
      </c>
      <c r="C301" s="326" t="s">
        <v>586</v>
      </c>
      <c r="D301" s="306" t="n">
        <v>867</v>
      </c>
      <c r="E301" s="306" t="n">
        <v>5.33</v>
      </c>
      <c r="F301" s="306" t="s">
        <v>580</v>
      </c>
      <c r="G301" s="307" t="n">
        <v>24</v>
      </c>
      <c r="H301" s="308" t="n">
        <v>638.01652892562</v>
      </c>
      <c r="I301" s="2"/>
      <c r="J301" s="144" t="s">
        <v>12</v>
      </c>
      <c r="K301" s="309" t="s">
        <v>12</v>
      </c>
      <c r="L301" s="310"/>
      <c r="M301" s="311" t="s">
        <v>12</v>
      </c>
      <c r="N301" s="312" t="s">
        <v>12</v>
      </c>
      <c r="O301" s="311" t="s">
        <v>12</v>
      </c>
      <c r="P301" s="312" t="s">
        <v>12</v>
      </c>
      <c r="Q301" s="310" t="s">
        <v>12</v>
      </c>
      <c r="R301" s="312" t="s">
        <v>12</v>
      </c>
      <c r="S301" s="310"/>
      <c r="T301" s="311" t="n">
        <v>0</v>
      </c>
      <c r="U301" s="312" t="n">
        <v>22.6</v>
      </c>
      <c r="V301" s="311" t="n">
        <v>0</v>
      </c>
      <c r="W301" s="312" t="n">
        <v>21.7</v>
      </c>
      <c r="X301" s="311" t="n">
        <v>0</v>
      </c>
      <c r="Y301" s="312" t="n">
        <v>13</v>
      </c>
      <c r="Z301" s="313" t="n">
        <v>0</v>
      </c>
      <c r="AA301" s="314" t="n">
        <v>13</v>
      </c>
      <c r="AB301" s="313" t="n">
        <v>0</v>
      </c>
      <c r="AC301" s="314" t="n">
        <v>13</v>
      </c>
      <c r="AD301" s="315"/>
      <c r="AE301" s="144" t="n">
        <v>229</v>
      </c>
      <c r="AF301" s="315"/>
      <c r="AG301" s="311" t="n">
        <v>0</v>
      </c>
      <c r="AH301" s="309" t="n">
        <v>0</v>
      </c>
      <c r="AI301" s="310"/>
      <c r="AJ301" s="311" t="s">
        <v>12</v>
      </c>
      <c r="AK301" s="309" t="s">
        <v>12</v>
      </c>
      <c r="AL301" s="311" t="s">
        <v>12</v>
      </c>
      <c r="AM301" s="309" t="s">
        <v>12</v>
      </c>
      <c r="AN301" s="311" t="s">
        <v>12</v>
      </c>
      <c r="AO301" s="309" t="s">
        <v>12</v>
      </c>
      <c r="AP301" s="310"/>
      <c r="AQ301" s="311" t="n">
        <v>325</v>
      </c>
      <c r="AR301" s="309" t="n">
        <v>542.4</v>
      </c>
      <c r="AS301" s="311" t="n">
        <v>346</v>
      </c>
      <c r="AT301" s="309" t="n">
        <v>520.8</v>
      </c>
      <c r="AU301" s="311" t="n">
        <v>555</v>
      </c>
      <c r="AV301" s="309" t="n">
        <v>312</v>
      </c>
      <c r="AW301" s="311" t="n">
        <v>555</v>
      </c>
      <c r="AX301" s="309" t="n">
        <v>312</v>
      </c>
      <c r="AY301" s="311" t="n">
        <v>555</v>
      </c>
      <c r="AZ301" s="309" t="n">
        <v>312</v>
      </c>
      <c r="BB301" s="144" t="n">
        <v>0</v>
      </c>
      <c r="BC301" s="315"/>
      <c r="BD301" s="311" t="n">
        <v>0</v>
      </c>
      <c r="BE301" s="316" t="n">
        <v>0</v>
      </c>
      <c r="BF301" s="310"/>
      <c r="BG301" s="317" t="n">
        <v>0</v>
      </c>
      <c r="BH301" s="318" t="n">
        <v>0</v>
      </c>
      <c r="BI301" s="317" t="n">
        <v>0</v>
      </c>
      <c r="BJ301" s="318" t="n">
        <v>0</v>
      </c>
      <c r="BK301" s="317" t="n">
        <v>0</v>
      </c>
      <c r="BL301" s="318" t="n">
        <v>0</v>
      </c>
      <c r="BM301" s="310"/>
      <c r="BN301" s="317" t="n">
        <v>0</v>
      </c>
      <c r="BO301" s="318" t="n">
        <v>0</v>
      </c>
      <c r="BP301" s="317" t="n">
        <v>0</v>
      </c>
      <c r="BQ301" s="318" t="n">
        <v>0</v>
      </c>
      <c r="BR301" s="317" t="n">
        <v>0</v>
      </c>
      <c r="BS301" s="318" t="n">
        <v>0</v>
      </c>
      <c r="BT301" s="317" t="n">
        <v>0</v>
      </c>
      <c r="BU301" s="318" t="n">
        <v>0</v>
      </c>
      <c r="BV301" s="317" t="n">
        <v>0</v>
      </c>
      <c r="BW301" s="318" t="n">
        <v>0</v>
      </c>
      <c r="BY301" s="143"/>
      <c r="BZ301" s="315"/>
      <c r="CA301" s="144"/>
      <c r="CB301" s="315"/>
      <c r="CC301" s="144" t="s">
        <v>12</v>
      </c>
      <c r="CD301" s="144" t="s">
        <v>12</v>
      </c>
      <c r="CE301" s="144" t="s">
        <v>12</v>
      </c>
      <c r="CF301" s="315"/>
      <c r="CG301" s="144" t="n">
        <v>-95.6165289256197</v>
      </c>
      <c r="CH301" s="144" t="n">
        <v>-117.21652892562</v>
      </c>
      <c r="CI301" s="144" t="n">
        <v>-326.01652892562</v>
      </c>
      <c r="CJ301" s="144" t="n">
        <v>-326.01652892562</v>
      </c>
      <c r="CK301" s="144" t="n">
        <v>-326.01652892562</v>
      </c>
      <c r="CM301" s="144" t="n">
        <v>866.942148760331</v>
      </c>
      <c r="CO301" s="319"/>
      <c r="CP301" s="320"/>
      <c r="CQ301" s="321"/>
      <c r="CR301" s="320"/>
      <c r="CS301" s="322" t="s">
        <v>12</v>
      </c>
      <c r="CT301" s="322" t="s">
        <v>12</v>
      </c>
      <c r="CU301" s="322" t="s">
        <v>12</v>
      </c>
      <c r="CV301" s="323"/>
      <c r="CW301" s="322" t="n">
        <v>-324.542148760331</v>
      </c>
      <c r="CX301" s="322" t="n">
        <v>-346.142148760331</v>
      </c>
      <c r="CY301" s="322" t="n">
        <v>-554.942148760331</v>
      </c>
      <c r="CZ301" s="322" t="n">
        <v>-554.942148760331</v>
      </c>
      <c r="DA301" s="322" t="n">
        <v>-554.942148760331</v>
      </c>
    </row>
    <row r="302" customFormat="false" ht="12.75" hidden="false" customHeight="false" outlineLevel="0" collapsed="false">
      <c r="B302" s="305" t="s">
        <v>184</v>
      </c>
      <c r="C302" s="326" t="s">
        <v>586</v>
      </c>
      <c r="D302" s="306" t="n">
        <v>867</v>
      </c>
      <c r="E302" s="306" t="n">
        <v>5.33</v>
      </c>
      <c r="F302" s="306" t="s">
        <v>580</v>
      </c>
      <c r="G302" s="307" t="n">
        <v>48</v>
      </c>
      <c r="H302" s="308" t="n">
        <v>638.01652892562</v>
      </c>
      <c r="I302" s="2"/>
      <c r="J302" s="144" t="s">
        <v>12</v>
      </c>
      <c r="K302" s="309" t="s">
        <v>12</v>
      </c>
      <c r="L302" s="310"/>
      <c r="M302" s="311" t="s">
        <v>12</v>
      </c>
      <c r="N302" s="312" t="s">
        <v>12</v>
      </c>
      <c r="O302" s="311" t="s">
        <v>12</v>
      </c>
      <c r="P302" s="312" t="s">
        <v>12</v>
      </c>
      <c r="Q302" s="310" t="s">
        <v>12</v>
      </c>
      <c r="R302" s="312" t="s">
        <v>12</v>
      </c>
      <c r="S302" s="310"/>
      <c r="T302" s="311" t="n">
        <v>0</v>
      </c>
      <c r="U302" s="312" t="n">
        <v>11.3</v>
      </c>
      <c r="V302" s="311" t="n">
        <v>0</v>
      </c>
      <c r="W302" s="312" t="n">
        <v>10.9</v>
      </c>
      <c r="X302" s="311" t="n">
        <v>0</v>
      </c>
      <c r="Y302" s="312" t="n">
        <v>6.5</v>
      </c>
      <c r="Z302" s="313" t="n">
        <v>0</v>
      </c>
      <c r="AA302" s="314" t="n">
        <v>6.5</v>
      </c>
      <c r="AB302" s="313" t="n">
        <v>0</v>
      </c>
      <c r="AC302" s="314" t="n">
        <v>6.5</v>
      </c>
      <c r="AD302" s="315"/>
      <c r="AE302" s="144" t="n">
        <v>229</v>
      </c>
      <c r="AF302" s="315"/>
      <c r="AG302" s="311" t="n">
        <v>0</v>
      </c>
      <c r="AH302" s="309" t="n">
        <v>0</v>
      </c>
      <c r="AI302" s="310"/>
      <c r="AJ302" s="311" t="s">
        <v>12</v>
      </c>
      <c r="AK302" s="309" t="s">
        <v>12</v>
      </c>
      <c r="AL302" s="311" t="s">
        <v>12</v>
      </c>
      <c r="AM302" s="309" t="s">
        <v>12</v>
      </c>
      <c r="AN302" s="311" t="s">
        <v>12</v>
      </c>
      <c r="AO302" s="309" t="s">
        <v>12</v>
      </c>
      <c r="AP302" s="310"/>
      <c r="AQ302" s="311" t="n">
        <v>325</v>
      </c>
      <c r="AR302" s="309" t="n">
        <v>542.4</v>
      </c>
      <c r="AS302" s="311" t="n">
        <v>344</v>
      </c>
      <c r="AT302" s="309" t="n">
        <v>523.2</v>
      </c>
      <c r="AU302" s="311" t="n">
        <v>555</v>
      </c>
      <c r="AV302" s="309" t="n">
        <v>312</v>
      </c>
      <c r="AW302" s="311" t="n">
        <v>555</v>
      </c>
      <c r="AX302" s="309" t="n">
        <v>312</v>
      </c>
      <c r="AY302" s="311" t="n">
        <v>555</v>
      </c>
      <c r="AZ302" s="309" t="n">
        <v>312</v>
      </c>
      <c r="BB302" s="144" t="n">
        <v>0</v>
      </c>
      <c r="BC302" s="315"/>
      <c r="BD302" s="311" t="n">
        <v>0</v>
      </c>
      <c r="BE302" s="316" t="n">
        <v>0</v>
      </c>
      <c r="BF302" s="310"/>
      <c r="BG302" s="317" t="n">
        <v>0</v>
      </c>
      <c r="BH302" s="318" t="n">
        <v>0</v>
      </c>
      <c r="BI302" s="317" t="n">
        <v>0</v>
      </c>
      <c r="BJ302" s="318" t="n">
        <v>0</v>
      </c>
      <c r="BK302" s="317" t="n">
        <v>0</v>
      </c>
      <c r="BL302" s="318" t="n">
        <v>0</v>
      </c>
      <c r="BM302" s="310"/>
      <c r="BN302" s="317" t="n">
        <v>0</v>
      </c>
      <c r="BO302" s="318" t="n">
        <v>0</v>
      </c>
      <c r="BP302" s="317" t="n">
        <v>0</v>
      </c>
      <c r="BQ302" s="318" t="n">
        <v>0</v>
      </c>
      <c r="BR302" s="317" t="n">
        <v>0</v>
      </c>
      <c r="BS302" s="318" t="n">
        <v>0</v>
      </c>
      <c r="BT302" s="317" t="n">
        <v>0</v>
      </c>
      <c r="BU302" s="318" t="n">
        <v>0</v>
      </c>
      <c r="BV302" s="317" t="n">
        <v>0</v>
      </c>
      <c r="BW302" s="318" t="n">
        <v>0</v>
      </c>
      <c r="BY302" s="143"/>
      <c r="BZ302" s="315"/>
      <c r="CA302" s="144"/>
      <c r="CB302" s="315"/>
      <c r="CC302" s="144" t="s">
        <v>12</v>
      </c>
      <c r="CD302" s="144" t="s">
        <v>12</v>
      </c>
      <c r="CE302" s="144" t="s">
        <v>12</v>
      </c>
      <c r="CF302" s="315"/>
      <c r="CG302" s="144" t="n">
        <v>-95.6165289256197</v>
      </c>
      <c r="CH302" s="144" t="n">
        <v>-114.81652892562</v>
      </c>
      <c r="CI302" s="144" t="n">
        <v>-326.01652892562</v>
      </c>
      <c r="CJ302" s="144" t="n">
        <v>-326.01652892562</v>
      </c>
      <c r="CK302" s="144" t="n">
        <v>-326.01652892562</v>
      </c>
      <c r="CM302" s="144" t="n">
        <v>866.942148760331</v>
      </c>
      <c r="CO302" s="319"/>
      <c r="CP302" s="320"/>
      <c r="CQ302" s="321"/>
      <c r="CR302" s="320"/>
      <c r="CS302" s="322" t="s">
        <v>12</v>
      </c>
      <c r="CT302" s="322" t="s">
        <v>12</v>
      </c>
      <c r="CU302" s="322" t="s">
        <v>12</v>
      </c>
      <c r="CV302" s="323"/>
      <c r="CW302" s="322" t="n">
        <v>-324.542148760331</v>
      </c>
      <c r="CX302" s="322" t="n">
        <v>-343.742148760331</v>
      </c>
      <c r="CY302" s="322" t="n">
        <v>-554.942148760331</v>
      </c>
      <c r="CZ302" s="322" t="n">
        <v>-554.942148760331</v>
      </c>
      <c r="DA302" s="322" t="n">
        <v>-554.942148760331</v>
      </c>
    </row>
    <row r="303" customFormat="false" ht="12.75" hidden="false" customHeight="false" outlineLevel="0" collapsed="false">
      <c r="B303" s="305" t="s">
        <v>190</v>
      </c>
      <c r="C303" s="305" t="s">
        <v>587</v>
      </c>
      <c r="D303" s="306" t="n">
        <v>661</v>
      </c>
      <c r="E303" s="306" t="n">
        <v>5.33</v>
      </c>
      <c r="F303" s="306" t="s">
        <v>580</v>
      </c>
      <c r="G303" s="307" t="n">
        <v>24</v>
      </c>
      <c r="H303" s="308" t="n">
        <v>656.198347107438</v>
      </c>
      <c r="I303" s="2"/>
      <c r="J303" s="144" t="s">
        <v>12</v>
      </c>
      <c r="K303" s="309" t="s">
        <v>12</v>
      </c>
      <c r="L303" s="310"/>
      <c r="M303" s="311" t="n">
        <v>289</v>
      </c>
      <c r="N303" s="312" t="n">
        <v>11.8</v>
      </c>
      <c r="O303" s="311" t="n">
        <v>169</v>
      </c>
      <c r="P303" s="312" t="n">
        <v>14.1</v>
      </c>
      <c r="Q303" s="310" t="n">
        <v>169</v>
      </c>
      <c r="R303" s="312" t="n">
        <v>13.3</v>
      </c>
      <c r="S303" s="310"/>
      <c r="T303" s="311" t="n">
        <v>0</v>
      </c>
      <c r="U303" s="312" t="n">
        <v>23.4</v>
      </c>
      <c r="V303" s="311" t="n">
        <v>0</v>
      </c>
      <c r="W303" s="312" t="n">
        <v>20.7</v>
      </c>
      <c r="X303" s="311" t="n">
        <v>0</v>
      </c>
      <c r="Y303" s="312" t="n">
        <v>12.5</v>
      </c>
      <c r="Z303" s="313" t="n">
        <v>0</v>
      </c>
      <c r="AA303" s="314" t="n">
        <v>12.5</v>
      </c>
      <c r="AB303" s="313" t="n">
        <v>0</v>
      </c>
      <c r="AC303" s="314" t="n">
        <v>12.5</v>
      </c>
      <c r="AD303" s="315"/>
      <c r="AE303" s="144" t="n">
        <v>5</v>
      </c>
      <c r="AF303" s="315"/>
      <c r="AG303" s="311" t="n">
        <v>0</v>
      </c>
      <c r="AH303" s="309" t="n">
        <v>0</v>
      </c>
      <c r="AI303" s="310"/>
      <c r="AJ303" s="311" t="n">
        <v>89</v>
      </c>
      <c r="AK303" s="309" t="n">
        <v>283.2</v>
      </c>
      <c r="AL303" s="311" t="n">
        <v>154</v>
      </c>
      <c r="AM303" s="309" t="n">
        <v>338.4</v>
      </c>
      <c r="AN303" s="311" t="n">
        <v>173</v>
      </c>
      <c r="AO303" s="309" t="n">
        <v>319.2</v>
      </c>
      <c r="AP303" s="310"/>
      <c r="AQ303" s="311" t="n">
        <v>99</v>
      </c>
      <c r="AR303" s="309" t="n">
        <v>561.6</v>
      </c>
      <c r="AS303" s="311" t="n">
        <v>164</v>
      </c>
      <c r="AT303" s="309" t="n">
        <v>496.8</v>
      </c>
      <c r="AU303" s="311" t="n">
        <v>361</v>
      </c>
      <c r="AV303" s="309" t="n">
        <v>300</v>
      </c>
      <c r="AW303" s="311" t="n">
        <v>361</v>
      </c>
      <c r="AX303" s="309" t="n">
        <v>300</v>
      </c>
      <c r="AY303" s="311" t="n">
        <v>361</v>
      </c>
      <c r="AZ303" s="309" t="n">
        <v>300</v>
      </c>
      <c r="BB303" s="144" t="n">
        <v>0</v>
      </c>
      <c r="BC303" s="315"/>
      <c r="BD303" s="311" t="n">
        <v>0</v>
      </c>
      <c r="BE303" s="316" t="n">
        <v>0</v>
      </c>
      <c r="BF303" s="310"/>
      <c r="BG303" s="317" t="n">
        <v>0</v>
      </c>
      <c r="BH303" s="318" t="n">
        <v>0.4</v>
      </c>
      <c r="BI303" s="317" t="n">
        <v>0</v>
      </c>
      <c r="BJ303" s="318" t="n">
        <v>0.800000000000001</v>
      </c>
      <c r="BK303" s="317" t="n">
        <v>0</v>
      </c>
      <c r="BL303" s="318" t="n">
        <v>0.9</v>
      </c>
      <c r="BM303" s="310"/>
      <c r="BN303" s="317" t="n">
        <v>0</v>
      </c>
      <c r="BO303" s="318" t="n">
        <v>0</v>
      </c>
      <c r="BP303" s="317" t="n">
        <v>0</v>
      </c>
      <c r="BQ303" s="318" t="n">
        <v>2.1</v>
      </c>
      <c r="BR303" s="317" t="n">
        <v>0</v>
      </c>
      <c r="BS303" s="318" t="n">
        <v>2.5</v>
      </c>
      <c r="BT303" s="317" t="n">
        <v>0</v>
      </c>
      <c r="BU303" s="318" t="n">
        <v>2.5</v>
      </c>
      <c r="BV303" s="317" t="n">
        <v>0</v>
      </c>
      <c r="BW303" s="318" t="n">
        <v>2.5</v>
      </c>
      <c r="BY303" s="143"/>
      <c r="BZ303" s="315"/>
      <c r="CA303" s="144" t="s">
        <v>12</v>
      </c>
      <c r="CB303" s="315"/>
      <c r="CC303" s="144" t="n">
        <v>-83.998347107438</v>
      </c>
      <c r="CD303" s="144" t="n">
        <v>-148.798347107438</v>
      </c>
      <c r="CE303" s="144" t="n">
        <v>-167.998347107438</v>
      </c>
      <c r="CF303" s="315"/>
      <c r="CG303" s="144" t="n">
        <v>-94.598347107438</v>
      </c>
      <c r="CH303" s="144" t="n">
        <v>-159.398347107438</v>
      </c>
      <c r="CI303" s="144" t="n">
        <v>-356.198347107438</v>
      </c>
      <c r="CJ303" s="144" t="n">
        <v>-356.198347107438</v>
      </c>
      <c r="CK303" s="144" t="n">
        <v>-356.198347107438</v>
      </c>
      <c r="CM303" s="144" t="n">
        <v>660.330578512397</v>
      </c>
      <c r="CO303" s="319"/>
      <c r="CP303" s="320"/>
      <c r="CQ303" s="321" t="s">
        <v>12</v>
      </c>
      <c r="CR303" s="320"/>
      <c r="CS303" s="322" t="n">
        <v>-88.1305785123967</v>
      </c>
      <c r="CT303" s="322" t="n">
        <v>-152.930578512397</v>
      </c>
      <c r="CU303" s="322" t="n">
        <v>-172.130578512397</v>
      </c>
      <c r="CV303" s="323"/>
      <c r="CW303" s="322" t="n">
        <v>-98.7305785123967</v>
      </c>
      <c r="CX303" s="322" t="n">
        <v>-163.530578512397</v>
      </c>
      <c r="CY303" s="322" t="n">
        <v>-360.330578512397</v>
      </c>
      <c r="CZ303" s="322" t="n">
        <v>-360.330578512397</v>
      </c>
      <c r="DA303" s="322" t="n">
        <v>-360.330578512397</v>
      </c>
    </row>
    <row r="304" customFormat="false" ht="12.75" hidden="false" customHeight="false" outlineLevel="0" collapsed="false">
      <c r="B304" s="305" t="s">
        <v>190</v>
      </c>
      <c r="C304" s="305" t="s">
        <v>587</v>
      </c>
      <c r="D304" s="306" t="n">
        <v>661</v>
      </c>
      <c r="E304" s="306" t="n">
        <v>5.33</v>
      </c>
      <c r="F304" s="324" t="s">
        <v>580</v>
      </c>
      <c r="G304" s="144" t="n">
        <v>48</v>
      </c>
      <c r="H304" s="325" t="n">
        <v>656.198347107438</v>
      </c>
      <c r="I304" s="2"/>
      <c r="J304" s="144" t="s">
        <v>12</v>
      </c>
      <c r="K304" s="309" t="s">
        <v>12</v>
      </c>
      <c r="L304" s="310"/>
      <c r="M304" s="311" t="n">
        <v>289</v>
      </c>
      <c r="N304" s="312" t="n">
        <v>5.9</v>
      </c>
      <c r="O304" s="311" t="n">
        <v>169</v>
      </c>
      <c r="P304" s="312" t="n">
        <v>7.1</v>
      </c>
      <c r="Q304" s="310" t="n">
        <v>169</v>
      </c>
      <c r="R304" s="312" t="n">
        <v>6.7</v>
      </c>
      <c r="S304" s="310"/>
      <c r="T304" s="311" t="n">
        <v>0</v>
      </c>
      <c r="U304" s="312" t="n">
        <v>11.7</v>
      </c>
      <c r="V304" s="311" t="n">
        <v>0</v>
      </c>
      <c r="W304" s="312" t="n">
        <v>10.4</v>
      </c>
      <c r="X304" s="311" t="n">
        <v>0</v>
      </c>
      <c r="Y304" s="312" t="n">
        <v>6.3</v>
      </c>
      <c r="Z304" s="313" t="n">
        <v>0</v>
      </c>
      <c r="AA304" s="314" t="n">
        <v>6.3</v>
      </c>
      <c r="AB304" s="313" t="n">
        <v>0</v>
      </c>
      <c r="AC304" s="314" t="n">
        <v>6.3</v>
      </c>
      <c r="AD304" s="315"/>
      <c r="AE304" s="144" t="n">
        <v>5</v>
      </c>
      <c r="AF304" s="315"/>
      <c r="AG304" s="311" t="n">
        <v>0</v>
      </c>
      <c r="AH304" s="309" t="n">
        <v>0</v>
      </c>
      <c r="AI304" s="310"/>
      <c r="AJ304" s="311" t="n">
        <v>89</v>
      </c>
      <c r="AK304" s="309" t="n">
        <v>283.2</v>
      </c>
      <c r="AL304" s="311" t="n">
        <v>151</v>
      </c>
      <c r="AM304" s="309" t="n">
        <v>340.8</v>
      </c>
      <c r="AN304" s="310" t="n">
        <v>170</v>
      </c>
      <c r="AO304" s="309" t="n">
        <v>321.6</v>
      </c>
      <c r="AP304" s="310"/>
      <c r="AQ304" s="311" t="n">
        <v>99</v>
      </c>
      <c r="AR304" s="309" t="n">
        <v>561.6</v>
      </c>
      <c r="AS304" s="311" t="n">
        <v>162</v>
      </c>
      <c r="AT304" s="309" t="n">
        <v>499.2</v>
      </c>
      <c r="AU304" s="310" t="n">
        <v>359</v>
      </c>
      <c r="AV304" s="309" t="n">
        <v>302.4</v>
      </c>
      <c r="AW304" s="310" t="n">
        <v>359</v>
      </c>
      <c r="AX304" s="309" t="n">
        <v>302.4</v>
      </c>
      <c r="AY304" s="310" t="n">
        <v>359</v>
      </c>
      <c r="AZ304" s="309" t="n">
        <v>302.4</v>
      </c>
      <c r="BB304" s="144" t="n">
        <v>0</v>
      </c>
      <c r="BC304" s="315"/>
      <c r="BD304" s="311" t="n">
        <v>0</v>
      </c>
      <c r="BE304" s="316" t="n">
        <v>0</v>
      </c>
      <c r="BF304" s="310"/>
      <c r="BG304" s="317" t="n">
        <v>0</v>
      </c>
      <c r="BH304" s="318" t="n">
        <v>0</v>
      </c>
      <c r="BI304" s="317" t="n">
        <v>0</v>
      </c>
      <c r="BJ304" s="318" t="n">
        <v>0</v>
      </c>
      <c r="BK304" s="317" t="n">
        <v>0</v>
      </c>
      <c r="BL304" s="318" t="n">
        <v>0</v>
      </c>
      <c r="BM304" s="310"/>
      <c r="BN304" s="317" t="n">
        <v>0</v>
      </c>
      <c r="BO304" s="318" t="n">
        <v>0</v>
      </c>
      <c r="BP304" s="317" t="n">
        <v>0</v>
      </c>
      <c r="BQ304" s="318" t="n">
        <v>0</v>
      </c>
      <c r="BR304" s="317" t="n">
        <v>0</v>
      </c>
      <c r="BS304" s="318" t="n">
        <v>0</v>
      </c>
      <c r="BT304" s="317" t="n">
        <v>0</v>
      </c>
      <c r="BU304" s="318" t="n">
        <v>0</v>
      </c>
      <c r="BV304" s="317" t="n">
        <v>0</v>
      </c>
      <c r="BW304" s="318" t="n">
        <v>0</v>
      </c>
      <c r="BY304" s="143"/>
      <c r="BZ304" s="315"/>
      <c r="CA304" s="144" t="s">
        <v>12</v>
      </c>
      <c r="CB304" s="315"/>
      <c r="CC304" s="144" t="n">
        <v>-83.998347107438</v>
      </c>
      <c r="CD304" s="144" t="n">
        <v>-146.398347107438</v>
      </c>
      <c r="CE304" s="144" t="n">
        <v>-165.598347107438</v>
      </c>
      <c r="CF304" s="315"/>
      <c r="CG304" s="144" t="n">
        <v>-94.598347107438</v>
      </c>
      <c r="CH304" s="144" t="n">
        <v>-156.998347107438</v>
      </c>
      <c r="CI304" s="144" t="n">
        <v>-353.798347107438</v>
      </c>
      <c r="CJ304" s="144" t="n">
        <v>-353.798347107438</v>
      </c>
      <c r="CK304" s="144" t="n">
        <v>-353.798347107438</v>
      </c>
      <c r="CM304" s="144" t="n">
        <v>660.330578512397</v>
      </c>
      <c r="CO304" s="319"/>
      <c r="CP304" s="320"/>
      <c r="CQ304" s="321" t="s">
        <v>12</v>
      </c>
      <c r="CR304" s="320"/>
      <c r="CS304" s="322" t="n">
        <v>-88.1305785123967</v>
      </c>
      <c r="CT304" s="322" t="n">
        <v>-150.530578512397</v>
      </c>
      <c r="CU304" s="322" t="n">
        <v>-169.730578512397</v>
      </c>
      <c r="CV304" s="323"/>
      <c r="CW304" s="322" t="n">
        <v>-98.7305785123967</v>
      </c>
      <c r="CX304" s="322" t="n">
        <v>-161.130578512397</v>
      </c>
      <c r="CY304" s="322" t="n">
        <v>-357.930578512397</v>
      </c>
      <c r="CZ304" s="322" t="n">
        <v>-357.930578512397</v>
      </c>
      <c r="DA304" s="322" t="n">
        <v>-357.930578512397</v>
      </c>
    </row>
    <row r="305" customFormat="false" ht="12.75" hidden="false" customHeight="false" outlineLevel="0" collapsed="false">
      <c r="B305" s="305" t="s">
        <v>190</v>
      </c>
      <c r="C305" s="305" t="s">
        <v>588</v>
      </c>
      <c r="D305" s="306" t="n">
        <v>867</v>
      </c>
      <c r="E305" s="306" t="n">
        <v>5.33</v>
      </c>
      <c r="F305" s="306" t="s">
        <v>580</v>
      </c>
      <c r="G305" s="307" t="n">
        <v>24</v>
      </c>
      <c r="H305" s="308" t="n">
        <v>765.289256198347</v>
      </c>
      <c r="I305" s="2"/>
      <c r="J305" s="144" t="s">
        <v>12</v>
      </c>
      <c r="K305" s="309" t="s">
        <v>12</v>
      </c>
      <c r="L305" s="310"/>
      <c r="M305" s="311" t="n">
        <v>319</v>
      </c>
      <c r="N305" s="312" t="n">
        <v>13.3</v>
      </c>
      <c r="O305" s="311" t="n">
        <v>189</v>
      </c>
      <c r="P305" s="312" t="n">
        <v>16</v>
      </c>
      <c r="Q305" s="310" t="n">
        <v>189</v>
      </c>
      <c r="R305" s="312" t="n">
        <v>15.1</v>
      </c>
      <c r="S305" s="310"/>
      <c r="T305" s="311" t="n">
        <v>0</v>
      </c>
      <c r="U305" s="312" t="n">
        <v>26.3</v>
      </c>
      <c r="V305" s="311" t="n">
        <v>0</v>
      </c>
      <c r="W305" s="312" t="n">
        <v>23.2</v>
      </c>
      <c r="X305" s="311" t="n">
        <v>0</v>
      </c>
      <c r="Y305" s="312" t="n">
        <v>23.2</v>
      </c>
      <c r="Z305" s="313" t="n">
        <v>0</v>
      </c>
      <c r="AA305" s="314" t="n">
        <v>23.1</v>
      </c>
      <c r="AB305" s="313" t="n">
        <v>0</v>
      </c>
      <c r="AC305" s="314" t="n">
        <v>23.1</v>
      </c>
      <c r="AD305" s="315"/>
      <c r="AE305" s="144" t="n">
        <v>102</v>
      </c>
      <c r="AF305" s="315"/>
      <c r="AG305" s="311" t="n">
        <v>0</v>
      </c>
      <c r="AH305" s="309" t="n">
        <v>0</v>
      </c>
      <c r="AI305" s="310"/>
      <c r="AJ305" s="311" t="n">
        <v>229</v>
      </c>
      <c r="AK305" s="309" t="n">
        <v>319.2</v>
      </c>
      <c r="AL305" s="311" t="n">
        <v>294</v>
      </c>
      <c r="AM305" s="309" t="n">
        <v>384</v>
      </c>
      <c r="AN305" s="311" t="n">
        <v>316</v>
      </c>
      <c r="AO305" s="309" t="n">
        <v>362.4</v>
      </c>
      <c r="AP305" s="310"/>
      <c r="AQ305" s="311" t="n">
        <v>236</v>
      </c>
      <c r="AR305" s="309" t="n">
        <v>631.2</v>
      </c>
      <c r="AS305" s="311" t="n">
        <v>310</v>
      </c>
      <c r="AT305" s="309" t="n">
        <v>556.8</v>
      </c>
      <c r="AU305" s="311" t="n">
        <v>310</v>
      </c>
      <c r="AV305" s="309" t="n">
        <v>556.8</v>
      </c>
      <c r="AW305" s="311" t="n">
        <v>313</v>
      </c>
      <c r="AX305" s="309" t="n">
        <v>554.4</v>
      </c>
      <c r="AY305" s="311" t="n">
        <v>313</v>
      </c>
      <c r="AZ305" s="309" t="n">
        <v>554.4</v>
      </c>
      <c r="BB305" s="144" t="n">
        <v>0</v>
      </c>
      <c r="BC305" s="315"/>
      <c r="BD305" s="311" t="n">
        <v>0</v>
      </c>
      <c r="BE305" s="316" t="n">
        <v>0</v>
      </c>
      <c r="BF305" s="310"/>
      <c r="BG305" s="317" t="n">
        <v>0</v>
      </c>
      <c r="BH305" s="318" t="n">
        <v>0.199999999999999</v>
      </c>
      <c r="BI305" s="317" t="n">
        <v>0</v>
      </c>
      <c r="BJ305" s="318" t="n">
        <v>0.699999999999999</v>
      </c>
      <c r="BK305" s="317" t="n">
        <v>0</v>
      </c>
      <c r="BL305" s="318" t="n">
        <v>0.800000000000001</v>
      </c>
      <c r="BM305" s="310"/>
      <c r="BN305" s="317" t="n">
        <v>0</v>
      </c>
      <c r="BO305" s="318" t="n">
        <v>-0.199999999999999</v>
      </c>
      <c r="BP305" s="317" t="n">
        <v>0</v>
      </c>
      <c r="BQ305" s="318" t="n">
        <v>2.5</v>
      </c>
      <c r="BR305" s="317" t="n">
        <v>0</v>
      </c>
      <c r="BS305" s="318" t="n">
        <v>2.5</v>
      </c>
      <c r="BT305" s="317" t="n">
        <v>0</v>
      </c>
      <c r="BU305" s="318" t="n">
        <v>2.4</v>
      </c>
      <c r="BV305" s="317" t="n">
        <v>0</v>
      </c>
      <c r="BW305" s="318" t="n">
        <v>2.4</v>
      </c>
      <c r="BY305" s="143"/>
      <c r="BZ305" s="315"/>
      <c r="CA305" s="144" t="s">
        <v>12</v>
      </c>
      <c r="CB305" s="315"/>
      <c r="CC305" s="144" t="n">
        <v>-127.089256198347</v>
      </c>
      <c r="CD305" s="144" t="n">
        <v>-192.289256198347</v>
      </c>
      <c r="CE305" s="144" t="n">
        <v>-213.889256198347</v>
      </c>
      <c r="CF305" s="315"/>
      <c r="CG305" s="144" t="n">
        <v>-134.089256198347</v>
      </c>
      <c r="CH305" s="144" t="n">
        <v>-208.489256198347</v>
      </c>
      <c r="CI305" s="144" t="n">
        <v>-208.489256198347</v>
      </c>
      <c r="CJ305" s="144" t="n">
        <v>-210.889256198347</v>
      </c>
      <c r="CK305" s="144" t="n">
        <v>-210.889256198347</v>
      </c>
      <c r="CM305" s="144" t="n">
        <v>866.942148760331</v>
      </c>
      <c r="CO305" s="319"/>
      <c r="CP305" s="320"/>
      <c r="CQ305" s="321" t="s">
        <v>12</v>
      </c>
      <c r="CR305" s="320"/>
      <c r="CS305" s="322" t="n">
        <v>-228.742148760331</v>
      </c>
      <c r="CT305" s="322" t="n">
        <v>-293.942148760331</v>
      </c>
      <c r="CU305" s="322" t="n">
        <v>-315.542148760331</v>
      </c>
      <c r="CV305" s="323"/>
      <c r="CW305" s="322" t="n">
        <v>-235.742148760331</v>
      </c>
      <c r="CX305" s="322" t="n">
        <v>-310.142148760331</v>
      </c>
      <c r="CY305" s="322" t="n">
        <v>-310.142148760331</v>
      </c>
      <c r="CZ305" s="322" t="n">
        <v>-312.54214876033</v>
      </c>
      <c r="DA305" s="322" t="n">
        <v>-312.54214876033</v>
      </c>
    </row>
    <row r="306" customFormat="false" ht="12.75" hidden="false" customHeight="false" outlineLevel="0" collapsed="false">
      <c r="B306" s="305" t="s">
        <v>190</v>
      </c>
      <c r="C306" s="305" t="s">
        <v>588</v>
      </c>
      <c r="D306" s="306" t="n">
        <v>867</v>
      </c>
      <c r="E306" s="306" t="n">
        <v>5.33</v>
      </c>
      <c r="F306" s="324" t="s">
        <v>580</v>
      </c>
      <c r="G306" s="144" t="n">
        <v>48</v>
      </c>
      <c r="H306" s="325" t="n">
        <v>765.289256198347</v>
      </c>
      <c r="I306" s="2"/>
      <c r="J306" s="144" t="s">
        <v>12</v>
      </c>
      <c r="K306" s="309" t="s">
        <v>12</v>
      </c>
      <c r="L306" s="310"/>
      <c r="M306" s="311" t="n">
        <v>319</v>
      </c>
      <c r="N306" s="312" t="n">
        <v>6.7</v>
      </c>
      <c r="O306" s="311" t="n">
        <v>189</v>
      </c>
      <c r="P306" s="312" t="n">
        <v>8</v>
      </c>
      <c r="Q306" s="310" t="n">
        <v>189</v>
      </c>
      <c r="R306" s="312" t="n">
        <v>7.6</v>
      </c>
      <c r="S306" s="310"/>
      <c r="T306" s="311" t="n">
        <v>0</v>
      </c>
      <c r="U306" s="312" t="n">
        <v>13.2</v>
      </c>
      <c r="V306" s="311" t="n">
        <v>0</v>
      </c>
      <c r="W306" s="312" t="n">
        <v>11.6</v>
      </c>
      <c r="X306" s="311" t="n">
        <v>0</v>
      </c>
      <c r="Y306" s="312" t="n">
        <v>11.6</v>
      </c>
      <c r="Z306" s="313" t="n">
        <v>0</v>
      </c>
      <c r="AA306" s="314" t="n">
        <v>11.6</v>
      </c>
      <c r="AB306" s="313" t="n">
        <v>0</v>
      </c>
      <c r="AC306" s="314" t="n">
        <v>11.6</v>
      </c>
      <c r="AD306" s="315"/>
      <c r="AE306" s="144" t="n">
        <v>102</v>
      </c>
      <c r="AF306" s="315"/>
      <c r="AG306" s="311" t="n">
        <v>0</v>
      </c>
      <c r="AH306" s="309" t="n">
        <v>0</v>
      </c>
      <c r="AI306" s="310"/>
      <c r="AJ306" s="311" t="n">
        <v>226</v>
      </c>
      <c r="AK306" s="309" t="n">
        <v>321.6</v>
      </c>
      <c r="AL306" s="311" t="n">
        <v>294</v>
      </c>
      <c r="AM306" s="309" t="n">
        <v>384</v>
      </c>
      <c r="AN306" s="310" t="n">
        <v>313</v>
      </c>
      <c r="AO306" s="309" t="n">
        <v>364.8</v>
      </c>
      <c r="AP306" s="310"/>
      <c r="AQ306" s="311" t="n">
        <v>233</v>
      </c>
      <c r="AR306" s="309" t="n">
        <v>633.6</v>
      </c>
      <c r="AS306" s="311" t="n">
        <v>310</v>
      </c>
      <c r="AT306" s="309" t="n">
        <v>556.8</v>
      </c>
      <c r="AU306" s="310" t="n">
        <v>310</v>
      </c>
      <c r="AV306" s="309" t="n">
        <v>556.8</v>
      </c>
      <c r="AW306" s="310" t="n">
        <v>310</v>
      </c>
      <c r="AX306" s="309" t="n">
        <v>556.8</v>
      </c>
      <c r="AY306" s="310" t="n">
        <v>310</v>
      </c>
      <c r="AZ306" s="309" t="n">
        <v>556.8</v>
      </c>
      <c r="BB306" s="144" t="n">
        <v>0</v>
      </c>
      <c r="BC306" s="315"/>
      <c r="BD306" s="311" t="n">
        <v>0</v>
      </c>
      <c r="BE306" s="316" t="n">
        <v>0</v>
      </c>
      <c r="BF306" s="310"/>
      <c r="BG306" s="317" t="n">
        <v>0</v>
      </c>
      <c r="BH306" s="318" t="n">
        <v>0</v>
      </c>
      <c r="BI306" s="317" t="n">
        <v>0</v>
      </c>
      <c r="BJ306" s="318" t="n">
        <v>0</v>
      </c>
      <c r="BK306" s="317" t="n">
        <v>0</v>
      </c>
      <c r="BL306" s="318" t="n">
        <v>0</v>
      </c>
      <c r="BM306" s="310"/>
      <c r="BN306" s="317" t="n">
        <v>0</v>
      </c>
      <c r="BO306" s="318" t="n">
        <v>0</v>
      </c>
      <c r="BP306" s="317" t="n">
        <v>0</v>
      </c>
      <c r="BQ306" s="318" t="n">
        <v>0</v>
      </c>
      <c r="BR306" s="317" t="n">
        <v>0</v>
      </c>
      <c r="BS306" s="318" t="n">
        <v>0</v>
      </c>
      <c r="BT306" s="317" t="n">
        <v>0</v>
      </c>
      <c r="BU306" s="318" t="n">
        <v>0</v>
      </c>
      <c r="BV306" s="317" t="n">
        <v>0</v>
      </c>
      <c r="BW306" s="318" t="n">
        <v>0</v>
      </c>
      <c r="BY306" s="143"/>
      <c r="BZ306" s="315"/>
      <c r="CA306" s="144" t="s">
        <v>12</v>
      </c>
      <c r="CB306" s="315"/>
      <c r="CC306" s="144" t="n">
        <v>-124.689256198347</v>
      </c>
      <c r="CD306" s="144" t="n">
        <v>-192.289256198347</v>
      </c>
      <c r="CE306" s="144" t="n">
        <v>-211.489256198347</v>
      </c>
      <c r="CF306" s="315"/>
      <c r="CG306" s="144" t="n">
        <v>-131.689256198347</v>
      </c>
      <c r="CH306" s="144" t="n">
        <v>-208.489256198347</v>
      </c>
      <c r="CI306" s="144" t="n">
        <v>-208.489256198347</v>
      </c>
      <c r="CJ306" s="144" t="n">
        <v>-208.489256198347</v>
      </c>
      <c r="CK306" s="144" t="n">
        <v>-208.489256198347</v>
      </c>
      <c r="CM306" s="144" t="n">
        <v>866.942148760331</v>
      </c>
      <c r="CO306" s="319"/>
      <c r="CP306" s="320"/>
      <c r="CQ306" s="321" t="s">
        <v>12</v>
      </c>
      <c r="CR306" s="320"/>
      <c r="CS306" s="322" t="n">
        <v>-226.342148760331</v>
      </c>
      <c r="CT306" s="322" t="n">
        <v>-293.942148760331</v>
      </c>
      <c r="CU306" s="322" t="n">
        <v>-313.142148760331</v>
      </c>
      <c r="CV306" s="323"/>
      <c r="CW306" s="322" t="n">
        <v>-233.342148760331</v>
      </c>
      <c r="CX306" s="322" t="n">
        <v>-310.142148760331</v>
      </c>
      <c r="CY306" s="322" t="n">
        <v>-310.142148760331</v>
      </c>
      <c r="CZ306" s="322" t="n">
        <v>-310.142148760331</v>
      </c>
      <c r="DA306" s="322" t="n">
        <v>-310.142148760331</v>
      </c>
    </row>
    <row r="307" customFormat="false" ht="12.75" hidden="false" customHeight="false" outlineLevel="0" collapsed="false">
      <c r="B307" s="305" t="s">
        <v>200</v>
      </c>
      <c r="C307" s="305" t="s">
        <v>589</v>
      </c>
      <c r="D307" s="306" t="n">
        <v>588</v>
      </c>
      <c r="E307" s="306" t="n">
        <v>5.33</v>
      </c>
      <c r="F307" s="306" t="s">
        <v>580</v>
      </c>
      <c r="G307" s="307" t="n">
        <v>24</v>
      </c>
      <c r="H307" s="308" t="n">
        <v>507.438016528926</v>
      </c>
      <c r="I307" s="2"/>
      <c r="J307" s="144" t="s">
        <v>12</v>
      </c>
      <c r="K307" s="309" t="s">
        <v>12</v>
      </c>
      <c r="L307" s="310"/>
      <c r="M307" s="311" t="n">
        <v>169</v>
      </c>
      <c r="N307" s="312" t="n">
        <v>10.4</v>
      </c>
      <c r="O307" s="311" t="n">
        <v>19</v>
      </c>
      <c r="P307" s="312" t="n">
        <v>14.1</v>
      </c>
      <c r="Q307" s="310" t="n">
        <v>19</v>
      </c>
      <c r="R307" s="312" t="n">
        <v>13.3</v>
      </c>
      <c r="S307" s="310"/>
      <c r="T307" s="311" t="n">
        <v>0</v>
      </c>
      <c r="U307" s="312" t="n">
        <v>17.2</v>
      </c>
      <c r="V307" s="311" t="n">
        <v>0</v>
      </c>
      <c r="W307" s="312" t="n">
        <v>14.1</v>
      </c>
      <c r="X307" s="311" t="n">
        <v>0</v>
      </c>
      <c r="Y307" s="312" t="n">
        <v>4</v>
      </c>
      <c r="Z307" s="313" t="n">
        <v>0</v>
      </c>
      <c r="AA307" s="314" t="n">
        <v>4</v>
      </c>
      <c r="AB307" s="313" t="n">
        <v>0</v>
      </c>
      <c r="AC307" s="314" t="n">
        <v>4</v>
      </c>
      <c r="AD307" s="315"/>
      <c r="AE307" s="144" t="n">
        <v>81</v>
      </c>
      <c r="AF307" s="315"/>
      <c r="AG307" s="311" t="n">
        <v>0</v>
      </c>
      <c r="AH307" s="309" t="n">
        <v>0</v>
      </c>
      <c r="AI307" s="310"/>
      <c r="AJ307" s="311" t="n">
        <v>169</v>
      </c>
      <c r="AK307" s="309" t="n">
        <v>249.6</v>
      </c>
      <c r="AL307" s="311" t="n">
        <v>231</v>
      </c>
      <c r="AM307" s="309" t="n">
        <v>338.4</v>
      </c>
      <c r="AN307" s="311" t="n">
        <v>250</v>
      </c>
      <c r="AO307" s="309" t="n">
        <v>319.2</v>
      </c>
      <c r="AP307" s="310"/>
      <c r="AQ307" s="311" t="n">
        <v>175</v>
      </c>
      <c r="AR307" s="309" t="n">
        <v>412.8</v>
      </c>
      <c r="AS307" s="311" t="n">
        <v>250</v>
      </c>
      <c r="AT307" s="309" t="n">
        <v>338.4</v>
      </c>
      <c r="AU307" s="311" t="n">
        <v>492</v>
      </c>
      <c r="AV307" s="309" t="n">
        <v>96</v>
      </c>
      <c r="AW307" s="311" t="n">
        <v>492</v>
      </c>
      <c r="AX307" s="309" t="n">
        <v>96</v>
      </c>
      <c r="AY307" s="311" t="n">
        <v>492</v>
      </c>
      <c r="AZ307" s="309" t="n">
        <v>96</v>
      </c>
      <c r="BB307" s="144" t="n">
        <v>0</v>
      </c>
      <c r="BC307" s="315"/>
      <c r="BD307" s="311" t="n">
        <v>0</v>
      </c>
      <c r="BE307" s="316" t="n">
        <v>0</v>
      </c>
      <c r="BF307" s="310"/>
      <c r="BG307" s="317" t="n">
        <v>0</v>
      </c>
      <c r="BH307" s="318" t="n">
        <v>0.199999999999999</v>
      </c>
      <c r="BI307" s="317" t="n">
        <v>0</v>
      </c>
      <c r="BJ307" s="318" t="n">
        <v>0.800000000000001</v>
      </c>
      <c r="BK307" s="317" t="n">
        <v>0</v>
      </c>
      <c r="BL307" s="318" t="n">
        <v>0.9</v>
      </c>
      <c r="BM307" s="310"/>
      <c r="BN307" s="317" t="n">
        <v>0</v>
      </c>
      <c r="BO307" s="318" t="n">
        <v>0</v>
      </c>
      <c r="BP307" s="317" t="n">
        <v>0</v>
      </c>
      <c r="BQ307" s="318" t="n">
        <v>3.7</v>
      </c>
      <c r="BR307" s="317" t="n">
        <v>0</v>
      </c>
      <c r="BS307" s="318" t="n">
        <v>0</v>
      </c>
      <c r="BT307" s="317" t="n">
        <v>0</v>
      </c>
      <c r="BU307" s="318" t="n">
        <v>0</v>
      </c>
      <c r="BV307" s="317" t="n">
        <v>0</v>
      </c>
      <c r="BW307" s="318" t="n">
        <v>0</v>
      </c>
      <c r="BY307" s="143"/>
      <c r="BZ307" s="315"/>
      <c r="CA307" s="144" t="s">
        <v>12</v>
      </c>
      <c r="CB307" s="315"/>
      <c r="CC307" s="144" t="n">
        <v>-88.8380165289256</v>
      </c>
      <c r="CD307" s="144" t="n">
        <v>-150.038016528926</v>
      </c>
      <c r="CE307" s="144" t="n">
        <v>-169.238016528926</v>
      </c>
      <c r="CF307" s="315"/>
      <c r="CG307" s="144" t="n">
        <v>-94.6380165289257</v>
      </c>
      <c r="CH307" s="144" t="n">
        <v>-169.038016528926</v>
      </c>
      <c r="CI307" s="144" t="n">
        <v>-411.438016528926</v>
      </c>
      <c r="CJ307" s="144" t="n">
        <v>-411.438016528926</v>
      </c>
      <c r="CK307" s="144" t="n">
        <v>-411.438016528926</v>
      </c>
      <c r="CM307" s="144" t="n">
        <v>572.355371900826</v>
      </c>
      <c r="CO307" s="319"/>
      <c r="CP307" s="320"/>
      <c r="CQ307" s="321" t="s">
        <v>12</v>
      </c>
      <c r="CR307" s="320"/>
      <c r="CS307" s="322" t="n">
        <v>-153.755371900826</v>
      </c>
      <c r="CT307" s="322" t="n">
        <v>-214.955371900826</v>
      </c>
      <c r="CU307" s="322" t="n">
        <v>-234.155371900826</v>
      </c>
      <c r="CV307" s="323"/>
      <c r="CW307" s="322" t="n">
        <v>-159.555371900826</v>
      </c>
      <c r="CX307" s="322" t="n">
        <v>-233.955371900826</v>
      </c>
      <c r="CY307" s="322" t="n">
        <v>-476.355371900826</v>
      </c>
      <c r="CZ307" s="322" t="n">
        <v>-476.355371900826</v>
      </c>
      <c r="DA307" s="322" t="n">
        <v>-476.355371900826</v>
      </c>
    </row>
    <row r="308" customFormat="false" ht="12.75" hidden="false" customHeight="false" outlineLevel="0" collapsed="false">
      <c r="B308" s="305" t="s">
        <v>200</v>
      </c>
      <c r="C308" s="305" t="s">
        <v>589</v>
      </c>
      <c r="D308" s="306" t="n">
        <v>588</v>
      </c>
      <c r="E308" s="306" t="n">
        <v>5.33</v>
      </c>
      <c r="F308" s="324" t="s">
        <v>580</v>
      </c>
      <c r="G308" s="144" t="n">
        <v>48</v>
      </c>
      <c r="H308" s="325" t="n">
        <v>507.438016528926</v>
      </c>
      <c r="I308" s="2"/>
      <c r="J308" s="144" t="s">
        <v>12</v>
      </c>
      <c r="K308" s="309" t="s">
        <v>12</v>
      </c>
      <c r="L308" s="310"/>
      <c r="M308" s="311" t="n">
        <v>169</v>
      </c>
      <c r="N308" s="312" t="n">
        <v>5.2</v>
      </c>
      <c r="O308" s="311" t="n">
        <v>19</v>
      </c>
      <c r="P308" s="312" t="n">
        <v>7.1</v>
      </c>
      <c r="Q308" s="310" t="n">
        <v>19</v>
      </c>
      <c r="R308" s="312" t="n">
        <v>6.7</v>
      </c>
      <c r="S308" s="310"/>
      <c r="T308" s="311" t="n">
        <v>0</v>
      </c>
      <c r="U308" s="312" t="n">
        <v>8.6</v>
      </c>
      <c r="V308" s="311" t="n">
        <v>0</v>
      </c>
      <c r="W308" s="312" t="n">
        <v>7.1</v>
      </c>
      <c r="X308" s="311" t="n">
        <v>0</v>
      </c>
      <c r="Y308" s="312" t="n">
        <v>2</v>
      </c>
      <c r="Z308" s="313" t="n">
        <v>0</v>
      </c>
      <c r="AA308" s="314" t="n">
        <v>2</v>
      </c>
      <c r="AB308" s="313" t="n">
        <v>0</v>
      </c>
      <c r="AC308" s="314" t="n">
        <v>2</v>
      </c>
      <c r="AD308" s="315"/>
      <c r="AE308" s="144" t="n">
        <v>81</v>
      </c>
      <c r="AF308" s="315"/>
      <c r="AG308" s="311" t="n">
        <v>0</v>
      </c>
      <c r="AH308" s="309" t="n">
        <v>0</v>
      </c>
      <c r="AI308" s="310"/>
      <c r="AJ308" s="311" t="n">
        <v>169</v>
      </c>
      <c r="AK308" s="309" t="n">
        <v>249.6</v>
      </c>
      <c r="AL308" s="311" t="n">
        <v>228</v>
      </c>
      <c r="AM308" s="309" t="n">
        <v>340.8</v>
      </c>
      <c r="AN308" s="310" t="n">
        <v>247</v>
      </c>
      <c r="AO308" s="309" t="n">
        <v>321.6</v>
      </c>
      <c r="AP308" s="310"/>
      <c r="AQ308" s="311" t="n">
        <v>175</v>
      </c>
      <c r="AR308" s="309" t="n">
        <v>412.8</v>
      </c>
      <c r="AS308" s="311" t="n">
        <v>247</v>
      </c>
      <c r="AT308" s="309" t="n">
        <v>340.8</v>
      </c>
      <c r="AU308" s="310" t="n">
        <v>492</v>
      </c>
      <c r="AV308" s="309" t="n">
        <v>96</v>
      </c>
      <c r="AW308" s="310" t="n">
        <v>492</v>
      </c>
      <c r="AX308" s="309" t="n">
        <v>96</v>
      </c>
      <c r="AY308" s="310" t="n">
        <v>492</v>
      </c>
      <c r="AZ308" s="309" t="n">
        <v>96</v>
      </c>
      <c r="BB308" s="144" t="n">
        <v>0</v>
      </c>
      <c r="BC308" s="315"/>
      <c r="BD308" s="311" t="n">
        <v>0</v>
      </c>
      <c r="BE308" s="316" t="n">
        <v>0</v>
      </c>
      <c r="BF308" s="310"/>
      <c r="BG308" s="317" t="n">
        <v>0</v>
      </c>
      <c r="BH308" s="318" t="n">
        <v>0</v>
      </c>
      <c r="BI308" s="317" t="n">
        <v>0</v>
      </c>
      <c r="BJ308" s="318" t="n">
        <v>0</v>
      </c>
      <c r="BK308" s="317" t="n">
        <v>0</v>
      </c>
      <c r="BL308" s="318" t="n">
        <v>0</v>
      </c>
      <c r="BM308" s="310"/>
      <c r="BN308" s="317" t="n">
        <v>0</v>
      </c>
      <c r="BO308" s="318" t="n">
        <v>0</v>
      </c>
      <c r="BP308" s="317" t="n">
        <v>0</v>
      </c>
      <c r="BQ308" s="318" t="n">
        <v>0</v>
      </c>
      <c r="BR308" s="317" t="n">
        <v>0</v>
      </c>
      <c r="BS308" s="318" t="n">
        <v>0</v>
      </c>
      <c r="BT308" s="317" t="n">
        <v>0</v>
      </c>
      <c r="BU308" s="318" t="n">
        <v>0</v>
      </c>
      <c r="BV308" s="317" t="n">
        <v>0</v>
      </c>
      <c r="BW308" s="318" t="n">
        <v>0</v>
      </c>
      <c r="BY308" s="143"/>
      <c r="BZ308" s="315"/>
      <c r="CA308" s="144" t="s">
        <v>12</v>
      </c>
      <c r="CB308" s="315"/>
      <c r="CC308" s="144" t="n">
        <v>-88.8380165289256</v>
      </c>
      <c r="CD308" s="144" t="n">
        <v>-147.638016528926</v>
      </c>
      <c r="CE308" s="144" t="n">
        <v>-166.838016528926</v>
      </c>
      <c r="CF308" s="315"/>
      <c r="CG308" s="144" t="n">
        <v>-94.6380165289257</v>
      </c>
      <c r="CH308" s="144" t="n">
        <v>-166.638016528926</v>
      </c>
      <c r="CI308" s="144" t="n">
        <v>-411.438016528926</v>
      </c>
      <c r="CJ308" s="144" t="n">
        <v>-411.438016528926</v>
      </c>
      <c r="CK308" s="144" t="n">
        <v>-411.438016528926</v>
      </c>
      <c r="CM308" s="144" t="n">
        <v>572.355371900826</v>
      </c>
      <c r="CO308" s="319"/>
      <c r="CP308" s="320"/>
      <c r="CQ308" s="321" t="s">
        <v>12</v>
      </c>
      <c r="CR308" s="320"/>
      <c r="CS308" s="322" t="n">
        <v>-153.755371900826</v>
      </c>
      <c r="CT308" s="322" t="n">
        <v>-212.555371900826</v>
      </c>
      <c r="CU308" s="322" t="n">
        <v>-231.755371900826</v>
      </c>
      <c r="CV308" s="323"/>
      <c r="CW308" s="322" t="n">
        <v>-159.555371900826</v>
      </c>
      <c r="CX308" s="322" t="n">
        <v>-231.555371900826</v>
      </c>
      <c r="CY308" s="322" t="n">
        <v>-476.355371900826</v>
      </c>
      <c r="CZ308" s="322" t="n">
        <v>-476.355371900826</v>
      </c>
      <c r="DA308" s="322" t="n">
        <v>-476.355371900826</v>
      </c>
    </row>
    <row r="309" customFormat="false" ht="12.75" hidden="false" customHeight="false" outlineLevel="0" collapsed="false">
      <c r="B309" s="305" t="s">
        <v>200</v>
      </c>
      <c r="C309" s="305" t="s">
        <v>590</v>
      </c>
      <c r="D309" s="306" t="n">
        <v>921</v>
      </c>
      <c r="E309" s="306" t="n">
        <v>5.33</v>
      </c>
      <c r="F309" s="306" t="s">
        <v>580</v>
      </c>
      <c r="G309" s="307" t="n">
        <v>24</v>
      </c>
      <c r="H309" s="308" t="n">
        <v>792.561983471074</v>
      </c>
      <c r="I309" s="2"/>
      <c r="J309" s="144" t="s">
        <v>12</v>
      </c>
      <c r="K309" s="309" t="s">
        <v>12</v>
      </c>
      <c r="L309" s="310"/>
      <c r="M309" s="311" t="n">
        <v>329</v>
      </c>
      <c r="N309" s="312" t="n">
        <v>13.7</v>
      </c>
      <c r="O309" s="311" t="n">
        <v>199</v>
      </c>
      <c r="P309" s="312" t="n">
        <v>16.8</v>
      </c>
      <c r="Q309" s="310" t="n">
        <v>199</v>
      </c>
      <c r="R309" s="312" t="n">
        <v>16</v>
      </c>
      <c r="S309" s="310"/>
      <c r="T309" s="311" t="n">
        <v>0</v>
      </c>
      <c r="U309" s="312" t="n">
        <v>27.3</v>
      </c>
      <c r="V309" s="311" t="n">
        <v>0</v>
      </c>
      <c r="W309" s="312" t="n">
        <v>24</v>
      </c>
      <c r="X309" s="311" t="n">
        <v>0</v>
      </c>
      <c r="Y309" s="312" t="n">
        <v>10</v>
      </c>
      <c r="Z309" s="313" t="n">
        <v>0</v>
      </c>
      <c r="AA309" s="314" t="n">
        <v>10</v>
      </c>
      <c r="AB309" s="313" t="n">
        <v>0</v>
      </c>
      <c r="AC309" s="314" t="n">
        <v>10</v>
      </c>
      <c r="AD309" s="315"/>
      <c r="AE309" s="144" t="n">
        <v>128</v>
      </c>
      <c r="AF309" s="315"/>
      <c r="AG309" s="311" t="n">
        <v>0</v>
      </c>
      <c r="AH309" s="309" t="n">
        <v>0</v>
      </c>
      <c r="AI309" s="310"/>
      <c r="AJ309" s="311" t="n">
        <v>263</v>
      </c>
      <c r="AK309" s="309" t="n">
        <v>328.8</v>
      </c>
      <c r="AL309" s="311" t="n">
        <v>319</v>
      </c>
      <c r="AM309" s="309" t="n">
        <v>403.2</v>
      </c>
      <c r="AN309" s="311" t="n">
        <v>338</v>
      </c>
      <c r="AO309" s="309" t="n">
        <v>384</v>
      </c>
      <c r="AP309" s="310"/>
      <c r="AQ309" s="311" t="n">
        <v>266</v>
      </c>
      <c r="AR309" s="309" t="n">
        <v>655.2</v>
      </c>
      <c r="AS309" s="311" t="n">
        <v>345</v>
      </c>
      <c r="AT309" s="309" t="n">
        <v>576</v>
      </c>
      <c r="AU309" s="311" t="n">
        <v>681</v>
      </c>
      <c r="AV309" s="309" t="n">
        <v>240</v>
      </c>
      <c r="AW309" s="311" t="n">
        <v>681</v>
      </c>
      <c r="AX309" s="309" t="n">
        <v>240</v>
      </c>
      <c r="AY309" s="311" t="n">
        <v>681</v>
      </c>
      <c r="AZ309" s="309" t="n">
        <v>240</v>
      </c>
      <c r="BB309" s="144" t="n">
        <v>0</v>
      </c>
      <c r="BC309" s="315"/>
      <c r="BD309" s="311" t="n">
        <v>0</v>
      </c>
      <c r="BE309" s="316" t="n">
        <v>0</v>
      </c>
      <c r="BF309" s="310"/>
      <c r="BG309" s="317" t="n">
        <v>0</v>
      </c>
      <c r="BH309" s="318" t="n">
        <v>0.200000000000001</v>
      </c>
      <c r="BI309" s="317" t="n">
        <v>0</v>
      </c>
      <c r="BJ309" s="318" t="n">
        <v>0.600000000000001</v>
      </c>
      <c r="BK309" s="317" t="n">
        <v>0</v>
      </c>
      <c r="BL309" s="318" t="n">
        <v>0.899999999999999</v>
      </c>
      <c r="BM309" s="310"/>
      <c r="BN309" s="317" t="n">
        <v>0</v>
      </c>
      <c r="BO309" s="318" t="n">
        <v>-0.199999999999999</v>
      </c>
      <c r="BP309" s="317" t="n">
        <v>0</v>
      </c>
      <c r="BQ309" s="318" t="n">
        <v>2.3</v>
      </c>
      <c r="BR309" s="317" t="n">
        <v>0</v>
      </c>
      <c r="BS309" s="318" t="n">
        <v>0</v>
      </c>
      <c r="BT309" s="317" t="n">
        <v>0</v>
      </c>
      <c r="BU309" s="318" t="n">
        <v>0</v>
      </c>
      <c r="BV309" s="317" t="n">
        <v>0</v>
      </c>
      <c r="BW309" s="318" t="n">
        <v>0</v>
      </c>
      <c r="BY309" s="143"/>
      <c r="BZ309" s="315"/>
      <c r="CA309" s="144" t="s">
        <v>12</v>
      </c>
      <c r="CB309" s="315"/>
      <c r="CC309" s="144" t="n">
        <v>-134.761983471074</v>
      </c>
      <c r="CD309" s="144" t="n">
        <v>-190.361983471074</v>
      </c>
      <c r="CE309" s="144" t="n">
        <v>-209.561983471074</v>
      </c>
      <c r="CF309" s="315"/>
      <c r="CG309" s="144" t="n">
        <v>-137.361983471074</v>
      </c>
      <c r="CH309" s="144" t="n">
        <v>-216.561983471074</v>
      </c>
      <c r="CI309" s="144" t="n">
        <v>-552.561983471074</v>
      </c>
      <c r="CJ309" s="144" t="n">
        <v>-552.561983471074</v>
      </c>
      <c r="CK309" s="144" t="n">
        <v>-552.561983471074</v>
      </c>
      <c r="CM309" s="144" t="n">
        <v>911.198347107438</v>
      </c>
      <c r="CO309" s="319"/>
      <c r="CP309" s="320"/>
      <c r="CQ309" s="321" t="s">
        <v>12</v>
      </c>
      <c r="CR309" s="320"/>
      <c r="CS309" s="322" t="n">
        <v>-253.398347107438</v>
      </c>
      <c r="CT309" s="322" t="n">
        <v>-308.998347107438</v>
      </c>
      <c r="CU309" s="322" t="n">
        <v>-328.198347107438</v>
      </c>
      <c r="CV309" s="323"/>
      <c r="CW309" s="322" t="n">
        <v>-255.998347107438</v>
      </c>
      <c r="CX309" s="322" t="n">
        <v>-335.198347107438</v>
      </c>
      <c r="CY309" s="322" t="n">
        <v>-671.198347107438</v>
      </c>
      <c r="CZ309" s="322" t="n">
        <v>-671.198347107438</v>
      </c>
      <c r="DA309" s="322" t="n">
        <v>-671.198347107438</v>
      </c>
    </row>
    <row r="310" customFormat="false" ht="12.75" hidden="false" customHeight="false" outlineLevel="0" collapsed="false">
      <c r="B310" s="305" t="s">
        <v>200</v>
      </c>
      <c r="C310" s="305" t="s">
        <v>590</v>
      </c>
      <c r="D310" s="306" t="n">
        <v>921</v>
      </c>
      <c r="E310" s="306" t="n">
        <v>5.33</v>
      </c>
      <c r="F310" s="324" t="s">
        <v>580</v>
      </c>
      <c r="G310" s="144" t="n">
        <v>48</v>
      </c>
      <c r="H310" s="325" t="n">
        <v>792.561983471074</v>
      </c>
      <c r="I310" s="2"/>
      <c r="J310" s="144" t="s">
        <v>12</v>
      </c>
      <c r="K310" s="309" t="s">
        <v>12</v>
      </c>
      <c r="L310" s="310"/>
      <c r="M310" s="311" t="n">
        <v>329</v>
      </c>
      <c r="N310" s="312" t="n">
        <v>6.9</v>
      </c>
      <c r="O310" s="311" t="n">
        <v>199</v>
      </c>
      <c r="P310" s="312" t="n">
        <v>8.4</v>
      </c>
      <c r="Q310" s="310" t="n">
        <v>199</v>
      </c>
      <c r="R310" s="312" t="n">
        <v>8</v>
      </c>
      <c r="S310" s="310"/>
      <c r="T310" s="311" t="n">
        <v>0</v>
      </c>
      <c r="U310" s="312" t="n">
        <v>13.7</v>
      </c>
      <c r="V310" s="311" t="n">
        <v>0</v>
      </c>
      <c r="W310" s="312" t="n">
        <v>12</v>
      </c>
      <c r="X310" s="311" t="n">
        <v>0</v>
      </c>
      <c r="Y310" s="312" t="n">
        <v>5</v>
      </c>
      <c r="Z310" s="313" t="n">
        <v>0</v>
      </c>
      <c r="AA310" s="314" t="n">
        <v>5</v>
      </c>
      <c r="AB310" s="313" t="n">
        <v>0</v>
      </c>
      <c r="AC310" s="314" t="n">
        <v>5</v>
      </c>
      <c r="AD310" s="315"/>
      <c r="AE310" s="144" t="n">
        <v>128</v>
      </c>
      <c r="AF310" s="315"/>
      <c r="AG310" s="311" t="n">
        <v>0</v>
      </c>
      <c r="AH310" s="309" t="n">
        <v>0</v>
      </c>
      <c r="AI310" s="310"/>
      <c r="AJ310" s="311" t="n">
        <v>261</v>
      </c>
      <c r="AK310" s="309" t="n">
        <v>331.2</v>
      </c>
      <c r="AL310" s="311" t="n">
        <v>319</v>
      </c>
      <c r="AM310" s="309" t="n">
        <v>403.2</v>
      </c>
      <c r="AN310" s="310" t="n">
        <v>338</v>
      </c>
      <c r="AO310" s="309" t="n">
        <v>384</v>
      </c>
      <c r="AP310" s="310"/>
      <c r="AQ310" s="311" t="n">
        <v>263</v>
      </c>
      <c r="AR310" s="309" t="n">
        <v>657.6</v>
      </c>
      <c r="AS310" s="311" t="n">
        <v>345</v>
      </c>
      <c r="AT310" s="309" t="n">
        <v>576</v>
      </c>
      <c r="AU310" s="310" t="n">
        <v>681</v>
      </c>
      <c r="AV310" s="309" t="n">
        <v>240</v>
      </c>
      <c r="AW310" s="310" t="n">
        <v>681</v>
      </c>
      <c r="AX310" s="309" t="n">
        <v>240</v>
      </c>
      <c r="AY310" s="310" t="n">
        <v>681</v>
      </c>
      <c r="AZ310" s="309" t="n">
        <v>240</v>
      </c>
      <c r="BB310" s="144" t="n">
        <v>0</v>
      </c>
      <c r="BC310" s="315"/>
      <c r="BD310" s="311" t="n">
        <v>0</v>
      </c>
      <c r="BE310" s="316" t="n">
        <v>0</v>
      </c>
      <c r="BF310" s="310"/>
      <c r="BG310" s="317" t="n">
        <v>0</v>
      </c>
      <c r="BH310" s="318" t="n">
        <v>0</v>
      </c>
      <c r="BI310" s="317" t="n">
        <v>0</v>
      </c>
      <c r="BJ310" s="318" t="n">
        <v>0</v>
      </c>
      <c r="BK310" s="317" t="n">
        <v>0</v>
      </c>
      <c r="BL310" s="318" t="n">
        <v>0</v>
      </c>
      <c r="BM310" s="310"/>
      <c r="BN310" s="317" t="n">
        <v>0</v>
      </c>
      <c r="BO310" s="318" t="n">
        <v>0</v>
      </c>
      <c r="BP310" s="317" t="n">
        <v>0</v>
      </c>
      <c r="BQ310" s="318" t="n">
        <v>0</v>
      </c>
      <c r="BR310" s="317" t="n">
        <v>0</v>
      </c>
      <c r="BS310" s="318" t="n">
        <v>0</v>
      </c>
      <c r="BT310" s="317" t="n">
        <v>0</v>
      </c>
      <c r="BU310" s="318" t="n">
        <v>0</v>
      </c>
      <c r="BV310" s="317" t="n">
        <v>0</v>
      </c>
      <c r="BW310" s="318" t="n">
        <v>0</v>
      </c>
      <c r="BY310" s="143"/>
      <c r="BZ310" s="315"/>
      <c r="CA310" s="144" t="s">
        <v>12</v>
      </c>
      <c r="CB310" s="315"/>
      <c r="CC310" s="144" t="n">
        <v>-132.361983471074</v>
      </c>
      <c r="CD310" s="144" t="n">
        <v>-190.361983471074</v>
      </c>
      <c r="CE310" s="144" t="n">
        <v>-209.561983471074</v>
      </c>
      <c r="CF310" s="315"/>
      <c r="CG310" s="144" t="n">
        <v>-134.961983471074</v>
      </c>
      <c r="CH310" s="144" t="n">
        <v>-216.561983471074</v>
      </c>
      <c r="CI310" s="144" t="n">
        <v>-552.561983471074</v>
      </c>
      <c r="CJ310" s="144" t="n">
        <v>-552.561983471074</v>
      </c>
      <c r="CK310" s="144" t="n">
        <v>-552.561983471074</v>
      </c>
      <c r="CM310" s="144" t="n">
        <v>911.198347107438</v>
      </c>
      <c r="CO310" s="319"/>
      <c r="CP310" s="320"/>
      <c r="CQ310" s="321" t="s">
        <v>12</v>
      </c>
      <c r="CR310" s="320"/>
      <c r="CS310" s="322" t="n">
        <v>-250.998347107438</v>
      </c>
      <c r="CT310" s="322" t="n">
        <v>-308.998347107438</v>
      </c>
      <c r="CU310" s="322" t="n">
        <v>-328.198347107438</v>
      </c>
      <c r="CV310" s="323"/>
      <c r="CW310" s="322" t="n">
        <v>-253.598347107438</v>
      </c>
      <c r="CX310" s="322" t="n">
        <v>-335.198347107438</v>
      </c>
      <c r="CY310" s="322" t="n">
        <v>-671.198347107438</v>
      </c>
      <c r="CZ310" s="322" t="n">
        <v>-671.198347107438</v>
      </c>
      <c r="DA310" s="322" t="n">
        <v>-671.198347107438</v>
      </c>
    </row>
    <row r="311" customFormat="false" ht="12.75" hidden="false" customHeight="false" outlineLevel="0" collapsed="false">
      <c r="B311" s="305" t="s">
        <v>200</v>
      </c>
      <c r="C311" s="305" t="s">
        <v>591</v>
      </c>
      <c r="D311" s="306" t="n">
        <v>801</v>
      </c>
      <c r="E311" s="306" t="n">
        <v>5.33</v>
      </c>
      <c r="F311" s="306" t="s">
        <v>580</v>
      </c>
      <c r="G311" s="307" t="n">
        <v>24</v>
      </c>
      <c r="H311" s="308" t="n">
        <v>671.074380165289</v>
      </c>
      <c r="I311" s="2"/>
      <c r="J311" s="144" t="s">
        <v>12</v>
      </c>
      <c r="K311" s="309" t="s">
        <v>12</v>
      </c>
      <c r="L311" s="310"/>
      <c r="M311" s="311" t="n">
        <v>289</v>
      </c>
      <c r="N311" s="312" t="n">
        <v>12</v>
      </c>
      <c r="O311" s="311" t="n">
        <v>179</v>
      </c>
      <c r="P311" s="312" t="n">
        <v>14.5</v>
      </c>
      <c r="Q311" s="310" t="n">
        <v>179</v>
      </c>
      <c r="R311" s="312" t="n">
        <v>13.7</v>
      </c>
      <c r="S311" s="310"/>
      <c r="T311" s="311" t="n">
        <v>0</v>
      </c>
      <c r="U311" s="312" t="n">
        <v>24</v>
      </c>
      <c r="V311" s="311" t="n">
        <v>0</v>
      </c>
      <c r="W311" s="312" t="n">
        <v>20.7</v>
      </c>
      <c r="X311" s="311" t="n">
        <v>0</v>
      </c>
      <c r="Y311" s="312" t="n">
        <v>17</v>
      </c>
      <c r="Z311" s="313" t="n">
        <v>0</v>
      </c>
      <c r="AA311" s="314" t="n">
        <v>17</v>
      </c>
      <c r="AB311" s="313" t="n">
        <v>0</v>
      </c>
      <c r="AC311" s="314" t="n">
        <v>17</v>
      </c>
      <c r="AD311" s="315"/>
      <c r="AE311" s="144" t="n">
        <v>130</v>
      </c>
      <c r="AF311" s="315"/>
      <c r="AG311" s="311" t="n">
        <v>0</v>
      </c>
      <c r="AH311" s="309" t="n">
        <v>0</v>
      </c>
      <c r="AI311" s="310"/>
      <c r="AJ311" s="311" t="n">
        <v>224</v>
      </c>
      <c r="AK311" s="309" t="n">
        <v>288</v>
      </c>
      <c r="AL311" s="311" t="n">
        <v>274</v>
      </c>
      <c r="AM311" s="309" t="n">
        <v>348</v>
      </c>
      <c r="AN311" s="311" t="n">
        <v>293</v>
      </c>
      <c r="AO311" s="309" t="n">
        <v>328.8</v>
      </c>
      <c r="AP311" s="310"/>
      <c r="AQ311" s="311" t="n">
        <v>225</v>
      </c>
      <c r="AR311" s="309" t="n">
        <v>576</v>
      </c>
      <c r="AS311" s="311" t="n">
        <v>304</v>
      </c>
      <c r="AT311" s="309" t="n">
        <v>496.8</v>
      </c>
      <c r="AU311" s="311" t="n">
        <v>393</v>
      </c>
      <c r="AV311" s="309" t="n">
        <v>408</v>
      </c>
      <c r="AW311" s="311" t="n">
        <v>393</v>
      </c>
      <c r="AX311" s="309" t="n">
        <v>408</v>
      </c>
      <c r="AY311" s="311" t="n">
        <v>393</v>
      </c>
      <c r="AZ311" s="309" t="n">
        <v>408</v>
      </c>
      <c r="BB311" s="144" t="n">
        <v>0</v>
      </c>
      <c r="BC311" s="315"/>
      <c r="BD311" s="311" t="n">
        <v>0</v>
      </c>
      <c r="BE311" s="316" t="n">
        <v>0</v>
      </c>
      <c r="BF311" s="310"/>
      <c r="BG311" s="317" t="n">
        <v>0</v>
      </c>
      <c r="BH311" s="318" t="n">
        <v>0.199999999999999</v>
      </c>
      <c r="BI311" s="317" t="n">
        <v>0</v>
      </c>
      <c r="BJ311" s="318" t="n">
        <v>0.6</v>
      </c>
      <c r="BK311" s="317" t="n">
        <v>0</v>
      </c>
      <c r="BL311" s="318" t="n">
        <v>0.800000000000001</v>
      </c>
      <c r="BM311" s="310"/>
      <c r="BN311" s="317" t="n">
        <v>0</v>
      </c>
      <c r="BO311" s="318" t="n">
        <v>-0.200000000000003</v>
      </c>
      <c r="BP311" s="317" t="n">
        <v>0</v>
      </c>
      <c r="BQ311" s="318" t="n">
        <v>1</v>
      </c>
      <c r="BR311" s="317" t="n">
        <v>0</v>
      </c>
      <c r="BS311" s="318" t="n">
        <v>-2.7</v>
      </c>
      <c r="BT311" s="317" t="n">
        <v>0</v>
      </c>
      <c r="BU311" s="318" t="n">
        <v>0</v>
      </c>
      <c r="BV311" s="317" t="n">
        <v>0</v>
      </c>
      <c r="BW311" s="318" t="n">
        <v>0</v>
      </c>
      <c r="BY311" s="143"/>
      <c r="BZ311" s="315"/>
      <c r="CA311" s="144" t="s">
        <v>12</v>
      </c>
      <c r="CB311" s="315"/>
      <c r="CC311" s="144" t="n">
        <v>-94.0743801652893</v>
      </c>
      <c r="CD311" s="144" t="n">
        <v>-144.074380165289</v>
      </c>
      <c r="CE311" s="144" t="n">
        <v>-163.274380165289</v>
      </c>
      <c r="CF311" s="315"/>
      <c r="CG311" s="144" t="n">
        <v>-95.0743801652893</v>
      </c>
      <c r="CH311" s="144" t="n">
        <v>-174.274380165289</v>
      </c>
      <c r="CI311" s="144" t="n">
        <v>-263.074380165289</v>
      </c>
      <c r="CJ311" s="144" t="n">
        <v>-263.074380165289</v>
      </c>
      <c r="CK311" s="144" t="n">
        <v>-263.074380165289</v>
      </c>
      <c r="CM311" s="144" t="n">
        <v>795.495867768595</v>
      </c>
      <c r="CO311" s="319"/>
      <c r="CP311" s="320"/>
      <c r="CQ311" s="321" t="s">
        <v>12</v>
      </c>
      <c r="CR311" s="320"/>
      <c r="CS311" s="322" t="n">
        <v>-218.495867768595</v>
      </c>
      <c r="CT311" s="322" t="n">
        <v>-268.495867768595</v>
      </c>
      <c r="CU311" s="322" t="n">
        <v>-287.695867768595</v>
      </c>
      <c r="CV311" s="323"/>
      <c r="CW311" s="322" t="n">
        <v>-219.495867768595</v>
      </c>
      <c r="CX311" s="322" t="n">
        <v>-298.695867768595</v>
      </c>
      <c r="CY311" s="322" t="n">
        <v>-387.495867768595</v>
      </c>
      <c r="CZ311" s="322" t="n">
        <v>-387.495867768595</v>
      </c>
      <c r="DA311" s="322" t="n">
        <v>-387.495867768595</v>
      </c>
    </row>
    <row r="312" customFormat="false" ht="12.75" hidden="false" customHeight="false" outlineLevel="0" collapsed="false">
      <c r="B312" s="305" t="s">
        <v>200</v>
      </c>
      <c r="C312" s="305" t="s">
        <v>591</v>
      </c>
      <c r="D312" s="306" t="n">
        <v>801</v>
      </c>
      <c r="E312" s="306" t="n">
        <v>5.33</v>
      </c>
      <c r="F312" s="324" t="s">
        <v>580</v>
      </c>
      <c r="G312" s="144" t="n">
        <v>48</v>
      </c>
      <c r="H312" s="325" t="n">
        <v>671.074380165289</v>
      </c>
      <c r="I312" s="2"/>
      <c r="J312" s="144" t="s">
        <v>12</v>
      </c>
      <c r="K312" s="309" t="s">
        <v>12</v>
      </c>
      <c r="L312" s="310"/>
      <c r="M312" s="311" t="n">
        <v>289</v>
      </c>
      <c r="N312" s="312" t="n">
        <v>6</v>
      </c>
      <c r="O312" s="311" t="n">
        <v>179</v>
      </c>
      <c r="P312" s="312" t="n">
        <v>7.3</v>
      </c>
      <c r="Q312" s="310" t="n">
        <v>179</v>
      </c>
      <c r="R312" s="312" t="n">
        <v>6.9</v>
      </c>
      <c r="S312" s="310"/>
      <c r="T312" s="311" t="n">
        <v>0</v>
      </c>
      <c r="U312" s="312" t="n">
        <v>12</v>
      </c>
      <c r="V312" s="311" t="n">
        <v>0</v>
      </c>
      <c r="W312" s="312" t="n">
        <v>10.4</v>
      </c>
      <c r="X312" s="311" t="n">
        <v>0</v>
      </c>
      <c r="Y312" s="312" t="n">
        <v>8.5</v>
      </c>
      <c r="Z312" s="313" t="n">
        <v>0</v>
      </c>
      <c r="AA312" s="314" t="n">
        <v>8.5</v>
      </c>
      <c r="AB312" s="313" t="n">
        <v>0</v>
      </c>
      <c r="AC312" s="314" t="n">
        <v>8.5</v>
      </c>
      <c r="AD312" s="315"/>
      <c r="AE312" s="144" t="n">
        <v>130</v>
      </c>
      <c r="AF312" s="315"/>
      <c r="AG312" s="311" t="n">
        <v>0</v>
      </c>
      <c r="AH312" s="309" t="n">
        <v>0</v>
      </c>
      <c r="AI312" s="310"/>
      <c r="AJ312" s="311" t="n">
        <v>224</v>
      </c>
      <c r="AK312" s="309" t="n">
        <v>288</v>
      </c>
      <c r="AL312" s="311" t="n">
        <v>272</v>
      </c>
      <c r="AM312" s="309" t="n">
        <v>350.4</v>
      </c>
      <c r="AN312" s="310" t="n">
        <v>291</v>
      </c>
      <c r="AO312" s="309" t="n">
        <v>331.2</v>
      </c>
      <c r="AP312" s="310"/>
      <c r="AQ312" s="311" t="n">
        <v>225</v>
      </c>
      <c r="AR312" s="309" t="n">
        <v>576</v>
      </c>
      <c r="AS312" s="311" t="n">
        <v>302</v>
      </c>
      <c r="AT312" s="309" t="n">
        <v>499.2</v>
      </c>
      <c r="AU312" s="310" t="n">
        <v>393</v>
      </c>
      <c r="AV312" s="309" t="n">
        <v>408</v>
      </c>
      <c r="AW312" s="310" t="n">
        <v>393</v>
      </c>
      <c r="AX312" s="309" t="n">
        <v>408</v>
      </c>
      <c r="AY312" s="310" t="n">
        <v>393</v>
      </c>
      <c r="AZ312" s="309" t="n">
        <v>408</v>
      </c>
      <c r="BB312" s="144" t="n">
        <v>0</v>
      </c>
      <c r="BC312" s="315"/>
      <c r="BD312" s="311" t="n">
        <v>0</v>
      </c>
      <c r="BE312" s="316" t="n">
        <v>0</v>
      </c>
      <c r="BF312" s="310"/>
      <c r="BG312" s="317" t="n">
        <v>0</v>
      </c>
      <c r="BH312" s="318" t="n">
        <v>0</v>
      </c>
      <c r="BI312" s="317" t="n">
        <v>0</v>
      </c>
      <c r="BJ312" s="318" t="n">
        <v>0</v>
      </c>
      <c r="BK312" s="317" t="n">
        <v>0</v>
      </c>
      <c r="BL312" s="318" t="n">
        <v>0</v>
      </c>
      <c r="BM312" s="310"/>
      <c r="BN312" s="317" t="n">
        <v>0</v>
      </c>
      <c r="BO312" s="318" t="n">
        <v>0</v>
      </c>
      <c r="BP312" s="317" t="n">
        <v>0</v>
      </c>
      <c r="BQ312" s="318" t="n">
        <v>0</v>
      </c>
      <c r="BR312" s="317" t="n">
        <v>0</v>
      </c>
      <c r="BS312" s="318" t="n">
        <v>0</v>
      </c>
      <c r="BT312" s="317" t="n">
        <v>0</v>
      </c>
      <c r="BU312" s="318" t="n">
        <v>0</v>
      </c>
      <c r="BV312" s="317" t="n">
        <v>0</v>
      </c>
      <c r="BW312" s="318" t="n">
        <v>0</v>
      </c>
      <c r="BY312" s="143"/>
      <c r="BZ312" s="315"/>
      <c r="CA312" s="144" t="s">
        <v>12</v>
      </c>
      <c r="CB312" s="315"/>
      <c r="CC312" s="144" t="n">
        <v>-94.0743801652893</v>
      </c>
      <c r="CD312" s="144" t="n">
        <v>-141.674380165289</v>
      </c>
      <c r="CE312" s="144" t="n">
        <v>-160.874380165289</v>
      </c>
      <c r="CF312" s="315"/>
      <c r="CG312" s="144" t="n">
        <v>-95.0743801652893</v>
      </c>
      <c r="CH312" s="144" t="n">
        <v>-171.874380165289</v>
      </c>
      <c r="CI312" s="144" t="n">
        <v>-263.074380165289</v>
      </c>
      <c r="CJ312" s="144" t="n">
        <v>-263.074380165289</v>
      </c>
      <c r="CK312" s="144" t="n">
        <v>-263.074380165289</v>
      </c>
      <c r="CM312" s="144" t="n">
        <v>795.495867768595</v>
      </c>
      <c r="CO312" s="319"/>
      <c r="CP312" s="320"/>
      <c r="CQ312" s="321" t="s">
        <v>12</v>
      </c>
      <c r="CR312" s="320"/>
      <c r="CS312" s="322" t="n">
        <v>-218.495867768595</v>
      </c>
      <c r="CT312" s="322" t="n">
        <v>-266.095867768595</v>
      </c>
      <c r="CU312" s="322" t="n">
        <v>-285.295867768595</v>
      </c>
      <c r="CV312" s="323"/>
      <c r="CW312" s="322" t="n">
        <v>-219.495867768595</v>
      </c>
      <c r="CX312" s="322" t="n">
        <v>-296.295867768595</v>
      </c>
      <c r="CY312" s="322" t="n">
        <v>-387.495867768595</v>
      </c>
      <c r="CZ312" s="322" t="n">
        <v>-387.495867768595</v>
      </c>
      <c r="DA312" s="322" t="n">
        <v>-387.495867768595</v>
      </c>
    </row>
    <row r="313" customFormat="false" ht="12.75" hidden="false" customHeight="false" outlineLevel="0" collapsed="false">
      <c r="B313" s="305" t="s">
        <v>200</v>
      </c>
      <c r="C313" s="305" t="s">
        <v>592</v>
      </c>
      <c r="D313" s="306" t="n">
        <v>1487</v>
      </c>
      <c r="E313" s="306" t="n">
        <v>5.33</v>
      </c>
      <c r="F313" s="306" t="s">
        <v>580</v>
      </c>
      <c r="G313" s="307" t="n">
        <v>24</v>
      </c>
      <c r="H313" s="308" t="n">
        <v>1210.74380165289</v>
      </c>
      <c r="I313" s="2"/>
      <c r="J313" s="144" t="s">
        <v>12</v>
      </c>
      <c r="K313" s="309" t="s">
        <v>12</v>
      </c>
      <c r="L313" s="310"/>
      <c r="M313" s="311" t="n">
        <v>529</v>
      </c>
      <c r="N313" s="312" t="n">
        <v>22.4</v>
      </c>
      <c r="O313" s="311" t="n">
        <v>329</v>
      </c>
      <c r="P313" s="312" t="n">
        <v>28.6</v>
      </c>
      <c r="Q313" s="310" t="n">
        <v>329</v>
      </c>
      <c r="R313" s="312" t="n">
        <v>27.7</v>
      </c>
      <c r="S313" s="310"/>
      <c r="T313" s="311" t="n">
        <v>0</v>
      </c>
      <c r="U313" s="312" t="n">
        <v>44.3</v>
      </c>
      <c r="V313" s="311" t="n">
        <v>0</v>
      </c>
      <c r="W313" s="312" t="n">
        <v>40.5</v>
      </c>
      <c r="X313" s="311" t="n">
        <v>0</v>
      </c>
      <c r="Y313" s="312" t="n">
        <v>40.5</v>
      </c>
      <c r="Z313" s="313" t="n">
        <v>0</v>
      </c>
      <c r="AA313" s="314" t="n">
        <v>40.5</v>
      </c>
      <c r="AB313" s="313" t="n">
        <v>0</v>
      </c>
      <c r="AC313" s="314" t="n">
        <v>40.5</v>
      </c>
      <c r="AD313" s="315"/>
      <c r="AE313" s="144" t="n">
        <v>276</v>
      </c>
      <c r="AF313" s="315"/>
      <c r="AG313" s="311" t="n">
        <v>0</v>
      </c>
      <c r="AH313" s="309" t="n">
        <v>0</v>
      </c>
      <c r="AI313" s="310"/>
      <c r="AJ313" s="311" t="n">
        <v>420</v>
      </c>
      <c r="AK313" s="309" t="n">
        <v>537.6</v>
      </c>
      <c r="AL313" s="311" t="n">
        <v>472</v>
      </c>
      <c r="AM313" s="309" t="n">
        <v>686.4</v>
      </c>
      <c r="AN313" s="311" t="n">
        <v>493</v>
      </c>
      <c r="AO313" s="309" t="n">
        <v>664.8</v>
      </c>
      <c r="AP313" s="310"/>
      <c r="AQ313" s="311" t="n">
        <v>424</v>
      </c>
      <c r="AR313" s="309" t="n">
        <v>1063.2</v>
      </c>
      <c r="AS313" s="311" t="n">
        <v>515</v>
      </c>
      <c r="AT313" s="309" t="n">
        <v>972</v>
      </c>
      <c r="AU313" s="311" t="n">
        <v>515</v>
      </c>
      <c r="AV313" s="309" t="n">
        <v>972</v>
      </c>
      <c r="AW313" s="311" t="n">
        <v>515</v>
      </c>
      <c r="AX313" s="309" t="n">
        <v>972</v>
      </c>
      <c r="AY313" s="311" t="n">
        <v>515</v>
      </c>
      <c r="AZ313" s="309" t="n">
        <v>972</v>
      </c>
      <c r="BB313" s="144" t="n">
        <v>0</v>
      </c>
      <c r="BC313" s="315"/>
      <c r="BD313" s="311" t="n">
        <v>0</v>
      </c>
      <c r="BE313" s="316" t="n">
        <v>0</v>
      </c>
      <c r="BF313" s="310"/>
      <c r="BG313" s="317" t="n">
        <v>0</v>
      </c>
      <c r="BH313" s="318" t="n">
        <v>0.199999999999999</v>
      </c>
      <c r="BI313" s="317" t="n">
        <v>0</v>
      </c>
      <c r="BJ313" s="318" t="n">
        <v>0.899999999999999</v>
      </c>
      <c r="BK313" s="317" t="n">
        <v>0</v>
      </c>
      <c r="BL313" s="318" t="n">
        <v>0.800000000000001</v>
      </c>
      <c r="BM313" s="310"/>
      <c r="BN313" s="317" t="n">
        <v>0</v>
      </c>
      <c r="BO313" s="318" t="n">
        <v>0</v>
      </c>
      <c r="BP313" s="317" t="n">
        <v>0</v>
      </c>
      <c r="BQ313" s="318" t="n">
        <v>2.2</v>
      </c>
      <c r="BR313" s="317" t="n">
        <v>0</v>
      </c>
      <c r="BS313" s="318" t="n">
        <v>2.2</v>
      </c>
      <c r="BT313" s="317" t="n">
        <v>0</v>
      </c>
      <c r="BU313" s="318" t="n">
        <v>2.5</v>
      </c>
      <c r="BV313" s="317" t="n">
        <v>0</v>
      </c>
      <c r="BW313" s="318" t="n">
        <v>2.5</v>
      </c>
      <c r="BY313" s="143"/>
      <c r="BZ313" s="315"/>
      <c r="CA313" s="144" t="s">
        <v>12</v>
      </c>
      <c r="CB313" s="315"/>
      <c r="CC313" s="144" t="n">
        <v>-144.143801652893</v>
      </c>
      <c r="CD313" s="144" t="n">
        <v>-195.343801652893</v>
      </c>
      <c r="CE313" s="144" t="n">
        <v>-216.943801652893</v>
      </c>
      <c r="CF313" s="315"/>
      <c r="CG313" s="144" t="n">
        <v>-147.543801652893</v>
      </c>
      <c r="CH313" s="144" t="n">
        <v>-238.743801652893</v>
      </c>
      <c r="CI313" s="144" t="n">
        <v>-238.743801652893</v>
      </c>
      <c r="CJ313" s="144" t="n">
        <v>-238.743801652893</v>
      </c>
      <c r="CK313" s="144" t="n">
        <v>-238.743801652893</v>
      </c>
      <c r="CM313" s="144" t="n">
        <v>1481.44628099174</v>
      </c>
      <c r="CO313" s="319"/>
      <c r="CP313" s="320"/>
      <c r="CQ313" s="321" t="s">
        <v>12</v>
      </c>
      <c r="CR313" s="320"/>
      <c r="CS313" s="322" t="n">
        <v>-414.846280991736</v>
      </c>
      <c r="CT313" s="322" t="n">
        <v>-466.046280991736</v>
      </c>
      <c r="CU313" s="322" t="n">
        <v>-487.646280991736</v>
      </c>
      <c r="CV313" s="323"/>
      <c r="CW313" s="322" t="n">
        <v>-418.246280991736</v>
      </c>
      <c r="CX313" s="322" t="n">
        <v>-509.446280991736</v>
      </c>
      <c r="CY313" s="322" t="n">
        <v>-509.446280991736</v>
      </c>
      <c r="CZ313" s="322" t="n">
        <v>-509.446280991736</v>
      </c>
      <c r="DA313" s="322" t="n">
        <v>-509.446280991736</v>
      </c>
    </row>
    <row r="314" customFormat="false" ht="12.75" hidden="false" customHeight="false" outlineLevel="0" collapsed="false">
      <c r="B314" s="305" t="s">
        <v>200</v>
      </c>
      <c r="C314" s="305" t="s">
        <v>592</v>
      </c>
      <c r="D314" s="306" t="n">
        <v>1487</v>
      </c>
      <c r="E314" s="306" t="n">
        <v>5.33</v>
      </c>
      <c r="F314" s="324" t="s">
        <v>580</v>
      </c>
      <c r="G314" s="144" t="n">
        <v>48</v>
      </c>
      <c r="H314" s="325" t="n">
        <v>1210.74380165289</v>
      </c>
      <c r="I314" s="2"/>
      <c r="J314" s="144" t="s">
        <v>12</v>
      </c>
      <c r="K314" s="309" t="s">
        <v>12</v>
      </c>
      <c r="L314" s="310"/>
      <c r="M314" s="311" t="n">
        <v>529</v>
      </c>
      <c r="N314" s="312" t="n">
        <v>11.2</v>
      </c>
      <c r="O314" s="311" t="n">
        <v>329</v>
      </c>
      <c r="P314" s="312" t="n">
        <v>14.3</v>
      </c>
      <c r="Q314" s="310" t="n">
        <v>329</v>
      </c>
      <c r="R314" s="312" t="n">
        <v>13.9</v>
      </c>
      <c r="S314" s="310"/>
      <c r="T314" s="311" t="n">
        <v>0</v>
      </c>
      <c r="U314" s="312" t="n">
        <v>22.2</v>
      </c>
      <c r="V314" s="311" t="n">
        <v>0</v>
      </c>
      <c r="W314" s="312" t="n">
        <v>20.3</v>
      </c>
      <c r="X314" s="311" t="n">
        <v>0</v>
      </c>
      <c r="Y314" s="312" t="n">
        <v>20.3</v>
      </c>
      <c r="Z314" s="313" t="n">
        <v>0</v>
      </c>
      <c r="AA314" s="314" t="n">
        <v>20.3</v>
      </c>
      <c r="AB314" s="313" t="n">
        <v>0</v>
      </c>
      <c r="AC314" s="314" t="n">
        <v>20.3</v>
      </c>
      <c r="AD314" s="315"/>
      <c r="AE314" s="144" t="n">
        <v>276</v>
      </c>
      <c r="AF314" s="315"/>
      <c r="AG314" s="311" t="n">
        <v>0</v>
      </c>
      <c r="AH314" s="309" t="n">
        <v>0</v>
      </c>
      <c r="AI314" s="310"/>
      <c r="AJ314" s="311" t="n">
        <v>420</v>
      </c>
      <c r="AK314" s="309" t="n">
        <v>537.6</v>
      </c>
      <c r="AL314" s="311" t="n">
        <v>472</v>
      </c>
      <c r="AM314" s="309" t="n">
        <v>686.4</v>
      </c>
      <c r="AN314" s="310" t="n">
        <v>491</v>
      </c>
      <c r="AO314" s="309" t="n">
        <v>667.2</v>
      </c>
      <c r="AP314" s="310"/>
      <c r="AQ314" s="311" t="n">
        <v>421</v>
      </c>
      <c r="AR314" s="309" t="n">
        <v>1065.6</v>
      </c>
      <c r="AS314" s="311" t="n">
        <v>513</v>
      </c>
      <c r="AT314" s="309" t="n">
        <v>974.4</v>
      </c>
      <c r="AU314" s="310" t="n">
        <v>513</v>
      </c>
      <c r="AV314" s="309" t="n">
        <v>974.4</v>
      </c>
      <c r="AW314" s="310" t="n">
        <v>513</v>
      </c>
      <c r="AX314" s="309" t="n">
        <v>974.4</v>
      </c>
      <c r="AY314" s="310" t="n">
        <v>513</v>
      </c>
      <c r="AZ314" s="309" t="n">
        <v>974.4</v>
      </c>
      <c r="BB314" s="144" t="n">
        <v>0</v>
      </c>
      <c r="BC314" s="315"/>
      <c r="BD314" s="311" t="n">
        <v>0</v>
      </c>
      <c r="BE314" s="316" t="n">
        <v>0</v>
      </c>
      <c r="BF314" s="310"/>
      <c r="BG314" s="317" t="n">
        <v>0</v>
      </c>
      <c r="BH314" s="318" t="n">
        <v>0</v>
      </c>
      <c r="BI314" s="317" t="n">
        <v>0</v>
      </c>
      <c r="BJ314" s="318" t="n">
        <v>0</v>
      </c>
      <c r="BK314" s="317" t="n">
        <v>0</v>
      </c>
      <c r="BL314" s="318" t="n">
        <v>0</v>
      </c>
      <c r="BM314" s="310"/>
      <c r="BN314" s="317" t="n">
        <v>0</v>
      </c>
      <c r="BO314" s="318" t="n">
        <v>0</v>
      </c>
      <c r="BP314" s="317" t="n">
        <v>0</v>
      </c>
      <c r="BQ314" s="318" t="n">
        <v>0</v>
      </c>
      <c r="BR314" s="317" t="n">
        <v>0</v>
      </c>
      <c r="BS314" s="318" t="n">
        <v>0</v>
      </c>
      <c r="BT314" s="317" t="n">
        <v>0</v>
      </c>
      <c r="BU314" s="318" t="n">
        <v>0</v>
      </c>
      <c r="BV314" s="317" t="n">
        <v>0</v>
      </c>
      <c r="BW314" s="318" t="n">
        <v>0</v>
      </c>
      <c r="BY314" s="143"/>
      <c r="BZ314" s="315"/>
      <c r="CA314" s="144" t="s">
        <v>12</v>
      </c>
      <c r="CB314" s="315"/>
      <c r="CC314" s="144" t="n">
        <v>-144.143801652893</v>
      </c>
      <c r="CD314" s="144" t="n">
        <v>-195.343801652893</v>
      </c>
      <c r="CE314" s="144" t="n">
        <v>-214.543801652893</v>
      </c>
      <c r="CF314" s="315"/>
      <c r="CG314" s="144" t="n">
        <v>-145.143801652893</v>
      </c>
      <c r="CH314" s="144" t="n">
        <v>-236.343801652893</v>
      </c>
      <c r="CI314" s="144" t="n">
        <v>-236.343801652893</v>
      </c>
      <c r="CJ314" s="144" t="n">
        <v>-236.343801652893</v>
      </c>
      <c r="CK314" s="144" t="n">
        <v>-236.343801652893</v>
      </c>
      <c r="CM314" s="144" t="n">
        <v>1481.44628099174</v>
      </c>
      <c r="CO314" s="319"/>
      <c r="CP314" s="320"/>
      <c r="CQ314" s="321" t="s">
        <v>12</v>
      </c>
      <c r="CR314" s="320"/>
      <c r="CS314" s="322" t="n">
        <v>-414.846280991736</v>
      </c>
      <c r="CT314" s="322" t="n">
        <v>-466.046280991736</v>
      </c>
      <c r="CU314" s="322" t="n">
        <v>-485.246280991736</v>
      </c>
      <c r="CV314" s="323"/>
      <c r="CW314" s="322" t="n">
        <v>-415.846280991736</v>
      </c>
      <c r="CX314" s="322" t="n">
        <v>-507.046280991736</v>
      </c>
      <c r="CY314" s="322" t="n">
        <v>-507.046280991736</v>
      </c>
      <c r="CZ314" s="322" t="n">
        <v>-507.046280991736</v>
      </c>
      <c r="DA314" s="322" t="n">
        <v>-507.046280991736</v>
      </c>
    </row>
    <row r="315" customFormat="false" ht="12.75" hidden="false" customHeight="false" outlineLevel="0" collapsed="false">
      <c r="B315" s="305" t="s">
        <v>593</v>
      </c>
      <c r="C315" s="305" t="s">
        <v>594</v>
      </c>
      <c r="D315" s="306" t="n">
        <v>204</v>
      </c>
      <c r="E315" s="306" t="n">
        <v>0</v>
      </c>
      <c r="F315" s="306" t="s">
        <v>595</v>
      </c>
      <c r="G315" s="307" t="n">
        <v>24</v>
      </c>
      <c r="H315" s="308" t="n">
        <v>183.471074380165</v>
      </c>
      <c r="I315" s="2"/>
      <c r="J315" s="144" t="s">
        <v>12</v>
      </c>
      <c r="K315" s="309" t="s">
        <v>12</v>
      </c>
      <c r="L315" s="310"/>
      <c r="M315" s="311" t="n">
        <v>29</v>
      </c>
      <c r="N315" s="312" t="n">
        <v>5.4</v>
      </c>
      <c r="O315" s="311" t="n">
        <v>0</v>
      </c>
      <c r="P315" s="312" t="n">
        <v>4.2</v>
      </c>
      <c r="Q315" s="310" t="n">
        <v>0</v>
      </c>
      <c r="R315" s="312" t="n">
        <v>3.4</v>
      </c>
      <c r="S315" s="310"/>
      <c r="T315" s="311" t="n">
        <v>0</v>
      </c>
      <c r="U315" s="312" t="n">
        <v>6.5</v>
      </c>
      <c r="V315" s="311" t="n">
        <v>0</v>
      </c>
      <c r="W315" s="312" t="n">
        <v>4.2</v>
      </c>
      <c r="X315" s="311" t="n">
        <v>0</v>
      </c>
      <c r="Y315" s="312" t="n">
        <v>4.2</v>
      </c>
      <c r="Z315" s="313" t="n">
        <v>0</v>
      </c>
      <c r="AA315" s="314" t="n">
        <v>4.1</v>
      </c>
      <c r="AB315" s="313" t="n">
        <v>0</v>
      </c>
      <c r="AC315" s="314" t="n">
        <v>4.1</v>
      </c>
      <c r="AD315" s="315"/>
      <c r="AE315" s="144" t="n">
        <v>21</v>
      </c>
      <c r="AF315" s="315"/>
      <c r="AG315" s="311" t="n">
        <v>0</v>
      </c>
      <c r="AH315" s="309" t="n">
        <v>0</v>
      </c>
      <c r="AI315" s="310"/>
      <c r="AJ315" s="311" t="n">
        <v>45</v>
      </c>
      <c r="AK315" s="309" t="n">
        <v>129.6</v>
      </c>
      <c r="AL315" s="311" t="n">
        <v>103</v>
      </c>
      <c r="AM315" s="309" t="n">
        <v>100.8</v>
      </c>
      <c r="AN315" s="311" t="n">
        <v>122</v>
      </c>
      <c r="AO315" s="309" t="n">
        <v>81.6</v>
      </c>
      <c r="AP315" s="310"/>
      <c r="AQ315" s="311" t="n">
        <v>48</v>
      </c>
      <c r="AR315" s="309" t="n">
        <v>156</v>
      </c>
      <c r="AS315" s="311" t="n">
        <v>103</v>
      </c>
      <c r="AT315" s="309" t="n">
        <v>100.8</v>
      </c>
      <c r="AU315" s="311" t="n">
        <v>103</v>
      </c>
      <c r="AV315" s="309" t="n">
        <v>100.8</v>
      </c>
      <c r="AW315" s="311" t="n">
        <v>106</v>
      </c>
      <c r="AX315" s="309" t="n">
        <v>98.4</v>
      </c>
      <c r="AY315" s="311" t="n">
        <v>106</v>
      </c>
      <c r="AZ315" s="309" t="n">
        <v>98.4</v>
      </c>
      <c r="BB315" s="144" t="n">
        <v>0</v>
      </c>
      <c r="BC315" s="315"/>
      <c r="BD315" s="311" t="n">
        <v>0</v>
      </c>
      <c r="BE315" s="316" t="n">
        <v>0</v>
      </c>
      <c r="BF315" s="310"/>
      <c r="BG315" s="317" t="n">
        <v>0</v>
      </c>
      <c r="BH315" s="318" t="n">
        <v>-0.2</v>
      </c>
      <c r="BI315" s="317" t="n">
        <v>0</v>
      </c>
      <c r="BJ315" s="318" t="n">
        <v>0.4</v>
      </c>
      <c r="BK315" s="317" t="n">
        <v>0</v>
      </c>
      <c r="BL315" s="318" t="n">
        <v>0.5</v>
      </c>
      <c r="BM315" s="310"/>
      <c r="BN315" s="317" t="n">
        <v>0</v>
      </c>
      <c r="BO315" s="318" t="n">
        <v>-0.4</v>
      </c>
      <c r="BP315" s="317" t="n">
        <v>0</v>
      </c>
      <c r="BQ315" s="318" t="n">
        <v>0</v>
      </c>
      <c r="BR315" s="317" t="n">
        <v>0</v>
      </c>
      <c r="BS315" s="318" t="n">
        <v>0</v>
      </c>
      <c r="BT315" s="317" t="n">
        <v>0</v>
      </c>
      <c r="BU315" s="318" t="n">
        <v>0</v>
      </c>
      <c r="BV315" s="317" t="n">
        <v>0</v>
      </c>
      <c r="BW315" s="318" t="n">
        <v>0</v>
      </c>
      <c r="BY315" s="143"/>
      <c r="BZ315" s="315"/>
      <c r="CA315" s="144" t="s">
        <v>12</v>
      </c>
      <c r="CB315" s="315"/>
      <c r="CC315" s="144" t="n">
        <v>-24.8710743801653</v>
      </c>
      <c r="CD315" s="144" t="n">
        <v>-82.6710743801653</v>
      </c>
      <c r="CE315" s="144" t="n">
        <v>-101.871074380165</v>
      </c>
      <c r="CF315" s="315"/>
      <c r="CG315" s="144" t="n">
        <v>-27.4710743801653</v>
      </c>
      <c r="CH315" s="144" t="n">
        <v>-82.6710743801653</v>
      </c>
      <c r="CI315" s="144" t="n">
        <v>-82.6710743801653</v>
      </c>
      <c r="CJ315" s="144" t="n">
        <v>-85.0710743801653</v>
      </c>
      <c r="CK315" s="144" t="n">
        <v>-85.0710743801653</v>
      </c>
      <c r="CM315" s="144" t="n">
        <v>182.636363636364</v>
      </c>
      <c r="CO315" s="319"/>
      <c r="CP315" s="320"/>
      <c r="CQ315" s="321" t="s">
        <v>12</v>
      </c>
      <c r="CR315" s="320"/>
      <c r="CS315" s="322" t="n">
        <v>-24.0363636363636</v>
      </c>
      <c r="CT315" s="322" t="n">
        <v>-81.8363636363636</v>
      </c>
      <c r="CU315" s="322" t="n">
        <v>-101.036363636364</v>
      </c>
      <c r="CV315" s="323"/>
      <c r="CW315" s="322" t="n">
        <v>-26.6363636363637</v>
      </c>
      <c r="CX315" s="322" t="n">
        <v>-81.8363636363636</v>
      </c>
      <c r="CY315" s="322" t="n">
        <v>-81.8363636363636</v>
      </c>
      <c r="CZ315" s="322" t="n">
        <v>-84.2363636363637</v>
      </c>
      <c r="DA315" s="322" t="n">
        <v>-84.2363636363637</v>
      </c>
    </row>
    <row r="316" customFormat="false" ht="12.75" hidden="false" customHeight="false" outlineLevel="0" collapsed="false">
      <c r="B316" s="305" t="s">
        <v>190</v>
      </c>
      <c r="C316" s="305" t="s">
        <v>596</v>
      </c>
      <c r="D316" s="306" t="n">
        <v>66</v>
      </c>
      <c r="E316" s="306" t="n">
        <v>0</v>
      </c>
      <c r="F316" s="324" t="s">
        <v>595</v>
      </c>
      <c r="G316" s="144" t="n">
        <v>24</v>
      </c>
      <c r="H316" s="325" t="n">
        <v>56.198347107438</v>
      </c>
      <c r="I316" s="2"/>
      <c r="J316" s="144" t="s">
        <v>12</v>
      </c>
      <c r="K316" s="309" t="s">
        <v>12</v>
      </c>
      <c r="L316" s="310"/>
      <c r="M316" s="311" t="n">
        <v>0</v>
      </c>
      <c r="N316" s="312" t="n">
        <v>1.4</v>
      </c>
      <c r="O316" s="311" t="n">
        <v>0</v>
      </c>
      <c r="P316" s="312" t="n">
        <v>1.4</v>
      </c>
      <c r="Q316" s="310" t="n">
        <v>0</v>
      </c>
      <c r="R316" s="312" t="n">
        <v>1.4</v>
      </c>
      <c r="S316" s="310"/>
      <c r="T316" s="311" t="n">
        <v>0</v>
      </c>
      <c r="U316" s="312" t="n">
        <v>0</v>
      </c>
      <c r="V316" s="311" t="n">
        <v>0</v>
      </c>
      <c r="W316" s="312" t="n">
        <v>0</v>
      </c>
      <c r="X316" s="311" t="n">
        <v>0</v>
      </c>
      <c r="Y316" s="312" t="n">
        <v>0</v>
      </c>
      <c r="Z316" s="313" t="n">
        <v>0</v>
      </c>
      <c r="AA316" s="314" t="n">
        <v>0</v>
      </c>
      <c r="AB316" s="313" t="n">
        <v>0</v>
      </c>
      <c r="AC316" s="314" t="n">
        <v>0</v>
      </c>
      <c r="AD316" s="315"/>
      <c r="AE316" s="144" t="n">
        <v>10</v>
      </c>
      <c r="AF316" s="315"/>
      <c r="AG316" s="311" t="n">
        <v>0</v>
      </c>
      <c r="AH316" s="309" t="n">
        <v>0</v>
      </c>
      <c r="AI316" s="310"/>
      <c r="AJ316" s="311" t="n">
        <v>32</v>
      </c>
      <c r="AK316" s="309" t="n">
        <v>33.6</v>
      </c>
      <c r="AL316" s="311" t="n">
        <v>32</v>
      </c>
      <c r="AM316" s="309" t="n">
        <v>33.6</v>
      </c>
      <c r="AN316" s="310" t="n">
        <v>32</v>
      </c>
      <c r="AO316" s="309" t="n">
        <v>33.6</v>
      </c>
      <c r="AP316" s="310"/>
      <c r="AQ316" s="311" t="n">
        <v>66</v>
      </c>
      <c r="AR316" s="309" t="n">
        <v>0</v>
      </c>
      <c r="AS316" s="311" t="n">
        <v>66</v>
      </c>
      <c r="AT316" s="309" t="n">
        <v>0</v>
      </c>
      <c r="AU316" s="310" t="n">
        <v>66</v>
      </c>
      <c r="AV316" s="309" t="n">
        <v>0</v>
      </c>
      <c r="AW316" s="310" t="n">
        <v>66</v>
      </c>
      <c r="AX316" s="309" t="n">
        <v>0</v>
      </c>
      <c r="AY316" s="310" t="n">
        <v>66</v>
      </c>
      <c r="AZ316" s="309" t="n">
        <v>0</v>
      </c>
      <c r="BB316" s="144" t="n">
        <v>0</v>
      </c>
      <c r="BC316" s="315"/>
      <c r="BD316" s="311" t="n">
        <v>0</v>
      </c>
      <c r="BE316" s="316" t="n">
        <v>0</v>
      </c>
      <c r="BF316" s="310"/>
      <c r="BG316" s="317" t="n">
        <v>0</v>
      </c>
      <c r="BH316" s="318" t="n">
        <v>0</v>
      </c>
      <c r="BI316" s="317" t="n">
        <v>0</v>
      </c>
      <c r="BJ316" s="318" t="n">
        <v>0</v>
      </c>
      <c r="BK316" s="317" t="n">
        <v>0</v>
      </c>
      <c r="BL316" s="318" t="n">
        <v>0</v>
      </c>
      <c r="BM316" s="310"/>
      <c r="BN316" s="317" t="n">
        <v>0</v>
      </c>
      <c r="BO316" s="318" t="n">
        <v>0</v>
      </c>
      <c r="BP316" s="317" t="n">
        <v>0</v>
      </c>
      <c r="BQ316" s="318" t="n">
        <v>0</v>
      </c>
      <c r="BR316" s="317" t="n">
        <v>0</v>
      </c>
      <c r="BS316" s="318" t="n">
        <v>0</v>
      </c>
      <c r="BT316" s="317" t="n">
        <v>0</v>
      </c>
      <c r="BU316" s="318" t="n">
        <v>0</v>
      </c>
      <c r="BV316" s="317" t="n">
        <v>0</v>
      </c>
      <c r="BW316" s="318" t="n">
        <v>0</v>
      </c>
      <c r="BY316" s="143"/>
      <c r="BZ316" s="315"/>
      <c r="CA316" s="144" t="s">
        <v>12</v>
      </c>
      <c r="CB316" s="315"/>
      <c r="CC316" s="144" t="n">
        <v>-22.598347107438</v>
      </c>
      <c r="CD316" s="144" t="n">
        <v>-22.598347107438</v>
      </c>
      <c r="CE316" s="144" t="n">
        <v>-22.598347107438</v>
      </c>
      <c r="CF316" s="315"/>
      <c r="CG316" s="144" t="n">
        <v>-56.198347107438</v>
      </c>
      <c r="CH316" s="144" t="n">
        <v>-56.198347107438</v>
      </c>
      <c r="CI316" s="144" t="n">
        <v>-56.198347107438</v>
      </c>
      <c r="CJ316" s="144" t="n">
        <v>-56.198347107438</v>
      </c>
      <c r="CK316" s="144" t="n">
        <v>-56.198347107438</v>
      </c>
      <c r="CM316" s="144" t="n">
        <v>65.2892561983471</v>
      </c>
      <c r="CO316" s="319"/>
      <c r="CP316" s="320"/>
      <c r="CQ316" s="321" t="s">
        <v>12</v>
      </c>
      <c r="CR316" s="320"/>
      <c r="CS316" s="322" t="n">
        <v>-31.6892561983471</v>
      </c>
      <c r="CT316" s="322" t="n">
        <v>-31.6892561983471</v>
      </c>
      <c r="CU316" s="322" t="n">
        <v>-31.6892561983471</v>
      </c>
      <c r="CV316" s="323"/>
      <c r="CW316" s="322" t="n">
        <v>-65.2892561983471</v>
      </c>
      <c r="CX316" s="322" t="n">
        <v>-65.2892561983471</v>
      </c>
      <c r="CY316" s="322" t="n">
        <v>-65.2892561983471</v>
      </c>
      <c r="CZ316" s="322" t="n">
        <v>-65.2892561983471</v>
      </c>
      <c r="DA316" s="322" t="n">
        <v>-65.2892561983471</v>
      </c>
    </row>
    <row r="317" s="210" customFormat="true" ht="12.75" hidden="false" customHeight="false" outlineLevel="0" collapsed="false">
      <c r="B317" s="305" t="s">
        <v>190</v>
      </c>
      <c r="C317" s="305" t="s">
        <v>597</v>
      </c>
      <c r="D317" s="329" t="n">
        <v>107</v>
      </c>
      <c r="E317" s="329" t="n">
        <v>0</v>
      </c>
      <c r="F317" s="329" t="s">
        <v>595</v>
      </c>
      <c r="G317" s="307" t="n">
        <v>24</v>
      </c>
      <c r="H317" s="330" t="n">
        <v>93.3884297520661</v>
      </c>
      <c r="I317" s="2"/>
      <c r="J317" s="331" t="s">
        <v>12</v>
      </c>
      <c r="K317" s="332" t="s">
        <v>12</v>
      </c>
      <c r="L317" s="333"/>
      <c r="M317" s="311" t="n">
        <v>0</v>
      </c>
      <c r="N317" s="312" t="n">
        <v>3.6</v>
      </c>
      <c r="O317" s="311" t="n">
        <v>0</v>
      </c>
      <c r="P317" s="312" t="n">
        <v>1.3</v>
      </c>
      <c r="Q317" s="310" t="n">
        <v>0</v>
      </c>
      <c r="R317" s="312" t="n">
        <v>0.5</v>
      </c>
      <c r="S317" s="310"/>
      <c r="T317" s="311" t="n">
        <v>0</v>
      </c>
      <c r="U317" s="312" t="n">
        <v>1.3</v>
      </c>
      <c r="V317" s="311" t="n">
        <v>0</v>
      </c>
      <c r="W317" s="312" t="n">
        <v>0.9</v>
      </c>
      <c r="X317" s="311" t="n">
        <v>0</v>
      </c>
      <c r="Y317" s="312" t="n">
        <v>0.9</v>
      </c>
      <c r="Z317" s="313" t="n">
        <v>0</v>
      </c>
      <c r="AA317" s="314" t="n">
        <v>0.8</v>
      </c>
      <c r="AB317" s="313" t="n">
        <v>0</v>
      </c>
      <c r="AC317" s="314" t="n">
        <v>0.8</v>
      </c>
      <c r="AD317" s="315"/>
      <c r="AE317" s="144" t="n">
        <v>14</v>
      </c>
      <c r="AF317" s="315"/>
      <c r="AG317" s="311" t="n">
        <v>0</v>
      </c>
      <c r="AH317" s="309" t="n">
        <v>0</v>
      </c>
      <c r="AI317" s="310"/>
      <c r="AJ317" s="311" t="n">
        <v>21</v>
      </c>
      <c r="AK317" s="309" t="n">
        <v>86.4</v>
      </c>
      <c r="AL317" s="311" t="n">
        <v>76</v>
      </c>
      <c r="AM317" s="309" t="n">
        <v>31.2</v>
      </c>
      <c r="AN317" s="311" t="n">
        <v>95</v>
      </c>
      <c r="AO317" s="309" t="n">
        <v>12</v>
      </c>
      <c r="AP317" s="310"/>
      <c r="AQ317" s="311" t="n">
        <v>76</v>
      </c>
      <c r="AR317" s="309" t="n">
        <v>31.2</v>
      </c>
      <c r="AS317" s="311" t="n">
        <v>85</v>
      </c>
      <c r="AT317" s="309" t="n">
        <v>21.6</v>
      </c>
      <c r="AU317" s="311" t="n">
        <v>85</v>
      </c>
      <c r="AV317" s="309" t="n">
        <v>21.6</v>
      </c>
      <c r="AW317" s="311" t="n">
        <v>88</v>
      </c>
      <c r="AX317" s="309" t="n">
        <v>19.2</v>
      </c>
      <c r="AY317" s="311" t="n">
        <v>88</v>
      </c>
      <c r="AZ317" s="309" t="n">
        <v>19.2</v>
      </c>
      <c r="BB317" s="144" t="n">
        <v>0</v>
      </c>
      <c r="BC317" s="315"/>
      <c r="BD317" s="311" t="n">
        <v>0</v>
      </c>
      <c r="BE317" s="316" t="n">
        <v>0</v>
      </c>
      <c r="BF317" s="310"/>
      <c r="BG317" s="317" t="n">
        <v>0</v>
      </c>
      <c r="BH317" s="318" t="n">
        <v>0.2</v>
      </c>
      <c r="BI317" s="317" t="n">
        <v>0</v>
      </c>
      <c r="BJ317" s="318" t="n">
        <v>0.8</v>
      </c>
      <c r="BK317" s="317" t="n">
        <v>0</v>
      </c>
      <c r="BL317" s="318" t="n">
        <v>0.2</v>
      </c>
      <c r="BM317" s="310"/>
      <c r="BN317" s="317" t="n">
        <v>0</v>
      </c>
      <c r="BO317" s="318" t="n">
        <v>0.4</v>
      </c>
      <c r="BP317" s="317" t="n">
        <v>0</v>
      </c>
      <c r="BQ317" s="318" t="n">
        <v>0</v>
      </c>
      <c r="BR317" s="317" t="n">
        <v>0</v>
      </c>
      <c r="BS317" s="318" t="n">
        <v>0</v>
      </c>
      <c r="BT317" s="317" t="n">
        <v>0</v>
      </c>
      <c r="BU317" s="318" t="n">
        <v>0</v>
      </c>
      <c r="BV317" s="317" t="n">
        <v>0</v>
      </c>
      <c r="BW317" s="318" t="n">
        <v>0</v>
      </c>
      <c r="BX317" s="2"/>
      <c r="BY317" s="143"/>
      <c r="BZ317" s="315"/>
      <c r="CA317" s="144" t="s">
        <v>12</v>
      </c>
      <c r="CB317" s="315"/>
      <c r="CC317" s="144" t="n">
        <v>-6.98842975206611</v>
      </c>
      <c r="CD317" s="144" t="n">
        <v>-62.1884297520661</v>
      </c>
      <c r="CE317" s="144" t="n">
        <v>-81.3884297520661</v>
      </c>
      <c r="CF317" s="315"/>
      <c r="CG317" s="144" t="n">
        <v>-62.1884297520661</v>
      </c>
      <c r="CH317" s="144" t="n">
        <v>-71.7884297520661</v>
      </c>
      <c r="CI317" s="144" t="n">
        <v>-71.7884297520661</v>
      </c>
      <c r="CJ317" s="144" t="n">
        <v>-74.1884297520661</v>
      </c>
      <c r="CK317" s="144" t="n">
        <v>-74.1884297520661</v>
      </c>
      <c r="CL317" s="2"/>
      <c r="CM317" s="144" t="n">
        <v>106.611570247934</v>
      </c>
      <c r="CN317" s="2"/>
      <c r="CO317" s="319"/>
      <c r="CP317" s="320"/>
      <c r="CQ317" s="321" t="s">
        <v>12</v>
      </c>
      <c r="CR317" s="320"/>
      <c r="CS317" s="322" t="n">
        <v>-20.2115702479339</v>
      </c>
      <c r="CT317" s="322" t="n">
        <v>-75.4115702479339</v>
      </c>
      <c r="CU317" s="322" t="n">
        <v>-94.6115702479339</v>
      </c>
      <c r="CV317" s="323"/>
      <c r="CW317" s="322" t="n">
        <v>-75.4115702479339</v>
      </c>
      <c r="CX317" s="322" t="n">
        <v>-85.0115702479339</v>
      </c>
      <c r="CY317" s="322" t="n">
        <v>-85.0115702479339</v>
      </c>
      <c r="CZ317" s="322" t="n">
        <v>-87.4115702479339</v>
      </c>
      <c r="DA317" s="322" t="n">
        <v>-87.4115702479339</v>
      </c>
    </row>
    <row r="318" customFormat="false" ht="12.75" hidden="false" customHeight="false" outlineLevel="0" collapsed="false">
      <c r="B318" s="305" t="s">
        <v>260</v>
      </c>
      <c r="C318" s="327" t="s">
        <v>598</v>
      </c>
      <c r="D318" s="306" t="n">
        <v>129</v>
      </c>
      <c r="E318" s="306" t="n">
        <v>0</v>
      </c>
      <c r="F318" s="324" t="s">
        <v>595</v>
      </c>
      <c r="G318" s="144" t="n">
        <v>24</v>
      </c>
      <c r="H318" s="325" t="n">
        <v>128.925619834711</v>
      </c>
      <c r="I318" s="2"/>
      <c r="J318" s="144" t="s">
        <v>12</v>
      </c>
      <c r="K318" s="309" t="s">
        <v>12</v>
      </c>
      <c r="L318" s="310"/>
      <c r="M318" s="311" t="n">
        <v>19</v>
      </c>
      <c r="N318" s="312" t="n">
        <v>4</v>
      </c>
      <c r="O318" s="311" t="n">
        <v>0</v>
      </c>
      <c r="P318" s="312" t="n">
        <v>2.3</v>
      </c>
      <c r="Q318" s="310" t="n">
        <v>0</v>
      </c>
      <c r="R318" s="312" t="n">
        <v>1.5</v>
      </c>
      <c r="S318" s="310"/>
      <c r="T318" s="311" t="n">
        <v>0</v>
      </c>
      <c r="U318" s="312" t="n">
        <v>4.6</v>
      </c>
      <c r="V318" s="311" t="n">
        <v>0</v>
      </c>
      <c r="W318" s="312" t="n">
        <v>1.7</v>
      </c>
      <c r="X318" s="311" t="n">
        <v>0</v>
      </c>
      <c r="Y318" s="312" t="n">
        <v>1.7</v>
      </c>
      <c r="Z318" s="313" t="n">
        <v>0</v>
      </c>
      <c r="AA318" s="314" t="n">
        <v>1.7</v>
      </c>
      <c r="AB318" s="313" t="n">
        <v>0</v>
      </c>
      <c r="AC318" s="314" t="n">
        <v>1.7</v>
      </c>
      <c r="AD318" s="315"/>
      <c r="AE318" s="144" t="n">
        <v>0</v>
      </c>
      <c r="AF318" s="315"/>
      <c r="AG318" s="311" t="n">
        <v>0</v>
      </c>
      <c r="AH318" s="309" t="n">
        <v>0</v>
      </c>
      <c r="AI318" s="310"/>
      <c r="AJ318" s="311" t="n">
        <v>14</v>
      </c>
      <c r="AK318" s="309" t="n">
        <v>96</v>
      </c>
      <c r="AL318" s="311" t="n">
        <v>74</v>
      </c>
      <c r="AM318" s="309" t="n">
        <v>55.2</v>
      </c>
      <c r="AN318" s="310" t="n">
        <v>93</v>
      </c>
      <c r="AO318" s="309" t="n">
        <v>36</v>
      </c>
      <c r="AP318" s="310"/>
      <c r="AQ318" s="311" t="n">
        <v>19</v>
      </c>
      <c r="AR318" s="309" t="n">
        <v>110.4</v>
      </c>
      <c r="AS318" s="311" t="n">
        <v>88</v>
      </c>
      <c r="AT318" s="309" t="n">
        <v>40.8</v>
      </c>
      <c r="AU318" s="310" t="n">
        <v>88</v>
      </c>
      <c r="AV318" s="309" t="n">
        <v>40.8</v>
      </c>
      <c r="AW318" s="310" t="n">
        <v>88</v>
      </c>
      <c r="AX318" s="309" t="n">
        <v>40.8</v>
      </c>
      <c r="AY318" s="310" t="n">
        <v>88</v>
      </c>
      <c r="AZ318" s="309" t="n">
        <v>40.8</v>
      </c>
      <c r="BB318" s="144" t="n">
        <v>0</v>
      </c>
      <c r="BC318" s="315"/>
      <c r="BD318" s="311" t="n">
        <v>0</v>
      </c>
      <c r="BE318" s="316" t="n">
        <v>0</v>
      </c>
      <c r="BF318" s="310"/>
      <c r="BG318" s="317" t="n">
        <v>0</v>
      </c>
      <c r="BH318" s="318" t="n">
        <v>0</v>
      </c>
      <c r="BI318" s="317" t="n">
        <v>0</v>
      </c>
      <c r="BJ318" s="318" t="n">
        <v>0</v>
      </c>
      <c r="BK318" s="317" t="n">
        <v>0</v>
      </c>
      <c r="BL318" s="318" t="n">
        <v>0</v>
      </c>
      <c r="BM318" s="310"/>
      <c r="BN318" s="317" t="n">
        <v>0</v>
      </c>
      <c r="BO318" s="318" t="n">
        <v>0</v>
      </c>
      <c r="BP318" s="317" t="n">
        <v>0</v>
      </c>
      <c r="BQ318" s="318" t="n">
        <v>0</v>
      </c>
      <c r="BR318" s="317" t="n">
        <v>0</v>
      </c>
      <c r="BS318" s="318" t="n">
        <v>0</v>
      </c>
      <c r="BT318" s="317" t="n">
        <v>0</v>
      </c>
      <c r="BU318" s="318" t="n">
        <v>0</v>
      </c>
      <c r="BV318" s="317" t="n">
        <v>0</v>
      </c>
      <c r="BW318" s="318" t="n">
        <v>0</v>
      </c>
      <c r="BY318" s="143"/>
      <c r="BZ318" s="315"/>
      <c r="CA318" s="144" t="s">
        <v>12</v>
      </c>
      <c r="CB318" s="315"/>
      <c r="CC318" s="144" t="n">
        <v>-13.9256198347107</v>
      </c>
      <c r="CD318" s="144" t="n">
        <v>-73.7256198347107</v>
      </c>
      <c r="CE318" s="144" t="n">
        <v>-92.9256198347107</v>
      </c>
      <c r="CF318" s="315"/>
      <c r="CG318" s="144" t="n">
        <v>-18.5256198347107</v>
      </c>
      <c r="CH318" s="144" t="n">
        <v>-88.1256198347107</v>
      </c>
      <c r="CI318" s="144" t="n">
        <v>-88.1256198347107</v>
      </c>
      <c r="CJ318" s="144" t="n">
        <v>-88.1256198347107</v>
      </c>
      <c r="CK318" s="144" t="n">
        <v>-88.1256198347107</v>
      </c>
      <c r="CM318" s="144" t="n">
        <v>112.388429752066</v>
      </c>
      <c r="CO318" s="319"/>
      <c r="CP318" s="320"/>
      <c r="CQ318" s="321" t="s">
        <v>12</v>
      </c>
      <c r="CR318" s="320"/>
      <c r="CS318" s="322" t="n">
        <v>2.61157024793387</v>
      </c>
      <c r="CT318" s="322" t="n">
        <v>-57.1884297520661</v>
      </c>
      <c r="CU318" s="322" t="n">
        <v>-76.3884297520661</v>
      </c>
      <c r="CV318" s="323"/>
      <c r="CW318" s="322" t="n">
        <v>-1.98842975206613</v>
      </c>
      <c r="CX318" s="322" t="n">
        <v>-71.5884297520661</v>
      </c>
      <c r="CY318" s="322" t="n">
        <v>-71.5884297520661</v>
      </c>
      <c r="CZ318" s="322" t="n">
        <v>-71.5884297520661</v>
      </c>
      <c r="DA318" s="322" t="n">
        <v>-71.5884297520661</v>
      </c>
    </row>
    <row r="319" customFormat="false" ht="12.75" hidden="false" customHeight="false" outlineLevel="0" collapsed="false">
      <c r="B319" s="305" t="s">
        <v>190</v>
      </c>
      <c r="C319" s="327" t="s">
        <v>599</v>
      </c>
      <c r="D319" s="306" t="n">
        <v>248</v>
      </c>
      <c r="E319" s="306" t="n">
        <v>0</v>
      </c>
      <c r="F319" s="306" t="s">
        <v>595</v>
      </c>
      <c r="G319" s="307" t="n">
        <v>24</v>
      </c>
      <c r="H319" s="308" t="n">
        <v>219.00826446281</v>
      </c>
      <c r="I319" s="2"/>
      <c r="J319" s="144" t="s">
        <v>12</v>
      </c>
      <c r="K319" s="309" t="s">
        <v>12</v>
      </c>
      <c r="L319" s="310"/>
      <c r="M319" s="311" t="n">
        <v>39</v>
      </c>
      <c r="N319" s="312" t="n">
        <v>6.7</v>
      </c>
      <c r="O319" s="311" t="n">
        <v>0</v>
      </c>
      <c r="P319" s="312" t="n">
        <v>5.6</v>
      </c>
      <c r="Q319" s="310" t="n">
        <v>0</v>
      </c>
      <c r="R319" s="312" t="n">
        <v>4.8</v>
      </c>
      <c r="S319" s="310"/>
      <c r="T319" s="311" t="n">
        <v>0</v>
      </c>
      <c r="U319" s="312" t="n">
        <v>7.9</v>
      </c>
      <c r="V319" s="311" t="n">
        <v>0</v>
      </c>
      <c r="W319" s="312" t="n">
        <v>5</v>
      </c>
      <c r="X319" s="311" t="n">
        <v>0</v>
      </c>
      <c r="Y319" s="312" t="n">
        <v>5</v>
      </c>
      <c r="Z319" s="313" t="n">
        <v>0</v>
      </c>
      <c r="AA319" s="314" t="n">
        <v>5</v>
      </c>
      <c r="AB319" s="313" t="n">
        <v>0</v>
      </c>
      <c r="AC319" s="314" t="n">
        <v>5</v>
      </c>
      <c r="AD319" s="315"/>
      <c r="AE319" s="144" t="n">
        <v>29</v>
      </c>
      <c r="AF319" s="315"/>
      <c r="AG319" s="311" t="n">
        <v>0</v>
      </c>
      <c r="AH319" s="309" t="n">
        <v>0</v>
      </c>
      <c r="AI319" s="310"/>
      <c r="AJ319" s="311" t="n">
        <v>48</v>
      </c>
      <c r="AK319" s="309" t="n">
        <v>160.8</v>
      </c>
      <c r="AL319" s="311" t="n">
        <v>114</v>
      </c>
      <c r="AM319" s="309" t="n">
        <v>134.4</v>
      </c>
      <c r="AN319" s="311" t="n">
        <v>133</v>
      </c>
      <c r="AO319" s="309" t="n">
        <v>115.2</v>
      </c>
      <c r="AP319" s="310"/>
      <c r="AQ319" s="311" t="n">
        <v>58</v>
      </c>
      <c r="AR319" s="309" t="n">
        <v>189.6</v>
      </c>
      <c r="AS319" s="311" t="n">
        <v>128</v>
      </c>
      <c r="AT319" s="309" t="n">
        <v>120</v>
      </c>
      <c r="AU319" s="311" t="n">
        <v>128</v>
      </c>
      <c r="AV319" s="309" t="n">
        <v>120</v>
      </c>
      <c r="AW319" s="311" t="n">
        <v>128</v>
      </c>
      <c r="AX319" s="309" t="n">
        <v>120</v>
      </c>
      <c r="AY319" s="311" t="n">
        <v>128</v>
      </c>
      <c r="AZ319" s="309" t="n">
        <v>120</v>
      </c>
      <c r="BB319" s="144" t="n">
        <v>0</v>
      </c>
      <c r="BC319" s="315"/>
      <c r="BD319" s="311" t="n">
        <v>0</v>
      </c>
      <c r="BE319" s="316" t="n">
        <v>0</v>
      </c>
      <c r="BF319" s="310"/>
      <c r="BG319" s="317" t="n">
        <v>0</v>
      </c>
      <c r="BH319" s="318" t="n">
        <v>0</v>
      </c>
      <c r="BI319" s="317" t="n">
        <v>0</v>
      </c>
      <c r="BJ319" s="318" t="n">
        <v>0</v>
      </c>
      <c r="BK319" s="317" t="n">
        <v>0</v>
      </c>
      <c r="BL319" s="318" t="n">
        <v>0</v>
      </c>
      <c r="BM319" s="310"/>
      <c r="BN319" s="317" t="n">
        <v>0</v>
      </c>
      <c r="BO319" s="318" t="n">
        <v>0</v>
      </c>
      <c r="BP319" s="317" t="n">
        <v>0</v>
      </c>
      <c r="BQ319" s="318" t="n">
        <v>0</v>
      </c>
      <c r="BR319" s="317" t="n">
        <v>0</v>
      </c>
      <c r="BS319" s="318" t="n">
        <v>0</v>
      </c>
      <c r="BT319" s="317" t="n">
        <v>0</v>
      </c>
      <c r="BU319" s="318" t="n">
        <v>0</v>
      </c>
      <c r="BV319" s="317" t="n">
        <v>0</v>
      </c>
      <c r="BW319" s="318" t="n">
        <v>0</v>
      </c>
      <c r="BY319" s="143"/>
      <c r="BZ319" s="315"/>
      <c r="CA319" s="144" t="s">
        <v>12</v>
      </c>
      <c r="CB319" s="315"/>
      <c r="CC319" s="144" t="n">
        <v>-19.2082644628099</v>
      </c>
      <c r="CD319" s="144" t="n">
        <v>-84.6082644628099</v>
      </c>
      <c r="CE319" s="144" t="n">
        <v>-103.80826446281</v>
      </c>
      <c r="CF319" s="315"/>
      <c r="CG319" s="144" t="n">
        <v>-29.4082644628099</v>
      </c>
      <c r="CH319" s="144" t="n">
        <v>-99.0082644628099</v>
      </c>
      <c r="CI319" s="144" t="n">
        <v>-99.0082644628099</v>
      </c>
      <c r="CJ319" s="144" t="n">
        <v>-99.0082644628099</v>
      </c>
      <c r="CK319" s="144" t="n">
        <v>-99.0082644628099</v>
      </c>
      <c r="CM319" s="144" t="n">
        <v>247.107438016529</v>
      </c>
      <c r="CO319" s="319"/>
      <c r="CP319" s="320"/>
      <c r="CQ319" s="321" t="s">
        <v>12</v>
      </c>
      <c r="CR319" s="320"/>
      <c r="CS319" s="322" t="n">
        <v>-47.3074380165289</v>
      </c>
      <c r="CT319" s="322" t="n">
        <v>-112.707438016529</v>
      </c>
      <c r="CU319" s="322" t="n">
        <v>-131.907438016529</v>
      </c>
      <c r="CV319" s="323"/>
      <c r="CW319" s="322" t="n">
        <v>-57.5074380165289</v>
      </c>
      <c r="CX319" s="322" t="n">
        <v>-127.107438016529</v>
      </c>
      <c r="CY319" s="322" t="n">
        <v>-127.107438016529</v>
      </c>
      <c r="CZ319" s="322" t="n">
        <v>-127.107438016529</v>
      </c>
      <c r="DA319" s="322" t="n">
        <v>-127.107438016529</v>
      </c>
    </row>
    <row r="320" customFormat="false" ht="12.75" hidden="false" customHeight="false" outlineLevel="0" collapsed="false">
      <c r="B320" s="305" t="s">
        <v>190</v>
      </c>
      <c r="C320" s="327" t="s">
        <v>600</v>
      </c>
      <c r="D320" s="306" t="n">
        <v>166</v>
      </c>
      <c r="E320" s="306" t="n">
        <v>0</v>
      </c>
      <c r="F320" s="324" t="s">
        <v>595</v>
      </c>
      <c r="G320" s="144" t="n">
        <v>24</v>
      </c>
      <c r="H320" s="325" t="n">
        <v>165.289256198347</v>
      </c>
      <c r="I320" s="2"/>
      <c r="J320" s="144" t="s">
        <v>12</v>
      </c>
      <c r="K320" s="309" t="s">
        <v>12</v>
      </c>
      <c r="L320" s="310"/>
      <c r="M320" s="311" t="n">
        <v>29</v>
      </c>
      <c r="N320" s="312" t="n">
        <v>4.8</v>
      </c>
      <c r="O320" s="311" t="n">
        <v>0</v>
      </c>
      <c r="P320" s="312" t="n">
        <v>3.4</v>
      </c>
      <c r="Q320" s="310" t="n">
        <v>0</v>
      </c>
      <c r="R320" s="312" t="n">
        <v>2.5</v>
      </c>
      <c r="S320" s="310"/>
      <c r="T320" s="311" t="n">
        <v>0</v>
      </c>
      <c r="U320" s="312" t="n">
        <v>5.6</v>
      </c>
      <c r="V320" s="311" t="n">
        <v>0</v>
      </c>
      <c r="W320" s="312" t="n">
        <v>3.4</v>
      </c>
      <c r="X320" s="311" t="n">
        <v>0</v>
      </c>
      <c r="Y320" s="312" t="n">
        <v>3.4</v>
      </c>
      <c r="Z320" s="313" t="n">
        <v>0</v>
      </c>
      <c r="AA320" s="314" t="n">
        <v>3.3</v>
      </c>
      <c r="AB320" s="313" t="n">
        <v>0</v>
      </c>
      <c r="AC320" s="314" t="n">
        <v>3.3</v>
      </c>
      <c r="AD320" s="315"/>
      <c r="AE320" s="144" t="n">
        <v>1</v>
      </c>
      <c r="AF320" s="315"/>
      <c r="AG320" s="311" t="n">
        <v>0</v>
      </c>
      <c r="AH320" s="309" t="n">
        <v>0</v>
      </c>
      <c r="AI320" s="310"/>
      <c r="AJ320" s="311" t="n">
        <v>22</v>
      </c>
      <c r="AK320" s="309" t="n">
        <v>115.2</v>
      </c>
      <c r="AL320" s="311" t="n">
        <v>84</v>
      </c>
      <c r="AM320" s="309" t="n">
        <v>81.6</v>
      </c>
      <c r="AN320" s="310" t="n">
        <v>106</v>
      </c>
      <c r="AO320" s="309" t="n">
        <v>60</v>
      </c>
      <c r="AP320" s="310"/>
      <c r="AQ320" s="311" t="n">
        <v>32</v>
      </c>
      <c r="AR320" s="309" t="n">
        <v>134.4</v>
      </c>
      <c r="AS320" s="311" t="n">
        <v>84</v>
      </c>
      <c r="AT320" s="309" t="n">
        <v>81.6</v>
      </c>
      <c r="AU320" s="310" t="n">
        <v>84</v>
      </c>
      <c r="AV320" s="309" t="n">
        <v>81.6</v>
      </c>
      <c r="AW320" s="310" t="n">
        <v>87</v>
      </c>
      <c r="AX320" s="309" t="n">
        <v>79.2</v>
      </c>
      <c r="AY320" s="310" t="n">
        <v>87</v>
      </c>
      <c r="AZ320" s="309" t="n">
        <v>79.2</v>
      </c>
      <c r="BB320" s="144" t="n">
        <v>0</v>
      </c>
      <c r="BC320" s="315"/>
      <c r="BD320" s="311" t="n">
        <v>0</v>
      </c>
      <c r="BE320" s="316" t="n">
        <v>0</v>
      </c>
      <c r="BF320" s="310"/>
      <c r="BG320" s="317" t="n">
        <v>0</v>
      </c>
      <c r="BH320" s="318" t="n">
        <v>0</v>
      </c>
      <c r="BI320" s="317" t="n">
        <v>0</v>
      </c>
      <c r="BJ320" s="318" t="n">
        <v>0</v>
      </c>
      <c r="BK320" s="317" t="n">
        <v>0</v>
      </c>
      <c r="BL320" s="318" t="n">
        <v>0</v>
      </c>
      <c r="BM320" s="310"/>
      <c r="BN320" s="317" t="n">
        <v>0</v>
      </c>
      <c r="BO320" s="318" t="n">
        <v>0</v>
      </c>
      <c r="BP320" s="317" t="n">
        <v>0</v>
      </c>
      <c r="BQ320" s="318" t="n">
        <v>0</v>
      </c>
      <c r="BR320" s="317" t="n">
        <v>0</v>
      </c>
      <c r="BS320" s="318" t="n">
        <v>0</v>
      </c>
      <c r="BT320" s="317" t="n">
        <v>0</v>
      </c>
      <c r="BU320" s="318" t="n">
        <v>0</v>
      </c>
      <c r="BV320" s="317" t="n">
        <v>0</v>
      </c>
      <c r="BW320" s="318" t="n">
        <v>0</v>
      </c>
      <c r="BY320" s="143"/>
      <c r="BZ320" s="315"/>
      <c r="CA320" s="144" t="s">
        <v>12</v>
      </c>
      <c r="CB320" s="315"/>
      <c r="CC320" s="144" t="n">
        <v>-21.0892561983471</v>
      </c>
      <c r="CD320" s="144" t="n">
        <v>-83.6892561983471</v>
      </c>
      <c r="CE320" s="144" t="n">
        <v>-105.289256198347</v>
      </c>
      <c r="CF320" s="315"/>
      <c r="CG320" s="144" t="n">
        <v>-30.8892561983471</v>
      </c>
      <c r="CH320" s="144" t="n">
        <v>-83.6892561983471</v>
      </c>
      <c r="CI320" s="144" t="n">
        <v>-83.6892561983471</v>
      </c>
      <c r="CJ320" s="144" t="n">
        <v>-86.0892561983471</v>
      </c>
      <c r="CK320" s="144" t="n">
        <v>-86.0892561983471</v>
      </c>
      <c r="CM320" s="144" t="n">
        <v>164.462809917355</v>
      </c>
      <c r="CO320" s="319"/>
      <c r="CP320" s="320"/>
      <c r="CQ320" s="321" t="s">
        <v>12</v>
      </c>
      <c r="CR320" s="320"/>
      <c r="CS320" s="322" t="n">
        <v>-20.2628099173554</v>
      </c>
      <c r="CT320" s="322" t="n">
        <v>-82.8628099173554</v>
      </c>
      <c r="CU320" s="322" t="n">
        <v>-104.462809917355</v>
      </c>
      <c r="CV320" s="323"/>
      <c r="CW320" s="322" t="n">
        <v>-30.0628099173554</v>
      </c>
      <c r="CX320" s="322" t="n">
        <v>-82.8628099173554</v>
      </c>
      <c r="CY320" s="322" t="n">
        <v>-82.8628099173554</v>
      </c>
      <c r="CZ320" s="322" t="n">
        <v>-85.2628099173554</v>
      </c>
      <c r="DA320" s="322" t="n">
        <v>-85.2628099173554</v>
      </c>
    </row>
    <row r="321" customFormat="false" ht="12.75" hidden="false" customHeight="false" outlineLevel="0" collapsed="false">
      <c r="B321" s="305" t="s">
        <v>260</v>
      </c>
      <c r="C321" s="327" t="s">
        <v>601</v>
      </c>
      <c r="D321" s="306" t="n">
        <v>277</v>
      </c>
      <c r="E321" s="306" t="n">
        <v>0</v>
      </c>
      <c r="F321" s="306" t="s">
        <v>595</v>
      </c>
      <c r="G321" s="307" t="n">
        <v>24</v>
      </c>
      <c r="H321" s="308" t="n">
        <v>276.859504132231</v>
      </c>
      <c r="I321" s="2"/>
      <c r="J321" s="144" t="s">
        <v>12</v>
      </c>
      <c r="K321" s="309" t="s">
        <v>12</v>
      </c>
      <c r="L321" s="310"/>
      <c r="M321" s="311" t="n">
        <v>39</v>
      </c>
      <c r="N321" s="312" t="n">
        <v>7.5</v>
      </c>
      <c r="O321" s="311" t="n">
        <v>0</v>
      </c>
      <c r="P321" s="312" t="n">
        <v>6.5</v>
      </c>
      <c r="Q321" s="310" t="n">
        <v>0</v>
      </c>
      <c r="R321" s="312" t="n">
        <v>5.6</v>
      </c>
      <c r="S321" s="310"/>
      <c r="T321" s="311" t="n">
        <v>0</v>
      </c>
      <c r="U321" s="312" t="n">
        <v>8.7</v>
      </c>
      <c r="V321" s="311" t="n">
        <v>0</v>
      </c>
      <c r="W321" s="312" t="n">
        <v>5.8</v>
      </c>
      <c r="X321" s="311" t="n">
        <v>0</v>
      </c>
      <c r="Y321" s="312" t="n">
        <v>5.8</v>
      </c>
      <c r="Z321" s="313" t="n">
        <v>0</v>
      </c>
      <c r="AA321" s="314" t="n">
        <v>5.8</v>
      </c>
      <c r="AB321" s="313" t="n">
        <v>0</v>
      </c>
      <c r="AC321" s="314" t="n">
        <v>5.8</v>
      </c>
      <c r="AD321" s="315"/>
      <c r="AE321" s="144" t="n">
        <v>0</v>
      </c>
      <c r="AF321" s="315"/>
      <c r="AG321" s="311" t="n">
        <v>0</v>
      </c>
      <c r="AH321" s="309" t="n">
        <v>0</v>
      </c>
      <c r="AI321" s="310"/>
      <c r="AJ321" s="311" t="n">
        <v>58</v>
      </c>
      <c r="AK321" s="309" t="n">
        <v>180</v>
      </c>
      <c r="AL321" s="311" t="n">
        <v>121</v>
      </c>
      <c r="AM321" s="309" t="n">
        <v>156</v>
      </c>
      <c r="AN321" s="311" t="n">
        <v>143</v>
      </c>
      <c r="AO321" s="309" t="n">
        <v>134.4</v>
      </c>
      <c r="AP321" s="310"/>
      <c r="AQ321" s="311" t="n">
        <v>68</v>
      </c>
      <c r="AR321" s="309" t="n">
        <v>208.8</v>
      </c>
      <c r="AS321" s="311" t="n">
        <v>138</v>
      </c>
      <c r="AT321" s="309" t="n">
        <v>139.2</v>
      </c>
      <c r="AU321" s="311" t="n">
        <v>138</v>
      </c>
      <c r="AV321" s="309" t="n">
        <v>139.2</v>
      </c>
      <c r="AW321" s="311" t="n">
        <v>138</v>
      </c>
      <c r="AX321" s="309" t="n">
        <v>139.2</v>
      </c>
      <c r="AY321" s="311" t="n">
        <v>138</v>
      </c>
      <c r="AZ321" s="309" t="n">
        <v>139.2</v>
      </c>
      <c r="BB321" s="144" t="n">
        <v>0</v>
      </c>
      <c r="BC321" s="315"/>
      <c r="BD321" s="311" t="n">
        <v>0</v>
      </c>
      <c r="BE321" s="316" t="n">
        <v>0</v>
      </c>
      <c r="BF321" s="310"/>
      <c r="BG321" s="317" t="n">
        <v>0</v>
      </c>
      <c r="BH321" s="318" t="n">
        <v>0</v>
      </c>
      <c r="BI321" s="317" t="n">
        <v>0</v>
      </c>
      <c r="BJ321" s="318" t="n">
        <v>0</v>
      </c>
      <c r="BK321" s="317" t="n">
        <v>0</v>
      </c>
      <c r="BL321" s="318" t="n">
        <v>0</v>
      </c>
      <c r="BM321" s="310"/>
      <c r="BN321" s="317" t="n">
        <v>0</v>
      </c>
      <c r="BO321" s="318" t="n">
        <v>0</v>
      </c>
      <c r="BP321" s="317" t="n">
        <v>0</v>
      </c>
      <c r="BQ321" s="318" t="n">
        <v>0</v>
      </c>
      <c r="BR321" s="317" t="n">
        <v>0</v>
      </c>
      <c r="BS321" s="318" t="n">
        <v>0</v>
      </c>
      <c r="BT321" s="317" t="n">
        <v>0</v>
      </c>
      <c r="BU321" s="318" t="n">
        <v>0</v>
      </c>
      <c r="BV321" s="317" t="n">
        <v>0</v>
      </c>
      <c r="BW321" s="318" t="n">
        <v>0</v>
      </c>
      <c r="BY321" s="143"/>
      <c r="BZ321" s="315"/>
      <c r="CA321" s="144" t="s">
        <v>12</v>
      </c>
      <c r="CB321" s="315"/>
      <c r="CC321" s="144" t="n">
        <v>-57.8595041322314</v>
      </c>
      <c r="CD321" s="144" t="n">
        <v>-120.859504132231</v>
      </c>
      <c r="CE321" s="144" t="n">
        <v>-142.459504132231</v>
      </c>
      <c r="CF321" s="315"/>
      <c r="CG321" s="144" t="n">
        <v>-68.0595041322314</v>
      </c>
      <c r="CH321" s="144" t="n">
        <v>-137.659504132231</v>
      </c>
      <c r="CI321" s="144" t="n">
        <v>-137.659504132231</v>
      </c>
      <c r="CJ321" s="144" t="n">
        <v>-137.659504132231</v>
      </c>
      <c r="CK321" s="144" t="n">
        <v>-137.659504132231</v>
      </c>
      <c r="CM321" s="144" t="n">
        <v>238.842975206612</v>
      </c>
      <c r="CO321" s="319"/>
      <c r="CP321" s="320"/>
      <c r="CQ321" s="321"/>
      <c r="CR321" s="320"/>
      <c r="CS321" s="322" t="n">
        <v>-19.8429752066116</v>
      </c>
      <c r="CT321" s="322" t="n">
        <v>-82.8429752066116</v>
      </c>
      <c r="CU321" s="322" t="n">
        <v>-104.442975206612</v>
      </c>
      <c r="CV321" s="323"/>
      <c r="CW321" s="322" t="n">
        <v>-30.0429752066116</v>
      </c>
      <c r="CX321" s="322" t="n">
        <v>-99.6429752066116</v>
      </c>
      <c r="CY321" s="322" t="n">
        <v>-99.6429752066116</v>
      </c>
      <c r="CZ321" s="322"/>
      <c r="DA321" s="322"/>
    </row>
    <row r="322" customFormat="false" ht="12.75" hidden="false" customHeight="false" outlineLevel="0" collapsed="false">
      <c r="B322" s="305" t="s">
        <v>260</v>
      </c>
      <c r="C322" s="327" t="s">
        <v>601</v>
      </c>
      <c r="D322" s="306" t="n">
        <v>277</v>
      </c>
      <c r="E322" s="306" t="n">
        <v>0</v>
      </c>
      <c r="F322" s="324" t="s">
        <v>595</v>
      </c>
      <c r="G322" s="144" t="n">
        <v>48</v>
      </c>
      <c r="H322" s="325" t="n">
        <v>276.859504132231</v>
      </c>
      <c r="I322" s="2"/>
      <c r="J322" s="144" t="s">
        <v>12</v>
      </c>
      <c r="K322" s="309" t="s">
        <v>12</v>
      </c>
      <c r="L322" s="310"/>
      <c r="M322" s="311" t="n">
        <v>39</v>
      </c>
      <c r="N322" s="312" t="n">
        <v>3.8</v>
      </c>
      <c r="O322" s="311" t="n">
        <v>0</v>
      </c>
      <c r="P322" s="312" t="n">
        <v>3.3</v>
      </c>
      <c r="Q322" s="310" t="n">
        <v>0</v>
      </c>
      <c r="R322" s="312" t="n">
        <v>2.8</v>
      </c>
      <c r="S322" s="310"/>
      <c r="T322" s="311" t="n">
        <v>0</v>
      </c>
      <c r="U322" s="312" t="n">
        <v>4.4</v>
      </c>
      <c r="V322" s="311" t="n">
        <v>0</v>
      </c>
      <c r="W322" s="312" t="n">
        <v>2.9</v>
      </c>
      <c r="X322" s="311" t="n">
        <v>0</v>
      </c>
      <c r="Y322" s="312" t="n">
        <v>2.9</v>
      </c>
      <c r="Z322" s="313" t="n">
        <v>0</v>
      </c>
      <c r="AA322" s="314" t="n">
        <v>2.9</v>
      </c>
      <c r="AB322" s="313" t="n">
        <v>0</v>
      </c>
      <c r="AC322" s="314" t="n">
        <v>2.9</v>
      </c>
      <c r="AD322" s="315"/>
      <c r="AE322" s="144" t="n">
        <v>0</v>
      </c>
      <c r="AF322" s="315"/>
      <c r="AG322" s="311" t="n">
        <v>0</v>
      </c>
      <c r="AH322" s="309" t="n">
        <v>0</v>
      </c>
      <c r="AI322" s="310"/>
      <c r="AJ322" s="311" t="n">
        <v>56</v>
      </c>
      <c r="AK322" s="309" t="n">
        <v>182.4</v>
      </c>
      <c r="AL322" s="311" t="n">
        <v>119</v>
      </c>
      <c r="AM322" s="309" t="n">
        <v>158.4</v>
      </c>
      <c r="AN322" s="310" t="n">
        <v>143</v>
      </c>
      <c r="AO322" s="309" t="n">
        <v>134.4</v>
      </c>
      <c r="AP322" s="310"/>
      <c r="AQ322" s="311" t="n">
        <v>66</v>
      </c>
      <c r="AR322" s="309" t="n">
        <v>211.2</v>
      </c>
      <c r="AS322" s="311" t="n">
        <v>138</v>
      </c>
      <c r="AT322" s="309" t="n">
        <v>139.2</v>
      </c>
      <c r="AU322" s="310" t="n">
        <v>138</v>
      </c>
      <c r="AV322" s="309" t="n">
        <v>139.2</v>
      </c>
      <c r="AW322" s="310" t="n">
        <v>138</v>
      </c>
      <c r="AX322" s="309" t="n">
        <v>139.2</v>
      </c>
      <c r="AY322" s="310" t="n">
        <v>138</v>
      </c>
      <c r="AZ322" s="309" t="n">
        <v>139.2</v>
      </c>
      <c r="BB322" s="144" t="n">
        <v>0</v>
      </c>
      <c r="BC322" s="315"/>
      <c r="BD322" s="311" t="n">
        <v>0</v>
      </c>
      <c r="BE322" s="316" t="n">
        <v>0</v>
      </c>
      <c r="BF322" s="310"/>
      <c r="BG322" s="317" t="n">
        <v>0</v>
      </c>
      <c r="BH322" s="318" t="n">
        <v>0</v>
      </c>
      <c r="BI322" s="317" t="n">
        <v>0</v>
      </c>
      <c r="BJ322" s="318" t="n">
        <v>0</v>
      </c>
      <c r="BK322" s="317" t="n">
        <v>0</v>
      </c>
      <c r="BL322" s="318" t="n">
        <v>0</v>
      </c>
      <c r="BM322" s="310"/>
      <c r="BN322" s="317" t="n">
        <v>0</v>
      </c>
      <c r="BO322" s="318" t="n">
        <v>0</v>
      </c>
      <c r="BP322" s="317" t="n">
        <v>0</v>
      </c>
      <c r="BQ322" s="318" t="n">
        <v>0</v>
      </c>
      <c r="BR322" s="317" t="n">
        <v>0</v>
      </c>
      <c r="BS322" s="318" t="n">
        <v>0</v>
      </c>
      <c r="BT322" s="317" t="n">
        <v>0</v>
      </c>
      <c r="BU322" s="318" t="n">
        <v>0</v>
      </c>
      <c r="BV322" s="317" t="n">
        <v>0</v>
      </c>
      <c r="BW322" s="318" t="n">
        <v>0</v>
      </c>
      <c r="BY322" s="143"/>
      <c r="BZ322" s="315"/>
      <c r="CA322" s="144" t="s">
        <v>12</v>
      </c>
      <c r="CB322" s="315"/>
      <c r="CC322" s="144" t="n">
        <v>-55.4595041322314</v>
      </c>
      <c r="CD322" s="144" t="n">
        <v>-118.459504132231</v>
      </c>
      <c r="CE322" s="144" t="n">
        <v>-142.459504132231</v>
      </c>
      <c r="CF322" s="315"/>
      <c r="CG322" s="144" t="n">
        <v>-65.6595041322314</v>
      </c>
      <c r="CH322" s="144" t="n">
        <v>-137.659504132231</v>
      </c>
      <c r="CI322" s="144" t="n">
        <v>-137.659504132231</v>
      </c>
      <c r="CJ322" s="144" t="n">
        <v>-137.659504132231</v>
      </c>
      <c r="CK322" s="144" t="n">
        <v>-137.659504132231</v>
      </c>
      <c r="CM322" s="144" t="n">
        <v>238.842975206612</v>
      </c>
      <c r="CO322" s="319"/>
      <c r="CP322" s="320"/>
      <c r="CQ322" s="321" t="s">
        <v>12</v>
      </c>
      <c r="CR322" s="320"/>
      <c r="CS322" s="322" t="n">
        <v>-17.4429752066116</v>
      </c>
      <c r="CT322" s="322" t="n">
        <v>-80.4429752066116</v>
      </c>
      <c r="CU322" s="322" t="n">
        <v>-104.442975206612</v>
      </c>
      <c r="CV322" s="323"/>
      <c r="CW322" s="322" t="n">
        <v>-27.6429752066116</v>
      </c>
      <c r="CX322" s="322" t="n">
        <v>-99.6429752066116</v>
      </c>
      <c r="CY322" s="322" t="n">
        <v>-99.6429752066116</v>
      </c>
      <c r="CZ322" s="322" t="n">
        <v>-99.6429752066116</v>
      </c>
      <c r="DA322" s="322" t="n">
        <v>-99.6429752066116</v>
      </c>
    </row>
    <row r="323" customFormat="false" ht="12.75" hidden="false" customHeight="false" outlineLevel="0" collapsed="false">
      <c r="B323" s="305" t="s">
        <v>424</v>
      </c>
      <c r="C323" s="305" t="s">
        <v>602</v>
      </c>
      <c r="D323" s="306" t="n">
        <v>71</v>
      </c>
      <c r="E323" s="306" t="n">
        <v>0</v>
      </c>
      <c r="F323" s="306" t="s">
        <v>603</v>
      </c>
      <c r="G323" s="307" t="n">
        <v>24</v>
      </c>
      <c r="H323" s="308" t="n">
        <v>53.7190082644628</v>
      </c>
      <c r="I323" s="2"/>
      <c r="J323" s="144" t="s">
        <v>12</v>
      </c>
      <c r="K323" s="309" t="s">
        <v>12</v>
      </c>
      <c r="L323" s="310"/>
      <c r="M323" s="311" t="n">
        <v>0</v>
      </c>
      <c r="N323" s="312" t="n">
        <v>1.3</v>
      </c>
      <c r="O323" s="311" t="n">
        <v>0</v>
      </c>
      <c r="P323" s="312" t="n">
        <v>1.3</v>
      </c>
      <c r="Q323" s="310" t="n">
        <v>0</v>
      </c>
      <c r="R323" s="312" t="n">
        <v>1.3</v>
      </c>
      <c r="S323" s="310"/>
      <c r="T323" s="311" t="n">
        <v>0</v>
      </c>
      <c r="U323" s="312" t="n">
        <v>0.9</v>
      </c>
      <c r="V323" s="311" t="n">
        <v>0</v>
      </c>
      <c r="W323" s="312" t="n">
        <v>0.9</v>
      </c>
      <c r="X323" s="311" t="n">
        <v>0</v>
      </c>
      <c r="Y323" s="312" t="n">
        <v>0</v>
      </c>
      <c r="Z323" s="313" t="n">
        <v>0</v>
      </c>
      <c r="AA323" s="314" t="n">
        <v>0</v>
      </c>
      <c r="AB323" s="313" t="n">
        <v>0</v>
      </c>
      <c r="AC323" s="314" t="n">
        <v>0</v>
      </c>
      <c r="AD323" s="315"/>
      <c r="AE323" s="144" t="n">
        <v>17</v>
      </c>
      <c r="AF323" s="315"/>
      <c r="AG323" s="311" t="n">
        <v>0</v>
      </c>
      <c r="AH323" s="309" t="n">
        <v>0</v>
      </c>
      <c r="AI323" s="310"/>
      <c r="AJ323" s="311" t="n">
        <v>40</v>
      </c>
      <c r="AK323" s="309" t="n">
        <v>31.2</v>
      </c>
      <c r="AL323" s="311" t="n">
        <v>40</v>
      </c>
      <c r="AM323" s="309" t="n">
        <v>31.2</v>
      </c>
      <c r="AN323" s="311" t="n">
        <v>40</v>
      </c>
      <c r="AO323" s="309" t="n">
        <v>31.2</v>
      </c>
      <c r="AP323" s="310"/>
      <c r="AQ323" s="311" t="n">
        <v>49</v>
      </c>
      <c r="AR323" s="309" t="n">
        <v>21.6</v>
      </c>
      <c r="AS323" s="311" t="n">
        <v>49</v>
      </c>
      <c r="AT323" s="309" t="n">
        <v>21.6</v>
      </c>
      <c r="AU323" s="311" t="n">
        <v>71</v>
      </c>
      <c r="AV323" s="309" t="n">
        <v>0</v>
      </c>
      <c r="AW323" s="311" t="n">
        <v>71</v>
      </c>
      <c r="AX323" s="309" t="n">
        <v>0</v>
      </c>
      <c r="AY323" s="311" t="n">
        <v>71</v>
      </c>
      <c r="AZ323" s="309" t="n">
        <v>0</v>
      </c>
      <c r="BB323" s="144" t="n">
        <v>0</v>
      </c>
      <c r="BC323" s="315"/>
      <c r="BD323" s="311" t="n">
        <v>0</v>
      </c>
      <c r="BE323" s="316" t="n">
        <v>0</v>
      </c>
      <c r="BF323" s="310"/>
      <c r="BG323" s="317" t="n">
        <v>0</v>
      </c>
      <c r="BH323" s="318" t="n">
        <v>0</v>
      </c>
      <c r="BI323" s="317" t="n">
        <v>0</v>
      </c>
      <c r="BJ323" s="318" t="n">
        <v>0</v>
      </c>
      <c r="BK323" s="317" t="n">
        <v>0</v>
      </c>
      <c r="BL323" s="318" t="n">
        <v>0</v>
      </c>
      <c r="BM323" s="310"/>
      <c r="BN323" s="317" t="n">
        <v>0</v>
      </c>
      <c r="BO323" s="318" t="n">
        <v>0</v>
      </c>
      <c r="BP323" s="317" t="n">
        <v>0</v>
      </c>
      <c r="BQ323" s="318" t="n">
        <v>0</v>
      </c>
      <c r="BR323" s="317" t="n">
        <v>0</v>
      </c>
      <c r="BS323" s="318" t="n">
        <v>0</v>
      </c>
      <c r="BT323" s="317" t="n">
        <v>0</v>
      </c>
      <c r="BU323" s="318" t="n">
        <v>0</v>
      </c>
      <c r="BV323" s="317" t="n">
        <v>0</v>
      </c>
      <c r="BW323" s="318" t="n">
        <v>0</v>
      </c>
      <c r="BY323" s="143"/>
      <c r="BZ323" s="315"/>
      <c r="CA323" s="144" t="s">
        <v>12</v>
      </c>
      <c r="CB323" s="315"/>
      <c r="CC323" s="144" t="n">
        <v>-22.5190082644628</v>
      </c>
      <c r="CD323" s="144" t="n">
        <v>-22.5190082644628</v>
      </c>
      <c r="CE323" s="144" t="n">
        <v>-22.5190082644628</v>
      </c>
      <c r="CF323" s="315"/>
      <c r="CG323" s="144" t="n">
        <v>-32.1190082644628</v>
      </c>
      <c r="CH323" s="144" t="n">
        <v>-32.1190082644628</v>
      </c>
      <c r="CI323" s="144" t="n">
        <v>-53.7190082644628</v>
      </c>
      <c r="CJ323" s="144" t="n">
        <v>-53.7190082644628</v>
      </c>
      <c r="CK323" s="144" t="n">
        <v>-53.7190082644628</v>
      </c>
      <c r="CM323" s="144" t="n">
        <v>50.4132231404959</v>
      </c>
      <c r="CO323" s="319"/>
      <c r="CP323" s="320"/>
      <c r="CQ323" s="321" t="s">
        <v>12</v>
      </c>
      <c r="CR323" s="320"/>
      <c r="CS323" s="322" t="n">
        <v>-19.2132231404959</v>
      </c>
      <c r="CT323" s="322" t="n">
        <v>-19.2132231404959</v>
      </c>
      <c r="CU323" s="322" t="n">
        <v>-19.2132231404959</v>
      </c>
      <c r="CV323" s="323"/>
      <c r="CW323" s="322" t="n">
        <v>-28.8132231404959</v>
      </c>
      <c r="CX323" s="322" t="n">
        <v>-28.8132231404959</v>
      </c>
      <c r="CY323" s="322" t="n">
        <v>-50.4132231404959</v>
      </c>
      <c r="CZ323" s="322" t="n">
        <v>-50.4132231404959</v>
      </c>
      <c r="DA323" s="322" t="n">
        <v>-50.4132231404959</v>
      </c>
    </row>
    <row r="324" customFormat="false" ht="12.75" hidden="false" customHeight="false" outlineLevel="0" collapsed="false">
      <c r="B324" s="305" t="s">
        <v>424</v>
      </c>
      <c r="C324" s="305" t="s">
        <v>604</v>
      </c>
      <c r="D324" s="306" t="n">
        <v>68</v>
      </c>
      <c r="E324" s="306" t="n">
        <v>0</v>
      </c>
      <c r="F324" s="324" t="s">
        <v>603</v>
      </c>
      <c r="G324" s="144" t="n">
        <v>24</v>
      </c>
      <c r="H324" s="325" t="n">
        <v>67.7685950413223</v>
      </c>
      <c r="I324" s="2"/>
      <c r="J324" s="144" t="s">
        <v>12</v>
      </c>
      <c r="K324" s="309" t="s">
        <v>12</v>
      </c>
      <c r="L324" s="310"/>
      <c r="M324" s="311" t="n">
        <v>0</v>
      </c>
      <c r="N324" s="312" t="n">
        <v>1.8</v>
      </c>
      <c r="O324" s="311" t="n">
        <v>0</v>
      </c>
      <c r="P324" s="312" t="n">
        <v>1.8</v>
      </c>
      <c r="Q324" s="310" t="n">
        <v>0</v>
      </c>
      <c r="R324" s="312" t="n">
        <v>1.8</v>
      </c>
      <c r="S324" s="310"/>
      <c r="T324" s="311" t="n">
        <v>0</v>
      </c>
      <c r="U324" s="312" t="n">
        <v>0.9</v>
      </c>
      <c r="V324" s="311" t="n">
        <v>0</v>
      </c>
      <c r="W324" s="312" t="n">
        <v>0.9</v>
      </c>
      <c r="X324" s="311" t="n">
        <v>0</v>
      </c>
      <c r="Y324" s="312" t="n">
        <v>0</v>
      </c>
      <c r="Z324" s="313" t="n">
        <v>0</v>
      </c>
      <c r="AA324" s="314" t="n">
        <v>0</v>
      </c>
      <c r="AB324" s="313" t="n">
        <v>0</v>
      </c>
      <c r="AC324" s="314" t="n">
        <v>0</v>
      </c>
      <c r="AD324" s="315"/>
      <c r="AE324" s="144" t="n">
        <v>0</v>
      </c>
      <c r="AF324" s="315"/>
      <c r="AG324" s="311" t="n">
        <v>0</v>
      </c>
      <c r="AH324" s="309" t="n">
        <v>0</v>
      </c>
      <c r="AI324" s="310"/>
      <c r="AJ324" s="311" t="n">
        <v>25</v>
      </c>
      <c r="AK324" s="309" t="n">
        <v>43.2</v>
      </c>
      <c r="AL324" s="311" t="n">
        <v>25</v>
      </c>
      <c r="AM324" s="309" t="n">
        <v>43.2</v>
      </c>
      <c r="AN324" s="310" t="n">
        <v>25</v>
      </c>
      <c r="AO324" s="309" t="n">
        <v>43.2</v>
      </c>
      <c r="AP324" s="310"/>
      <c r="AQ324" s="311" t="n">
        <v>46</v>
      </c>
      <c r="AR324" s="309" t="n">
        <v>21.6</v>
      </c>
      <c r="AS324" s="311" t="n">
        <v>46</v>
      </c>
      <c r="AT324" s="309" t="n">
        <v>21.6</v>
      </c>
      <c r="AU324" s="310" t="n">
        <v>68</v>
      </c>
      <c r="AV324" s="309" t="n">
        <v>0</v>
      </c>
      <c r="AW324" s="310" t="n">
        <v>68</v>
      </c>
      <c r="AX324" s="309" t="n">
        <v>0</v>
      </c>
      <c r="AY324" s="310" t="n">
        <v>68</v>
      </c>
      <c r="AZ324" s="309" t="n">
        <v>0</v>
      </c>
      <c r="BB324" s="144" t="n">
        <v>0</v>
      </c>
      <c r="BC324" s="315"/>
      <c r="BD324" s="311" t="n">
        <v>0</v>
      </c>
      <c r="BE324" s="316" t="n">
        <v>0</v>
      </c>
      <c r="BF324" s="310"/>
      <c r="BG324" s="317" t="n">
        <v>0</v>
      </c>
      <c r="BH324" s="318" t="n">
        <v>0</v>
      </c>
      <c r="BI324" s="317" t="n">
        <v>0</v>
      </c>
      <c r="BJ324" s="318" t="n">
        <v>0</v>
      </c>
      <c r="BK324" s="317" t="n">
        <v>0</v>
      </c>
      <c r="BL324" s="318" t="n">
        <v>0</v>
      </c>
      <c r="BM324" s="310"/>
      <c r="BN324" s="317" t="n">
        <v>0</v>
      </c>
      <c r="BO324" s="318" t="n">
        <v>0</v>
      </c>
      <c r="BP324" s="317" t="n">
        <v>0</v>
      </c>
      <c r="BQ324" s="318" t="n">
        <v>0</v>
      </c>
      <c r="BR324" s="317" t="n">
        <v>0</v>
      </c>
      <c r="BS324" s="318" t="n">
        <v>0</v>
      </c>
      <c r="BT324" s="317" t="n">
        <v>0</v>
      </c>
      <c r="BU324" s="318" t="n">
        <v>0</v>
      </c>
      <c r="BV324" s="317" t="n">
        <v>0</v>
      </c>
      <c r="BW324" s="318" t="n">
        <v>0</v>
      </c>
      <c r="BY324" s="143"/>
      <c r="BZ324" s="315"/>
      <c r="CA324" s="144" t="s">
        <v>12</v>
      </c>
      <c r="CB324" s="315"/>
      <c r="CC324" s="144" t="n">
        <v>-24.5685950413223</v>
      </c>
      <c r="CD324" s="144" t="n">
        <v>-24.5685950413223</v>
      </c>
      <c r="CE324" s="144" t="n">
        <v>-24.5685950413223</v>
      </c>
      <c r="CF324" s="315"/>
      <c r="CG324" s="144" t="n">
        <v>-46.1685950413223</v>
      </c>
      <c r="CH324" s="144" t="n">
        <v>-46.1685950413223</v>
      </c>
      <c r="CI324" s="144" t="n">
        <v>-67.7685950413223</v>
      </c>
      <c r="CJ324" s="144" t="n">
        <v>-67.7685950413223</v>
      </c>
      <c r="CK324" s="144" t="n">
        <v>-67.7685950413223</v>
      </c>
      <c r="CM324" s="144" t="n">
        <v>57.0247933884298</v>
      </c>
      <c r="CO324" s="319"/>
      <c r="CP324" s="320"/>
      <c r="CQ324" s="321" t="s">
        <v>12</v>
      </c>
      <c r="CR324" s="320"/>
      <c r="CS324" s="322" t="n">
        <v>-13.8247933884298</v>
      </c>
      <c r="CT324" s="322" t="n">
        <v>-13.8247933884298</v>
      </c>
      <c r="CU324" s="322" t="n">
        <v>-13.8247933884298</v>
      </c>
      <c r="CV324" s="323"/>
      <c r="CW324" s="322" t="n">
        <v>-35.4247933884298</v>
      </c>
      <c r="CX324" s="322" t="n">
        <v>-35.4247933884298</v>
      </c>
      <c r="CY324" s="322" t="n">
        <v>-57.0247933884298</v>
      </c>
      <c r="CZ324" s="322" t="n">
        <v>-57.0247933884298</v>
      </c>
      <c r="DA324" s="322" t="n">
        <v>-57.0247933884298</v>
      </c>
    </row>
    <row r="325" customFormat="false" ht="12.75" hidden="false" customHeight="false" outlineLevel="0" collapsed="false">
      <c r="B325" s="305" t="s">
        <v>424</v>
      </c>
      <c r="C325" s="305" t="s">
        <v>605</v>
      </c>
      <c r="D325" s="306" t="n">
        <v>49</v>
      </c>
      <c r="E325" s="306" t="n">
        <v>0</v>
      </c>
      <c r="F325" s="306" t="s">
        <v>603</v>
      </c>
      <c r="G325" s="307" t="n">
        <v>24</v>
      </c>
      <c r="H325" s="308" t="n">
        <v>35.5371900826446</v>
      </c>
      <c r="I325" s="2"/>
      <c r="J325" s="144" t="s">
        <v>12</v>
      </c>
      <c r="K325" s="309" t="s">
        <v>12</v>
      </c>
      <c r="L325" s="310"/>
      <c r="M325" s="311" t="s">
        <v>12</v>
      </c>
      <c r="N325" s="312" t="s">
        <v>12</v>
      </c>
      <c r="O325" s="311" t="s">
        <v>12</v>
      </c>
      <c r="P325" s="312" t="s">
        <v>12</v>
      </c>
      <c r="Q325" s="310" t="s">
        <v>12</v>
      </c>
      <c r="R325" s="312" t="s">
        <v>12</v>
      </c>
      <c r="S325" s="310"/>
      <c r="T325" s="311" t="n">
        <v>0</v>
      </c>
      <c r="U325" s="312" t="n">
        <v>0</v>
      </c>
      <c r="V325" s="311" t="n">
        <v>0</v>
      </c>
      <c r="W325" s="312" t="n">
        <v>0</v>
      </c>
      <c r="X325" s="311" t="n">
        <v>0</v>
      </c>
      <c r="Y325" s="312" t="n">
        <v>0</v>
      </c>
      <c r="Z325" s="313" t="n">
        <v>0</v>
      </c>
      <c r="AA325" s="314" t="n">
        <v>0</v>
      </c>
      <c r="AB325" s="313" t="n">
        <v>0</v>
      </c>
      <c r="AC325" s="314" t="n">
        <v>0</v>
      </c>
      <c r="AD325" s="315"/>
      <c r="AE325" s="144" t="n">
        <v>13</v>
      </c>
      <c r="AF325" s="315"/>
      <c r="AG325" s="311" t="n">
        <v>0</v>
      </c>
      <c r="AH325" s="309" t="n">
        <v>0</v>
      </c>
      <c r="AI325" s="310"/>
      <c r="AJ325" s="311" t="s">
        <v>12</v>
      </c>
      <c r="AK325" s="309" t="s">
        <v>12</v>
      </c>
      <c r="AL325" s="311" t="s">
        <v>12</v>
      </c>
      <c r="AM325" s="309" t="s">
        <v>12</v>
      </c>
      <c r="AN325" s="311" t="s">
        <v>12</v>
      </c>
      <c r="AO325" s="309" t="s">
        <v>12</v>
      </c>
      <c r="AP325" s="310"/>
      <c r="AQ325" s="311" t="n">
        <v>49</v>
      </c>
      <c r="AR325" s="309" t="n">
        <v>0</v>
      </c>
      <c r="AS325" s="311" t="n">
        <v>49</v>
      </c>
      <c r="AT325" s="309" t="n">
        <v>0</v>
      </c>
      <c r="AU325" s="311" t="n">
        <v>49</v>
      </c>
      <c r="AV325" s="309" t="n">
        <v>0</v>
      </c>
      <c r="AW325" s="311" t="n">
        <v>49</v>
      </c>
      <c r="AX325" s="309" t="n">
        <v>0</v>
      </c>
      <c r="AY325" s="311" t="n">
        <v>49</v>
      </c>
      <c r="AZ325" s="309" t="n">
        <v>0</v>
      </c>
      <c r="BB325" s="144" t="n">
        <v>0</v>
      </c>
      <c r="BC325" s="315"/>
      <c r="BD325" s="311" t="n">
        <v>0</v>
      </c>
      <c r="BE325" s="316" t="n">
        <v>0</v>
      </c>
      <c r="BF325" s="310"/>
      <c r="BG325" s="317" t="n">
        <v>0</v>
      </c>
      <c r="BH325" s="318" t="n">
        <v>0</v>
      </c>
      <c r="BI325" s="317" t="n">
        <v>0</v>
      </c>
      <c r="BJ325" s="318" t="n">
        <v>0</v>
      </c>
      <c r="BK325" s="317" t="n">
        <v>0</v>
      </c>
      <c r="BL325" s="318" t="n">
        <v>0</v>
      </c>
      <c r="BM325" s="310"/>
      <c r="BN325" s="317" t="n">
        <v>0</v>
      </c>
      <c r="BO325" s="318" t="n">
        <v>0</v>
      </c>
      <c r="BP325" s="317" t="n">
        <v>0</v>
      </c>
      <c r="BQ325" s="318" t="n">
        <v>0</v>
      </c>
      <c r="BR325" s="317" t="n">
        <v>0</v>
      </c>
      <c r="BS325" s="318" t="n">
        <v>0</v>
      </c>
      <c r="BT325" s="317" t="n">
        <v>0</v>
      </c>
      <c r="BU325" s="318" t="n">
        <v>0</v>
      </c>
      <c r="BV325" s="317" t="n">
        <v>0</v>
      </c>
      <c r="BW325" s="318" t="n">
        <v>0</v>
      </c>
      <c r="BY325" s="143"/>
      <c r="BZ325" s="315"/>
      <c r="CA325" s="144" t="s">
        <v>12</v>
      </c>
      <c r="CB325" s="315"/>
      <c r="CC325" s="144" t="s">
        <v>12</v>
      </c>
      <c r="CD325" s="144" t="s">
        <v>12</v>
      </c>
      <c r="CE325" s="144" t="s">
        <v>12</v>
      </c>
      <c r="CF325" s="315"/>
      <c r="CG325" s="144" t="n">
        <v>-35.5371900826446</v>
      </c>
      <c r="CH325" s="144" t="n">
        <v>-35.5371900826446</v>
      </c>
      <c r="CI325" s="144" t="n">
        <v>-35.5371900826446</v>
      </c>
      <c r="CJ325" s="144" t="n">
        <v>-35.5371900826446</v>
      </c>
      <c r="CK325" s="144" t="n">
        <v>-35.5371900826446</v>
      </c>
      <c r="CM325" s="144" t="n">
        <v>23.9669421487603</v>
      </c>
      <c r="CO325" s="319"/>
      <c r="CP325" s="320"/>
      <c r="CQ325" s="321" t="s">
        <v>12</v>
      </c>
      <c r="CR325" s="320"/>
      <c r="CS325" s="322" t="s">
        <v>12</v>
      </c>
      <c r="CT325" s="322" t="s">
        <v>12</v>
      </c>
      <c r="CU325" s="322" t="s">
        <v>12</v>
      </c>
      <c r="CV325" s="323"/>
      <c r="CW325" s="322" t="n">
        <v>-23.9669421487603</v>
      </c>
      <c r="CX325" s="322" t="n">
        <v>-23.9669421487603</v>
      </c>
      <c r="CY325" s="322" t="n">
        <v>-23.9669421487603</v>
      </c>
      <c r="CZ325" s="322" t="n">
        <v>-23.9669421487603</v>
      </c>
      <c r="DA325" s="322" t="n">
        <v>-23.9669421487603</v>
      </c>
    </row>
    <row r="326" customFormat="false" ht="12.75" hidden="false" customHeight="false" outlineLevel="0" collapsed="false">
      <c r="B326" s="305" t="s">
        <v>112</v>
      </c>
      <c r="C326" s="305" t="s">
        <v>606</v>
      </c>
      <c r="D326" s="306" t="n">
        <v>137</v>
      </c>
      <c r="E326" s="306" t="n">
        <v>0</v>
      </c>
      <c r="F326" s="324" t="s">
        <v>603</v>
      </c>
      <c r="G326" s="144" t="n">
        <v>24</v>
      </c>
      <c r="H326" s="325" t="n">
        <v>136.363636363636</v>
      </c>
      <c r="I326" s="2"/>
      <c r="J326" s="144" t="s">
        <v>12</v>
      </c>
      <c r="K326" s="309" t="s">
        <v>12</v>
      </c>
      <c r="L326" s="310"/>
      <c r="M326" s="311" t="n">
        <v>19</v>
      </c>
      <c r="N326" s="312" t="n">
        <v>4.4</v>
      </c>
      <c r="O326" s="311" t="n">
        <v>0</v>
      </c>
      <c r="P326" s="312" t="n">
        <v>2.5</v>
      </c>
      <c r="Q326" s="310" t="n">
        <v>0</v>
      </c>
      <c r="R326" s="312" t="n">
        <v>1.7</v>
      </c>
      <c r="S326" s="310"/>
      <c r="T326" s="311" t="n">
        <v>0</v>
      </c>
      <c r="U326" s="312" t="n">
        <v>5</v>
      </c>
      <c r="V326" s="311" t="n">
        <v>0</v>
      </c>
      <c r="W326" s="312" t="n">
        <v>2.1</v>
      </c>
      <c r="X326" s="311" t="n">
        <v>0</v>
      </c>
      <c r="Y326" s="312" t="n">
        <v>2.1</v>
      </c>
      <c r="Z326" s="313" t="n">
        <v>0</v>
      </c>
      <c r="AA326" s="314" t="n">
        <v>2.1</v>
      </c>
      <c r="AB326" s="313" t="n">
        <v>0</v>
      </c>
      <c r="AC326" s="314" t="n">
        <v>2.1</v>
      </c>
      <c r="AD326" s="315"/>
      <c r="AE326" s="144" t="n">
        <v>1</v>
      </c>
      <c r="AF326" s="315"/>
      <c r="AG326" s="311" t="n">
        <v>0</v>
      </c>
      <c r="AH326" s="309" t="n">
        <v>0</v>
      </c>
      <c r="AI326" s="310"/>
      <c r="AJ326" s="311" t="n">
        <v>12</v>
      </c>
      <c r="AK326" s="309" t="n">
        <v>105.6</v>
      </c>
      <c r="AL326" s="311" t="n">
        <v>77</v>
      </c>
      <c r="AM326" s="309" t="n">
        <v>60</v>
      </c>
      <c r="AN326" s="310" t="n">
        <v>96</v>
      </c>
      <c r="AO326" s="309" t="n">
        <v>40.8</v>
      </c>
      <c r="AP326" s="310"/>
      <c r="AQ326" s="311" t="n">
        <v>17</v>
      </c>
      <c r="AR326" s="309" t="n">
        <v>120</v>
      </c>
      <c r="AS326" s="311" t="n">
        <v>87</v>
      </c>
      <c r="AT326" s="309" t="n">
        <v>50.4</v>
      </c>
      <c r="AU326" s="310" t="n">
        <v>87</v>
      </c>
      <c r="AV326" s="309" t="n">
        <v>50.4</v>
      </c>
      <c r="AW326" s="310" t="n">
        <v>87</v>
      </c>
      <c r="AX326" s="309" t="n">
        <v>50.4</v>
      </c>
      <c r="AY326" s="310" t="n">
        <v>87</v>
      </c>
      <c r="AZ326" s="309" t="n">
        <v>50.4</v>
      </c>
      <c r="BB326" s="144" t="n">
        <v>0</v>
      </c>
      <c r="BC326" s="315"/>
      <c r="BD326" s="311" t="n">
        <v>0</v>
      </c>
      <c r="BE326" s="316" t="n">
        <v>0</v>
      </c>
      <c r="BF326" s="310"/>
      <c r="BG326" s="317" t="n">
        <v>0</v>
      </c>
      <c r="BH326" s="318" t="n">
        <v>0.4</v>
      </c>
      <c r="BI326" s="317" t="n">
        <v>0</v>
      </c>
      <c r="BJ326" s="318" t="n">
        <v>0.6</v>
      </c>
      <c r="BK326" s="317" t="n">
        <v>0</v>
      </c>
      <c r="BL326" s="318" t="n">
        <v>0.8</v>
      </c>
      <c r="BM326" s="310"/>
      <c r="BN326" s="317" t="n">
        <v>0</v>
      </c>
      <c r="BO326" s="318" t="n">
        <v>0</v>
      </c>
      <c r="BP326" s="317" t="n">
        <v>0</v>
      </c>
      <c r="BQ326" s="318" t="n">
        <v>0</v>
      </c>
      <c r="BR326" s="317" t="n">
        <v>0</v>
      </c>
      <c r="BS326" s="318" t="n">
        <v>0</v>
      </c>
      <c r="BT326" s="317" t="n">
        <v>0</v>
      </c>
      <c r="BU326" s="318" t="n">
        <v>0</v>
      </c>
      <c r="BV326" s="317" t="n">
        <v>0</v>
      </c>
      <c r="BW326" s="318" t="n">
        <v>0</v>
      </c>
      <c r="BY326" s="143"/>
      <c r="BZ326" s="315"/>
      <c r="CA326" s="144" t="s">
        <v>12</v>
      </c>
      <c r="CB326" s="315"/>
      <c r="CC326" s="144" t="n">
        <v>-11.7636363636364</v>
      </c>
      <c r="CD326" s="144" t="n">
        <v>-76.3636363636364</v>
      </c>
      <c r="CE326" s="144" t="n">
        <v>-95.5636363636364</v>
      </c>
      <c r="CF326" s="315"/>
      <c r="CG326" s="144" t="n">
        <v>-16.3636363636364</v>
      </c>
      <c r="CH326" s="144" t="n">
        <v>-85.9636363636364</v>
      </c>
      <c r="CI326" s="144" t="n">
        <v>-85.9636363636364</v>
      </c>
      <c r="CJ326" s="144" t="n">
        <v>-85.9636363636364</v>
      </c>
      <c r="CK326" s="144" t="n">
        <v>-85.9636363636364</v>
      </c>
      <c r="CM326" s="144" t="n">
        <v>123.140495867769</v>
      </c>
      <c r="CO326" s="319"/>
      <c r="CP326" s="320"/>
      <c r="CQ326" s="321" t="s">
        <v>12</v>
      </c>
      <c r="CR326" s="320"/>
      <c r="CS326" s="322" t="n">
        <v>1.45950413223142</v>
      </c>
      <c r="CT326" s="322" t="n">
        <v>-63.1404958677686</v>
      </c>
      <c r="CU326" s="322" t="n">
        <v>-82.3404958677686</v>
      </c>
      <c r="CV326" s="323"/>
      <c r="CW326" s="322" t="n">
        <v>-3.14049586776859</v>
      </c>
      <c r="CX326" s="322" t="n">
        <v>-72.7404958677686</v>
      </c>
      <c r="CY326" s="322" t="n">
        <v>-72.7404958677686</v>
      </c>
      <c r="CZ326" s="322" t="n">
        <v>-72.7404958677686</v>
      </c>
      <c r="DA326" s="322" t="n">
        <v>-72.7404958677686</v>
      </c>
    </row>
    <row r="327" customFormat="false" ht="12.75" hidden="false" customHeight="false" outlineLevel="0" collapsed="false">
      <c r="B327" s="305" t="s">
        <v>112</v>
      </c>
      <c r="C327" s="305" t="s">
        <v>606</v>
      </c>
      <c r="D327" s="306" t="n">
        <v>137</v>
      </c>
      <c r="E327" s="306" t="n">
        <v>0</v>
      </c>
      <c r="F327" s="306" t="s">
        <v>603</v>
      </c>
      <c r="G327" s="307" t="n">
        <v>48</v>
      </c>
      <c r="H327" s="308" t="n">
        <v>136.363636363636</v>
      </c>
      <c r="I327" s="2"/>
      <c r="J327" s="144" t="s">
        <v>12</v>
      </c>
      <c r="K327" s="309" t="s">
        <v>12</v>
      </c>
      <c r="L327" s="310"/>
      <c r="M327" s="311" t="n">
        <v>19</v>
      </c>
      <c r="N327" s="312" t="n">
        <v>2.2</v>
      </c>
      <c r="O327" s="311" t="n">
        <v>0</v>
      </c>
      <c r="P327" s="312" t="n">
        <v>1.3</v>
      </c>
      <c r="Q327" s="310" t="n">
        <v>0</v>
      </c>
      <c r="R327" s="312" t="n">
        <v>0.9</v>
      </c>
      <c r="S327" s="310"/>
      <c r="T327" s="311" t="n">
        <v>0</v>
      </c>
      <c r="U327" s="312" t="n">
        <v>2.5</v>
      </c>
      <c r="V327" s="311" t="n">
        <v>0</v>
      </c>
      <c r="W327" s="312" t="n">
        <v>1.1</v>
      </c>
      <c r="X327" s="311" t="n">
        <v>0</v>
      </c>
      <c r="Y327" s="312" t="n">
        <v>1.1</v>
      </c>
      <c r="Z327" s="313" t="n">
        <v>0</v>
      </c>
      <c r="AA327" s="314" t="n">
        <v>1.1</v>
      </c>
      <c r="AB327" s="313" t="n">
        <v>0</v>
      </c>
      <c r="AC327" s="314" t="n">
        <v>1.1</v>
      </c>
      <c r="AD327" s="315"/>
      <c r="AE327" s="144" t="n">
        <v>1</v>
      </c>
      <c r="AF327" s="315"/>
      <c r="AG327" s="311" t="n">
        <v>0</v>
      </c>
      <c r="AH327" s="309" t="n">
        <v>0</v>
      </c>
      <c r="AI327" s="310"/>
      <c r="AJ327" s="311" t="n">
        <v>12</v>
      </c>
      <c r="AK327" s="309" t="n">
        <v>105.6</v>
      </c>
      <c r="AL327" s="311" t="n">
        <v>75</v>
      </c>
      <c r="AM327" s="309" t="n">
        <v>62.4</v>
      </c>
      <c r="AN327" s="311" t="n">
        <v>94</v>
      </c>
      <c r="AO327" s="309" t="n">
        <v>43.2</v>
      </c>
      <c r="AP327" s="310"/>
      <c r="AQ327" s="311" t="n">
        <v>17</v>
      </c>
      <c r="AR327" s="309" t="n">
        <v>120</v>
      </c>
      <c r="AS327" s="311" t="n">
        <v>84</v>
      </c>
      <c r="AT327" s="309" t="n">
        <v>52.8</v>
      </c>
      <c r="AU327" s="311" t="n">
        <v>84</v>
      </c>
      <c r="AV327" s="309" t="n">
        <v>52.8</v>
      </c>
      <c r="AW327" s="311" t="n">
        <v>84</v>
      </c>
      <c r="AX327" s="309" t="n">
        <v>52.8</v>
      </c>
      <c r="AY327" s="311" t="n">
        <v>84</v>
      </c>
      <c r="AZ327" s="309" t="n">
        <v>52.8</v>
      </c>
      <c r="BB327" s="144" t="n">
        <v>0</v>
      </c>
      <c r="BC327" s="315"/>
      <c r="BD327" s="311" t="n">
        <v>0</v>
      </c>
      <c r="BE327" s="316" t="n">
        <v>0</v>
      </c>
      <c r="BF327" s="310"/>
      <c r="BG327" s="317" t="n">
        <v>0</v>
      </c>
      <c r="BH327" s="318" t="n">
        <v>0</v>
      </c>
      <c r="BI327" s="317" t="n">
        <v>0</v>
      </c>
      <c r="BJ327" s="318" t="n">
        <v>0</v>
      </c>
      <c r="BK327" s="317" t="n">
        <v>0</v>
      </c>
      <c r="BL327" s="318" t="n">
        <v>0</v>
      </c>
      <c r="BM327" s="310"/>
      <c r="BN327" s="317" t="n">
        <v>0</v>
      </c>
      <c r="BO327" s="318" t="n">
        <v>0</v>
      </c>
      <c r="BP327" s="317" t="n">
        <v>0</v>
      </c>
      <c r="BQ327" s="318" t="n">
        <v>0</v>
      </c>
      <c r="BR327" s="317" t="n">
        <v>0</v>
      </c>
      <c r="BS327" s="318" t="n">
        <v>0</v>
      </c>
      <c r="BT327" s="317" t="n">
        <v>0</v>
      </c>
      <c r="BU327" s="318" t="n">
        <v>0</v>
      </c>
      <c r="BV327" s="317" t="n">
        <v>0</v>
      </c>
      <c r="BW327" s="318" t="n">
        <v>0</v>
      </c>
      <c r="BY327" s="143"/>
      <c r="BZ327" s="315"/>
      <c r="CA327" s="144" t="s">
        <v>12</v>
      </c>
      <c r="CB327" s="315"/>
      <c r="CC327" s="144" t="n">
        <v>-11.7636363636364</v>
      </c>
      <c r="CD327" s="144" t="n">
        <v>-73.9636363636364</v>
      </c>
      <c r="CE327" s="144" t="n">
        <v>-93.1636363636364</v>
      </c>
      <c r="CF327" s="315"/>
      <c r="CG327" s="144" t="n">
        <v>-16.3636363636364</v>
      </c>
      <c r="CH327" s="144" t="n">
        <v>-83.5636363636364</v>
      </c>
      <c r="CI327" s="144" t="n">
        <v>-83.5636363636364</v>
      </c>
      <c r="CJ327" s="144" t="n">
        <v>-83.5636363636364</v>
      </c>
      <c r="CK327" s="144" t="n">
        <v>-83.5636363636364</v>
      </c>
      <c r="CM327" s="144" t="n">
        <v>123.140495867769</v>
      </c>
      <c r="CO327" s="319"/>
      <c r="CP327" s="320"/>
      <c r="CQ327" s="321" t="s">
        <v>12</v>
      </c>
      <c r="CR327" s="320"/>
      <c r="CS327" s="322" t="n">
        <v>1.45950413223142</v>
      </c>
      <c r="CT327" s="322" t="n">
        <v>-60.7404958677686</v>
      </c>
      <c r="CU327" s="322" t="n">
        <v>-79.9404958677686</v>
      </c>
      <c r="CV327" s="323"/>
      <c r="CW327" s="322" t="n">
        <v>-3.14049586776859</v>
      </c>
      <c r="CX327" s="322" t="n">
        <v>-70.3404958677686</v>
      </c>
      <c r="CY327" s="322" t="n">
        <v>-70.3404958677686</v>
      </c>
      <c r="CZ327" s="322" t="n">
        <v>-70.3404958677686</v>
      </c>
      <c r="DA327" s="322" t="n">
        <v>-70.3404958677686</v>
      </c>
    </row>
    <row r="328" customFormat="false" ht="12.75" hidden="false" customHeight="false" outlineLevel="0" collapsed="false">
      <c r="B328" s="305" t="s">
        <v>112</v>
      </c>
      <c r="C328" s="305" t="s">
        <v>607</v>
      </c>
      <c r="D328" s="306" t="n">
        <v>184</v>
      </c>
      <c r="E328" s="306" t="n">
        <v>0</v>
      </c>
      <c r="F328" s="324" t="s">
        <v>603</v>
      </c>
      <c r="G328" s="144" t="n">
        <v>24</v>
      </c>
      <c r="H328" s="325" t="n">
        <v>183.471074380165</v>
      </c>
      <c r="I328" s="2"/>
      <c r="J328" s="144" t="s">
        <v>12</v>
      </c>
      <c r="K328" s="309" t="s">
        <v>12</v>
      </c>
      <c r="L328" s="310"/>
      <c r="M328" s="311" t="n">
        <v>29</v>
      </c>
      <c r="N328" s="312" t="n">
        <v>5.4</v>
      </c>
      <c r="O328" s="311" t="n">
        <v>0</v>
      </c>
      <c r="P328" s="312" t="n">
        <v>4.2</v>
      </c>
      <c r="Q328" s="310" t="n">
        <v>0</v>
      </c>
      <c r="R328" s="312" t="n">
        <v>3.4</v>
      </c>
      <c r="S328" s="310"/>
      <c r="T328" s="311" t="n">
        <v>0</v>
      </c>
      <c r="U328" s="312" t="n">
        <v>6.5</v>
      </c>
      <c r="V328" s="311" t="n">
        <v>0</v>
      </c>
      <c r="W328" s="312" t="n">
        <v>4.2</v>
      </c>
      <c r="X328" s="311" t="n">
        <v>0</v>
      </c>
      <c r="Y328" s="312" t="n">
        <v>4.2</v>
      </c>
      <c r="Z328" s="313" t="n">
        <v>0</v>
      </c>
      <c r="AA328" s="314" t="n">
        <v>4.1</v>
      </c>
      <c r="AB328" s="313" t="n">
        <v>0</v>
      </c>
      <c r="AC328" s="314" t="n">
        <v>4.1</v>
      </c>
      <c r="AD328" s="315"/>
      <c r="AE328" s="144" t="n">
        <v>1</v>
      </c>
      <c r="AF328" s="315"/>
      <c r="AG328" s="311" t="n">
        <v>0</v>
      </c>
      <c r="AH328" s="309" t="n">
        <v>0</v>
      </c>
      <c r="AI328" s="310"/>
      <c r="AJ328" s="311" t="n">
        <v>25</v>
      </c>
      <c r="AK328" s="309" t="n">
        <v>129.6</v>
      </c>
      <c r="AL328" s="311" t="n">
        <v>83</v>
      </c>
      <c r="AM328" s="309" t="n">
        <v>100.8</v>
      </c>
      <c r="AN328" s="310" t="n">
        <v>102</v>
      </c>
      <c r="AO328" s="309" t="n">
        <v>81.6</v>
      </c>
      <c r="AP328" s="310"/>
      <c r="AQ328" s="311" t="n">
        <v>28</v>
      </c>
      <c r="AR328" s="309" t="n">
        <v>156</v>
      </c>
      <c r="AS328" s="311" t="n">
        <v>83</v>
      </c>
      <c r="AT328" s="309" t="n">
        <v>100.8</v>
      </c>
      <c r="AU328" s="310" t="n">
        <v>83</v>
      </c>
      <c r="AV328" s="309" t="n">
        <v>100.8</v>
      </c>
      <c r="AW328" s="310" t="n">
        <v>86</v>
      </c>
      <c r="AX328" s="309" t="n">
        <v>98.4</v>
      </c>
      <c r="AY328" s="310" t="n">
        <v>86</v>
      </c>
      <c r="AZ328" s="309" t="n">
        <v>98.4</v>
      </c>
      <c r="BB328" s="144" t="n">
        <v>0</v>
      </c>
      <c r="BC328" s="315"/>
      <c r="BD328" s="311" t="n">
        <v>0</v>
      </c>
      <c r="BE328" s="316" t="n">
        <v>0</v>
      </c>
      <c r="BF328" s="310"/>
      <c r="BG328" s="317" t="n">
        <v>0</v>
      </c>
      <c r="BH328" s="318" t="n">
        <v>0.2</v>
      </c>
      <c r="BI328" s="317" t="n">
        <v>0</v>
      </c>
      <c r="BJ328" s="318" t="n">
        <v>0.6</v>
      </c>
      <c r="BK328" s="317" t="n">
        <v>0</v>
      </c>
      <c r="BL328" s="318" t="n">
        <v>0.9</v>
      </c>
      <c r="BM328" s="310"/>
      <c r="BN328" s="317" t="n">
        <v>0</v>
      </c>
      <c r="BO328" s="318" t="n">
        <v>-0.2</v>
      </c>
      <c r="BP328" s="317" t="n">
        <v>0</v>
      </c>
      <c r="BQ328" s="318" t="n">
        <v>0</v>
      </c>
      <c r="BR328" s="317" t="n">
        <v>0</v>
      </c>
      <c r="BS328" s="318" t="n">
        <v>0</v>
      </c>
      <c r="BT328" s="317" t="n">
        <v>0</v>
      </c>
      <c r="BU328" s="318" t="n">
        <v>0</v>
      </c>
      <c r="BV328" s="317" t="n">
        <v>0</v>
      </c>
      <c r="BW328" s="318" t="n">
        <v>0</v>
      </c>
      <c r="BY328" s="143"/>
      <c r="BZ328" s="315"/>
      <c r="CA328" s="144" t="s">
        <v>12</v>
      </c>
      <c r="CB328" s="315"/>
      <c r="CC328" s="144" t="n">
        <v>-24.8710743801653</v>
      </c>
      <c r="CD328" s="144" t="n">
        <v>-82.6710743801653</v>
      </c>
      <c r="CE328" s="144" t="n">
        <v>-101.871074380165</v>
      </c>
      <c r="CF328" s="315"/>
      <c r="CG328" s="144" t="n">
        <v>-27.4710743801653</v>
      </c>
      <c r="CH328" s="144" t="n">
        <v>-82.6710743801653</v>
      </c>
      <c r="CI328" s="144" t="n">
        <v>-82.6710743801653</v>
      </c>
      <c r="CJ328" s="144" t="n">
        <v>-85.0710743801653</v>
      </c>
      <c r="CK328" s="144" t="n">
        <v>-85.0710743801653</v>
      </c>
      <c r="CM328" s="144" t="n">
        <v>164.462809917355</v>
      </c>
      <c r="CO328" s="319"/>
      <c r="CP328" s="320"/>
      <c r="CQ328" s="321" t="s">
        <v>12</v>
      </c>
      <c r="CR328" s="320"/>
      <c r="CS328" s="322" t="n">
        <v>-5.86280991735535</v>
      </c>
      <c r="CT328" s="322" t="n">
        <v>-63.6628099173554</v>
      </c>
      <c r="CU328" s="322" t="n">
        <v>-82.8628099173554</v>
      </c>
      <c r="CV328" s="323"/>
      <c r="CW328" s="322" t="n">
        <v>-8.46280991735537</v>
      </c>
      <c r="CX328" s="322" t="n">
        <v>-63.6628099173554</v>
      </c>
      <c r="CY328" s="322" t="n">
        <v>-63.6628099173554</v>
      </c>
      <c r="CZ328" s="322" t="n">
        <v>-66.0628099173554</v>
      </c>
      <c r="DA328" s="322" t="n">
        <v>-66.0628099173554</v>
      </c>
    </row>
    <row r="329" customFormat="false" ht="12.75" hidden="false" customHeight="false" outlineLevel="0" collapsed="false">
      <c r="B329" s="305" t="s">
        <v>112</v>
      </c>
      <c r="C329" s="305" t="s">
        <v>607</v>
      </c>
      <c r="D329" s="306" t="n">
        <v>184</v>
      </c>
      <c r="E329" s="306" t="n">
        <v>0</v>
      </c>
      <c r="F329" s="306" t="s">
        <v>603</v>
      </c>
      <c r="G329" s="307" t="n">
        <v>48</v>
      </c>
      <c r="H329" s="308" t="n">
        <v>183.471074380165</v>
      </c>
      <c r="I329" s="2"/>
      <c r="J329" s="144" t="s">
        <v>12</v>
      </c>
      <c r="K329" s="309" t="s">
        <v>12</v>
      </c>
      <c r="L329" s="310"/>
      <c r="M329" s="311" t="n">
        <v>29</v>
      </c>
      <c r="N329" s="312" t="n">
        <v>2.7</v>
      </c>
      <c r="O329" s="311" t="n">
        <v>0</v>
      </c>
      <c r="P329" s="312" t="n">
        <v>2.1</v>
      </c>
      <c r="Q329" s="310" t="n">
        <v>0</v>
      </c>
      <c r="R329" s="312" t="n">
        <v>1.7</v>
      </c>
      <c r="S329" s="310"/>
      <c r="T329" s="311" t="n">
        <v>0</v>
      </c>
      <c r="U329" s="312" t="n">
        <v>3.3</v>
      </c>
      <c r="V329" s="311" t="n">
        <v>0</v>
      </c>
      <c r="W329" s="312" t="n">
        <v>2.1</v>
      </c>
      <c r="X329" s="311" t="n">
        <v>0</v>
      </c>
      <c r="Y329" s="312" t="n">
        <v>2.1</v>
      </c>
      <c r="Z329" s="313" t="n">
        <v>0</v>
      </c>
      <c r="AA329" s="314" t="n">
        <v>2.1</v>
      </c>
      <c r="AB329" s="313" t="n">
        <v>0</v>
      </c>
      <c r="AC329" s="314" t="n">
        <v>2.1</v>
      </c>
      <c r="AD329" s="315"/>
      <c r="AE329" s="144" t="n">
        <v>1</v>
      </c>
      <c r="AF329" s="315"/>
      <c r="AG329" s="311" t="n">
        <v>0</v>
      </c>
      <c r="AH329" s="309" t="n">
        <v>0</v>
      </c>
      <c r="AI329" s="310"/>
      <c r="AJ329" s="311" t="n">
        <v>25</v>
      </c>
      <c r="AK329" s="309" t="n">
        <v>129.6</v>
      </c>
      <c r="AL329" s="311" t="n">
        <v>83</v>
      </c>
      <c r="AM329" s="309" t="n">
        <v>100.8</v>
      </c>
      <c r="AN329" s="311" t="n">
        <v>102</v>
      </c>
      <c r="AO329" s="309" t="n">
        <v>81.6</v>
      </c>
      <c r="AP329" s="310"/>
      <c r="AQ329" s="311" t="n">
        <v>26</v>
      </c>
      <c r="AR329" s="309" t="n">
        <v>158.4</v>
      </c>
      <c r="AS329" s="311" t="n">
        <v>83</v>
      </c>
      <c r="AT329" s="309" t="n">
        <v>100.8</v>
      </c>
      <c r="AU329" s="311" t="n">
        <v>83</v>
      </c>
      <c r="AV329" s="309" t="n">
        <v>100.8</v>
      </c>
      <c r="AW329" s="311" t="n">
        <v>83</v>
      </c>
      <c r="AX329" s="309" t="n">
        <v>100.8</v>
      </c>
      <c r="AY329" s="311" t="n">
        <v>83</v>
      </c>
      <c r="AZ329" s="309" t="n">
        <v>100.8</v>
      </c>
      <c r="BB329" s="144" t="n">
        <v>0</v>
      </c>
      <c r="BC329" s="315"/>
      <c r="BD329" s="311" t="n">
        <v>0</v>
      </c>
      <c r="BE329" s="316" t="n">
        <v>0</v>
      </c>
      <c r="BF329" s="310"/>
      <c r="BG329" s="317" t="n">
        <v>0</v>
      </c>
      <c r="BH329" s="318" t="n">
        <v>0</v>
      </c>
      <c r="BI329" s="317" t="n">
        <v>0</v>
      </c>
      <c r="BJ329" s="318" t="n">
        <v>0</v>
      </c>
      <c r="BK329" s="317" t="n">
        <v>0</v>
      </c>
      <c r="BL329" s="318" t="n">
        <v>0</v>
      </c>
      <c r="BM329" s="310"/>
      <c r="BN329" s="317" t="n">
        <v>0</v>
      </c>
      <c r="BO329" s="318" t="n">
        <v>0</v>
      </c>
      <c r="BP329" s="317" t="n">
        <v>0</v>
      </c>
      <c r="BQ329" s="318" t="n">
        <v>0</v>
      </c>
      <c r="BR329" s="317" t="n">
        <v>0</v>
      </c>
      <c r="BS329" s="318" t="n">
        <v>0</v>
      </c>
      <c r="BT329" s="317" t="n">
        <v>0</v>
      </c>
      <c r="BU329" s="318" t="n">
        <v>0</v>
      </c>
      <c r="BV329" s="317" t="n">
        <v>0</v>
      </c>
      <c r="BW329" s="318" t="n">
        <v>0</v>
      </c>
      <c r="BY329" s="143"/>
      <c r="BZ329" s="315"/>
      <c r="CA329" s="144" t="s">
        <v>12</v>
      </c>
      <c r="CB329" s="315"/>
      <c r="CC329" s="144" t="n">
        <v>-24.8710743801653</v>
      </c>
      <c r="CD329" s="144" t="n">
        <v>-82.6710743801653</v>
      </c>
      <c r="CE329" s="144" t="n">
        <v>-101.871074380165</v>
      </c>
      <c r="CF329" s="315"/>
      <c r="CG329" s="144" t="n">
        <v>-25.0710743801653</v>
      </c>
      <c r="CH329" s="144" t="n">
        <v>-82.6710743801653</v>
      </c>
      <c r="CI329" s="144" t="n">
        <v>-82.6710743801653</v>
      </c>
      <c r="CJ329" s="144" t="n">
        <v>-82.6710743801653</v>
      </c>
      <c r="CK329" s="144" t="n">
        <v>-82.6710743801653</v>
      </c>
      <c r="CM329" s="144" t="n">
        <v>164.462809917355</v>
      </c>
      <c r="CO329" s="319"/>
      <c r="CP329" s="320"/>
      <c r="CQ329" s="321" t="s">
        <v>12</v>
      </c>
      <c r="CR329" s="320"/>
      <c r="CS329" s="322" t="n">
        <v>-5.86280991735535</v>
      </c>
      <c r="CT329" s="322" t="n">
        <v>-63.6628099173554</v>
      </c>
      <c r="CU329" s="322" t="n">
        <v>-82.8628099173554</v>
      </c>
      <c r="CV329" s="323"/>
      <c r="CW329" s="322" t="n">
        <v>-6.06280991735537</v>
      </c>
      <c r="CX329" s="322" t="n">
        <v>-63.6628099173554</v>
      </c>
      <c r="CY329" s="322" t="n">
        <v>-63.6628099173554</v>
      </c>
      <c r="CZ329" s="322" t="n">
        <v>-63.6628099173554</v>
      </c>
      <c r="DA329" s="322" t="n">
        <v>-63.6628099173554</v>
      </c>
    </row>
    <row r="330" customFormat="false" ht="12.75" hidden="false" customHeight="false" outlineLevel="0" collapsed="false">
      <c r="B330" s="305" t="s">
        <v>112</v>
      </c>
      <c r="C330" s="305" t="s">
        <v>608</v>
      </c>
      <c r="D330" s="306" t="n">
        <v>279</v>
      </c>
      <c r="E330" s="306" t="n">
        <v>0</v>
      </c>
      <c r="F330" s="324" t="s">
        <v>603</v>
      </c>
      <c r="G330" s="144" t="n">
        <v>24</v>
      </c>
      <c r="H330" s="325" t="n">
        <v>277.685950413223</v>
      </c>
      <c r="I330" s="2"/>
      <c r="J330" s="144" t="s">
        <v>12</v>
      </c>
      <c r="K330" s="309" t="s">
        <v>12</v>
      </c>
      <c r="L330" s="310"/>
      <c r="M330" s="311" t="n">
        <v>39</v>
      </c>
      <c r="N330" s="312" t="n">
        <v>7.5</v>
      </c>
      <c r="O330" s="311" t="n">
        <v>0</v>
      </c>
      <c r="P330" s="312" t="n">
        <v>6.5</v>
      </c>
      <c r="Q330" s="310" t="n">
        <v>0</v>
      </c>
      <c r="R330" s="312" t="n">
        <v>5.6</v>
      </c>
      <c r="S330" s="310"/>
      <c r="T330" s="311" t="n">
        <v>0</v>
      </c>
      <c r="U330" s="312" t="n">
        <v>8.9</v>
      </c>
      <c r="V330" s="311" t="n">
        <v>0</v>
      </c>
      <c r="W330" s="312" t="n">
        <v>6.2</v>
      </c>
      <c r="X330" s="311" t="n">
        <v>0</v>
      </c>
      <c r="Y330" s="312" t="n">
        <v>6.2</v>
      </c>
      <c r="Z330" s="313" t="n">
        <v>0</v>
      </c>
      <c r="AA330" s="314" t="n">
        <v>6.2</v>
      </c>
      <c r="AB330" s="313" t="n">
        <v>0</v>
      </c>
      <c r="AC330" s="314" t="n">
        <v>6.2</v>
      </c>
      <c r="AD330" s="315"/>
      <c r="AE330" s="144" t="n">
        <v>1</v>
      </c>
      <c r="AF330" s="315"/>
      <c r="AG330" s="311" t="n">
        <v>0</v>
      </c>
      <c r="AH330" s="309" t="n">
        <v>0</v>
      </c>
      <c r="AI330" s="310"/>
      <c r="AJ330" s="311" t="n">
        <v>60</v>
      </c>
      <c r="AK330" s="309" t="n">
        <v>180</v>
      </c>
      <c r="AL330" s="311" t="n">
        <v>123</v>
      </c>
      <c r="AM330" s="309" t="n">
        <v>156</v>
      </c>
      <c r="AN330" s="310" t="n">
        <v>145</v>
      </c>
      <c r="AO330" s="309" t="n">
        <v>134.4</v>
      </c>
      <c r="AP330" s="310"/>
      <c r="AQ330" s="311" t="n">
        <v>65</v>
      </c>
      <c r="AR330" s="309" t="n">
        <v>213.6</v>
      </c>
      <c r="AS330" s="311" t="n">
        <v>130</v>
      </c>
      <c r="AT330" s="309" t="n">
        <v>148.8</v>
      </c>
      <c r="AU330" s="310" t="n">
        <v>130</v>
      </c>
      <c r="AV330" s="309" t="n">
        <v>148.8</v>
      </c>
      <c r="AW330" s="310" t="n">
        <v>130</v>
      </c>
      <c r="AX330" s="309" t="n">
        <v>148.8</v>
      </c>
      <c r="AY330" s="310" t="n">
        <v>130</v>
      </c>
      <c r="AZ330" s="309" t="n">
        <v>148.8</v>
      </c>
      <c r="BB330" s="144" t="n">
        <v>0</v>
      </c>
      <c r="BC330" s="315"/>
      <c r="BD330" s="311" t="n">
        <v>0</v>
      </c>
      <c r="BE330" s="316" t="n">
        <v>0</v>
      </c>
      <c r="BF330" s="310"/>
      <c r="BG330" s="317" t="n">
        <v>0</v>
      </c>
      <c r="BH330" s="318" t="n">
        <v>0.199999999999999</v>
      </c>
      <c r="BI330" s="317" t="n">
        <v>0</v>
      </c>
      <c r="BJ330" s="318" t="n">
        <v>0.699999999999999</v>
      </c>
      <c r="BK330" s="317" t="n">
        <v>0</v>
      </c>
      <c r="BL330" s="318" t="n">
        <v>0.600000000000001</v>
      </c>
      <c r="BM330" s="310"/>
      <c r="BN330" s="317" t="n">
        <v>0</v>
      </c>
      <c r="BO330" s="318" t="n">
        <v>0</v>
      </c>
      <c r="BP330" s="317" t="n">
        <v>0</v>
      </c>
      <c r="BQ330" s="318" t="n">
        <v>0</v>
      </c>
      <c r="BR330" s="317" t="n">
        <v>0</v>
      </c>
      <c r="BS330" s="318" t="n">
        <v>0</v>
      </c>
      <c r="BT330" s="317" t="n">
        <v>0</v>
      </c>
      <c r="BU330" s="318" t="n">
        <v>0</v>
      </c>
      <c r="BV330" s="317" t="n">
        <v>0</v>
      </c>
      <c r="BW330" s="318" t="n">
        <v>0</v>
      </c>
      <c r="BY330" s="143"/>
      <c r="BZ330" s="315"/>
      <c r="CA330" s="144" t="s">
        <v>12</v>
      </c>
      <c r="CB330" s="315"/>
      <c r="CC330" s="144" t="n">
        <v>-58.6859504132232</v>
      </c>
      <c r="CD330" s="144" t="n">
        <v>-121.685950413223</v>
      </c>
      <c r="CE330" s="144" t="n">
        <v>-143.285950413223</v>
      </c>
      <c r="CF330" s="315"/>
      <c r="CG330" s="144" t="n">
        <v>-64.0859504132231</v>
      </c>
      <c r="CH330" s="144" t="n">
        <v>-128.885950413223</v>
      </c>
      <c r="CI330" s="144" t="n">
        <v>-128.885950413223</v>
      </c>
      <c r="CJ330" s="144" t="n">
        <v>-128.885950413223</v>
      </c>
      <c r="CK330" s="144" t="n">
        <v>-128.885950413223</v>
      </c>
      <c r="CM330" s="144" t="n">
        <v>230.578512396694</v>
      </c>
      <c r="CO330" s="319"/>
      <c r="CP330" s="320"/>
      <c r="CQ330" s="321" t="s">
        <v>12</v>
      </c>
      <c r="CR330" s="320"/>
      <c r="CS330" s="322" t="n">
        <v>-11.5785123966942</v>
      </c>
      <c r="CT330" s="322" t="n">
        <v>-74.5785123966942</v>
      </c>
      <c r="CU330" s="322" t="n">
        <v>-96.1785123966942</v>
      </c>
      <c r="CV330" s="323"/>
      <c r="CW330" s="322" t="n">
        <v>-16.9785123966942</v>
      </c>
      <c r="CX330" s="322" t="n">
        <v>-81.7785123966942</v>
      </c>
      <c r="CY330" s="322" t="n">
        <v>-81.7785123966942</v>
      </c>
      <c r="CZ330" s="322" t="n">
        <v>-81.7785123966942</v>
      </c>
      <c r="DA330" s="322" t="n">
        <v>-81.7785123966942</v>
      </c>
    </row>
    <row r="331" customFormat="false" ht="12.75" hidden="false" customHeight="false" outlineLevel="0" collapsed="false">
      <c r="B331" s="305" t="s">
        <v>112</v>
      </c>
      <c r="C331" s="305" t="s">
        <v>608</v>
      </c>
      <c r="D331" s="306" t="n">
        <v>279</v>
      </c>
      <c r="E331" s="306" t="n">
        <v>0</v>
      </c>
      <c r="F331" s="306" t="s">
        <v>603</v>
      </c>
      <c r="G331" s="307" t="n">
        <v>48</v>
      </c>
      <c r="H331" s="308" t="n">
        <v>277.685950413223</v>
      </c>
      <c r="I331" s="2"/>
      <c r="J331" s="144" t="s">
        <v>12</v>
      </c>
      <c r="K331" s="309" t="s">
        <v>12</v>
      </c>
      <c r="L331" s="310"/>
      <c r="M331" s="311" t="n">
        <v>39</v>
      </c>
      <c r="N331" s="312" t="n">
        <v>3.8</v>
      </c>
      <c r="O331" s="311" t="n">
        <v>0</v>
      </c>
      <c r="P331" s="312" t="n">
        <v>3.3</v>
      </c>
      <c r="Q331" s="310" t="n">
        <v>0</v>
      </c>
      <c r="R331" s="312" t="n">
        <v>2.8</v>
      </c>
      <c r="S331" s="310"/>
      <c r="T331" s="311" t="n">
        <v>0</v>
      </c>
      <c r="U331" s="312" t="n">
        <v>4.5</v>
      </c>
      <c r="V331" s="311" t="n">
        <v>0</v>
      </c>
      <c r="W331" s="312" t="n">
        <v>3.1</v>
      </c>
      <c r="X331" s="311" t="n">
        <v>0</v>
      </c>
      <c r="Y331" s="312" t="n">
        <v>3.1</v>
      </c>
      <c r="Z331" s="313" t="n">
        <v>0</v>
      </c>
      <c r="AA331" s="314" t="n">
        <v>3.1</v>
      </c>
      <c r="AB331" s="313" t="n">
        <v>0</v>
      </c>
      <c r="AC331" s="314" t="n">
        <v>3.1</v>
      </c>
      <c r="AD331" s="315"/>
      <c r="AE331" s="144" t="n">
        <v>1</v>
      </c>
      <c r="AF331" s="315"/>
      <c r="AG331" s="311" t="n">
        <v>0</v>
      </c>
      <c r="AH331" s="309" t="n">
        <v>0</v>
      </c>
      <c r="AI331" s="310"/>
      <c r="AJ331" s="311" t="n">
        <v>58</v>
      </c>
      <c r="AK331" s="309" t="n">
        <v>182.4</v>
      </c>
      <c r="AL331" s="311" t="n">
        <v>121</v>
      </c>
      <c r="AM331" s="309" t="n">
        <v>158.4</v>
      </c>
      <c r="AN331" s="311" t="n">
        <v>145</v>
      </c>
      <c r="AO331" s="309" t="n">
        <v>134.4</v>
      </c>
      <c r="AP331" s="310"/>
      <c r="AQ331" s="311" t="n">
        <v>63</v>
      </c>
      <c r="AR331" s="309" t="n">
        <v>216</v>
      </c>
      <c r="AS331" s="311" t="n">
        <v>130</v>
      </c>
      <c r="AT331" s="309" t="n">
        <v>148.8</v>
      </c>
      <c r="AU331" s="311" t="n">
        <v>130</v>
      </c>
      <c r="AV331" s="309" t="n">
        <v>148.8</v>
      </c>
      <c r="AW331" s="311" t="n">
        <v>130</v>
      </c>
      <c r="AX331" s="309" t="n">
        <v>148.8</v>
      </c>
      <c r="AY331" s="311" t="n">
        <v>130</v>
      </c>
      <c r="AZ331" s="309" t="n">
        <v>148.8</v>
      </c>
      <c r="BB331" s="144" t="n">
        <v>0</v>
      </c>
      <c r="BC331" s="315"/>
      <c r="BD331" s="311" t="n">
        <v>0</v>
      </c>
      <c r="BE331" s="316" t="n">
        <v>0</v>
      </c>
      <c r="BF331" s="310"/>
      <c r="BG331" s="317" t="n">
        <v>0</v>
      </c>
      <c r="BH331" s="318" t="n">
        <v>0</v>
      </c>
      <c r="BI331" s="317" t="n">
        <v>0</v>
      </c>
      <c r="BJ331" s="318" t="n">
        <v>0</v>
      </c>
      <c r="BK331" s="317" t="n">
        <v>0</v>
      </c>
      <c r="BL331" s="318" t="n">
        <v>0</v>
      </c>
      <c r="BM331" s="310"/>
      <c r="BN331" s="317" t="n">
        <v>0</v>
      </c>
      <c r="BO331" s="318" t="n">
        <v>0</v>
      </c>
      <c r="BP331" s="317" t="n">
        <v>0</v>
      </c>
      <c r="BQ331" s="318" t="n">
        <v>0</v>
      </c>
      <c r="BR331" s="317" t="n">
        <v>0</v>
      </c>
      <c r="BS331" s="318" t="n">
        <v>0</v>
      </c>
      <c r="BT331" s="317" t="n">
        <v>0</v>
      </c>
      <c r="BU331" s="318" t="n">
        <v>0</v>
      </c>
      <c r="BV331" s="317" t="n">
        <v>0</v>
      </c>
      <c r="BW331" s="318" t="n">
        <v>0</v>
      </c>
      <c r="BY331" s="143"/>
      <c r="BZ331" s="315"/>
      <c r="CA331" s="144" t="s">
        <v>12</v>
      </c>
      <c r="CB331" s="315"/>
      <c r="CC331" s="144" t="n">
        <v>-56.2859504132232</v>
      </c>
      <c r="CD331" s="144" t="n">
        <v>-119.285950413223</v>
      </c>
      <c r="CE331" s="144" t="n">
        <v>-143.285950413223</v>
      </c>
      <c r="CF331" s="315"/>
      <c r="CG331" s="144" t="n">
        <v>-61.6859504132232</v>
      </c>
      <c r="CH331" s="144" t="n">
        <v>-128.885950413223</v>
      </c>
      <c r="CI331" s="144" t="n">
        <v>-128.885950413223</v>
      </c>
      <c r="CJ331" s="144" t="n">
        <v>-128.885950413223</v>
      </c>
      <c r="CK331" s="144" t="n">
        <v>-128.885950413223</v>
      </c>
      <c r="CM331" s="144" t="n">
        <v>230.578512396694</v>
      </c>
      <c r="CO331" s="319"/>
      <c r="CP331" s="320"/>
      <c r="CQ331" s="321" t="s">
        <v>12</v>
      </c>
      <c r="CR331" s="320"/>
      <c r="CS331" s="322" t="n">
        <v>-9.1785123966942</v>
      </c>
      <c r="CT331" s="322" t="n">
        <v>-72.1785123966942</v>
      </c>
      <c r="CU331" s="322" t="n">
        <v>-96.1785123966942</v>
      </c>
      <c r="CV331" s="323"/>
      <c r="CW331" s="322" t="n">
        <v>-14.5785123966942</v>
      </c>
      <c r="CX331" s="322" t="n">
        <v>-81.7785123966942</v>
      </c>
      <c r="CY331" s="322" t="n">
        <v>-81.7785123966942</v>
      </c>
      <c r="CZ331" s="322" t="n">
        <v>-81.7785123966942</v>
      </c>
      <c r="DA331" s="322" t="n">
        <v>-81.7785123966942</v>
      </c>
    </row>
    <row r="332" customFormat="false" ht="12.75" hidden="false" customHeight="false" outlineLevel="0" collapsed="false">
      <c r="B332" s="305" t="s">
        <v>593</v>
      </c>
      <c r="C332" s="305" t="s">
        <v>609</v>
      </c>
      <c r="D332" s="306" t="n">
        <v>168</v>
      </c>
      <c r="E332" s="306" t="n">
        <v>0</v>
      </c>
      <c r="F332" s="324" t="s">
        <v>603</v>
      </c>
      <c r="G332" s="144" t="n">
        <v>24</v>
      </c>
      <c r="H332" s="325" t="n">
        <v>157.851239669422</v>
      </c>
      <c r="I332" s="2"/>
      <c r="J332" s="144" t="s">
        <v>12</v>
      </c>
      <c r="K332" s="309" t="s">
        <v>12</v>
      </c>
      <c r="L332" s="310"/>
      <c r="M332" s="311" t="n">
        <v>29</v>
      </c>
      <c r="N332" s="312" t="n">
        <v>4.4</v>
      </c>
      <c r="O332" s="311" t="n">
        <v>0</v>
      </c>
      <c r="P332" s="312" t="n">
        <v>2.9</v>
      </c>
      <c r="Q332" s="310" t="n">
        <v>0</v>
      </c>
      <c r="R332" s="312" t="n">
        <v>2.1</v>
      </c>
      <c r="S332" s="310"/>
      <c r="T332" s="311" t="n">
        <v>0</v>
      </c>
      <c r="U332" s="312" t="n">
        <v>3.4</v>
      </c>
      <c r="V332" s="311" t="n">
        <v>0</v>
      </c>
      <c r="W332" s="312" t="n">
        <v>2.5</v>
      </c>
      <c r="X332" s="311" t="n">
        <v>0</v>
      </c>
      <c r="Y332" s="312" t="n">
        <v>2.5</v>
      </c>
      <c r="Z332" s="313" t="n">
        <v>0</v>
      </c>
      <c r="AA332" s="314" t="n">
        <v>2.5</v>
      </c>
      <c r="AB332" s="313" t="n">
        <v>0</v>
      </c>
      <c r="AC332" s="314" t="n">
        <v>2.5</v>
      </c>
      <c r="AD332" s="315"/>
      <c r="AE332" s="144" t="n">
        <v>10</v>
      </c>
      <c r="AF332" s="315"/>
      <c r="AG332" s="311" t="n">
        <v>0</v>
      </c>
      <c r="AH332" s="309" t="n">
        <v>0</v>
      </c>
      <c r="AI332" s="310"/>
      <c r="AJ332" s="311" t="n">
        <v>33</v>
      </c>
      <c r="AK332" s="309" t="n">
        <v>105.6</v>
      </c>
      <c r="AL332" s="311" t="n">
        <v>98</v>
      </c>
      <c r="AM332" s="309" t="n">
        <v>69.6</v>
      </c>
      <c r="AN332" s="310" t="n">
        <v>118</v>
      </c>
      <c r="AO332" s="309" t="n">
        <v>50.4</v>
      </c>
      <c r="AP332" s="310"/>
      <c r="AQ332" s="311" t="n">
        <v>86</v>
      </c>
      <c r="AR332" s="309" t="n">
        <v>81.6</v>
      </c>
      <c r="AS332" s="311" t="n">
        <v>108</v>
      </c>
      <c r="AT332" s="309" t="n">
        <v>60</v>
      </c>
      <c r="AU332" s="310" t="n">
        <v>108</v>
      </c>
      <c r="AV332" s="309" t="n">
        <v>60</v>
      </c>
      <c r="AW332" s="310" t="n">
        <v>108</v>
      </c>
      <c r="AX332" s="309" t="n">
        <v>60</v>
      </c>
      <c r="AY332" s="310" t="n">
        <v>108</v>
      </c>
      <c r="AZ332" s="309" t="n">
        <v>60</v>
      </c>
      <c r="BB332" s="144" t="n">
        <v>0</v>
      </c>
      <c r="BC332" s="315"/>
      <c r="BD332" s="311" t="n">
        <v>0</v>
      </c>
      <c r="BE332" s="316" t="n">
        <v>0</v>
      </c>
      <c r="BF332" s="310"/>
      <c r="BG332" s="317" t="n">
        <v>0</v>
      </c>
      <c r="BH332" s="318" t="n">
        <v>0.2</v>
      </c>
      <c r="BI332" s="317" t="n">
        <v>0</v>
      </c>
      <c r="BJ332" s="318" t="n">
        <v>0.8</v>
      </c>
      <c r="BK332" s="317" t="n">
        <v>0</v>
      </c>
      <c r="BL332" s="318" t="n">
        <v>0.8</v>
      </c>
      <c r="BM332" s="310"/>
      <c r="BN332" s="317" t="n">
        <v>0</v>
      </c>
      <c r="BO332" s="318" t="n">
        <v>0.9</v>
      </c>
      <c r="BP332" s="317" t="n">
        <v>0</v>
      </c>
      <c r="BQ332" s="318" t="n">
        <v>0</v>
      </c>
      <c r="BR332" s="317" t="n">
        <v>0</v>
      </c>
      <c r="BS332" s="318" t="n">
        <v>0</v>
      </c>
      <c r="BT332" s="317" t="n">
        <v>0</v>
      </c>
      <c r="BU332" s="318" t="n">
        <v>0</v>
      </c>
      <c r="BV332" s="317" t="n">
        <v>0</v>
      </c>
      <c r="BW332" s="318" t="n">
        <v>0</v>
      </c>
      <c r="BY332" s="143"/>
      <c r="BZ332" s="315"/>
      <c r="CA332" s="144" t="s">
        <v>12</v>
      </c>
      <c r="CB332" s="315"/>
      <c r="CC332" s="144" t="n">
        <v>-23.2512396694215</v>
      </c>
      <c r="CD332" s="144" t="n">
        <v>-88.2512396694215</v>
      </c>
      <c r="CE332" s="144" t="n">
        <v>-107.451239669421</v>
      </c>
      <c r="CF332" s="315"/>
      <c r="CG332" s="144" t="n">
        <v>-76.2512396694215</v>
      </c>
      <c r="CH332" s="144" t="n">
        <v>-97.8512396694215</v>
      </c>
      <c r="CI332" s="144" t="n">
        <v>-97.8512396694215</v>
      </c>
      <c r="CJ332" s="144" t="n">
        <v>-97.8512396694215</v>
      </c>
      <c r="CK332" s="144" t="n">
        <v>-97.8512396694215</v>
      </c>
      <c r="CM332" s="144" t="n">
        <v>140.487603305785</v>
      </c>
      <c r="CO332" s="319"/>
      <c r="CP332" s="320"/>
      <c r="CQ332" s="321" t="s">
        <v>12</v>
      </c>
      <c r="CR332" s="320"/>
      <c r="CS332" s="322" t="n">
        <v>-5.88760330578512</v>
      </c>
      <c r="CT332" s="322" t="n">
        <v>-70.8876033057851</v>
      </c>
      <c r="CU332" s="322" t="n">
        <v>-90.0876033057851</v>
      </c>
      <c r="CV332" s="323"/>
      <c r="CW332" s="322" t="n">
        <v>-58.8876033057851</v>
      </c>
      <c r="CX332" s="322" t="n">
        <v>-80.4876033057851</v>
      </c>
      <c r="CY332" s="322" t="n">
        <v>-80.4876033057851</v>
      </c>
      <c r="CZ332" s="322" t="n">
        <v>-80.4876033057851</v>
      </c>
      <c r="DA332" s="322" t="n">
        <v>-80.4876033057851</v>
      </c>
    </row>
    <row r="333" customFormat="false" ht="12.75" hidden="false" customHeight="false" outlineLevel="0" collapsed="false">
      <c r="B333" s="305" t="s">
        <v>124</v>
      </c>
      <c r="C333" s="305" t="s">
        <v>610</v>
      </c>
      <c r="D333" s="306" t="n">
        <v>204</v>
      </c>
      <c r="E333" s="306" t="n">
        <v>0</v>
      </c>
      <c r="F333" s="306" t="s">
        <v>603</v>
      </c>
      <c r="G333" s="307" t="n">
        <v>24</v>
      </c>
      <c r="H333" s="308" t="n">
        <v>195.04132231405</v>
      </c>
      <c r="I333" s="2"/>
      <c r="J333" s="144" t="s">
        <v>12</v>
      </c>
      <c r="K333" s="309" t="s">
        <v>12</v>
      </c>
      <c r="L333" s="310"/>
      <c r="M333" s="311" t="n">
        <v>29</v>
      </c>
      <c r="N333" s="312" t="n">
        <v>6</v>
      </c>
      <c r="O333" s="311" t="n">
        <v>0</v>
      </c>
      <c r="P333" s="312" t="n">
        <v>4.6</v>
      </c>
      <c r="Q333" s="310" t="n">
        <v>0</v>
      </c>
      <c r="R333" s="312" t="n">
        <v>3.8</v>
      </c>
      <c r="S333" s="310"/>
      <c r="T333" s="311" t="n">
        <v>0</v>
      </c>
      <c r="U333" s="312" t="n">
        <v>6.9</v>
      </c>
      <c r="V333" s="311" t="n">
        <v>0</v>
      </c>
      <c r="W333" s="312" t="n">
        <v>4.2</v>
      </c>
      <c r="X333" s="311" t="n">
        <v>0</v>
      </c>
      <c r="Y333" s="312" t="n">
        <v>4.2</v>
      </c>
      <c r="Z333" s="313" t="n">
        <v>0</v>
      </c>
      <c r="AA333" s="314" t="n">
        <v>4.1</v>
      </c>
      <c r="AB333" s="313" t="n">
        <v>0</v>
      </c>
      <c r="AC333" s="314" t="n">
        <v>4.1</v>
      </c>
      <c r="AD333" s="315"/>
      <c r="AE333" s="144" t="n">
        <v>9</v>
      </c>
      <c r="AF333" s="315"/>
      <c r="AG333" s="311" t="n">
        <v>0</v>
      </c>
      <c r="AH333" s="309" t="n">
        <v>0</v>
      </c>
      <c r="AI333" s="310"/>
      <c r="AJ333" s="311" t="n">
        <v>31</v>
      </c>
      <c r="AK333" s="309" t="n">
        <v>144</v>
      </c>
      <c r="AL333" s="311" t="n">
        <v>94</v>
      </c>
      <c r="AM333" s="309" t="n">
        <v>110.4</v>
      </c>
      <c r="AN333" s="311" t="n">
        <v>113</v>
      </c>
      <c r="AO333" s="309" t="n">
        <v>91.2</v>
      </c>
      <c r="AP333" s="310"/>
      <c r="AQ333" s="311" t="n">
        <v>38</v>
      </c>
      <c r="AR333" s="309" t="n">
        <v>165.6</v>
      </c>
      <c r="AS333" s="311" t="n">
        <v>103</v>
      </c>
      <c r="AT333" s="309" t="n">
        <v>100.8</v>
      </c>
      <c r="AU333" s="311" t="n">
        <v>103</v>
      </c>
      <c r="AV333" s="309" t="n">
        <v>100.8</v>
      </c>
      <c r="AW333" s="311" t="n">
        <v>106</v>
      </c>
      <c r="AX333" s="309" t="n">
        <v>98.4</v>
      </c>
      <c r="AY333" s="311" t="n">
        <v>106</v>
      </c>
      <c r="AZ333" s="309" t="n">
        <v>98.4</v>
      </c>
      <c r="BB333" s="144" t="n">
        <v>0</v>
      </c>
      <c r="BC333" s="315"/>
      <c r="BD333" s="311" t="n">
        <v>0</v>
      </c>
      <c r="BE333" s="316" t="n">
        <v>0</v>
      </c>
      <c r="BF333" s="310"/>
      <c r="BG333" s="317" t="n">
        <v>0</v>
      </c>
      <c r="BH333" s="318" t="n">
        <v>0.4</v>
      </c>
      <c r="BI333" s="317" t="n">
        <v>0</v>
      </c>
      <c r="BJ333" s="318" t="n">
        <v>0.8</v>
      </c>
      <c r="BK333" s="317" t="n">
        <v>0</v>
      </c>
      <c r="BL333" s="318" t="n">
        <v>0.9</v>
      </c>
      <c r="BM333" s="310"/>
      <c r="BN333" s="317" t="n">
        <v>0</v>
      </c>
      <c r="BO333" s="318" t="n">
        <v>0</v>
      </c>
      <c r="BP333" s="317" t="n">
        <v>0</v>
      </c>
      <c r="BQ333" s="318" t="n">
        <v>0.8</v>
      </c>
      <c r="BR333" s="317" t="n">
        <v>0</v>
      </c>
      <c r="BS333" s="318" t="n">
        <v>0.8</v>
      </c>
      <c r="BT333" s="317" t="n">
        <v>0</v>
      </c>
      <c r="BU333" s="318" t="n">
        <v>0.8</v>
      </c>
      <c r="BV333" s="317" t="n">
        <v>0</v>
      </c>
      <c r="BW333" s="318" t="n">
        <v>0.8</v>
      </c>
      <c r="BY333" s="143"/>
      <c r="BZ333" s="315"/>
      <c r="CA333" s="144" t="s">
        <v>12</v>
      </c>
      <c r="CB333" s="315"/>
      <c r="CC333" s="144" t="n">
        <v>-22.0413223140496</v>
      </c>
      <c r="CD333" s="144" t="n">
        <v>-84.6413223140496</v>
      </c>
      <c r="CE333" s="144" t="n">
        <v>-103.84132231405</v>
      </c>
      <c r="CF333" s="315"/>
      <c r="CG333" s="144" t="n">
        <v>-29.4413223140496</v>
      </c>
      <c r="CH333" s="144" t="n">
        <v>-94.2413223140496</v>
      </c>
      <c r="CI333" s="144" t="n">
        <v>-94.2413223140496</v>
      </c>
      <c r="CJ333" s="144" t="n">
        <v>-96.6413223140496</v>
      </c>
      <c r="CK333" s="144" t="n">
        <v>-96.6413223140496</v>
      </c>
      <c r="CM333" s="144" t="n">
        <v>230.578512396694</v>
      </c>
      <c r="CO333" s="319"/>
      <c r="CP333" s="320"/>
      <c r="CQ333" s="321" t="s">
        <v>12</v>
      </c>
      <c r="CR333" s="320"/>
      <c r="CS333" s="322" t="n">
        <v>-57.5785123966942</v>
      </c>
      <c r="CT333" s="322" t="n">
        <v>-120.178512396694</v>
      </c>
      <c r="CU333" s="322" t="n">
        <v>-139.378512396694</v>
      </c>
      <c r="CV333" s="323"/>
      <c r="CW333" s="322" t="n">
        <v>-64.9785123966942</v>
      </c>
      <c r="CX333" s="322" t="n">
        <v>-129.778512396694</v>
      </c>
      <c r="CY333" s="322" t="n">
        <v>-129.778512396694</v>
      </c>
      <c r="CZ333" s="322" t="n">
        <v>-132.178512396694</v>
      </c>
      <c r="DA333" s="322" t="n">
        <v>-132.178512396694</v>
      </c>
    </row>
    <row r="334" customFormat="false" ht="12.75" hidden="false" customHeight="false" outlineLevel="0" collapsed="false">
      <c r="B334" s="305" t="s">
        <v>450</v>
      </c>
      <c r="C334" s="305" t="s">
        <v>611</v>
      </c>
      <c r="D334" s="306" t="n">
        <v>47</v>
      </c>
      <c r="E334" s="306" t="n">
        <v>0</v>
      </c>
      <c r="F334" s="324" t="s">
        <v>603</v>
      </c>
      <c r="G334" s="144" t="n">
        <v>24</v>
      </c>
      <c r="H334" s="325" t="n">
        <v>46.2809917355372</v>
      </c>
      <c r="I334" s="2"/>
      <c r="J334" s="144" t="s">
        <v>12</v>
      </c>
      <c r="K334" s="309" t="s">
        <v>12</v>
      </c>
      <c r="L334" s="310"/>
      <c r="M334" s="311" t="n">
        <v>0</v>
      </c>
      <c r="N334" s="312" t="n">
        <v>0</v>
      </c>
      <c r="O334" s="311" t="n">
        <v>0</v>
      </c>
      <c r="P334" s="312" t="n">
        <v>0</v>
      </c>
      <c r="Q334" s="310" t="n">
        <v>0</v>
      </c>
      <c r="R334" s="312" t="n">
        <v>0</v>
      </c>
      <c r="S334" s="310"/>
      <c r="T334" s="311" t="n">
        <v>0</v>
      </c>
      <c r="U334" s="312" t="n">
        <v>0.5</v>
      </c>
      <c r="V334" s="311" t="n">
        <v>0</v>
      </c>
      <c r="W334" s="312" t="n">
        <v>0.5</v>
      </c>
      <c r="X334" s="311" t="n">
        <v>0</v>
      </c>
      <c r="Y334" s="312" t="n">
        <v>0.5</v>
      </c>
      <c r="Z334" s="313" t="n">
        <v>0</v>
      </c>
      <c r="AA334" s="314" t="n">
        <v>0.4</v>
      </c>
      <c r="AB334" s="313" t="n">
        <v>0</v>
      </c>
      <c r="AC334" s="314" t="n">
        <v>0.4</v>
      </c>
      <c r="AD334" s="315"/>
      <c r="AE334" s="144" t="n">
        <v>1</v>
      </c>
      <c r="AF334" s="315"/>
      <c r="AG334" s="311" t="n">
        <v>0</v>
      </c>
      <c r="AH334" s="309" t="n">
        <v>0</v>
      </c>
      <c r="AI334" s="310"/>
      <c r="AJ334" s="311" t="n">
        <v>47</v>
      </c>
      <c r="AK334" s="309" t="n">
        <v>0</v>
      </c>
      <c r="AL334" s="311" t="n">
        <v>47</v>
      </c>
      <c r="AM334" s="309" t="n">
        <v>0</v>
      </c>
      <c r="AN334" s="310" t="n">
        <v>47</v>
      </c>
      <c r="AO334" s="309" t="n">
        <v>0</v>
      </c>
      <c r="AP334" s="310"/>
      <c r="AQ334" s="311" t="n">
        <v>35</v>
      </c>
      <c r="AR334" s="309" t="n">
        <v>12</v>
      </c>
      <c r="AS334" s="311" t="n">
        <v>35</v>
      </c>
      <c r="AT334" s="309" t="n">
        <v>12</v>
      </c>
      <c r="AU334" s="310" t="n">
        <v>35</v>
      </c>
      <c r="AV334" s="309" t="n">
        <v>12</v>
      </c>
      <c r="AW334" s="310" t="n">
        <v>37</v>
      </c>
      <c r="AX334" s="309" t="n">
        <v>9.6</v>
      </c>
      <c r="AY334" s="310" t="n">
        <v>37</v>
      </c>
      <c r="AZ334" s="309" t="n">
        <v>9.6</v>
      </c>
      <c r="BB334" s="144" t="n">
        <v>0</v>
      </c>
      <c r="BC334" s="315"/>
      <c r="BD334" s="311" t="n">
        <v>0</v>
      </c>
      <c r="BE334" s="316" t="n">
        <v>0</v>
      </c>
      <c r="BF334" s="310"/>
      <c r="BG334" s="317" t="n">
        <v>0</v>
      </c>
      <c r="BH334" s="318" t="n">
        <v>0</v>
      </c>
      <c r="BI334" s="317" t="n">
        <v>0</v>
      </c>
      <c r="BJ334" s="318" t="n">
        <v>0</v>
      </c>
      <c r="BK334" s="317" t="n">
        <v>0</v>
      </c>
      <c r="BL334" s="318" t="n">
        <v>0</v>
      </c>
      <c r="BM334" s="310"/>
      <c r="BN334" s="317" t="n">
        <v>0</v>
      </c>
      <c r="BO334" s="318" t="n">
        <v>0</v>
      </c>
      <c r="BP334" s="317" t="n">
        <v>0</v>
      </c>
      <c r="BQ334" s="318" t="n">
        <v>0</v>
      </c>
      <c r="BR334" s="317" t="n">
        <v>0</v>
      </c>
      <c r="BS334" s="318" t="n">
        <v>0</v>
      </c>
      <c r="BT334" s="317" t="n">
        <v>0</v>
      </c>
      <c r="BU334" s="318" t="n">
        <v>0</v>
      </c>
      <c r="BV334" s="317" t="n">
        <v>0</v>
      </c>
      <c r="BW334" s="318" t="n">
        <v>0</v>
      </c>
      <c r="BY334" s="143"/>
      <c r="BZ334" s="315"/>
      <c r="CA334" s="144" t="s">
        <v>12</v>
      </c>
      <c r="CB334" s="315"/>
      <c r="CC334" s="144" t="n">
        <v>-46.2809917355372</v>
      </c>
      <c r="CD334" s="144" t="n">
        <v>-46.2809917355372</v>
      </c>
      <c r="CE334" s="144" t="n">
        <v>-46.2809917355372</v>
      </c>
      <c r="CF334" s="315"/>
      <c r="CG334" s="144" t="n">
        <v>-34.2809917355372</v>
      </c>
      <c r="CH334" s="144" t="n">
        <v>-34.2809917355372</v>
      </c>
      <c r="CI334" s="144" t="n">
        <v>-34.2809917355372</v>
      </c>
      <c r="CJ334" s="144" t="n">
        <v>-36.6809917355372</v>
      </c>
      <c r="CK334" s="144" t="n">
        <v>-36.6809917355372</v>
      </c>
      <c r="CM334" s="144" t="n">
        <v>41.2396694214876</v>
      </c>
      <c r="CO334" s="319"/>
      <c r="CP334" s="320"/>
      <c r="CQ334" s="321" t="s">
        <v>12</v>
      </c>
      <c r="CR334" s="320"/>
      <c r="CS334" s="322" t="n">
        <v>-41.2396694214876</v>
      </c>
      <c r="CT334" s="322" t="n">
        <v>-41.2396694214876</v>
      </c>
      <c r="CU334" s="322" t="n">
        <v>-41.2396694214876</v>
      </c>
      <c r="CV334" s="323"/>
      <c r="CW334" s="322" t="n">
        <v>-29.2396694214876</v>
      </c>
      <c r="CX334" s="322" t="n">
        <v>-29.2396694214876</v>
      </c>
      <c r="CY334" s="322" t="n">
        <v>-29.2396694214876</v>
      </c>
      <c r="CZ334" s="322" t="n">
        <v>-31.6396694214876</v>
      </c>
      <c r="DA334" s="322" t="n">
        <v>-31.6396694214876</v>
      </c>
    </row>
    <row r="335" customFormat="false" ht="12.75" hidden="false" customHeight="false" outlineLevel="0" collapsed="false">
      <c r="B335" s="305" t="s">
        <v>130</v>
      </c>
      <c r="C335" s="305" t="s">
        <v>612</v>
      </c>
      <c r="D335" s="306" t="n">
        <v>94</v>
      </c>
      <c r="E335" s="306" t="n">
        <v>0</v>
      </c>
      <c r="F335" s="306" t="s">
        <v>603</v>
      </c>
      <c r="G335" s="307" t="n">
        <v>24</v>
      </c>
      <c r="H335" s="308" t="n">
        <v>73.5537190082645</v>
      </c>
      <c r="I335" s="2"/>
      <c r="J335" s="144" t="s">
        <v>12</v>
      </c>
      <c r="K335" s="309" t="s">
        <v>12</v>
      </c>
      <c r="L335" s="310"/>
      <c r="M335" s="311" t="n">
        <v>0</v>
      </c>
      <c r="N335" s="312" t="n">
        <v>2</v>
      </c>
      <c r="O335" s="311" t="n">
        <v>0</v>
      </c>
      <c r="P335" s="312" t="n">
        <v>2</v>
      </c>
      <c r="Q335" s="310" t="n">
        <v>0</v>
      </c>
      <c r="R335" s="312" t="n">
        <v>2</v>
      </c>
      <c r="S335" s="310"/>
      <c r="T335" s="311" t="n">
        <v>0</v>
      </c>
      <c r="U335" s="312" t="n">
        <v>0.9</v>
      </c>
      <c r="V335" s="311" t="n">
        <v>0</v>
      </c>
      <c r="W335" s="312" t="n">
        <v>0.9</v>
      </c>
      <c r="X335" s="311" t="n">
        <v>0</v>
      </c>
      <c r="Y335" s="312" t="n">
        <v>0.9</v>
      </c>
      <c r="Z335" s="313" t="n">
        <v>0</v>
      </c>
      <c r="AA335" s="314" t="n">
        <v>0.8</v>
      </c>
      <c r="AB335" s="313" t="n">
        <v>0</v>
      </c>
      <c r="AC335" s="314" t="n">
        <v>0.8</v>
      </c>
      <c r="AD335" s="315"/>
      <c r="AE335" s="144" t="n">
        <v>20</v>
      </c>
      <c r="AF335" s="315"/>
      <c r="AG335" s="311" t="n">
        <v>0</v>
      </c>
      <c r="AH335" s="309" t="n">
        <v>0</v>
      </c>
      <c r="AI335" s="310"/>
      <c r="AJ335" s="311" t="n">
        <v>46</v>
      </c>
      <c r="AK335" s="309" t="n">
        <v>48</v>
      </c>
      <c r="AL335" s="311" t="n">
        <v>46</v>
      </c>
      <c r="AM335" s="309" t="n">
        <v>48</v>
      </c>
      <c r="AN335" s="311" t="n">
        <v>46</v>
      </c>
      <c r="AO335" s="309" t="n">
        <v>48</v>
      </c>
      <c r="AP335" s="310"/>
      <c r="AQ335" s="311" t="n">
        <v>72</v>
      </c>
      <c r="AR335" s="309" t="n">
        <v>21.6</v>
      </c>
      <c r="AS335" s="311" t="n">
        <v>72</v>
      </c>
      <c r="AT335" s="309" t="n">
        <v>21.6</v>
      </c>
      <c r="AU335" s="311" t="n">
        <v>72</v>
      </c>
      <c r="AV335" s="309" t="n">
        <v>21.6</v>
      </c>
      <c r="AW335" s="311" t="n">
        <v>75</v>
      </c>
      <c r="AX335" s="309" t="n">
        <v>19.2</v>
      </c>
      <c r="AY335" s="311" t="n">
        <v>75</v>
      </c>
      <c r="AZ335" s="309" t="n">
        <v>19.2</v>
      </c>
      <c r="BB335" s="144" t="n">
        <v>0</v>
      </c>
      <c r="BC335" s="315"/>
      <c r="BD335" s="311" t="n">
        <v>0</v>
      </c>
      <c r="BE335" s="316" t="n">
        <v>0</v>
      </c>
      <c r="BF335" s="310"/>
      <c r="BG335" s="317" t="n">
        <v>0</v>
      </c>
      <c r="BH335" s="318" t="n">
        <v>0</v>
      </c>
      <c r="BI335" s="317" t="n">
        <v>0</v>
      </c>
      <c r="BJ335" s="318" t="n">
        <v>0</v>
      </c>
      <c r="BK335" s="317" t="n">
        <v>0</v>
      </c>
      <c r="BL335" s="318" t="n">
        <v>0</v>
      </c>
      <c r="BM335" s="310"/>
      <c r="BN335" s="317" t="n">
        <v>0</v>
      </c>
      <c r="BO335" s="318" t="n">
        <v>0</v>
      </c>
      <c r="BP335" s="317" t="n">
        <v>0</v>
      </c>
      <c r="BQ335" s="318" t="n">
        <v>0</v>
      </c>
      <c r="BR335" s="317" t="n">
        <v>0</v>
      </c>
      <c r="BS335" s="318" t="n">
        <v>0</v>
      </c>
      <c r="BT335" s="317" t="n">
        <v>0</v>
      </c>
      <c r="BU335" s="318" t="n">
        <v>0</v>
      </c>
      <c r="BV335" s="317" t="n">
        <v>0</v>
      </c>
      <c r="BW335" s="318" t="n">
        <v>0</v>
      </c>
      <c r="BY335" s="143"/>
      <c r="BZ335" s="315"/>
      <c r="CA335" s="144" t="s">
        <v>12</v>
      </c>
      <c r="CB335" s="315"/>
      <c r="CC335" s="144" t="n">
        <v>-25.5537190082645</v>
      </c>
      <c r="CD335" s="144" t="n">
        <v>-25.5537190082645</v>
      </c>
      <c r="CE335" s="144" t="n">
        <v>-25.5537190082645</v>
      </c>
      <c r="CF335" s="315"/>
      <c r="CG335" s="144" t="n">
        <v>-51.9537190082645</v>
      </c>
      <c r="CH335" s="144" t="n">
        <v>-51.9537190082645</v>
      </c>
      <c r="CI335" s="144" t="n">
        <v>-51.9537190082645</v>
      </c>
      <c r="CJ335" s="144" t="n">
        <v>-54.3537190082645</v>
      </c>
      <c r="CK335" s="144" t="n">
        <v>-54.3537190082645</v>
      </c>
      <c r="CM335" s="144" t="n">
        <v>81.8181818181818</v>
      </c>
      <c r="CO335" s="319"/>
      <c r="CP335" s="320"/>
      <c r="CQ335" s="321" t="s">
        <v>12</v>
      </c>
      <c r="CR335" s="320"/>
      <c r="CS335" s="322" t="n">
        <v>-33.8181818181818</v>
      </c>
      <c r="CT335" s="322" t="n">
        <v>-33.8181818181818</v>
      </c>
      <c r="CU335" s="322" t="n">
        <v>-33.8181818181818</v>
      </c>
      <c r="CV335" s="323"/>
      <c r="CW335" s="322" t="n">
        <v>-60.2181818181818</v>
      </c>
      <c r="CX335" s="322" t="n">
        <v>-60.2181818181818</v>
      </c>
      <c r="CY335" s="322" t="n">
        <v>-60.2181818181818</v>
      </c>
      <c r="CZ335" s="322" t="n">
        <v>-62.6181818181818</v>
      </c>
      <c r="DA335" s="322" t="n">
        <v>-62.6181818181818</v>
      </c>
    </row>
    <row r="336" customFormat="false" ht="12.75" hidden="false" customHeight="false" outlineLevel="0" collapsed="false">
      <c r="B336" s="305" t="s">
        <v>130</v>
      </c>
      <c r="C336" s="305" t="s">
        <v>613</v>
      </c>
      <c r="D336" s="306" t="n">
        <v>200</v>
      </c>
      <c r="E336" s="306" t="n">
        <v>0</v>
      </c>
      <c r="F336" s="324" t="s">
        <v>603</v>
      </c>
      <c r="G336" s="144" t="n">
        <v>24</v>
      </c>
      <c r="H336" s="325" t="n">
        <v>108.264462809917</v>
      </c>
      <c r="I336" s="2"/>
      <c r="J336" s="144" t="s">
        <v>12</v>
      </c>
      <c r="K336" s="309" t="s">
        <v>12</v>
      </c>
      <c r="L336" s="310"/>
      <c r="M336" s="311" t="n">
        <v>19</v>
      </c>
      <c r="N336" s="312" t="n">
        <v>4</v>
      </c>
      <c r="O336" s="311" t="n">
        <v>0</v>
      </c>
      <c r="P336" s="312" t="n">
        <v>2.3</v>
      </c>
      <c r="Q336" s="310" t="n">
        <v>0</v>
      </c>
      <c r="R336" s="312" t="n">
        <v>1.5</v>
      </c>
      <c r="S336" s="310"/>
      <c r="T336" s="311" t="n">
        <v>0</v>
      </c>
      <c r="U336" s="312" t="n">
        <v>2.1</v>
      </c>
      <c r="V336" s="311" t="n">
        <v>0</v>
      </c>
      <c r="W336" s="312" t="n">
        <v>1.7</v>
      </c>
      <c r="X336" s="311" t="n">
        <v>0</v>
      </c>
      <c r="Y336" s="312" t="n">
        <v>1.7</v>
      </c>
      <c r="Z336" s="313" t="n">
        <v>0</v>
      </c>
      <c r="AA336" s="314" t="n">
        <v>1.7</v>
      </c>
      <c r="AB336" s="313" t="n">
        <v>0</v>
      </c>
      <c r="AC336" s="314" t="n">
        <v>1.7</v>
      </c>
      <c r="AD336" s="315"/>
      <c r="AE336" s="144" t="n">
        <v>92</v>
      </c>
      <c r="AF336" s="315"/>
      <c r="AG336" s="311" t="n">
        <v>0</v>
      </c>
      <c r="AH336" s="309" t="n">
        <v>0</v>
      </c>
      <c r="AI336" s="310"/>
      <c r="AJ336" s="311" t="n">
        <v>85</v>
      </c>
      <c r="AK336" s="309" t="n">
        <v>96</v>
      </c>
      <c r="AL336" s="311" t="n">
        <v>145</v>
      </c>
      <c r="AM336" s="309" t="n">
        <v>55.2</v>
      </c>
      <c r="AN336" s="310" t="n">
        <v>164</v>
      </c>
      <c r="AO336" s="309" t="n">
        <v>36</v>
      </c>
      <c r="AP336" s="310"/>
      <c r="AQ336" s="311" t="n">
        <v>150</v>
      </c>
      <c r="AR336" s="309" t="n">
        <v>50.4</v>
      </c>
      <c r="AS336" s="311" t="n">
        <v>159</v>
      </c>
      <c r="AT336" s="309" t="n">
        <v>40.8</v>
      </c>
      <c r="AU336" s="310" t="n">
        <v>159</v>
      </c>
      <c r="AV336" s="309" t="n">
        <v>40.8</v>
      </c>
      <c r="AW336" s="310" t="n">
        <v>159</v>
      </c>
      <c r="AX336" s="309" t="n">
        <v>40.8</v>
      </c>
      <c r="AY336" s="310" t="n">
        <v>159</v>
      </c>
      <c r="AZ336" s="309" t="n">
        <v>40.8</v>
      </c>
      <c r="BB336" s="144" t="n">
        <v>0</v>
      </c>
      <c r="BC336" s="315"/>
      <c r="BD336" s="311" t="n">
        <v>0</v>
      </c>
      <c r="BE336" s="316" t="n">
        <v>0</v>
      </c>
      <c r="BF336" s="310"/>
      <c r="BG336" s="317" t="n">
        <v>0</v>
      </c>
      <c r="BH336" s="318" t="n">
        <v>0.4</v>
      </c>
      <c r="BI336" s="317" t="n">
        <v>0</v>
      </c>
      <c r="BJ336" s="318" t="n">
        <v>0.8</v>
      </c>
      <c r="BK336" s="317" t="n">
        <v>0</v>
      </c>
      <c r="BL336" s="318" t="n">
        <v>0.8</v>
      </c>
      <c r="BM336" s="310"/>
      <c r="BN336" s="317" t="n">
        <v>0</v>
      </c>
      <c r="BO336" s="318" t="n">
        <v>0.4</v>
      </c>
      <c r="BP336" s="317" t="n">
        <v>0</v>
      </c>
      <c r="BQ336" s="318" t="n">
        <v>0</v>
      </c>
      <c r="BR336" s="317" t="n">
        <v>0</v>
      </c>
      <c r="BS336" s="318" t="n">
        <v>0</v>
      </c>
      <c r="BT336" s="317" t="n">
        <v>0</v>
      </c>
      <c r="BU336" s="318" t="n">
        <v>0</v>
      </c>
      <c r="BV336" s="317" t="n">
        <v>0</v>
      </c>
      <c r="BW336" s="318" t="n">
        <v>0</v>
      </c>
      <c r="BY336" s="143"/>
      <c r="BZ336" s="315"/>
      <c r="CA336" s="144" t="s">
        <v>12</v>
      </c>
      <c r="CB336" s="315"/>
      <c r="CC336" s="144" t="n">
        <v>6.73553719008264</v>
      </c>
      <c r="CD336" s="144" t="n">
        <v>-53.0644628099174</v>
      </c>
      <c r="CE336" s="144" t="n">
        <v>-72.2644628099174</v>
      </c>
      <c r="CF336" s="315"/>
      <c r="CG336" s="144" t="n">
        <v>-57.8644628099174</v>
      </c>
      <c r="CH336" s="144" t="n">
        <v>-67.4644628099174</v>
      </c>
      <c r="CI336" s="144" t="n">
        <v>-67.4644628099174</v>
      </c>
      <c r="CJ336" s="144" t="n">
        <v>-67.4644628099174</v>
      </c>
      <c r="CK336" s="144" t="n">
        <v>-67.4644628099174</v>
      </c>
      <c r="CM336" s="144" t="n">
        <v>164.462809917355</v>
      </c>
      <c r="CO336" s="319"/>
      <c r="CP336" s="320"/>
      <c r="CQ336" s="321" t="s">
        <v>12</v>
      </c>
      <c r="CR336" s="320"/>
      <c r="CS336" s="322" t="n">
        <v>-49.4628099173554</v>
      </c>
      <c r="CT336" s="322" t="n">
        <v>-109.262809917355</v>
      </c>
      <c r="CU336" s="322" t="n">
        <v>-128.462809917355</v>
      </c>
      <c r="CV336" s="323"/>
      <c r="CW336" s="322" t="n">
        <v>-114.062809917355</v>
      </c>
      <c r="CX336" s="322" t="n">
        <v>-123.662809917355</v>
      </c>
      <c r="CY336" s="322" t="n">
        <v>-123.662809917355</v>
      </c>
      <c r="CZ336" s="322" t="n">
        <v>-123.662809917355</v>
      </c>
      <c r="DA336" s="322" t="n">
        <v>-123.662809917355</v>
      </c>
    </row>
    <row r="337" customFormat="false" ht="12.75" hidden="false" customHeight="false" outlineLevel="0" collapsed="false">
      <c r="B337" s="305" t="s">
        <v>130</v>
      </c>
      <c r="C337" s="305" t="s">
        <v>614</v>
      </c>
      <c r="D337" s="306" t="n">
        <v>41</v>
      </c>
      <c r="E337" s="306" t="n">
        <v>0</v>
      </c>
      <c r="F337" s="306" t="s">
        <v>603</v>
      </c>
      <c r="G337" s="307" t="n">
        <v>24</v>
      </c>
      <c r="H337" s="308" t="n">
        <v>38.8429752066116</v>
      </c>
      <c r="I337" s="2"/>
      <c r="J337" s="144" t="s">
        <v>12</v>
      </c>
      <c r="K337" s="309" t="s">
        <v>12</v>
      </c>
      <c r="L337" s="310"/>
      <c r="M337" s="311" t="n">
        <v>0</v>
      </c>
      <c r="N337" s="312" t="n">
        <v>0</v>
      </c>
      <c r="O337" s="311" t="n">
        <v>0</v>
      </c>
      <c r="P337" s="312" t="n">
        <v>0</v>
      </c>
      <c r="Q337" s="310" t="n">
        <v>0</v>
      </c>
      <c r="R337" s="312" t="n">
        <v>0</v>
      </c>
      <c r="S337" s="310"/>
      <c r="T337" s="311" t="n">
        <v>0</v>
      </c>
      <c r="U337" s="312" t="n">
        <v>0</v>
      </c>
      <c r="V337" s="311" t="n">
        <v>0</v>
      </c>
      <c r="W337" s="312" t="n">
        <v>0</v>
      </c>
      <c r="X337" s="311" t="n">
        <v>0</v>
      </c>
      <c r="Y337" s="312" t="n">
        <v>0</v>
      </c>
      <c r="Z337" s="313" t="n">
        <v>0</v>
      </c>
      <c r="AA337" s="314" t="n">
        <v>0</v>
      </c>
      <c r="AB337" s="313" t="n">
        <v>0</v>
      </c>
      <c r="AC337" s="314" t="n">
        <v>0</v>
      </c>
      <c r="AD337" s="315"/>
      <c r="AE337" s="144" t="n">
        <v>2</v>
      </c>
      <c r="AF337" s="315"/>
      <c r="AG337" s="311" t="n">
        <v>0</v>
      </c>
      <c r="AH337" s="309" t="n">
        <v>0</v>
      </c>
      <c r="AI337" s="310"/>
      <c r="AJ337" s="311" t="n">
        <v>41</v>
      </c>
      <c r="AK337" s="309" t="n">
        <v>0</v>
      </c>
      <c r="AL337" s="311" t="n">
        <v>41</v>
      </c>
      <c r="AM337" s="309" t="n">
        <v>0</v>
      </c>
      <c r="AN337" s="311" t="n">
        <v>41</v>
      </c>
      <c r="AO337" s="309" t="n">
        <v>0</v>
      </c>
      <c r="AP337" s="310"/>
      <c r="AQ337" s="311" t="n">
        <v>41</v>
      </c>
      <c r="AR337" s="309" t="n">
        <v>0</v>
      </c>
      <c r="AS337" s="311" t="n">
        <v>41</v>
      </c>
      <c r="AT337" s="309" t="n">
        <v>0</v>
      </c>
      <c r="AU337" s="311" t="n">
        <v>41</v>
      </c>
      <c r="AV337" s="309" t="n">
        <v>0</v>
      </c>
      <c r="AW337" s="311" t="n">
        <v>41</v>
      </c>
      <c r="AX337" s="309" t="n">
        <v>0</v>
      </c>
      <c r="AY337" s="311" t="n">
        <v>41</v>
      </c>
      <c r="AZ337" s="309" t="n">
        <v>0</v>
      </c>
      <c r="BB337" s="144" t="n">
        <v>0</v>
      </c>
      <c r="BC337" s="315"/>
      <c r="BD337" s="311" t="n">
        <v>0</v>
      </c>
      <c r="BE337" s="316" t="n">
        <v>0</v>
      </c>
      <c r="BF337" s="310"/>
      <c r="BG337" s="317" t="n">
        <v>0</v>
      </c>
      <c r="BH337" s="318" t="n">
        <v>0</v>
      </c>
      <c r="BI337" s="317" t="n">
        <v>0</v>
      </c>
      <c r="BJ337" s="318" t="n">
        <v>0</v>
      </c>
      <c r="BK337" s="317" t="n">
        <v>0</v>
      </c>
      <c r="BL337" s="318" t="n">
        <v>0</v>
      </c>
      <c r="BM337" s="310"/>
      <c r="BN337" s="317" t="n">
        <v>0</v>
      </c>
      <c r="BO337" s="318" t="n">
        <v>0</v>
      </c>
      <c r="BP337" s="317" t="n">
        <v>0</v>
      </c>
      <c r="BQ337" s="318" t="n">
        <v>0</v>
      </c>
      <c r="BR337" s="317" t="n">
        <v>0</v>
      </c>
      <c r="BS337" s="318" t="n">
        <v>0</v>
      </c>
      <c r="BT337" s="317" t="n">
        <v>0</v>
      </c>
      <c r="BU337" s="318" t="n">
        <v>0</v>
      </c>
      <c r="BV337" s="317" t="n">
        <v>0</v>
      </c>
      <c r="BW337" s="318" t="n">
        <v>0</v>
      </c>
      <c r="BY337" s="143"/>
      <c r="BZ337" s="315"/>
      <c r="CA337" s="144" t="s">
        <v>12</v>
      </c>
      <c r="CB337" s="315"/>
      <c r="CC337" s="144" t="n">
        <v>-38.8429752066116</v>
      </c>
      <c r="CD337" s="144" t="n">
        <v>-38.8429752066116</v>
      </c>
      <c r="CE337" s="144" t="n">
        <v>-38.8429752066116</v>
      </c>
      <c r="CF337" s="315"/>
      <c r="CG337" s="144" t="n">
        <v>-38.8429752066116</v>
      </c>
      <c r="CH337" s="144" t="n">
        <v>-38.8429752066116</v>
      </c>
      <c r="CI337" s="144" t="n">
        <v>-38.8429752066116</v>
      </c>
      <c r="CJ337" s="144" t="n">
        <v>-38.8429752066116</v>
      </c>
      <c r="CK337" s="144" t="n">
        <v>-38.8429752066116</v>
      </c>
      <c r="CM337" s="144" t="n">
        <v>41.2396694214876</v>
      </c>
      <c r="CO337" s="319"/>
      <c r="CP337" s="320"/>
      <c r="CQ337" s="321" t="s">
        <v>12</v>
      </c>
      <c r="CR337" s="320"/>
      <c r="CS337" s="322" t="n">
        <v>-41.2396694214876</v>
      </c>
      <c r="CT337" s="322" t="n">
        <v>-41.2396694214876</v>
      </c>
      <c r="CU337" s="322" t="n">
        <v>-41.2396694214876</v>
      </c>
      <c r="CV337" s="323"/>
      <c r="CW337" s="322" t="n">
        <v>-41.2396694214876</v>
      </c>
      <c r="CX337" s="322" t="n">
        <v>-41.2396694214876</v>
      </c>
      <c r="CY337" s="322" t="n">
        <v>-41.2396694214876</v>
      </c>
      <c r="CZ337" s="322" t="n">
        <v>-41.2396694214876</v>
      </c>
      <c r="DA337" s="322" t="n">
        <v>-41.2396694214876</v>
      </c>
    </row>
    <row r="338" customFormat="false" ht="12.75" hidden="false" customHeight="false" outlineLevel="0" collapsed="false">
      <c r="B338" s="305" t="s">
        <v>211</v>
      </c>
      <c r="C338" s="305" t="s">
        <v>615</v>
      </c>
      <c r="D338" s="306" t="n">
        <v>65</v>
      </c>
      <c r="E338" s="306" t="n">
        <v>0</v>
      </c>
      <c r="F338" s="324" t="s">
        <v>603</v>
      </c>
      <c r="G338" s="144" t="n">
        <v>24</v>
      </c>
      <c r="H338" s="325" t="n">
        <v>42.9752066115703</v>
      </c>
      <c r="I338" s="2"/>
      <c r="J338" s="144" t="s">
        <v>12</v>
      </c>
      <c r="K338" s="309" t="s">
        <v>12</v>
      </c>
      <c r="L338" s="310"/>
      <c r="M338" s="311" t="n">
        <v>0</v>
      </c>
      <c r="N338" s="312" t="n">
        <v>1</v>
      </c>
      <c r="O338" s="311" t="n">
        <v>0</v>
      </c>
      <c r="P338" s="312" t="n">
        <v>1</v>
      </c>
      <c r="Q338" s="310" t="n">
        <v>0</v>
      </c>
      <c r="R338" s="312" t="n">
        <v>1</v>
      </c>
      <c r="S338" s="310"/>
      <c r="T338" s="311" t="n">
        <v>0</v>
      </c>
      <c r="U338" s="312" t="n">
        <v>0</v>
      </c>
      <c r="V338" s="311" t="n">
        <v>0</v>
      </c>
      <c r="W338" s="312" t="n">
        <v>0</v>
      </c>
      <c r="X338" s="311" t="n">
        <v>0</v>
      </c>
      <c r="Y338" s="312" t="n">
        <v>0</v>
      </c>
      <c r="Z338" s="313" t="n">
        <v>0</v>
      </c>
      <c r="AA338" s="314" t="n">
        <v>0</v>
      </c>
      <c r="AB338" s="313" t="n">
        <v>0</v>
      </c>
      <c r="AC338" s="314" t="n">
        <v>0</v>
      </c>
      <c r="AD338" s="315"/>
      <c r="AE338" s="144" t="n">
        <v>22</v>
      </c>
      <c r="AF338" s="315"/>
      <c r="AG338" s="311" t="n">
        <v>0</v>
      </c>
      <c r="AH338" s="309" t="n">
        <v>0</v>
      </c>
      <c r="AI338" s="310"/>
      <c r="AJ338" s="311" t="n">
        <v>41</v>
      </c>
      <c r="AK338" s="309" t="n">
        <v>24</v>
      </c>
      <c r="AL338" s="311" t="n">
        <v>41</v>
      </c>
      <c r="AM338" s="309" t="n">
        <v>24</v>
      </c>
      <c r="AN338" s="310" t="n">
        <v>41</v>
      </c>
      <c r="AO338" s="309" t="n">
        <v>24</v>
      </c>
      <c r="AP338" s="310"/>
      <c r="AQ338" s="311" t="n">
        <v>65</v>
      </c>
      <c r="AR338" s="309" t="n">
        <v>0</v>
      </c>
      <c r="AS338" s="311" t="n">
        <v>65</v>
      </c>
      <c r="AT338" s="309" t="n">
        <v>0</v>
      </c>
      <c r="AU338" s="310" t="n">
        <v>65</v>
      </c>
      <c r="AV338" s="309" t="n">
        <v>0</v>
      </c>
      <c r="AW338" s="310" t="n">
        <v>65</v>
      </c>
      <c r="AX338" s="309" t="n">
        <v>0</v>
      </c>
      <c r="AY338" s="310" t="n">
        <v>65</v>
      </c>
      <c r="AZ338" s="309" t="n">
        <v>0</v>
      </c>
      <c r="BB338" s="144" t="n">
        <v>0</v>
      </c>
      <c r="BC338" s="315"/>
      <c r="BD338" s="311" t="n">
        <v>0</v>
      </c>
      <c r="BE338" s="316" t="n">
        <v>0</v>
      </c>
      <c r="BF338" s="310"/>
      <c r="BG338" s="317" t="n">
        <v>0</v>
      </c>
      <c r="BH338" s="318" t="n">
        <v>0</v>
      </c>
      <c r="BI338" s="317" t="n">
        <v>0</v>
      </c>
      <c r="BJ338" s="318" t="n">
        <v>0</v>
      </c>
      <c r="BK338" s="317" t="n">
        <v>0</v>
      </c>
      <c r="BL338" s="318" t="n">
        <v>0</v>
      </c>
      <c r="BM338" s="310"/>
      <c r="BN338" s="317" t="n">
        <v>0</v>
      </c>
      <c r="BO338" s="318" t="n">
        <v>0</v>
      </c>
      <c r="BP338" s="317" t="n">
        <v>0</v>
      </c>
      <c r="BQ338" s="318" t="n">
        <v>0</v>
      </c>
      <c r="BR338" s="317" t="n">
        <v>0</v>
      </c>
      <c r="BS338" s="318" t="n">
        <v>0</v>
      </c>
      <c r="BT338" s="317" t="n">
        <v>0</v>
      </c>
      <c r="BU338" s="318" t="n">
        <v>0</v>
      </c>
      <c r="BV338" s="317" t="n">
        <v>0</v>
      </c>
      <c r="BW338" s="318" t="n">
        <v>0</v>
      </c>
      <c r="BY338" s="143"/>
      <c r="BZ338" s="315"/>
      <c r="CA338" s="144" t="s">
        <v>12</v>
      </c>
      <c r="CB338" s="315"/>
      <c r="CC338" s="144" t="n">
        <v>-18.9752066115703</v>
      </c>
      <c r="CD338" s="144" t="n">
        <v>-18.9752066115703</v>
      </c>
      <c r="CE338" s="144" t="n">
        <v>-18.9752066115703</v>
      </c>
      <c r="CF338" s="315"/>
      <c r="CG338" s="144" t="n">
        <v>-42.9752066115703</v>
      </c>
      <c r="CH338" s="144" t="n">
        <v>-42.9752066115703</v>
      </c>
      <c r="CI338" s="144" t="n">
        <v>-42.9752066115703</v>
      </c>
      <c r="CJ338" s="144" t="n">
        <v>-42.9752066115703</v>
      </c>
      <c r="CK338" s="144" t="n">
        <v>-42.9752066115703</v>
      </c>
      <c r="CM338" s="144" t="n">
        <v>49.5785123966942</v>
      </c>
      <c r="CO338" s="319"/>
      <c r="CP338" s="320"/>
      <c r="CQ338" s="321" t="s">
        <v>12</v>
      </c>
      <c r="CR338" s="320"/>
      <c r="CS338" s="322" t="n">
        <v>-25.5785123966942</v>
      </c>
      <c r="CT338" s="322" t="n">
        <v>-25.5785123966942</v>
      </c>
      <c r="CU338" s="322" t="n">
        <v>-25.5785123966942</v>
      </c>
      <c r="CV338" s="323"/>
      <c r="CW338" s="322" t="n">
        <v>-49.5785123966942</v>
      </c>
      <c r="CX338" s="322" t="n">
        <v>-49.5785123966942</v>
      </c>
      <c r="CY338" s="322" t="n">
        <v>-49.5785123966942</v>
      </c>
      <c r="CZ338" s="322" t="n">
        <v>-49.5785123966942</v>
      </c>
      <c r="DA338" s="322" t="n">
        <v>-49.5785123966942</v>
      </c>
    </row>
    <row r="339" customFormat="false" ht="12.75" hidden="false" customHeight="false" outlineLevel="0" collapsed="false">
      <c r="B339" s="305" t="s">
        <v>465</v>
      </c>
      <c r="C339" s="305" t="s">
        <v>616</v>
      </c>
      <c r="D339" s="306" t="n">
        <v>53</v>
      </c>
      <c r="E339" s="306" t="n">
        <v>0</v>
      </c>
      <c r="F339" s="306" t="s">
        <v>603</v>
      </c>
      <c r="G339" s="307" t="n">
        <v>24</v>
      </c>
      <c r="H339" s="308" t="n">
        <v>35.5371900826446</v>
      </c>
      <c r="I339" s="2"/>
      <c r="J339" s="144" t="s">
        <v>12</v>
      </c>
      <c r="K339" s="309" t="s">
        <v>12</v>
      </c>
      <c r="L339" s="310"/>
      <c r="M339" s="311" t="n">
        <v>0</v>
      </c>
      <c r="N339" s="312" t="n">
        <v>0</v>
      </c>
      <c r="O339" s="311" t="n">
        <v>0</v>
      </c>
      <c r="P339" s="312" t="n">
        <v>0</v>
      </c>
      <c r="Q339" s="310" t="n">
        <v>0</v>
      </c>
      <c r="R339" s="312" t="n">
        <v>0</v>
      </c>
      <c r="S339" s="310"/>
      <c r="T339" s="311" t="n">
        <v>0</v>
      </c>
      <c r="U339" s="312" t="n">
        <v>0</v>
      </c>
      <c r="V339" s="311" t="n">
        <v>0</v>
      </c>
      <c r="W339" s="312" t="n">
        <v>0</v>
      </c>
      <c r="X339" s="311" t="n">
        <v>0</v>
      </c>
      <c r="Y339" s="312" t="n">
        <v>0</v>
      </c>
      <c r="Z339" s="313" t="n">
        <v>0</v>
      </c>
      <c r="AA339" s="314" t="n">
        <v>0</v>
      </c>
      <c r="AB339" s="313" t="n">
        <v>0</v>
      </c>
      <c r="AC339" s="314" t="n">
        <v>0</v>
      </c>
      <c r="AD339" s="315"/>
      <c r="AE339" s="144" t="n">
        <v>17</v>
      </c>
      <c r="AF339" s="315"/>
      <c r="AG339" s="311" t="n">
        <v>0</v>
      </c>
      <c r="AH339" s="309" t="n">
        <v>0</v>
      </c>
      <c r="AI339" s="310"/>
      <c r="AJ339" s="311" t="n">
        <v>53</v>
      </c>
      <c r="AK339" s="309" t="n">
        <v>0</v>
      </c>
      <c r="AL339" s="311" t="n">
        <v>53</v>
      </c>
      <c r="AM339" s="309" t="n">
        <v>0</v>
      </c>
      <c r="AN339" s="311" t="n">
        <v>53</v>
      </c>
      <c r="AO339" s="309" t="n">
        <v>0</v>
      </c>
      <c r="AP339" s="310"/>
      <c r="AQ339" s="311" t="n">
        <v>53</v>
      </c>
      <c r="AR339" s="309" t="n">
        <v>0</v>
      </c>
      <c r="AS339" s="311" t="n">
        <v>53</v>
      </c>
      <c r="AT339" s="309" t="n">
        <v>0</v>
      </c>
      <c r="AU339" s="311" t="n">
        <v>53</v>
      </c>
      <c r="AV339" s="309" t="n">
        <v>0</v>
      </c>
      <c r="AW339" s="311" t="n">
        <v>53</v>
      </c>
      <c r="AX339" s="309" t="n">
        <v>0</v>
      </c>
      <c r="AY339" s="311" t="n">
        <v>53</v>
      </c>
      <c r="AZ339" s="309" t="n">
        <v>0</v>
      </c>
      <c r="BB339" s="144" t="n">
        <v>0</v>
      </c>
      <c r="BC339" s="315"/>
      <c r="BD339" s="311" t="n">
        <v>0</v>
      </c>
      <c r="BE339" s="316" t="n">
        <v>0</v>
      </c>
      <c r="BF339" s="310"/>
      <c r="BG339" s="317" t="n">
        <v>0</v>
      </c>
      <c r="BH339" s="318" t="n">
        <v>0</v>
      </c>
      <c r="BI339" s="317" t="n">
        <v>0</v>
      </c>
      <c r="BJ339" s="318" t="n">
        <v>0</v>
      </c>
      <c r="BK339" s="317" t="n">
        <v>0</v>
      </c>
      <c r="BL339" s="318" t="n">
        <v>0</v>
      </c>
      <c r="BM339" s="310"/>
      <c r="BN339" s="317" t="n">
        <v>0</v>
      </c>
      <c r="BO339" s="318" t="n">
        <v>0</v>
      </c>
      <c r="BP339" s="317" t="n">
        <v>0</v>
      </c>
      <c r="BQ339" s="318" t="n">
        <v>0</v>
      </c>
      <c r="BR339" s="317" t="n">
        <v>0</v>
      </c>
      <c r="BS339" s="318" t="n">
        <v>0</v>
      </c>
      <c r="BT339" s="317" t="n">
        <v>0</v>
      </c>
      <c r="BU339" s="318" t="n">
        <v>0</v>
      </c>
      <c r="BV339" s="317" t="n">
        <v>0</v>
      </c>
      <c r="BW339" s="318" t="n">
        <v>0</v>
      </c>
      <c r="BY339" s="143"/>
      <c r="BZ339" s="315"/>
      <c r="CA339" s="144" t="s">
        <v>12</v>
      </c>
      <c r="CB339" s="315"/>
      <c r="CC339" s="144" t="n">
        <v>-35.5371900826446</v>
      </c>
      <c r="CD339" s="144" t="n">
        <v>-35.5371900826446</v>
      </c>
      <c r="CE339" s="144" t="n">
        <v>-35.5371900826446</v>
      </c>
      <c r="CF339" s="315"/>
      <c r="CG339" s="144" t="n">
        <v>-35.5371900826446</v>
      </c>
      <c r="CH339" s="144" t="n">
        <v>-35.5371900826446</v>
      </c>
      <c r="CI339" s="144" t="n">
        <v>-35.5371900826446</v>
      </c>
      <c r="CJ339" s="144" t="n">
        <v>-35.5371900826446</v>
      </c>
      <c r="CK339" s="144" t="n">
        <v>-35.5371900826446</v>
      </c>
      <c r="CM339" s="144" t="n">
        <v>40.495867768595</v>
      </c>
      <c r="CO339" s="319"/>
      <c r="CP339" s="320"/>
      <c r="CQ339" s="321" t="s">
        <v>12</v>
      </c>
      <c r="CR339" s="320"/>
      <c r="CS339" s="322" t="n">
        <v>-40.495867768595</v>
      </c>
      <c r="CT339" s="322" t="n">
        <v>-40.495867768595</v>
      </c>
      <c r="CU339" s="322" t="n">
        <v>-40.495867768595</v>
      </c>
      <c r="CV339" s="323"/>
      <c r="CW339" s="322" t="n">
        <v>-40.495867768595</v>
      </c>
      <c r="CX339" s="322" t="n">
        <v>-40.495867768595</v>
      </c>
      <c r="CY339" s="322" t="n">
        <v>-40.495867768595</v>
      </c>
      <c r="CZ339" s="322" t="n">
        <v>-40.495867768595</v>
      </c>
      <c r="DA339" s="322" t="n">
        <v>-40.495867768595</v>
      </c>
    </row>
    <row r="340" customFormat="false" ht="12.75" hidden="false" customHeight="false" outlineLevel="0" collapsed="false">
      <c r="B340" s="305" t="s">
        <v>200</v>
      </c>
      <c r="C340" s="305" t="s">
        <v>617</v>
      </c>
      <c r="D340" s="306" t="n">
        <v>172</v>
      </c>
      <c r="E340" s="306" t="n">
        <v>0</v>
      </c>
      <c r="F340" s="324" t="s">
        <v>603</v>
      </c>
      <c r="G340" s="144" t="n">
        <v>24</v>
      </c>
      <c r="H340" s="325" t="n">
        <v>130.578512396694</v>
      </c>
      <c r="I340" s="2"/>
      <c r="J340" s="144" t="s">
        <v>12</v>
      </c>
      <c r="K340" s="309" t="s">
        <v>12</v>
      </c>
      <c r="L340" s="310"/>
      <c r="M340" s="311" t="n">
        <v>19</v>
      </c>
      <c r="N340" s="312" t="n">
        <v>4.2</v>
      </c>
      <c r="O340" s="311" t="n">
        <v>0</v>
      </c>
      <c r="P340" s="312" t="n">
        <v>2.3</v>
      </c>
      <c r="Q340" s="310" t="n">
        <v>0</v>
      </c>
      <c r="R340" s="312" t="n">
        <v>1.5</v>
      </c>
      <c r="S340" s="310"/>
      <c r="T340" s="311" t="n">
        <v>0</v>
      </c>
      <c r="U340" s="312" t="n">
        <v>4.6</v>
      </c>
      <c r="V340" s="311" t="n">
        <v>0</v>
      </c>
      <c r="W340" s="312" t="n">
        <v>1.7</v>
      </c>
      <c r="X340" s="311" t="n">
        <v>0</v>
      </c>
      <c r="Y340" s="312" t="n">
        <v>1.7</v>
      </c>
      <c r="Z340" s="313" t="n">
        <v>0</v>
      </c>
      <c r="AA340" s="314" t="n">
        <v>1.7</v>
      </c>
      <c r="AB340" s="313" t="n">
        <v>0</v>
      </c>
      <c r="AC340" s="314" t="n">
        <v>1.7</v>
      </c>
      <c r="AD340" s="315"/>
      <c r="AE340" s="144" t="n">
        <v>41</v>
      </c>
      <c r="AF340" s="315"/>
      <c r="AG340" s="311" t="n">
        <v>0</v>
      </c>
      <c r="AH340" s="309" t="n">
        <v>0</v>
      </c>
      <c r="AI340" s="310"/>
      <c r="AJ340" s="311" t="n">
        <v>52</v>
      </c>
      <c r="AK340" s="309" t="n">
        <v>100.8</v>
      </c>
      <c r="AL340" s="311" t="n">
        <v>117</v>
      </c>
      <c r="AM340" s="309" t="n">
        <v>55.2</v>
      </c>
      <c r="AN340" s="310" t="n">
        <v>136</v>
      </c>
      <c r="AO340" s="309" t="n">
        <v>36</v>
      </c>
      <c r="AP340" s="310"/>
      <c r="AQ340" s="311" t="n">
        <v>62</v>
      </c>
      <c r="AR340" s="309" t="n">
        <v>110.4</v>
      </c>
      <c r="AS340" s="311" t="n">
        <v>131</v>
      </c>
      <c r="AT340" s="309" t="n">
        <v>40.8</v>
      </c>
      <c r="AU340" s="310" t="n">
        <v>131</v>
      </c>
      <c r="AV340" s="309" t="n">
        <v>40.8</v>
      </c>
      <c r="AW340" s="310" t="n">
        <v>131</v>
      </c>
      <c r="AX340" s="309" t="n">
        <v>40.8</v>
      </c>
      <c r="AY340" s="310" t="n">
        <v>131</v>
      </c>
      <c r="AZ340" s="309" t="n">
        <v>40.8</v>
      </c>
      <c r="BB340" s="144" t="n">
        <v>0</v>
      </c>
      <c r="BC340" s="315"/>
      <c r="BD340" s="311" t="n">
        <v>0</v>
      </c>
      <c r="BE340" s="316" t="n">
        <v>0</v>
      </c>
      <c r="BF340" s="310"/>
      <c r="BG340" s="317" t="n">
        <v>0</v>
      </c>
      <c r="BH340" s="318" t="n">
        <v>0.4</v>
      </c>
      <c r="BI340" s="317" t="n">
        <v>0</v>
      </c>
      <c r="BJ340" s="318" t="n">
        <v>0.8</v>
      </c>
      <c r="BK340" s="317" t="n">
        <v>0</v>
      </c>
      <c r="BL340" s="318" t="n">
        <v>0.8</v>
      </c>
      <c r="BM340" s="310"/>
      <c r="BN340" s="317" t="n">
        <v>0</v>
      </c>
      <c r="BO340" s="318" t="n">
        <v>0</v>
      </c>
      <c r="BP340" s="317" t="n">
        <v>0</v>
      </c>
      <c r="BQ340" s="318" t="n">
        <v>0</v>
      </c>
      <c r="BR340" s="317" t="n">
        <v>0</v>
      </c>
      <c r="BS340" s="318" t="n">
        <v>0</v>
      </c>
      <c r="BT340" s="317" t="n">
        <v>0</v>
      </c>
      <c r="BU340" s="318" t="n">
        <v>0</v>
      </c>
      <c r="BV340" s="317" t="n">
        <v>0</v>
      </c>
      <c r="BW340" s="318" t="n">
        <v>0</v>
      </c>
      <c r="BY340" s="143"/>
      <c r="BZ340" s="315"/>
      <c r="CA340" s="144" t="s">
        <v>12</v>
      </c>
      <c r="CB340" s="315"/>
      <c r="CC340" s="144" t="n">
        <v>-10.7785123966942</v>
      </c>
      <c r="CD340" s="144" t="n">
        <v>-75.3785123966942</v>
      </c>
      <c r="CE340" s="144" t="n">
        <v>-94.5785123966942</v>
      </c>
      <c r="CF340" s="315"/>
      <c r="CG340" s="144" t="n">
        <v>-20.1785123966942</v>
      </c>
      <c r="CH340" s="144" t="n">
        <v>-89.7785123966942</v>
      </c>
      <c r="CI340" s="144" t="n">
        <v>-89.7785123966942</v>
      </c>
      <c r="CJ340" s="144" t="n">
        <v>-89.7785123966942</v>
      </c>
      <c r="CK340" s="144" t="n">
        <v>-89.7785123966942</v>
      </c>
      <c r="CM340" s="144" t="n">
        <v>147.933884297521</v>
      </c>
      <c r="CO340" s="319"/>
      <c r="CP340" s="320"/>
      <c r="CQ340" s="321" t="s">
        <v>12</v>
      </c>
      <c r="CR340" s="320"/>
      <c r="CS340" s="322" t="n">
        <v>-28.1338842975207</v>
      </c>
      <c r="CT340" s="322" t="n">
        <v>-92.7338842975207</v>
      </c>
      <c r="CU340" s="322" t="n">
        <v>-111.933884297521</v>
      </c>
      <c r="CV340" s="323"/>
      <c r="CW340" s="322" t="n">
        <v>-37.5338842975207</v>
      </c>
      <c r="CX340" s="322" t="n">
        <v>-107.133884297521</v>
      </c>
      <c r="CY340" s="322" t="n">
        <v>-107.133884297521</v>
      </c>
      <c r="CZ340" s="322" t="n">
        <v>-107.133884297521</v>
      </c>
      <c r="DA340" s="322" t="n">
        <v>-107.133884297521</v>
      </c>
    </row>
    <row r="341" customFormat="false" ht="12.75" hidden="false" customHeight="false" outlineLevel="0" collapsed="false">
      <c r="B341" s="305" t="s">
        <v>200</v>
      </c>
      <c r="C341" s="305" t="s">
        <v>618</v>
      </c>
      <c r="D341" s="306" t="n">
        <v>240</v>
      </c>
      <c r="E341" s="306" t="n">
        <v>0</v>
      </c>
      <c r="F341" s="306" t="s">
        <v>603</v>
      </c>
      <c r="G341" s="307" t="n">
        <v>24</v>
      </c>
      <c r="H341" s="308" t="n">
        <v>187.603305785124</v>
      </c>
      <c r="I341" s="2"/>
      <c r="J341" s="144" t="s">
        <v>12</v>
      </c>
      <c r="K341" s="309" t="s">
        <v>12</v>
      </c>
      <c r="L341" s="310"/>
      <c r="M341" s="311" t="n">
        <v>29</v>
      </c>
      <c r="N341" s="312" t="n">
        <v>5.6</v>
      </c>
      <c r="O341" s="311" t="n">
        <v>0</v>
      </c>
      <c r="P341" s="312" t="n">
        <v>4.2</v>
      </c>
      <c r="Q341" s="310" t="n">
        <v>0</v>
      </c>
      <c r="R341" s="312" t="n">
        <v>3.4</v>
      </c>
      <c r="S341" s="310"/>
      <c r="T341" s="311" t="n">
        <v>0</v>
      </c>
      <c r="U341" s="312" t="n">
        <v>6.7</v>
      </c>
      <c r="V341" s="311" t="n">
        <v>0</v>
      </c>
      <c r="W341" s="312" t="n">
        <v>4.2</v>
      </c>
      <c r="X341" s="311" t="n">
        <v>0</v>
      </c>
      <c r="Y341" s="312" t="n">
        <v>4.2</v>
      </c>
      <c r="Z341" s="313" t="n">
        <v>0</v>
      </c>
      <c r="AA341" s="314" t="n">
        <v>4.1</v>
      </c>
      <c r="AB341" s="313" t="n">
        <v>0</v>
      </c>
      <c r="AC341" s="314" t="n">
        <v>4.1</v>
      </c>
      <c r="AD341" s="315"/>
      <c r="AE341" s="144" t="n">
        <v>52</v>
      </c>
      <c r="AF341" s="315"/>
      <c r="AG341" s="311" t="n">
        <v>0</v>
      </c>
      <c r="AH341" s="309" t="n">
        <v>0</v>
      </c>
      <c r="AI341" s="310"/>
      <c r="AJ341" s="311" t="n">
        <v>77</v>
      </c>
      <c r="AK341" s="309" t="n">
        <v>134.4</v>
      </c>
      <c r="AL341" s="311" t="n">
        <v>139</v>
      </c>
      <c r="AM341" s="309" t="n">
        <v>100.8</v>
      </c>
      <c r="AN341" s="311" t="n">
        <v>158</v>
      </c>
      <c r="AO341" s="309" t="n">
        <v>81.6</v>
      </c>
      <c r="AP341" s="310"/>
      <c r="AQ341" s="311" t="n">
        <v>79</v>
      </c>
      <c r="AR341" s="309" t="n">
        <v>160.8</v>
      </c>
      <c r="AS341" s="311" t="n">
        <v>139</v>
      </c>
      <c r="AT341" s="309" t="n">
        <v>100.8</v>
      </c>
      <c r="AU341" s="311" t="n">
        <v>139</v>
      </c>
      <c r="AV341" s="309" t="n">
        <v>100.8</v>
      </c>
      <c r="AW341" s="311" t="n">
        <v>142</v>
      </c>
      <c r="AX341" s="309" t="n">
        <v>98.4</v>
      </c>
      <c r="AY341" s="311" t="n">
        <v>142</v>
      </c>
      <c r="AZ341" s="309" t="n">
        <v>98.4</v>
      </c>
      <c r="BB341" s="144" t="n">
        <v>0</v>
      </c>
      <c r="BC341" s="315"/>
      <c r="BD341" s="311" t="n">
        <v>0</v>
      </c>
      <c r="BE341" s="316" t="n">
        <v>0</v>
      </c>
      <c r="BF341" s="310"/>
      <c r="BG341" s="317" t="n">
        <v>0</v>
      </c>
      <c r="BH341" s="318" t="n">
        <v>0.2</v>
      </c>
      <c r="BI341" s="317" t="n">
        <v>0</v>
      </c>
      <c r="BJ341" s="318" t="n">
        <v>0.8</v>
      </c>
      <c r="BK341" s="317" t="n">
        <v>0</v>
      </c>
      <c r="BL341" s="318" t="n">
        <v>0.9</v>
      </c>
      <c r="BM341" s="310"/>
      <c r="BN341" s="317" t="n">
        <v>0</v>
      </c>
      <c r="BO341" s="318" t="n">
        <v>0</v>
      </c>
      <c r="BP341" s="317" t="n">
        <v>0</v>
      </c>
      <c r="BQ341" s="318" t="n">
        <v>0.8</v>
      </c>
      <c r="BR341" s="317" t="n">
        <v>0</v>
      </c>
      <c r="BS341" s="318" t="n">
        <v>0.8</v>
      </c>
      <c r="BT341" s="317" t="n">
        <v>0</v>
      </c>
      <c r="BU341" s="318" t="n">
        <v>0.8</v>
      </c>
      <c r="BV341" s="317" t="n">
        <v>0</v>
      </c>
      <c r="BW341" s="318" t="n">
        <v>0.8</v>
      </c>
      <c r="BY341" s="143"/>
      <c r="BZ341" s="315"/>
      <c r="CA341" s="144" t="s">
        <v>12</v>
      </c>
      <c r="CB341" s="315"/>
      <c r="CC341" s="144" t="n">
        <v>-24.203305785124</v>
      </c>
      <c r="CD341" s="144" t="n">
        <v>-86.803305785124</v>
      </c>
      <c r="CE341" s="144" t="n">
        <v>-106.003305785124</v>
      </c>
      <c r="CF341" s="315"/>
      <c r="CG341" s="144" t="n">
        <v>-26.803305785124</v>
      </c>
      <c r="CH341" s="144" t="n">
        <v>-86.803305785124</v>
      </c>
      <c r="CI341" s="144" t="n">
        <v>-86.803305785124</v>
      </c>
      <c r="CJ341" s="144" t="n">
        <v>-89.203305785124</v>
      </c>
      <c r="CK341" s="144" t="n">
        <v>-89.203305785124</v>
      </c>
      <c r="CM341" s="144" t="n">
        <v>205.785123966942</v>
      </c>
      <c r="CO341" s="319"/>
      <c r="CP341" s="320"/>
      <c r="CQ341" s="321" t="s">
        <v>12</v>
      </c>
      <c r="CR341" s="320"/>
      <c r="CS341" s="322" t="n">
        <v>-42.3851239669422</v>
      </c>
      <c r="CT341" s="322" t="n">
        <v>-104.985123966942</v>
      </c>
      <c r="CU341" s="322" t="n">
        <v>-124.185123966942</v>
      </c>
      <c r="CV341" s="323"/>
      <c r="CW341" s="322" t="n">
        <v>-44.9851239669422</v>
      </c>
      <c r="CX341" s="322" t="n">
        <v>-104.985123966942</v>
      </c>
      <c r="CY341" s="322" t="n">
        <v>-104.985123966942</v>
      </c>
      <c r="CZ341" s="322" t="n">
        <v>-107.385123966942</v>
      </c>
      <c r="DA341" s="322" t="n">
        <v>-107.385123966942</v>
      </c>
    </row>
    <row r="342" customFormat="false" ht="12.75" hidden="false" customHeight="false" outlineLevel="0" collapsed="false">
      <c r="B342" s="305" t="s">
        <v>200</v>
      </c>
      <c r="C342" s="305" t="s">
        <v>619</v>
      </c>
      <c r="D342" s="306" t="n">
        <v>99</v>
      </c>
      <c r="E342" s="306" t="n">
        <v>0</v>
      </c>
      <c r="F342" s="324" t="s">
        <v>603</v>
      </c>
      <c r="G342" s="144" t="n">
        <v>24</v>
      </c>
      <c r="H342" s="325" t="n">
        <v>80.1652892561983</v>
      </c>
      <c r="I342" s="2"/>
      <c r="J342" s="144" t="s">
        <v>12</v>
      </c>
      <c r="K342" s="309" t="s">
        <v>12</v>
      </c>
      <c r="L342" s="310"/>
      <c r="M342" s="311" t="n">
        <v>0</v>
      </c>
      <c r="N342" s="312" t="n">
        <v>3.1</v>
      </c>
      <c r="O342" s="311" t="n">
        <v>0</v>
      </c>
      <c r="P342" s="312" t="n">
        <v>0.7</v>
      </c>
      <c r="Q342" s="310" t="n">
        <v>0</v>
      </c>
      <c r="R342" s="312" t="n">
        <v>0.3</v>
      </c>
      <c r="S342" s="310"/>
      <c r="T342" s="311" t="n">
        <v>0</v>
      </c>
      <c r="U342" s="312" t="n">
        <v>0.9</v>
      </c>
      <c r="V342" s="311" t="n">
        <v>0</v>
      </c>
      <c r="W342" s="312" t="n">
        <v>1.3</v>
      </c>
      <c r="X342" s="311" t="n">
        <v>0</v>
      </c>
      <c r="Y342" s="312" t="n">
        <v>1.3</v>
      </c>
      <c r="Z342" s="313" t="n">
        <v>0</v>
      </c>
      <c r="AA342" s="314" t="n">
        <v>1.2</v>
      </c>
      <c r="AB342" s="313" t="n">
        <v>0</v>
      </c>
      <c r="AC342" s="314" t="n">
        <v>1.2</v>
      </c>
      <c r="AD342" s="315"/>
      <c r="AE342" s="144" t="n">
        <v>19</v>
      </c>
      <c r="AF342" s="315"/>
      <c r="AG342" s="311" t="n">
        <v>0</v>
      </c>
      <c r="AH342" s="309" t="n">
        <v>0</v>
      </c>
      <c r="AI342" s="310"/>
      <c r="AJ342" s="311" t="n">
        <v>25</v>
      </c>
      <c r="AK342" s="309" t="n">
        <v>74.4</v>
      </c>
      <c r="AL342" s="311" t="n">
        <v>82</v>
      </c>
      <c r="AM342" s="309" t="n">
        <v>16.8</v>
      </c>
      <c r="AN342" s="310" t="n">
        <v>92</v>
      </c>
      <c r="AO342" s="309" t="n">
        <v>7.2</v>
      </c>
      <c r="AP342" s="310"/>
      <c r="AQ342" s="311" t="n">
        <v>77</v>
      </c>
      <c r="AR342" s="309" t="n">
        <v>21.6</v>
      </c>
      <c r="AS342" s="311" t="n">
        <v>68</v>
      </c>
      <c r="AT342" s="309" t="n">
        <v>31.2</v>
      </c>
      <c r="AU342" s="310" t="n">
        <v>68</v>
      </c>
      <c r="AV342" s="309" t="n">
        <v>31.2</v>
      </c>
      <c r="AW342" s="310" t="n">
        <v>70</v>
      </c>
      <c r="AX342" s="309" t="n">
        <v>28.8</v>
      </c>
      <c r="AY342" s="310" t="n">
        <v>70</v>
      </c>
      <c r="AZ342" s="309" t="n">
        <v>28.8</v>
      </c>
      <c r="BB342" s="144" t="n">
        <v>0</v>
      </c>
      <c r="BC342" s="315"/>
      <c r="BD342" s="311" t="n">
        <v>0</v>
      </c>
      <c r="BE342" s="316" t="n">
        <v>0</v>
      </c>
      <c r="BF342" s="310"/>
      <c r="BG342" s="317" t="n">
        <v>0</v>
      </c>
      <c r="BH342" s="318" t="n">
        <v>1</v>
      </c>
      <c r="BI342" s="317" t="n">
        <v>0</v>
      </c>
      <c r="BJ342" s="318" t="n">
        <v>-1.4</v>
      </c>
      <c r="BK342" s="317" t="n">
        <v>0</v>
      </c>
      <c r="BL342" s="318" t="n">
        <v>-1.8</v>
      </c>
      <c r="BM342" s="310"/>
      <c r="BN342" s="317" t="n">
        <v>0</v>
      </c>
      <c r="BO342" s="318" t="n">
        <v>0</v>
      </c>
      <c r="BP342" s="317" t="n">
        <v>0</v>
      </c>
      <c r="BQ342" s="318" t="n">
        <v>1.3</v>
      </c>
      <c r="BR342" s="317" t="n">
        <v>0</v>
      </c>
      <c r="BS342" s="318" t="n">
        <v>1.3</v>
      </c>
      <c r="BT342" s="317" t="n">
        <v>0</v>
      </c>
      <c r="BU342" s="318" t="n">
        <v>1.2</v>
      </c>
      <c r="BV342" s="317" t="n">
        <v>0</v>
      </c>
      <c r="BW342" s="318" t="n">
        <v>1.2</v>
      </c>
      <c r="BY342" s="143"/>
      <c r="BZ342" s="315"/>
      <c r="CA342" s="144" t="s">
        <v>12</v>
      </c>
      <c r="CB342" s="315"/>
      <c r="CC342" s="144" t="n">
        <v>-5.76528925619834</v>
      </c>
      <c r="CD342" s="144" t="n">
        <v>-63.3652892561984</v>
      </c>
      <c r="CE342" s="144" t="n">
        <v>-72.9652892561983</v>
      </c>
      <c r="CF342" s="315"/>
      <c r="CG342" s="144" t="n">
        <v>-58.5652892561984</v>
      </c>
      <c r="CH342" s="144" t="n">
        <v>-48.9652892561984</v>
      </c>
      <c r="CI342" s="144" t="n">
        <v>-48.9652892561984</v>
      </c>
      <c r="CJ342" s="144" t="n">
        <v>-51.3652892561983</v>
      </c>
      <c r="CK342" s="144" t="n">
        <v>-51.3652892561983</v>
      </c>
      <c r="CM342" s="144" t="n">
        <v>90.0826446280992</v>
      </c>
      <c r="CO342" s="319"/>
      <c r="CP342" s="320"/>
      <c r="CQ342" s="321" t="s">
        <v>12</v>
      </c>
      <c r="CR342" s="320"/>
      <c r="CS342" s="322" t="n">
        <v>-15.6826446280992</v>
      </c>
      <c r="CT342" s="322" t="n">
        <v>-73.2826446280992</v>
      </c>
      <c r="CU342" s="322" t="n">
        <v>-82.8826446280992</v>
      </c>
      <c r="CV342" s="323"/>
      <c r="CW342" s="322" t="n">
        <v>-68.4826446280992</v>
      </c>
      <c r="CX342" s="322" t="n">
        <v>-58.8826446280992</v>
      </c>
      <c r="CY342" s="322" t="n">
        <v>-58.8826446280992</v>
      </c>
      <c r="CZ342" s="322" t="n">
        <v>-61.2826446280992</v>
      </c>
      <c r="DA342" s="322" t="n">
        <v>-61.2826446280992</v>
      </c>
    </row>
    <row r="343" customFormat="false" ht="12.75" hidden="false" customHeight="false" outlineLevel="0" collapsed="false">
      <c r="B343" s="305" t="s">
        <v>428</v>
      </c>
      <c r="C343" s="305" t="s">
        <v>620</v>
      </c>
      <c r="D343" s="306" t="n">
        <v>39</v>
      </c>
      <c r="E343" s="306" t="n">
        <v>0</v>
      </c>
      <c r="F343" s="306" t="s">
        <v>603</v>
      </c>
      <c r="G343" s="307" t="n">
        <v>24</v>
      </c>
      <c r="H343" s="308" t="n">
        <v>38.0165289256198</v>
      </c>
      <c r="I343" s="2"/>
      <c r="J343" s="144" t="s">
        <v>12</v>
      </c>
      <c r="K343" s="309" t="s">
        <v>12</v>
      </c>
      <c r="L343" s="310"/>
      <c r="M343" s="311" t="n">
        <v>0</v>
      </c>
      <c r="N343" s="312" t="n">
        <v>0</v>
      </c>
      <c r="O343" s="311" t="n">
        <v>0</v>
      </c>
      <c r="P343" s="312" t="n">
        <v>0</v>
      </c>
      <c r="Q343" s="310" t="n">
        <v>0</v>
      </c>
      <c r="R343" s="312" t="n">
        <v>0</v>
      </c>
      <c r="S343" s="310"/>
      <c r="T343" s="311" t="n">
        <v>0</v>
      </c>
      <c r="U343" s="312" t="n">
        <v>0</v>
      </c>
      <c r="V343" s="311" t="n">
        <v>0</v>
      </c>
      <c r="W343" s="312" t="n">
        <v>0</v>
      </c>
      <c r="X343" s="311" t="n">
        <v>0</v>
      </c>
      <c r="Y343" s="312" t="n">
        <v>0</v>
      </c>
      <c r="Z343" s="313" t="n">
        <v>0</v>
      </c>
      <c r="AA343" s="314" t="n">
        <v>0</v>
      </c>
      <c r="AB343" s="313" t="n">
        <v>0</v>
      </c>
      <c r="AC343" s="314" t="n">
        <v>0</v>
      </c>
      <c r="AD343" s="315"/>
      <c r="AE343" s="144" t="n">
        <v>1</v>
      </c>
      <c r="AF343" s="315"/>
      <c r="AG343" s="311" t="n">
        <v>0</v>
      </c>
      <c r="AH343" s="309" t="n">
        <v>0</v>
      </c>
      <c r="AI343" s="310"/>
      <c r="AJ343" s="311" t="n">
        <v>39</v>
      </c>
      <c r="AK343" s="309" t="n">
        <v>0</v>
      </c>
      <c r="AL343" s="311" t="n">
        <v>39</v>
      </c>
      <c r="AM343" s="309" t="n">
        <v>0</v>
      </c>
      <c r="AN343" s="311" t="n">
        <v>39</v>
      </c>
      <c r="AO343" s="309" t="n">
        <v>0</v>
      </c>
      <c r="AP343" s="310"/>
      <c r="AQ343" s="311" t="n">
        <v>39</v>
      </c>
      <c r="AR343" s="309" t="n">
        <v>0</v>
      </c>
      <c r="AS343" s="311" t="n">
        <v>39</v>
      </c>
      <c r="AT343" s="309" t="n">
        <v>0</v>
      </c>
      <c r="AU343" s="311" t="n">
        <v>39</v>
      </c>
      <c r="AV343" s="309" t="n">
        <v>0</v>
      </c>
      <c r="AW343" s="311" t="n">
        <v>39</v>
      </c>
      <c r="AX343" s="309" t="n">
        <v>0</v>
      </c>
      <c r="AY343" s="311" t="n">
        <v>39</v>
      </c>
      <c r="AZ343" s="309" t="n">
        <v>0</v>
      </c>
      <c r="BB343" s="144" t="n">
        <v>0</v>
      </c>
      <c r="BC343" s="315"/>
      <c r="BD343" s="311" t="n">
        <v>0</v>
      </c>
      <c r="BE343" s="316" t="n">
        <v>0</v>
      </c>
      <c r="BF343" s="310"/>
      <c r="BG343" s="317" t="n">
        <v>0</v>
      </c>
      <c r="BH343" s="318" t="n">
        <v>0</v>
      </c>
      <c r="BI343" s="317" t="n">
        <v>0</v>
      </c>
      <c r="BJ343" s="318" t="n">
        <v>0</v>
      </c>
      <c r="BK343" s="317" t="n">
        <v>0</v>
      </c>
      <c r="BL343" s="318" t="n">
        <v>0</v>
      </c>
      <c r="BM343" s="310"/>
      <c r="BN343" s="317" t="n">
        <v>0</v>
      </c>
      <c r="BO343" s="318" t="n">
        <v>0</v>
      </c>
      <c r="BP343" s="317" t="n">
        <v>0</v>
      </c>
      <c r="BQ343" s="318" t="n">
        <v>0</v>
      </c>
      <c r="BR343" s="317" t="n">
        <v>0</v>
      </c>
      <c r="BS343" s="318" t="n">
        <v>0</v>
      </c>
      <c r="BT343" s="317" t="n">
        <v>0</v>
      </c>
      <c r="BU343" s="318" t="n">
        <v>0</v>
      </c>
      <c r="BV343" s="317" t="n">
        <v>0</v>
      </c>
      <c r="BW343" s="318" t="n">
        <v>0</v>
      </c>
      <c r="BY343" s="143"/>
      <c r="BZ343" s="315"/>
      <c r="CA343" s="144" t="s">
        <v>12</v>
      </c>
      <c r="CB343" s="315"/>
      <c r="CC343" s="144" t="n">
        <v>-38.0165289256198</v>
      </c>
      <c r="CD343" s="144" t="n">
        <v>-38.0165289256198</v>
      </c>
      <c r="CE343" s="144" t="n">
        <v>-38.0165289256198</v>
      </c>
      <c r="CF343" s="315"/>
      <c r="CG343" s="144" t="n">
        <v>-38.0165289256198</v>
      </c>
      <c r="CH343" s="144" t="n">
        <v>-38.0165289256198</v>
      </c>
      <c r="CI343" s="144" t="n">
        <v>-38.0165289256198</v>
      </c>
      <c r="CJ343" s="144" t="n">
        <v>-38.0165289256198</v>
      </c>
      <c r="CK343" s="144" t="n">
        <v>-38.0165289256198</v>
      </c>
      <c r="CM343" s="144" t="n">
        <v>32.2314049586777</v>
      </c>
      <c r="CO343" s="319"/>
      <c r="CP343" s="320"/>
      <c r="CQ343" s="321" t="s">
        <v>12</v>
      </c>
      <c r="CR343" s="320"/>
      <c r="CS343" s="322" t="n">
        <v>-32.2314049586777</v>
      </c>
      <c r="CT343" s="322" t="n">
        <v>-32.2314049586777</v>
      </c>
      <c r="CU343" s="322" t="n">
        <v>-32.2314049586777</v>
      </c>
      <c r="CV343" s="323"/>
      <c r="CW343" s="322" t="n">
        <v>-32.2314049586777</v>
      </c>
      <c r="CX343" s="322" t="n">
        <v>-32.2314049586777</v>
      </c>
      <c r="CY343" s="322" t="n">
        <v>-32.2314049586777</v>
      </c>
      <c r="CZ343" s="322" t="n">
        <v>-32.2314049586777</v>
      </c>
      <c r="DA343" s="322" t="n">
        <v>-32.2314049586777</v>
      </c>
    </row>
    <row r="344" customFormat="false" ht="12.75" hidden="false" customHeight="false" outlineLevel="0" collapsed="false">
      <c r="B344" s="305" t="s">
        <v>428</v>
      </c>
      <c r="C344" s="305" t="s">
        <v>621</v>
      </c>
      <c r="D344" s="306" t="n">
        <v>46</v>
      </c>
      <c r="E344" s="306" t="n">
        <v>0</v>
      </c>
      <c r="F344" s="324" t="s">
        <v>603</v>
      </c>
      <c r="G344" s="144" t="n">
        <v>24</v>
      </c>
      <c r="H344" s="325" t="n">
        <v>42.9752066115703</v>
      </c>
      <c r="I344" s="2"/>
      <c r="J344" s="144" t="s">
        <v>12</v>
      </c>
      <c r="K344" s="309" t="s">
        <v>12</v>
      </c>
      <c r="L344" s="310"/>
      <c r="M344" s="311" t="n">
        <v>0</v>
      </c>
      <c r="N344" s="312" t="n">
        <v>0</v>
      </c>
      <c r="O344" s="311" t="n">
        <v>0</v>
      </c>
      <c r="P344" s="312" t="n">
        <v>0</v>
      </c>
      <c r="Q344" s="310" t="n">
        <v>0</v>
      </c>
      <c r="R344" s="312" t="n">
        <v>0</v>
      </c>
      <c r="S344" s="310"/>
      <c r="T344" s="311" t="n">
        <v>0</v>
      </c>
      <c r="U344" s="312" t="n">
        <v>0</v>
      </c>
      <c r="V344" s="311" t="n">
        <v>0</v>
      </c>
      <c r="W344" s="312" t="n">
        <v>0</v>
      </c>
      <c r="X344" s="311" t="n">
        <v>0</v>
      </c>
      <c r="Y344" s="312" t="n">
        <v>0</v>
      </c>
      <c r="Z344" s="313" t="n">
        <v>0</v>
      </c>
      <c r="AA344" s="314" t="n">
        <v>0</v>
      </c>
      <c r="AB344" s="313" t="n">
        <v>0</v>
      </c>
      <c r="AC344" s="314" t="n">
        <v>0</v>
      </c>
      <c r="AD344" s="315"/>
      <c r="AE344" s="144" t="n">
        <v>3</v>
      </c>
      <c r="AF344" s="315"/>
      <c r="AG344" s="311" t="n">
        <v>0</v>
      </c>
      <c r="AH344" s="309" t="n">
        <v>0</v>
      </c>
      <c r="AI344" s="310"/>
      <c r="AJ344" s="311" t="n">
        <v>46</v>
      </c>
      <c r="AK344" s="309" t="n">
        <v>0</v>
      </c>
      <c r="AL344" s="311" t="n">
        <v>46</v>
      </c>
      <c r="AM344" s="309" t="n">
        <v>0</v>
      </c>
      <c r="AN344" s="310" t="n">
        <v>46</v>
      </c>
      <c r="AO344" s="309" t="n">
        <v>0</v>
      </c>
      <c r="AP344" s="310"/>
      <c r="AQ344" s="311" t="n">
        <v>46</v>
      </c>
      <c r="AR344" s="309" t="n">
        <v>0</v>
      </c>
      <c r="AS344" s="311" t="n">
        <v>46</v>
      </c>
      <c r="AT344" s="309" t="n">
        <v>0</v>
      </c>
      <c r="AU344" s="310" t="n">
        <v>46</v>
      </c>
      <c r="AV344" s="309" t="n">
        <v>0</v>
      </c>
      <c r="AW344" s="310" t="n">
        <v>46</v>
      </c>
      <c r="AX344" s="309" t="n">
        <v>0</v>
      </c>
      <c r="AY344" s="310" t="n">
        <v>46</v>
      </c>
      <c r="AZ344" s="309" t="n">
        <v>0</v>
      </c>
      <c r="BB344" s="144" t="n">
        <v>0</v>
      </c>
      <c r="BC344" s="315"/>
      <c r="BD344" s="311" t="n">
        <v>0</v>
      </c>
      <c r="BE344" s="316" t="n">
        <v>0</v>
      </c>
      <c r="BF344" s="310"/>
      <c r="BG344" s="317" t="n">
        <v>0</v>
      </c>
      <c r="BH344" s="318" t="n">
        <v>0</v>
      </c>
      <c r="BI344" s="317" t="n">
        <v>0</v>
      </c>
      <c r="BJ344" s="318" t="n">
        <v>0</v>
      </c>
      <c r="BK344" s="317" t="n">
        <v>0</v>
      </c>
      <c r="BL344" s="318" t="n">
        <v>0</v>
      </c>
      <c r="BM344" s="310"/>
      <c r="BN344" s="317" t="n">
        <v>0</v>
      </c>
      <c r="BO344" s="318" t="n">
        <v>0</v>
      </c>
      <c r="BP344" s="317" t="n">
        <v>0</v>
      </c>
      <c r="BQ344" s="318" t="n">
        <v>0</v>
      </c>
      <c r="BR344" s="317" t="n">
        <v>0</v>
      </c>
      <c r="BS344" s="318" t="n">
        <v>0</v>
      </c>
      <c r="BT344" s="317" t="n">
        <v>0</v>
      </c>
      <c r="BU344" s="318" t="n">
        <v>0</v>
      </c>
      <c r="BV344" s="317" t="n">
        <v>0</v>
      </c>
      <c r="BW344" s="318" t="n">
        <v>0</v>
      </c>
      <c r="BY344" s="143"/>
      <c r="BZ344" s="315"/>
      <c r="CA344" s="144" t="s">
        <v>12</v>
      </c>
      <c r="CB344" s="315"/>
      <c r="CC344" s="144" t="n">
        <v>-42.9752066115703</v>
      </c>
      <c r="CD344" s="144" t="n">
        <v>-42.9752066115703</v>
      </c>
      <c r="CE344" s="144" t="n">
        <v>-42.9752066115703</v>
      </c>
      <c r="CF344" s="315"/>
      <c r="CG344" s="144" t="n">
        <v>-42.9752066115703</v>
      </c>
      <c r="CH344" s="144" t="n">
        <v>-42.9752066115703</v>
      </c>
      <c r="CI344" s="144" t="n">
        <v>-42.9752066115703</v>
      </c>
      <c r="CJ344" s="144" t="n">
        <v>-42.9752066115703</v>
      </c>
      <c r="CK344" s="144" t="n">
        <v>-42.9752066115703</v>
      </c>
      <c r="CM344" s="144" t="n">
        <v>45.4545454545455</v>
      </c>
      <c r="CO344" s="319"/>
      <c r="CP344" s="320"/>
      <c r="CQ344" s="321" t="s">
        <v>12</v>
      </c>
      <c r="CR344" s="320"/>
      <c r="CS344" s="322" t="n">
        <v>-45.4545454545455</v>
      </c>
      <c r="CT344" s="322" t="n">
        <v>-45.4545454545455</v>
      </c>
      <c r="CU344" s="322" t="n">
        <v>-45.4545454545455</v>
      </c>
      <c r="CV344" s="323"/>
      <c r="CW344" s="322" t="n">
        <v>-45.4545454545455</v>
      </c>
      <c r="CX344" s="322" t="n">
        <v>-45.4545454545455</v>
      </c>
      <c r="CY344" s="322" t="n">
        <v>-45.4545454545455</v>
      </c>
      <c r="CZ344" s="322" t="n">
        <v>-45.4545454545455</v>
      </c>
      <c r="DA344" s="322" t="n">
        <v>-45.4545454545455</v>
      </c>
    </row>
    <row r="345" customFormat="false" ht="12.75" hidden="false" customHeight="false" outlineLevel="0" collapsed="false">
      <c r="B345" s="305" t="s">
        <v>497</v>
      </c>
      <c r="C345" s="305" t="s">
        <v>622</v>
      </c>
      <c r="D345" s="306" t="n">
        <v>93</v>
      </c>
      <c r="E345" s="306" t="n">
        <v>0</v>
      </c>
      <c r="F345" s="306" t="s">
        <v>603</v>
      </c>
      <c r="G345" s="307" t="n">
        <v>24</v>
      </c>
      <c r="H345" s="308" t="n">
        <v>77.6859504132231</v>
      </c>
      <c r="I345" s="2"/>
      <c r="J345" s="144" t="s">
        <v>12</v>
      </c>
      <c r="K345" s="309" t="s">
        <v>12</v>
      </c>
      <c r="L345" s="310"/>
      <c r="M345" s="311" t="n">
        <v>0</v>
      </c>
      <c r="N345" s="312" t="n">
        <v>2.2</v>
      </c>
      <c r="O345" s="311" t="n">
        <v>0</v>
      </c>
      <c r="P345" s="312" t="n">
        <v>2.2</v>
      </c>
      <c r="Q345" s="310" t="n">
        <v>0</v>
      </c>
      <c r="R345" s="312" t="n">
        <v>2.2</v>
      </c>
      <c r="S345" s="310"/>
      <c r="T345" s="311" t="n">
        <v>0</v>
      </c>
      <c r="U345" s="312" t="n">
        <v>0.9</v>
      </c>
      <c r="V345" s="311" t="n">
        <v>0</v>
      </c>
      <c r="W345" s="312" t="n">
        <v>0.9</v>
      </c>
      <c r="X345" s="311" t="n">
        <v>0</v>
      </c>
      <c r="Y345" s="312" t="n">
        <v>0.9</v>
      </c>
      <c r="Z345" s="313" t="n">
        <v>0</v>
      </c>
      <c r="AA345" s="314" t="n">
        <v>0.8</v>
      </c>
      <c r="AB345" s="313" t="n">
        <v>0</v>
      </c>
      <c r="AC345" s="314" t="n">
        <v>0.8</v>
      </c>
      <c r="AD345" s="315"/>
      <c r="AE345" s="144" t="n">
        <v>15</v>
      </c>
      <c r="AF345" s="315"/>
      <c r="AG345" s="311" t="n">
        <v>0</v>
      </c>
      <c r="AH345" s="309" t="n">
        <v>0</v>
      </c>
      <c r="AI345" s="310"/>
      <c r="AJ345" s="311" t="n">
        <v>40</v>
      </c>
      <c r="AK345" s="309" t="n">
        <v>52.8</v>
      </c>
      <c r="AL345" s="311" t="n">
        <v>40</v>
      </c>
      <c r="AM345" s="309" t="n">
        <v>52.8</v>
      </c>
      <c r="AN345" s="311" t="n">
        <v>40</v>
      </c>
      <c r="AO345" s="309" t="n">
        <v>52.8</v>
      </c>
      <c r="AP345" s="310"/>
      <c r="AQ345" s="311" t="n">
        <v>71</v>
      </c>
      <c r="AR345" s="309" t="n">
        <v>21.6</v>
      </c>
      <c r="AS345" s="311" t="n">
        <v>71</v>
      </c>
      <c r="AT345" s="309" t="n">
        <v>21.6</v>
      </c>
      <c r="AU345" s="311" t="n">
        <v>71</v>
      </c>
      <c r="AV345" s="309" t="n">
        <v>21.6</v>
      </c>
      <c r="AW345" s="311" t="n">
        <v>74</v>
      </c>
      <c r="AX345" s="309" t="n">
        <v>19.2</v>
      </c>
      <c r="AY345" s="311" t="n">
        <v>74</v>
      </c>
      <c r="AZ345" s="309" t="n">
        <v>19.2</v>
      </c>
      <c r="BB345" s="144" t="n">
        <v>0</v>
      </c>
      <c r="BC345" s="315"/>
      <c r="BD345" s="311" t="n">
        <v>0</v>
      </c>
      <c r="BE345" s="316" t="n">
        <v>0</v>
      </c>
      <c r="BF345" s="310"/>
      <c r="BG345" s="317" t="n">
        <v>0</v>
      </c>
      <c r="BH345" s="318" t="n">
        <v>0</v>
      </c>
      <c r="BI345" s="317" t="n">
        <v>0</v>
      </c>
      <c r="BJ345" s="318" t="n">
        <v>0</v>
      </c>
      <c r="BK345" s="317" t="n">
        <v>0</v>
      </c>
      <c r="BL345" s="318" t="n">
        <v>0</v>
      </c>
      <c r="BM345" s="310"/>
      <c r="BN345" s="317" t="n">
        <v>0</v>
      </c>
      <c r="BO345" s="318" t="n">
        <v>0</v>
      </c>
      <c r="BP345" s="317" t="n">
        <v>0</v>
      </c>
      <c r="BQ345" s="318" t="n">
        <v>0</v>
      </c>
      <c r="BR345" s="317" t="n">
        <v>0</v>
      </c>
      <c r="BS345" s="318" t="n">
        <v>0</v>
      </c>
      <c r="BT345" s="317" t="n">
        <v>0</v>
      </c>
      <c r="BU345" s="318" t="n">
        <v>0</v>
      </c>
      <c r="BV345" s="317" t="n">
        <v>0</v>
      </c>
      <c r="BW345" s="318" t="n">
        <v>0</v>
      </c>
      <c r="BY345" s="143"/>
      <c r="BZ345" s="315"/>
      <c r="CA345" s="144" t="s">
        <v>12</v>
      </c>
      <c r="CB345" s="315"/>
      <c r="CC345" s="144" t="n">
        <v>-24.8859504132231</v>
      </c>
      <c r="CD345" s="144" t="n">
        <v>-24.8859504132231</v>
      </c>
      <c r="CE345" s="144" t="n">
        <v>-24.8859504132231</v>
      </c>
      <c r="CF345" s="315"/>
      <c r="CG345" s="144" t="n">
        <v>-56.0859504132231</v>
      </c>
      <c r="CH345" s="144" t="n">
        <v>-56.0859504132231</v>
      </c>
      <c r="CI345" s="144" t="n">
        <v>-56.0859504132231</v>
      </c>
      <c r="CJ345" s="144" t="n">
        <v>-58.4859504132231</v>
      </c>
      <c r="CK345" s="144" t="n">
        <v>-58.4859504132231</v>
      </c>
      <c r="CM345" s="144" t="n">
        <v>81.8181818181818</v>
      </c>
      <c r="CO345" s="319"/>
      <c r="CP345" s="320"/>
      <c r="CQ345" s="321" t="s">
        <v>12</v>
      </c>
      <c r="CR345" s="320"/>
      <c r="CS345" s="322" t="n">
        <v>-29.0181818181818</v>
      </c>
      <c r="CT345" s="322" t="n">
        <v>-29.0181818181818</v>
      </c>
      <c r="CU345" s="322" t="n">
        <v>-29.0181818181818</v>
      </c>
      <c r="CV345" s="323"/>
      <c r="CW345" s="322" t="n">
        <v>-60.2181818181818</v>
      </c>
      <c r="CX345" s="322" t="n">
        <v>-60.2181818181818</v>
      </c>
      <c r="CY345" s="322" t="n">
        <v>-60.2181818181818</v>
      </c>
      <c r="CZ345" s="322" t="n">
        <v>-62.6181818181818</v>
      </c>
      <c r="DA345" s="322" t="n">
        <v>-62.6181818181818</v>
      </c>
    </row>
    <row r="346" customFormat="false" ht="12.75" hidden="false" customHeight="false" outlineLevel="0" collapsed="false">
      <c r="B346" s="305" t="s">
        <v>497</v>
      </c>
      <c r="C346" s="305" t="s">
        <v>623</v>
      </c>
      <c r="D346" s="306" t="n">
        <v>32</v>
      </c>
      <c r="E346" s="306" t="n">
        <v>0</v>
      </c>
      <c r="F346" s="324" t="s">
        <v>603</v>
      </c>
      <c r="G346" s="144" t="n">
        <v>24</v>
      </c>
      <c r="H346" s="325" t="n">
        <v>31.404958677686</v>
      </c>
      <c r="I346" s="2"/>
      <c r="J346" s="144" t="s">
        <v>12</v>
      </c>
      <c r="K346" s="309" t="s">
        <v>12</v>
      </c>
      <c r="L346" s="310"/>
      <c r="M346" s="311" t="n">
        <v>0</v>
      </c>
      <c r="N346" s="312" t="n">
        <v>0</v>
      </c>
      <c r="O346" s="311" t="n">
        <v>0</v>
      </c>
      <c r="P346" s="312" t="n">
        <v>0</v>
      </c>
      <c r="Q346" s="310" t="n">
        <v>0</v>
      </c>
      <c r="R346" s="312" t="n">
        <v>0</v>
      </c>
      <c r="S346" s="310"/>
      <c r="T346" s="311" t="n">
        <v>0</v>
      </c>
      <c r="U346" s="312" t="n">
        <v>0.5</v>
      </c>
      <c r="V346" s="311" t="n">
        <v>0</v>
      </c>
      <c r="W346" s="312" t="n">
        <v>0</v>
      </c>
      <c r="X346" s="311" t="n">
        <v>0</v>
      </c>
      <c r="Y346" s="312" t="n">
        <v>0</v>
      </c>
      <c r="Z346" s="313" t="n">
        <v>0</v>
      </c>
      <c r="AA346" s="314" t="n">
        <v>0</v>
      </c>
      <c r="AB346" s="313" t="n">
        <v>0</v>
      </c>
      <c r="AC346" s="314" t="n">
        <v>0</v>
      </c>
      <c r="AD346" s="315"/>
      <c r="AE346" s="144" t="n">
        <v>1</v>
      </c>
      <c r="AF346" s="315"/>
      <c r="AG346" s="311" t="n">
        <v>0</v>
      </c>
      <c r="AH346" s="309" t="n">
        <v>0</v>
      </c>
      <c r="AI346" s="310"/>
      <c r="AJ346" s="311" t="n">
        <v>32</v>
      </c>
      <c r="AK346" s="309" t="n">
        <v>0</v>
      </c>
      <c r="AL346" s="311" t="n">
        <v>32</v>
      </c>
      <c r="AM346" s="309" t="n">
        <v>0</v>
      </c>
      <c r="AN346" s="310" t="n">
        <v>32</v>
      </c>
      <c r="AO346" s="309" t="n">
        <v>0</v>
      </c>
      <c r="AP346" s="310"/>
      <c r="AQ346" s="311" t="n">
        <v>20</v>
      </c>
      <c r="AR346" s="309" t="n">
        <v>12</v>
      </c>
      <c r="AS346" s="311" t="n">
        <v>32</v>
      </c>
      <c r="AT346" s="309" t="n">
        <v>0</v>
      </c>
      <c r="AU346" s="310" t="n">
        <v>32</v>
      </c>
      <c r="AV346" s="309" t="n">
        <v>0</v>
      </c>
      <c r="AW346" s="310" t="n">
        <v>32</v>
      </c>
      <c r="AX346" s="309" t="n">
        <v>0</v>
      </c>
      <c r="AY346" s="310" t="n">
        <v>32</v>
      </c>
      <c r="AZ346" s="309" t="n">
        <v>0</v>
      </c>
      <c r="BB346" s="144" t="n">
        <v>0</v>
      </c>
      <c r="BC346" s="315"/>
      <c r="BD346" s="311" t="n">
        <v>0</v>
      </c>
      <c r="BE346" s="316" t="n">
        <v>0</v>
      </c>
      <c r="BF346" s="310"/>
      <c r="BG346" s="317" t="n">
        <v>0</v>
      </c>
      <c r="BH346" s="318" t="n">
        <v>0</v>
      </c>
      <c r="BI346" s="317" t="n">
        <v>0</v>
      </c>
      <c r="BJ346" s="318" t="n">
        <v>0</v>
      </c>
      <c r="BK346" s="317" t="n">
        <v>0</v>
      </c>
      <c r="BL346" s="318" t="n">
        <v>0</v>
      </c>
      <c r="BM346" s="310"/>
      <c r="BN346" s="317" t="n">
        <v>0</v>
      </c>
      <c r="BO346" s="318" t="n">
        <v>0</v>
      </c>
      <c r="BP346" s="317" t="n">
        <v>0</v>
      </c>
      <c r="BQ346" s="318" t="n">
        <v>0</v>
      </c>
      <c r="BR346" s="317" t="n">
        <v>0</v>
      </c>
      <c r="BS346" s="318" t="n">
        <v>0</v>
      </c>
      <c r="BT346" s="317" t="n">
        <v>0</v>
      </c>
      <c r="BU346" s="318" t="n">
        <v>0</v>
      </c>
      <c r="BV346" s="317" t="n">
        <v>0</v>
      </c>
      <c r="BW346" s="318" t="n">
        <v>0</v>
      </c>
      <c r="BY346" s="143"/>
      <c r="BZ346" s="315"/>
      <c r="CA346" s="144" t="s">
        <v>12</v>
      </c>
      <c r="CB346" s="315"/>
      <c r="CC346" s="144" t="n">
        <v>-31.404958677686</v>
      </c>
      <c r="CD346" s="144" t="n">
        <v>-31.404958677686</v>
      </c>
      <c r="CE346" s="144" t="n">
        <v>-31.404958677686</v>
      </c>
      <c r="CF346" s="315"/>
      <c r="CG346" s="144" t="n">
        <v>-19.404958677686</v>
      </c>
      <c r="CH346" s="144" t="n">
        <v>-31.404958677686</v>
      </c>
      <c r="CI346" s="144" t="n">
        <v>-31.404958677686</v>
      </c>
      <c r="CJ346" s="144" t="n">
        <v>-31.404958677686</v>
      </c>
      <c r="CK346" s="144" t="n">
        <v>-31.404958677686</v>
      </c>
      <c r="CM346" s="144" t="n">
        <v>16.5206611570248</v>
      </c>
      <c r="CO346" s="319"/>
      <c r="CP346" s="320"/>
      <c r="CQ346" s="321" t="s">
        <v>12</v>
      </c>
      <c r="CR346" s="320"/>
      <c r="CS346" s="322" t="n">
        <v>-16.5206611570248</v>
      </c>
      <c r="CT346" s="322" t="n">
        <v>-16.5206611570248</v>
      </c>
      <c r="CU346" s="322" t="n">
        <v>-16.5206611570248</v>
      </c>
      <c r="CV346" s="323"/>
      <c r="CW346" s="322" t="n">
        <v>-4.52066115702479</v>
      </c>
      <c r="CX346" s="322" t="n">
        <v>-16.5206611570248</v>
      </c>
      <c r="CY346" s="322" t="n">
        <v>-16.5206611570248</v>
      </c>
      <c r="CZ346" s="322" t="n">
        <v>-16.5206611570248</v>
      </c>
      <c r="DA346" s="322" t="n">
        <v>-16.5206611570248</v>
      </c>
    </row>
    <row r="347" customFormat="false" ht="12.75" hidden="false" customHeight="false" outlineLevel="0" collapsed="false">
      <c r="B347" s="305" t="s">
        <v>497</v>
      </c>
      <c r="C347" s="305" t="s">
        <v>624</v>
      </c>
      <c r="D347" s="306" t="n">
        <v>85</v>
      </c>
      <c r="E347" s="306" t="n">
        <v>0</v>
      </c>
      <c r="F347" s="306" t="s">
        <v>603</v>
      </c>
      <c r="G347" s="307" t="n">
        <v>24</v>
      </c>
      <c r="H347" s="308" t="n">
        <v>84.297520661157</v>
      </c>
      <c r="I347" s="2"/>
      <c r="J347" s="144" t="s">
        <v>12</v>
      </c>
      <c r="K347" s="309" t="s">
        <v>12</v>
      </c>
      <c r="L347" s="310"/>
      <c r="M347" s="311" t="n">
        <v>0</v>
      </c>
      <c r="N347" s="312" t="n">
        <v>3.1</v>
      </c>
      <c r="O347" s="311" t="n">
        <v>0</v>
      </c>
      <c r="P347" s="312" t="n">
        <v>0.9</v>
      </c>
      <c r="Q347" s="310" t="n">
        <v>0</v>
      </c>
      <c r="R347" s="312" t="n">
        <v>0.3</v>
      </c>
      <c r="S347" s="310"/>
      <c r="T347" s="311" t="n">
        <v>0</v>
      </c>
      <c r="U347" s="312" t="n">
        <v>0.9</v>
      </c>
      <c r="V347" s="311" t="n">
        <v>0</v>
      </c>
      <c r="W347" s="312" t="n">
        <v>0.9</v>
      </c>
      <c r="X347" s="311" t="n">
        <v>0</v>
      </c>
      <c r="Y347" s="312" t="n">
        <v>0.9</v>
      </c>
      <c r="Z347" s="313" t="n">
        <v>0</v>
      </c>
      <c r="AA347" s="314" t="n">
        <v>0.8</v>
      </c>
      <c r="AB347" s="313" t="n">
        <v>0</v>
      </c>
      <c r="AC347" s="314" t="n">
        <v>0.8</v>
      </c>
      <c r="AD347" s="315"/>
      <c r="AE347" s="144" t="n">
        <v>1</v>
      </c>
      <c r="AF347" s="315"/>
      <c r="AG347" s="311" t="n">
        <v>0</v>
      </c>
      <c r="AH347" s="309" t="n">
        <v>0</v>
      </c>
      <c r="AI347" s="310"/>
      <c r="AJ347" s="311" t="n">
        <v>11</v>
      </c>
      <c r="AK347" s="309" t="n">
        <v>74.4</v>
      </c>
      <c r="AL347" s="311" t="n">
        <v>63</v>
      </c>
      <c r="AM347" s="309" t="n">
        <v>21.6</v>
      </c>
      <c r="AN347" s="311" t="n">
        <v>78</v>
      </c>
      <c r="AO347" s="309" t="n">
        <v>7.2</v>
      </c>
      <c r="AP347" s="310"/>
      <c r="AQ347" s="311" t="n">
        <v>63</v>
      </c>
      <c r="AR347" s="309" t="n">
        <v>21.6</v>
      </c>
      <c r="AS347" s="311" t="n">
        <v>63</v>
      </c>
      <c r="AT347" s="309" t="n">
        <v>21.6</v>
      </c>
      <c r="AU347" s="311" t="n">
        <v>63</v>
      </c>
      <c r="AV347" s="309" t="n">
        <v>21.6</v>
      </c>
      <c r="AW347" s="311" t="n">
        <v>66</v>
      </c>
      <c r="AX347" s="309" t="n">
        <v>19.2</v>
      </c>
      <c r="AY347" s="311" t="n">
        <v>66</v>
      </c>
      <c r="AZ347" s="309" t="n">
        <v>19.2</v>
      </c>
      <c r="BB347" s="144" t="n">
        <v>0</v>
      </c>
      <c r="BC347" s="315"/>
      <c r="BD347" s="311" t="n">
        <v>0</v>
      </c>
      <c r="BE347" s="316" t="n">
        <v>0</v>
      </c>
      <c r="BF347" s="310"/>
      <c r="BG347" s="317" t="n">
        <v>0</v>
      </c>
      <c r="BH347" s="318" t="n">
        <v>0.2</v>
      </c>
      <c r="BI347" s="317" t="n">
        <v>0</v>
      </c>
      <c r="BJ347" s="318" t="n">
        <v>0.6</v>
      </c>
      <c r="BK347" s="317" t="n">
        <v>0</v>
      </c>
      <c r="BL347" s="318" t="n">
        <v>0</v>
      </c>
      <c r="BM347" s="310"/>
      <c r="BN347" s="317" t="n">
        <v>0</v>
      </c>
      <c r="BO347" s="318" t="n">
        <v>0</v>
      </c>
      <c r="BP347" s="317" t="n">
        <v>0</v>
      </c>
      <c r="BQ347" s="318" t="n">
        <v>0</v>
      </c>
      <c r="BR347" s="317" t="n">
        <v>0</v>
      </c>
      <c r="BS347" s="318" t="n">
        <v>0</v>
      </c>
      <c r="BT347" s="317" t="n">
        <v>0</v>
      </c>
      <c r="BU347" s="318" t="n">
        <v>0</v>
      </c>
      <c r="BV347" s="317" t="n">
        <v>0</v>
      </c>
      <c r="BW347" s="318" t="n">
        <v>0</v>
      </c>
      <c r="BY347" s="143"/>
      <c r="BZ347" s="315"/>
      <c r="CA347" s="144" t="s">
        <v>12</v>
      </c>
      <c r="CB347" s="315"/>
      <c r="CC347" s="144" t="n">
        <v>-9.89752066115702</v>
      </c>
      <c r="CD347" s="144" t="n">
        <v>-62.697520661157</v>
      </c>
      <c r="CE347" s="144" t="n">
        <v>-77.097520661157</v>
      </c>
      <c r="CF347" s="315"/>
      <c r="CG347" s="144" t="n">
        <v>-62.697520661157</v>
      </c>
      <c r="CH347" s="144" t="n">
        <v>-62.697520661157</v>
      </c>
      <c r="CI347" s="144" t="n">
        <v>-62.697520661157</v>
      </c>
      <c r="CJ347" s="144" t="n">
        <v>-65.097520661157</v>
      </c>
      <c r="CK347" s="144" t="n">
        <v>-65.097520661157</v>
      </c>
      <c r="CM347" s="144" t="n">
        <v>66.1074380165289</v>
      </c>
      <c r="CO347" s="319"/>
      <c r="CP347" s="320"/>
      <c r="CQ347" s="321" t="s">
        <v>12</v>
      </c>
      <c r="CR347" s="320"/>
      <c r="CS347" s="322" t="n">
        <v>8.29256198347109</v>
      </c>
      <c r="CT347" s="322" t="n">
        <v>-44.5074380165289</v>
      </c>
      <c r="CU347" s="322" t="n">
        <v>-58.9074380165289</v>
      </c>
      <c r="CV347" s="323"/>
      <c r="CW347" s="322" t="n">
        <v>-44.5074380165289</v>
      </c>
      <c r="CX347" s="322" t="n">
        <v>-44.5074380165289</v>
      </c>
      <c r="CY347" s="322" t="n">
        <v>-44.5074380165289</v>
      </c>
      <c r="CZ347" s="322" t="n">
        <v>-46.9074380165289</v>
      </c>
      <c r="DA347" s="322" t="n">
        <v>-46.9074380165289</v>
      </c>
    </row>
    <row r="348" customFormat="false" ht="12.75" hidden="false" customHeight="false" outlineLevel="0" collapsed="false">
      <c r="B348" s="305" t="s">
        <v>510</v>
      </c>
      <c r="C348" s="305" t="s">
        <v>625</v>
      </c>
      <c r="D348" s="306" t="n">
        <v>38</v>
      </c>
      <c r="E348" s="306" t="n">
        <v>0</v>
      </c>
      <c r="F348" s="324" t="s">
        <v>603</v>
      </c>
      <c r="G348" s="144" t="n">
        <v>24</v>
      </c>
      <c r="H348" s="325" t="n">
        <v>37.1900826446281</v>
      </c>
      <c r="I348" s="2"/>
      <c r="J348" s="144" t="s">
        <v>12</v>
      </c>
      <c r="K348" s="309" t="s">
        <v>12</v>
      </c>
      <c r="L348" s="310"/>
      <c r="M348" s="311" t="n">
        <v>0</v>
      </c>
      <c r="N348" s="312" t="n">
        <v>0</v>
      </c>
      <c r="O348" s="311" t="n">
        <v>0</v>
      </c>
      <c r="P348" s="312" t="n">
        <v>0</v>
      </c>
      <c r="Q348" s="310" t="n">
        <v>0</v>
      </c>
      <c r="R348" s="312" t="n">
        <v>0</v>
      </c>
      <c r="S348" s="310"/>
      <c r="T348" s="311" t="n">
        <v>0</v>
      </c>
      <c r="U348" s="312" t="n">
        <v>0</v>
      </c>
      <c r="V348" s="311" t="n">
        <v>0</v>
      </c>
      <c r="W348" s="312" t="n">
        <v>0</v>
      </c>
      <c r="X348" s="311" t="n">
        <v>0</v>
      </c>
      <c r="Y348" s="312" t="n">
        <v>0</v>
      </c>
      <c r="Z348" s="313" t="n">
        <v>0</v>
      </c>
      <c r="AA348" s="314" t="n">
        <v>0</v>
      </c>
      <c r="AB348" s="313" t="n">
        <v>0</v>
      </c>
      <c r="AC348" s="314" t="n">
        <v>0</v>
      </c>
      <c r="AD348" s="315"/>
      <c r="AE348" s="144" t="n">
        <v>1</v>
      </c>
      <c r="AF348" s="315"/>
      <c r="AG348" s="311" t="n">
        <v>0</v>
      </c>
      <c r="AH348" s="309" t="n">
        <v>0</v>
      </c>
      <c r="AI348" s="310"/>
      <c r="AJ348" s="311" t="n">
        <v>38</v>
      </c>
      <c r="AK348" s="309" t="n">
        <v>0</v>
      </c>
      <c r="AL348" s="311" t="n">
        <v>38</v>
      </c>
      <c r="AM348" s="309" t="n">
        <v>0</v>
      </c>
      <c r="AN348" s="310" t="n">
        <v>38</v>
      </c>
      <c r="AO348" s="309" t="n">
        <v>0</v>
      </c>
      <c r="AP348" s="310"/>
      <c r="AQ348" s="311" t="n">
        <v>38</v>
      </c>
      <c r="AR348" s="309" t="n">
        <v>0</v>
      </c>
      <c r="AS348" s="311" t="n">
        <v>38</v>
      </c>
      <c r="AT348" s="309" t="n">
        <v>0</v>
      </c>
      <c r="AU348" s="310" t="n">
        <v>38</v>
      </c>
      <c r="AV348" s="309" t="n">
        <v>0</v>
      </c>
      <c r="AW348" s="310" t="n">
        <v>38</v>
      </c>
      <c r="AX348" s="309" t="n">
        <v>0</v>
      </c>
      <c r="AY348" s="310" t="n">
        <v>38</v>
      </c>
      <c r="AZ348" s="309" t="n">
        <v>0</v>
      </c>
      <c r="BB348" s="144" t="n">
        <v>0</v>
      </c>
      <c r="BC348" s="315"/>
      <c r="BD348" s="311" t="n">
        <v>0</v>
      </c>
      <c r="BE348" s="316" t="n">
        <v>0</v>
      </c>
      <c r="BF348" s="310"/>
      <c r="BG348" s="317" t="n">
        <v>0</v>
      </c>
      <c r="BH348" s="318" t="n">
        <v>0</v>
      </c>
      <c r="BI348" s="317" t="n">
        <v>0</v>
      </c>
      <c r="BJ348" s="318" t="n">
        <v>0</v>
      </c>
      <c r="BK348" s="317" t="n">
        <v>0</v>
      </c>
      <c r="BL348" s="318" t="n">
        <v>0</v>
      </c>
      <c r="BM348" s="310"/>
      <c r="BN348" s="317" t="n">
        <v>0</v>
      </c>
      <c r="BO348" s="318" t="n">
        <v>0</v>
      </c>
      <c r="BP348" s="317" t="n">
        <v>0</v>
      </c>
      <c r="BQ348" s="318" t="n">
        <v>0</v>
      </c>
      <c r="BR348" s="317" t="n">
        <v>0</v>
      </c>
      <c r="BS348" s="318" t="n">
        <v>0</v>
      </c>
      <c r="BT348" s="317" t="n">
        <v>0</v>
      </c>
      <c r="BU348" s="318" t="n">
        <v>0</v>
      </c>
      <c r="BV348" s="317" t="n">
        <v>0</v>
      </c>
      <c r="BW348" s="318" t="n">
        <v>0</v>
      </c>
      <c r="BY348" s="143"/>
      <c r="BZ348" s="315"/>
      <c r="CA348" s="144" t="s">
        <v>12</v>
      </c>
      <c r="CB348" s="315"/>
      <c r="CC348" s="144" t="n">
        <v>-37.1900826446281</v>
      </c>
      <c r="CD348" s="144" t="n">
        <v>-37.1900826446281</v>
      </c>
      <c r="CE348" s="144" t="n">
        <v>-37.1900826446281</v>
      </c>
      <c r="CF348" s="315"/>
      <c r="CG348" s="144" t="n">
        <v>-37.1900826446281</v>
      </c>
      <c r="CH348" s="144" t="n">
        <v>-37.1900826446281</v>
      </c>
      <c r="CI348" s="144" t="n">
        <v>-37.1900826446281</v>
      </c>
      <c r="CJ348" s="144" t="n">
        <v>-37.1900826446281</v>
      </c>
      <c r="CK348" s="144" t="n">
        <v>-37.1900826446281</v>
      </c>
      <c r="CM348" s="144" t="n">
        <v>24.7851239669421</v>
      </c>
      <c r="CO348" s="319"/>
      <c r="CP348" s="320"/>
      <c r="CQ348" s="321" t="s">
        <v>12</v>
      </c>
      <c r="CR348" s="320"/>
      <c r="CS348" s="322" t="n">
        <v>-24.7851239669421</v>
      </c>
      <c r="CT348" s="322" t="n">
        <v>-24.7851239669421</v>
      </c>
      <c r="CU348" s="322" t="n">
        <v>-24.7851239669421</v>
      </c>
      <c r="CV348" s="323"/>
      <c r="CW348" s="322" t="n">
        <v>-24.7851239669421</v>
      </c>
      <c r="CX348" s="322" t="n">
        <v>-24.7851239669421</v>
      </c>
      <c r="CY348" s="322" t="n">
        <v>-24.7851239669421</v>
      </c>
      <c r="CZ348" s="322" t="n">
        <v>-24.7851239669421</v>
      </c>
      <c r="DA348" s="322" t="n">
        <v>-24.7851239669421</v>
      </c>
    </row>
    <row r="349" customFormat="false" ht="12.75" hidden="false" customHeight="false" outlineLevel="0" collapsed="false">
      <c r="B349" s="305" t="s">
        <v>260</v>
      </c>
      <c r="C349" s="327" t="s">
        <v>626</v>
      </c>
      <c r="D349" s="306" t="n">
        <v>199</v>
      </c>
      <c r="E349" s="306" t="n">
        <v>0</v>
      </c>
      <c r="F349" s="306" t="s">
        <v>603</v>
      </c>
      <c r="G349" s="307" t="n">
        <v>24</v>
      </c>
      <c r="H349" s="308" t="n">
        <v>198.347107438017</v>
      </c>
      <c r="I349" s="2"/>
      <c r="J349" s="144" t="s">
        <v>12</v>
      </c>
      <c r="K349" s="309" t="s">
        <v>12</v>
      </c>
      <c r="L349" s="310"/>
      <c r="M349" s="311" t="n">
        <v>29</v>
      </c>
      <c r="N349" s="312" t="n">
        <v>6</v>
      </c>
      <c r="O349" s="311" t="n">
        <v>0</v>
      </c>
      <c r="P349" s="312" t="n">
        <v>4.8</v>
      </c>
      <c r="Q349" s="310" t="n">
        <v>0</v>
      </c>
      <c r="R349" s="312" t="n">
        <v>4</v>
      </c>
      <c r="S349" s="310"/>
      <c r="T349" s="311" t="n">
        <v>0</v>
      </c>
      <c r="U349" s="312" t="n">
        <v>7.1</v>
      </c>
      <c r="V349" s="311" t="n">
        <v>0</v>
      </c>
      <c r="W349" s="312" t="n">
        <v>4.2</v>
      </c>
      <c r="X349" s="311" t="n">
        <v>0</v>
      </c>
      <c r="Y349" s="312" t="n">
        <v>4.2</v>
      </c>
      <c r="Z349" s="313" t="n">
        <v>0</v>
      </c>
      <c r="AA349" s="314" t="n">
        <v>4.1</v>
      </c>
      <c r="AB349" s="313" t="n">
        <v>0</v>
      </c>
      <c r="AC349" s="314" t="n">
        <v>4.1</v>
      </c>
      <c r="AD349" s="315"/>
      <c r="AE349" s="144" t="n">
        <v>1</v>
      </c>
      <c r="AF349" s="315"/>
      <c r="AG349" s="311" t="n">
        <v>0</v>
      </c>
      <c r="AH349" s="309" t="n">
        <v>0</v>
      </c>
      <c r="AI349" s="310"/>
      <c r="AJ349" s="311" t="n">
        <v>26</v>
      </c>
      <c r="AK349" s="309" t="n">
        <v>144</v>
      </c>
      <c r="AL349" s="311" t="n">
        <v>84</v>
      </c>
      <c r="AM349" s="309" t="n">
        <v>115.2</v>
      </c>
      <c r="AN349" s="311" t="n">
        <v>103</v>
      </c>
      <c r="AO349" s="309" t="n">
        <v>96</v>
      </c>
      <c r="AP349" s="310"/>
      <c r="AQ349" s="311" t="n">
        <v>29</v>
      </c>
      <c r="AR349" s="309" t="n">
        <v>170.4</v>
      </c>
      <c r="AS349" s="311" t="n">
        <v>98</v>
      </c>
      <c r="AT349" s="309" t="n">
        <v>100.8</v>
      </c>
      <c r="AU349" s="311" t="n">
        <v>98</v>
      </c>
      <c r="AV349" s="309" t="n">
        <v>100.8</v>
      </c>
      <c r="AW349" s="311" t="n">
        <v>101</v>
      </c>
      <c r="AX349" s="309" t="n">
        <v>98.4</v>
      </c>
      <c r="AY349" s="311" t="n">
        <v>101</v>
      </c>
      <c r="AZ349" s="309" t="n">
        <v>98.4</v>
      </c>
      <c r="BB349" s="144" t="n">
        <v>0</v>
      </c>
      <c r="BC349" s="315"/>
      <c r="BD349" s="311" t="n">
        <v>0</v>
      </c>
      <c r="BE349" s="316" t="n">
        <v>0</v>
      </c>
      <c r="BF349" s="310"/>
      <c r="BG349" s="317" t="n">
        <v>0</v>
      </c>
      <c r="BH349" s="318" t="n">
        <v>0</v>
      </c>
      <c r="BI349" s="317" t="n">
        <v>0</v>
      </c>
      <c r="BJ349" s="318" t="n">
        <v>0</v>
      </c>
      <c r="BK349" s="317" t="n">
        <v>0</v>
      </c>
      <c r="BL349" s="318" t="n">
        <v>0</v>
      </c>
      <c r="BM349" s="310"/>
      <c r="BN349" s="317" t="n">
        <v>0</v>
      </c>
      <c r="BO349" s="318" t="n">
        <v>0</v>
      </c>
      <c r="BP349" s="317" t="n">
        <v>0</v>
      </c>
      <c r="BQ349" s="318" t="n">
        <v>0</v>
      </c>
      <c r="BR349" s="317" t="n">
        <v>0</v>
      </c>
      <c r="BS349" s="318" t="n">
        <v>0</v>
      </c>
      <c r="BT349" s="317" t="n">
        <v>0</v>
      </c>
      <c r="BU349" s="318" t="n">
        <v>0</v>
      </c>
      <c r="BV349" s="317" t="n">
        <v>0</v>
      </c>
      <c r="BW349" s="318" t="n">
        <v>0</v>
      </c>
      <c r="BY349" s="143"/>
      <c r="BZ349" s="315"/>
      <c r="CA349" s="144" t="s">
        <v>12</v>
      </c>
      <c r="CB349" s="315"/>
      <c r="CC349" s="144" t="n">
        <v>-25.3471074380165</v>
      </c>
      <c r="CD349" s="144" t="n">
        <v>-83.1471074380165</v>
      </c>
      <c r="CE349" s="144" t="n">
        <v>-102.347107438017</v>
      </c>
      <c r="CF349" s="315"/>
      <c r="CG349" s="144" t="n">
        <v>-27.9471074380165</v>
      </c>
      <c r="CH349" s="144" t="n">
        <v>-97.5471074380165</v>
      </c>
      <c r="CI349" s="144" t="n">
        <v>-97.5471074380165</v>
      </c>
      <c r="CJ349" s="144" t="n">
        <v>-99.9471074380165</v>
      </c>
      <c r="CK349" s="144" t="n">
        <v>-99.9471074380165</v>
      </c>
      <c r="CM349" s="144" t="n">
        <v>189.256198347107</v>
      </c>
      <c r="CO349" s="319"/>
      <c r="CP349" s="320"/>
      <c r="CQ349" s="321" t="s">
        <v>12</v>
      </c>
      <c r="CR349" s="320"/>
      <c r="CS349" s="322" t="n">
        <v>-16.2561983471074</v>
      </c>
      <c r="CT349" s="322" t="n">
        <v>-74.0561983471074</v>
      </c>
      <c r="CU349" s="322" t="n">
        <v>-93.2561983471074</v>
      </c>
      <c r="CV349" s="323"/>
      <c r="CW349" s="322" t="n">
        <v>-18.8561983471074</v>
      </c>
      <c r="CX349" s="322" t="n">
        <v>-88.4561983471074</v>
      </c>
      <c r="CY349" s="322" t="n">
        <v>-88.4561983471074</v>
      </c>
      <c r="CZ349" s="322" t="n">
        <v>-90.8561983471074</v>
      </c>
      <c r="DA349" s="322" t="n">
        <v>-90.8561983471074</v>
      </c>
    </row>
    <row r="350" customFormat="false" ht="12.75" hidden="false" customHeight="false" outlineLevel="0" collapsed="false">
      <c r="B350" s="305" t="s">
        <v>465</v>
      </c>
      <c r="C350" s="327" t="s">
        <v>627</v>
      </c>
      <c r="D350" s="306" t="n">
        <v>53</v>
      </c>
      <c r="E350" s="306" t="n">
        <v>0</v>
      </c>
      <c r="F350" s="324" t="s">
        <v>603</v>
      </c>
      <c r="G350" s="144" t="n">
        <v>24</v>
      </c>
      <c r="H350" s="325" t="n">
        <v>35.5371900826446</v>
      </c>
      <c r="I350" s="2"/>
      <c r="J350" s="144" t="s">
        <v>12</v>
      </c>
      <c r="K350" s="309" t="s">
        <v>12</v>
      </c>
      <c r="L350" s="310"/>
      <c r="M350" s="311" t="n">
        <v>0</v>
      </c>
      <c r="N350" s="312" t="n">
        <v>0.7</v>
      </c>
      <c r="O350" s="311" t="n">
        <v>0</v>
      </c>
      <c r="P350" s="312" t="n">
        <v>0.7</v>
      </c>
      <c r="Q350" s="310" t="n">
        <v>0</v>
      </c>
      <c r="R350" s="312" t="n">
        <v>0.7</v>
      </c>
      <c r="S350" s="310"/>
      <c r="T350" s="311" t="n">
        <v>0</v>
      </c>
      <c r="U350" s="312" t="n">
        <v>0.7</v>
      </c>
      <c r="V350" s="311" t="n">
        <v>0</v>
      </c>
      <c r="W350" s="312" t="n">
        <v>0</v>
      </c>
      <c r="X350" s="311" t="n">
        <v>0</v>
      </c>
      <c r="Y350" s="312" t="n">
        <v>0</v>
      </c>
      <c r="Z350" s="313" t="n">
        <v>0</v>
      </c>
      <c r="AA350" s="314" t="n">
        <v>0</v>
      </c>
      <c r="AB350" s="313" t="n">
        <v>0</v>
      </c>
      <c r="AC350" s="314" t="n">
        <v>0</v>
      </c>
      <c r="AD350" s="315"/>
      <c r="AE350" s="144" t="n">
        <v>17</v>
      </c>
      <c r="AF350" s="315"/>
      <c r="AG350" s="311" t="n">
        <v>0</v>
      </c>
      <c r="AH350" s="309" t="n">
        <v>0</v>
      </c>
      <c r="AI350" s="310"/>
      <c r="AJ350" s="311" t="n">
        <v>36</v>
      </c>
      <c r="AK350" s="309" t="n">
        <v>16.8</v>
      </c>
      <c r="AL350" s="311" t="n">
        <v>36</v>
      </c>
      <c r="AM350" s="309" t="n">
        <v>16.8</v>
      </c>
      <c r="AN350" s="310" t="n">
        <v>36</v>
      </c>
      <c r="AO350" s="309" t="n">
        <v>16.8</v>
      </c>
      <c r="AP350" s="310"/>
      <c r="AQ350" s="311" t="n">
        <v>36</v>
      </c>
      <c r="AR350" s="309" t="n">
        <v>16.8</v>
      </c>
      <c r="AS350" s="311" t="n">
        <v>53</v>
      </c>
      <c r="AT350" s="309" t="n">
        <v>0</v>
      </c>
      <c r="AU350" s="310" t="n">
        <v>53</v>
      </c>
      <c r="AV350" s="309" t="n">
        <v>0</v>
      </c>
      <c r="AW350" s="310" t="n">
        <v>53</v>
      </c>
      <c r="AX350" s="309" t="n">
        <v>0</v>
      </c>
      <c r="AY350" s="310" t="n">
        <v>53</v>
      </c>
      <c r="AZ350" s="309" t="n">
        <v>0</v>
      </c>
      <c r="BB350" s="144" t="n">
        <v>0</v>
      </c>
      <c r="BC350" s="315"/>
      <c r="BD350" s="311" t="n">
        <v>0</v>
      </c>
      <c r="BE350" s="316" t="n">
        <v>0</v>
      </c>
      <c r="BF350" s="310"/>
      <c r="BG350" s="317" t="n">
        <v>0</v>
      </c>
      <c r="BH350" s="318" t="n">
        <v>0</v>
      </c>
      <c r="BI350" s="317" t="n">
        <v>0</v>
      </c>
      <c r="BJ350" s="318" t="n">
        <v>0</v>
      </c>
      <c r="BK350" s="317" t="n">
        <v>0</v>
      </c>
      <c r="BL350" s="318" t="n">
        <v>0</v>
      </c>
      <c r="BM350" s="310"/>
      <c r="BN350" s="317" t="n">
        <v>0</v>
      </c>
      <c r="BO350" s="318" t="n">
        <v>0</v>
      </c>
      <c r="BP350" s="317" t="n">
        <v>0</v>
      </c>
      <c r="BQ350" s="318" t="n">
        <v>0</v>
      </c>
      <c r="BR350" s="317" t="n">
        <v>0</v>
      </c>
      <c r="BS350" s="318" t="n">
        <v>0</v>
      </c>
      <c r="BT350" s="317" t="n">
        <v>0</v>
      </c>
      <c r="BU350" s="318" t="n">
        <v>0</v>
      </c>
      <c r="BV350" s="317" t="n">
        <v>0</v>
      </c>
      <c r="BW350" s="318" t="n">
        <v>0</v>
      </c>
      <c r="BY350" s="143"/>
      <c r="BZ350" s="315"/>
      <c r="CA350" s="144" t="s">
        <v>12</v>
      </c>
      <c r="CB350" s="315"/>
      <c r="CC350" s="144" t="n">
        <v>-18.7371900826446</v>
      </c>
      <c r="CD350" s="144" t="n">
        <v>-18.7371900826446</v>
      </c>
      <c r="CE350" s="144" t="n">
        <v>-18.7371900826446</v>
      </c>
      <c r="CF350" s="315"/>
      <c r="CG350" s="144" t="n">
        <v>-18.7371900826446</v>
      </c>
      <c r="CH350" s="144" t="n">
        <v>-35.5371900826446</v>
      </c>
      <c r="CI350" s="144" t="n">
        <v>-35.5371900826446</v>
      </c>
      <c r="CJ350" s="144" t="n">
        <v>-35.5371900826446</v>
      </c>
      <c r="CK350" s="144" t="n">
        <v>-35.5371900826446</v>
      </c>
      <c r="CM350" s="144" t="n">
        <v>40.495867768595</v>
      </c>
      <c r="CO350" s="319"/>
      <c r="CP350" s="320"/>
      <c r="CQ350" s="321" t="s">
        <v>12</v>
      </c>
      <c r="CR350" s="320"/>
      <c r="CS350" s="322" t="n">
        <v>-23.695867768595</v>
      </c>
      <c r="CT350" s="322" t="n">
        <v>-23.695867768595</v>
      </c>
      <c r="CU350" s="322" t="n">
        <v>-23.695867768595</v>
      </c>
      <c r="CV350" s="323"/>
      <c r="CW350" s="322" t="n">
        <v>-23.695867768595</v>
      </c>
      <c r="CX350" s="322" t="n">
        <v>-40.495867768595</v>
      </c>
      <c r="CY350" s="322" t="n">
        <v>-40.495867768595</v>
      </c>
      <c r="CZ350" s="322" t="n">
        <v>-40.495867768595</v>
      </c>
      <c r="DA350" s="322" t="n">
        <v>-40.495867768595</v>
      </c>
    </row>
    <row r="351" customFormat="false" ht="12.75" hidden="false" customHeight="false" outlineLevel="0" collapsed="false">
      <c r="B351" s="305" t="s">
        <v>130</v>
      </c>
      <c r="C351" s="327" t="s">
        <v>628</v>
      </c>
      <c r="D351" s="306" t="n">
        <v>97</v>
      </c>
      <c r="E351" s="306" t="n">
        <v>0</v>
      </c>
      <c r="F351" s="306" t="s">
        <v>603</v>
      </c>
      <c r="G351" s="307" t="n">
        <v>24</v>
      </c>
      <c r="H351" s="308" t="n">
        <v>84.297520661157</v>
      </c>
      <c r="I351" s="2"/>
      <c r="J351" s="144" t="s">
        <v>12</v>
      </c>
      <c r="K351" s="309" t="s">
        <v>12</v>
      </c>
      <c r="L351" s="310"/>
      <c r="M351" s="311" t="n">
        <v>0</v>
      </c>
      <c r="N351" s="312" t="n">
        <v>3.1</v>
      </c>
      <c r="O351" s="311" t="n">
        <v>0</v>
      </c>
      <c r="P351" s="312" t="n">
        <v>0.9</v>
      </c>
      <c r="Q351" s="310" t="n">
        <v>0</v>
      </c>
      <c r="R351" s="312" t="n">
        <v>0.3</v>
      </c>
      <c r="S351" s="310"/>
      <c r="T351" s="311" t="n">
        <v>0</v>
      </c>
      <c r="U351" s="312" t="n">
        <v>3.1</v>
      </c>
      <c r="V351" s="311" t="n">
        <v>0</v>
      </c>
      <c r="W351" s="312" t="n">
        <v>1.3</v>
      </c>
      <c r="X351" s="311" t="n">
        <v>0</v>
      </c>
      <c r="Y351" s="312" t="n">
        <v>1.3</v>
      </c>
      <c r="Z351" s="313" t="n">
        <v>0</v>
      </c>
      <c r="AA351" s="314" t="n">
        <v>1.2</v>
      </c>
      <c r="AB351" s="313" t="n">
        <v>0</v>
      </c>
      <c r="AC351" s="314" t="n">
        <v>1.2</v>
      </c>
      <c r="AD351" s="315"/>
      <c r="AE351" s="144" t="n">
        <v>13</v>
      </c>
      <c r="AF351" s="315"/>
      <c r="AG351" s="311" t="n">
        <v>0</v>
      </c>
      <c r="AH351" s="309" t="n">
        <v>0</v>
      </c>
      <c r="AI351" s="310"/>
      <c r="AJ351" s="311" t="n">
        <v>23</v>
      </c>
      <c r="AK351" s="309" t="n">
        <v>74.4</v>
      </c>
      <c r="AL351" s="311" t="n">
        <v>75</v>
      </c>
      <c r="AM351" s="309" t="n">
        <v>21.6</v>
      </c>
      <c r="AN351" s="311" t="n">
        <v>90</v>
      </c>
      <c r="AO351" s="309" t="n">
        <v>7.2</v>
      </c>
      <c r="AP351" s="310"/>
      <c r="AQ351" s="311" t="n">
        <v>23</v>
      </c>
      <c r="AR351" s="309" t="n">
        <v>74.4</v>
      </c>
      <c r="AS351" s="311" t="n">
        <v>66</v>
      </c>
      <c r="AT351" s="309" t="n">
        <v>31.2</v>
      </c>
      <c r="AU351" s="311" t="n">
        <v>66</v>
      </c>
      <c r="AV351" s="309" t="n">
        <v>31.2</v>
      </c>
      <c r="AW351" s="311" t="n">
        <v>68</v>
      </c>
      <c r="AX351" s="309" t="n">
        <v>28.8</v>
      </c>
      <c r="AY351" s="311" t="n">
        <v>68</v>
      </c>
      <c r="AZ351" s="309" t="n">
        <v>28.8</v>
      </c>
      <c r="BB351" s="144" t="n">
        <v>0</v>
      </c>
      <c r="BC351" s="315"/>
      <c r="BD351" s="311" t="n">
        <v>0</v>
      </c>
      <c r="BE351" s="316" t="n">
        <v>0</v>
      </c>
      <c r="BF351" s="310"/>
      <c r="BG351" s="317" t="n">
        <v>0</v>
      </c>
      <c r="BH351" s="318" t="n">
        <v>0</v>
      </c>
      <c r="BI351" s="317" t="n">
        <v>0</v>
      </c>
      <c r="BJ351" s="318" t="n">
        <v>0</v>
      </c>
      <c r="BK351" s="317" t="n">
        <v>0</v>
      </c>
      <c r="BL351" s="318" t="n">
        <v>0</v>
      </c>
      <c r="BM351" s="310"/>
      <c r="BN351" s="317" t="n">
        <v>0</v>
      </c>
      <c r="BO351" s="318" t="n">
        <v>0</v>
      </c>
      <c r="BP351" s="317" t="n">
        <v>0</v>
      </c>
      <c r="BQ351" s="318" t="n">
        <v>0</v>
      </c>
      <c r="BR351" s="317" t="n">
        <v>0</v>
      </c>
      <c r="BS351" s="318" t="n">
        <v>0</v>
      </c>
      <c r="BT351" s="317" t="n">
        <v>0</v>
      </c>
      <c r="BU351" s="318" t="n">
        <v>0</v>
      </c>
      <c r="BV351" s="317" t="n">
        <v>0</v>
      </c>
      <c r="BW351" s="318" t="n">
        <v>0</v>
      </c>
      <c r="BY351" s="143"/>
      <c r="BZ351" s="315"/>
      <c r="CA351" s="144" t="s">
        <v>12</v>
      </c>
      <c r="CB351" s="315"/>
      <c r="CC351" s="144" t="n">
        <v>-9.89752066115702</v>
      </c>
      <c r="CD351" s="144" t="n">
        <v>-62.697520661157</v>
      </c>
      <c r="CE351" s="144" t="n">
        <v>-77.097520661157</v>
      </c>
      <c r="CF351" s="315"/>
      <c r="CG351" s="144" t="n">
        <v>-9.89752066115702</v>
      </c>
      <c r="CH351" s="144" t="n">
        <v>-53.097520661157</v>
      </c>
      <c r="CI351" s="144" t="n">
        <v>-53.097520661157</v>
      </c>
      <c r="CJ351" s="144" t="n">
        <v>-55.497520661157</v>
      </c>
      <c r="CK351" s="144" t="n">
        <v>-55.497520661157</v>
      </c>
      <c r="CM351" s="144" t="n">
        <v>81.8181818181818</v>
      </c>
      <c r="CO351" s="319"/>
      <c r="CP351" s="320"/>
      <c r="CQ351" s="321" t="s">
        <v>12</v>
      </c>
      <c r="CR351" s="320"/>
      <c r="CS351" s="322" t="n">
        <v>-7.41818181818182</v>
      </c>
      <c r="CT351" s="322" t="n">
        <v>-60.2181818181818</v>
      </c>
      <c r="CU351" s="322" t="n">
        <v>-74.6181818181818</v>
      </c>
      <c r="CV351" s="323"/>
      <c r="CW351" s="322" t="n">
        <v>-7.41818181818182</v>
      </c>
      <c r="CX351" s="322" t="n">
        <v>-50.6181818181818</v>
      </c>
      <c r="CY351" s="322" t="n">
        <v>-50.6181818181818</v>
      </c>
      <c r="CZ351" s="322" t="n">
        <v>-53.0181818181818</v>
      </c>
      <c r="DA351" s="322" t="n">
        <v>-53.0181818181818</v>
      </c>
    </row>
    <row r="352" customFormat="false" ht="12.75" hidden="false" customHeight="false" outlineLevel="0" collapsed="false">
      <c r="B352" s="305" t="s">
        <v>190</v>
      </c>
      <c r="C352" s="305" t="s">
        <v>629</v>
      </c>
      <c r="D352" s="306" t="n">
        <v>165</v>
      </c>
      <c r="E352" s="306" t="n">
        <v>0</v>
      </c>
      <c r="F352" s="324" t="s">
        <v>630</v>
      </c>
      <c r="G352" s="144" t="n">
        <v>24</v>
      </c>
      <c r="H352" s="325" t="n">
        <v>157.02479338843</v>
      </c>
      <c r="I352" s="2"/>
      <c r="J352" s="144" t="s">
        <v>12</v>
      </c>
      <c r="K352" s="309" t="s">
        <v>12</v>
      </c>
      <c r="L352" s="310"/>
      <c r="M352" s="311" t="n">
        <v>29</v>
      </c>
      <c r="N352" s="312" t="n">
        <v>4.4</v>
      </c>
      <c r="O352" s="311" t="n">
        <v>0</v>
      </c>
      <c r="P352" s="312" t="n">
        <v>2.9</v>
      </c>
      <c r="Q352" s="310" t="n">
        <v>0</v>
      </c>
      <c r="R352" s="312" t="n">
        <v>2.1</v>
      </c>
      <c r="S352" s="310"/>
      <c r="T352" s="311" t="n">
        <v>0</v>
      </c>
      <c r="U352" s="312" t="n">
        <v>5.4</v>
      </c>
      <c r="V352" s="311" t="n">
        <v>0</v>
      </c>
      <c r="W352" s="312" t="n">
        <v>2.5</v>
      </c>
      <c r="X352" s="311" t="n">
        <v>0</v>
      </c>
      <c r="Y352" s="312" t="n">
        <v>2.5</v>
      </c>
      <c r="Z352" s="313" t="n">
        <v>0</v>
      </c>
      <c r="AA352" s="314" t="n">
        <v>2.5</v>
      </c>
      <c r="AB352" s="313" t="n">
        <v>0</v>
      </c>
      <c r="AC352" s="314" t="n">
        <v>2.5</v>
      </c>
      <c r="AD352" s="315"/>
      <c r="AE352" s="144" t="n">
        <v>8</v>
      </c>
      <c r="AF352" s="315"/>
      <c r="AG352" s="311" t="n">
        <v>0</v>
      </c>
      <c r="AH352" s="309" t="n">
        <v>0</v>
      </c>
      <c r="AI352" s="310"/>
      <c r="AJ352" s="311" t="n">
        <v>30</v>
      </c>
      <c r="AK352" s="309" t="n">
        <v>105.6</v>
      </c>
      <c r="AL352" s="311" t="n">
        <v>95</v>
      </c>
      <c r="AM352" s="309" t="n">
        <v>69.6</v>
      </c>
      <c r="AN352" s="310" t="n">
        <v>115</v>
      </c>
      <c r="AO352" s="309" t="n">
        <v>50.4</v>
      </c>
      <c r="AP352" s="310"/>
      <c r="AQ352" s="311" t="n">
        <v>35</v>
      </c>
      <c r="AR352" s="309" t="n">
        <v>129.6</v>
      </c>
      <c r="AS352" s="311" t="n">
        <v>105</v>
      </c>
      <c r="AT352" s="309" t="n">
        <v>60</v>
      </c>
      <c r="AU352" s="310" t="n">
        <v>105</v>
      </c>
      <c r="AV352" s="309" t="n">
        <v>60</v>
      </c>
      <c r="AW352" s="310" t="n">
        <v>105</v>
      </c>
      <c r="AX352" s="309" t="n">
        <v>60</v>
      </c>
      <c r="AY352" s="310" t="n">
        <v>105</v>
      </c>
      <c r="AZ352" s="309" t="n">
        <v>60</v>
      </c>
      <c r="BB352" s="144" t="n">
        <v>0</v>
      </c>
      <c r="BC352" s="315"/>
      <c r="BD352" s="311" t="n">
        <v>0</v>
      </c>
      <c r="BE352" s="316" t="n">
        <v>0</v>
      </c>
      <c r="BF352" s="310"/>
      <c r="BG352" s="317" t="n">
        <v>0</v>
      </c>
      <c r="BH352" s="318" t="n">
        <v>0.4</v>
      </c>
      <c r="BI352" s="317" t="n">
        <v>0</v>
      </c>
      <c r="BJ352" s="318" t="n">
        <v>0.8</v>
      </c>
      <c r="BK352" s="317" t="n">
        <v>0</v>
      </c>
      <c r="BL352" s="318" t="n">
        <v>0.8</v>
      </c>
      <c r="BM352" s="310"/>
      <c r="BN352" s="317" t="n">
        <v>0</v>
      </c>
      <c r="BO352" s="318" t="n">
        <v>0</v>
      </c>
      <c r="BP352" s="317" t="n">
        <v>0</v>
      </c>
      <c r="BQ352" s="318" t="n">
        <v>0.8</v>
      </c>
      <c r="BR352" s="317" t="n">
        <v>0</v>
      </c>
      <c r="BS352" s="318" t="n">
        <v>0.8</v>
      </c>
      <c r="BT352" s="317" t="n">
        <v>0</v>
      </c>
      <c r="BU352" s="318" t="n">
        <v>0.8</v>
      </c>
      <c r="BV352" s="317" t="n">
        <v>0</v>
      </c>
      <c r="BW352" s="318" t="n">
        <v>0.8</v>
      </c>
      <c r="BY352" s="143"/>
      <c r="BZ352" s="315"/>
      <c r="CA352" s="144" t="s">
        <v>12</v>
      </c>
      <c r="CB352" s="315"/>
      <c r="CC352" s="144" t="n">
        <v>-22.4247933884297</v>
      </c>
      <c r="CD352" s="144" t="n">
        <v>-87.4247933884298</v>
      </c>
      <c r="CE352" s="144" t="n">
        <v>-106.62479338843</v>
      </c>
      <c r="CF352" s="315"/>
      <c r="CG352" s="144" t="n">
        <v>-27.4247933884297</v>
      </c>
      <c r="CH352" s="144" t="n">
        <v>-97.0247933884298</v>
      </c>
      <c r="CI352" s="144" t="n">
        <v>-97.0247933884298</v>
      </c>
      <c r="CJ352" s="144" t="n">
        <v>-97.0247933884298</v>
      </c>
      <c r="CK352" s="144" t="n">
        <v>-97.0247933884298</v>
      </c>
      <c r="CM352" s="144" t="n">
        <v>164.462809917355</v>
      </c>
      <c r="CO352" s="319"/>
      <c r="CP352" s="320"/>
      <c r="CQ352" s="321" t="s">
        <v>12</v>
      </c>
      <c r="CR352" s="320"/>
      <c r="CS352" s="322" t="n">
        <v>-29.8628099173553</v>
      </c>
      <c r="CT352" s="322" t="n">
        <v>-94.8628099173554</v>
      </c>
      <c r="CU352" s="322" t="n">
        <v>-114.062809917355</v>
      </c>
      <c r="CV352" s="323"/>
      <c r="CW352" s="322" t="n">
        <v>-34.8628099173553</v>
      </c>
      <c r="CX352" s="322" t="n">
        <v>-104.462809917355</v>
      </c>
      <c r="CY352" s="322" t="n">
        <v>-104.462809917355</v>
      </c>
      <c r="CZ352" s="322" t="n">
        <v>-104.462809917355</v>
      </c>
      <c r="DA352" s="322" t="n">
        <v>-104.462809917355</v>
      </c>
    </row>
    <row r="353" customFormat="false" ht="12.75" hidden="false" customHeight="false" outlineLevel="0" collapsed="false">
      <c r="B353" s="305" t="s">
        <v>190</v>
      </c>
      <c r="C353" s="305" t="s">
        <v>631</v>
      </c>
      <c r="D353" s="306" t="n">
        <v>248</v>
      </c>
      <c r="E353" s="306" t="n">
        <v>0</v>
      </c>
      <c r="F353" s="306" t="s">
        <v>630</v>
      </c>
      <c r="G353" s="307" t="n">
        <v>24</v>
      </c>
      <c r="H353" s="308" t="n">
        <v>243.801652892562</v>
      </c>
      <c r="I353" s="2"/>
      <c r="J353" s="144" t="s">
        <v>12</v>
      </c>
      <c r="K353" s="309" t="s">
        <v>12</v>
      </c>
      <c r="L353" s="310"/>
      <c r="M353" s="311" t="n">
        <v>39</v>
      </c>
      <c r="N353" s="312" t="n">
        <v>7.1</v>
      </c>
      <c r="O353" s="311" t="n">
        <v>0</v>
      </c>
      <c r="P353" s="312" t="n">
        <v>5.8</v>
      </c>
      <c r="Q353" s="310" t="n">
        <v>0</v>
      </c>
      <c r="R353" s="312" t="n">
        <v>5</v>
      </c>
      <c r="S353" s="310"/>
      <c r="T353" s="311" t="n">
        <v>0</v>
      </c>
      <c r="U353" s="312" t="n">
        <v>8.3</v>
      </c>
      <c r="V353" s="311" t="n">
        <v>0</v>
      </c>
      <c r="W353" s="312" t="n">
        <v>5</v>
      </c>
      <c r="X353" s="311" t="n">
        <v>0</v>
      </c>
      <c r="Y353" s="312" t="n">
        <v>5</v>
      </c>
      <c r="Z353" s="313" t="n">
        <v>0</v>
      </c>
      <c r="AA353" s="314" t="n">
        <v>5</v>
      </c>
      <c r="AB353" s="313" t="n">
        <v>0</v>
      </c>
      <c r="AC353" s="314" t="n">
        <v>5</v>
      </c>
      <c r="AD353" s="315"/>
      <c r="AE353" s="144" t="n">
        <v>4</v>
      </c>
      <c r="AF353" s="315"/>
      <c r="AG353" s="311" t="n">
        <v>0</v>
      </c>
      <c r="AH353" s="309" t="n">
        <v>0</v>
      </c>
      <c r="AI353" s="310"/>
      <c r="AJ353" s="311" t="n">
        <v>39</v>
      </c>
      <c r="AK353" s="309" t="n">
        <v>170.4</v>
      </c>
      <c r="AL353" s="311" t="n">
        <v>109</v>
      </c>
      <c r="AM353" s="309" t="n">
        <v>139.2</v>
      </c>
      <c r="AN353" s="311" t="n">
        <v>128</v>
      </c>
      <c r="AO353" s="309" t="n">
        <v>120</v>
      </c>
      <c r="AP353" s="310"/>
      <c r="AQ353" s="311" t="n">
        <v>49</v>
      </c>
      <c r="AR353" s="309" t="n">
        <v>199.2</v>
      </c>
      <c r="AS353" s="311" t="n">
        <v>128</v>
      </c>
      <c r="AT353" s="309" t="n">
        <v>120</v>
      </c>
      <c r="AU353" s="311" t="n">
        <v>128</v>
      </c>
      <c r="AV353" s="309" t="n">
        <v>120</v>
      </c>
      <c r="AW353" s="311" t="n">
        <v>128</v>
      </c>
      <c r="AX353" s="309" t="n">
        <v>120</v>
      </c>
      <c r="AY353" s="311" t="n">
        <v>128</v>
      </c>
      <c r="AZ353" s="309" t="n">
        <v>120</v>
      </c>
      <c r="BB353" s="144" t="n">
        <v>0</v>
      </c>
      <c r="BC353" s="315"/>
      <c r="BD353" s="311" t="n">
        <v>0</v>
      </c>
      <c r="BE353" s="316" t="n">
        <v>0</v>
      </c>
      <c r="BF353" s="310"/>
      <c r="BG353" s="317" t="n">
        <v>0</v>
      </c>
      <c r="BH353" s="318" t="n">
        <v>0.4</v>
      </c>
      <c r="BI353" s="317" t="n">
        <v>0</v>
      </c>
      <c r="BJ353" s="318" t="n">
        <v>0.800000000000001</v>
      </c>
      <c r="BK353" s="317" t="n">
        <v>0</v>
      </c>
      <c r="BL353" s="318" t="n">
        <v>0.8</v>
      </c>
      <c r="BM353" s="310"/>
      <c r="BN353" s="317" t="n">
        <v>0</v>
      </c>
      <c r="BO353" s="318" t="n">
        <v>0</v>
      </c>
      <c r="BP353" s="317" t="n">
        <v>0</v>
      </c>
      <c r="BQ353" s="318" t="n">
        <v>0.8</v>
      </c>
      <c r="BR353" s="317" t="n">
        <v>0</v>
      </c>
      <c r="BS353" s="318" t="n">
        <v>0.8</v>
      </c>
      <c r="BT353" s="317" t="n">
        <v>0</v>
      </c>
      <c r="BU353" s="318" t="n">
        <v>0.9</v>
      </c>
      <c r="BV353" s="317" t="n">
        <v>0</v>
      </c>
      <c r="BW353" s="318" t="n">
        <v>0.9</v>
      </c>
      <c r="BY353" s="143"/>
      <c r="BZ353" s="315"/>
      <c r="CA353" s="144" t="s">
        <v>12</v>
      </c>
      <c r="CB353" s="315"/>
      <c r="CC353" s="144" t="n">
        <v>-34.401652892562</v>
      </c>
      <c r="CD353" s="144" t="n">
        <v>-104.601652892562</v>
      </c>
      <c r="CE353" s="144" t="n">
        <v>-123.801652892562</v>
      </c>
      <c r="CF353" s="315"/>
      <c r="CG353" s="144" t="n">
        <v>-44.601652892562</v>
      </c>
      <c r="CH353" s="144" t="n">
        <v>-123.801652892562</v>
      </c>
      <c r="CI353" s="144" t="n">
        <v>-123.801652892562</v>
      </c>
      <c r="CJ353" s="144" t="n">
        <v>-123.801652892562</v>
      </c>
      <c r="CK353" s="144" t="n">
        <v>-123.801652892562</v>
      </c>
      <c r="CM353" s="144" t="n">
        <v>247.107438016529</v>
      </c>
      <c r="CO353" s="319"/>
      <c r="CP353" s="320"/>
      <c r="CQ353" s="321" t="s">
        <v>12</v>
      </c>
      <c r="CR353" s="320"/>
      <c r="CS353" s="322" t="n">
        <v>-37.7074380165289</v>
      </c>
      <c r="CT353" s="322" t="n">
        <v>-107.907438016529</v>
      </c>
      <c r="CU353" s="322" t="n">
        <v>-127.107438016529</v>
      </c>
      <c r="CV353" s="323"/>
      <c r="CW353" s="322" t="n">
        <v>-47.9074380165289</v>
      </c>
      <c r="CX353" s="322" t="n">
        <v>-127.107438016529</v>
      </c>
      <c r="CY353" s="322" t="n">
        <v>-127.107438016529</v>
      </c>
      <c r="CZ353" s="322" t="n">
        <v>-127.107438016529</v>
      </c>
      <c r="DA353" s="322" t="n">
        <v>-127.107438016529</v>
      </c>
    </row>
    <row r="354" customFormat="false" ht="12.75" hidden="false" customHeight="false" outlineLevel="0" collapsed="false">
      <c r="B354" s="305" t="s">
        <v>200</v>
      </c>
      <c r="C354" s="305" t="s">
        <v>632</v>
      </c>
      <c r="D354" s="306" t="n">
        <v>190</v>
      </c>
      <c r="E354" s="306" t="n">
        <v>0</v>
      </c>
      <c r="F354" s="324" t="s">
        <v>630</v>
      </c>
      <c r="G354" s="144" t="n">
        <v>24</v>
      </c>
      <c r="H354" s="325" t="n">
        <v>114.876033057851</v>
      </c>
      <c r="I354" s="2"/>
      <c r="J354" s="144" t="s">
        <v>12</v>
      </c>
      <c r="K354" s="309" t="s">
        <v>12</v>
      </c>
      <c r="L354" s="310"/>
      <c r="M354" s="311" t="n">
        <v>0</v>
      </c>
      <c r="N354" s="312" t="n">
        <v>4.6</v>
      </c>
      <c r="O354" s="311" t="n">
        <v>0</v>
      </c>
      <c r="P354" s="312" t="n">
        <v>2.1</v>
      </c>
      <c r="Q354" s="310" t="n">
        <v>0</v>
      </c>
      <c r="R354" s="312" t="n">
        <v>1.3</v>
      </c>
      <c r="S354" s="310"/>
      <c r="T354" s="311" t="n">
        <v>0</v>
      </c>
      <c r="U354" s="312" t="n">
        <v>4.4</v>
      </c>
      <c r="V354" s="311" t="n">
        <v>0</v>
      </c>
      <c r="W354" s="312" t="n">
        <v>1.7</v>
      </c>
      <c r="X354" s="311" t="n">
        <v>0</v>
      </c>
      <c r="Y354" s="312" t="n">
        <v>1.7</v>
      </c>
      <c r="Z354" s="313" t="n">
        <v>0</v>
      </c>
      <c r="AA354" s="314" t="n">
        <v>1.7</v>
      </c>
      <c r="AB354" s="313" t="n">
        <v>0</v>
      </c>
      <c r="AC354" s="314" t="n">
        <v>1.7</v>
      </c>
      <c r="AD354" s="315"/>
      <c r="AE354" s="144" t="n">
        <v>75</v>
      </c>
      <c r="AF354" s="315"/>
      <c r="AG354" s="311" t="n">
        <v>0</v>
      </c>
      <c r="AH354" s="309" t="n">
        <v>0</v>
      </c>
      <c r="AI354" s="310"/>
      <c r="AJ354" s="311" t="n">
        <v>80</v>
      </c>
      <c r="AK354" s="309" t="n">
        <v>110.4</v>
      </c>
      <c r="AL354" s="311" t="n">
        <v>140</v>
      </c>
      <c r="AM354" s="309" t="n">
        <v>50.4</v>
      </c>
      <c r="AN354" s="310" t="n">
        <v>159</v>
      </c>
      <c r="AO354" s="309" t="n">
        <v>31.2</v>
      </c>
      <c r="AP354" s="310"/>
      <c r="AQ354" s="311" t="n">
        <v>84</v>
      </c>
      <c r="AR354" s="309" t="n">
        <v>105.6</v>
      </c>
      <c r="AS354" s="311" t="n">
        <v>149</v>
      </c>
      <c r="AT354" s="309" t="n">
        <v>40.8</v>
      </c>
      <c r="AU354" s="310" t="n">
        <v>149</v>
      </c>
      <c r="AV354" s="309" t="n">
        <v>40.8</v>
      </c>
      <c r="AW354" s="310" t="n">
        <v>149</v>
      </c>
      <c r="AX354" s="309" t="n">
        <v>40.8</v>
      </c>
      <c r="AY354" s="310" t="n">
        <v>149</v>
      </c>
      <c r="AZ354" s="309" t="n">
        <v>40.8</v>
      </c>
      <c r="BB354" s="144" t="n">
        <v>0</v>
      </c>
      <c r="BC354" s="315"/>
      <c r="BD354" s="311" t="n">
        <v>0</v>
      </c>
      <c r="BE354" s="316" t="n">
        <v>0</v>
      </c>
      <c r="BF354" s="310"/>
      <c r="BG354" s="317" t="n">
        <v>0</v>
      </c>
      <c r="BH354" s="318" t="n">
        <v>0.4</v>
      </c>
      <c r="BI354" s="317" t="n">
        <v>0</v>
      </c>
      <c r="BJ354" s="318" t="n">
        <v>0.8</v>
      </c>
      <c r="BK354" s="317" t="n">
        <v>0</v>
      </c>
      <c r="BL354" s="318" t="n">
        <v>0.8</v>
      </c>
      <c r="BM354" s="310"/>
      <c r="BN354" s="317" t="n">
        <v>0</v>
      </c>
      <c r="BO354" s="318" t="n">
        <v>0</v>
      </c>
      <c r="BP354" s="317" t="n">
        <v>0</v>
      </c>
      <c r="BQ354" s="318" t="n">
        <v>0.8</v>
      </c>
      <c r="BR354" s="317" t="n">
        <v>0</v>
      </c>
      <c r="BS354" s="318" t="n">
        <v>0.8</v>
      </c>
      <c r="BT354" s="317" t="n">
        <v>0</v>
      </c>
      <c r="BU354" s="318" t="n">
        <v>0.9</v>
      </c>
      <c r="BV354" s="317" t="n">
        <v>0</v>
      </c>
      <c r="BW354" s="318" t="n">
        <v>0.9</v>
      </c>
      <c r="BY354" s="143"/>
      <c r="BZ354" s="315"/>
      <c r="CA354" s="144" t="s">
        <v>12</v>
      </c>
      <c r="CB354" s="315"/>
      <c r="CC354" s="144" t="n">
        <v>-4.47603305785124</v>
      </c>
      <c r="CD354" s="144" t="n">
        <v>-64.4760330578512</v>
      </c>
      <c r="CE354" s="144" t="n">
        <v>-83.6760330578512</v>
      </c>
      <c r="CF354" s="315"/>
      <c r="CG354" s="144" t="n">
        <v>-9.27603305785124</v>
      </c>
      <c r="CH354" s="144" t="n">
        <v>-74.0760330578513</v>
      </c>
      <c r="CI354" s="144" t="n">
        <v>-74.0760330578513</v>
      </c>
      <c r="CJ354" s="144" t="n">
        <v>-74.0760330578513</v>
      </c>
      <c r="CK354" s="144" t="n">
        <v>-74.0760330578513</v>
      </c>
      <c r="CM354" s="144" t="n">
        <v>189.256198347107</v>
      </c>
      <c r="CO354" s="319"/>
      <c r="CP354" s="320"/>
      <c r="CQ354" s="321" t="s">
        <v>12</v>
      </c>
      <c r="CR354" s="320"/>
      <c r="CS354" s="322" t="n">
        <v>-78.8561983471074</v>
      </c>
      <c r="CT354" s="322" t="n">
        <v>-138.856198347107</v>
      </c>
      <c r="CU354" s="322" t="n">
        <v>-158.056198347107</v>
      </c>
      <c r="CV354" s="323"/>
      <c r="CW354" s="322" t="n">
        <v>-83.6561983471074</v>
      </c>
      <c r="CX354" s="322" t="n">
        <v>-148.456198347107</v>
      </c>
      <c r="CY354" s="322" t="n">
        <v>-148.456198347107</v>
      </c>
      <c r="CZ354" s="322" t="n">
        <v>-148.456198347107</v>
      </c>
      <c r="DA354" s="322" t="n">
        <v>-148.456198347107</v>
      </c>
    </row>
    <row r="355" customFormat="false" ht="12.75" hidden="false" customHeight="false" outlineLevel="0" collapsed="false">
      <c r="B355" s="305" t="s">
        <v>108</v>
      </c>
      <c r="C355" s="305" t="s">
        <v>633</v>
      </c>
      <c r="D355" s="306" t="n">
        <v>75</v>
      </c>
      <c r="E355" s="306" t="n">
        <v>0</v>
      </c>
      <c r="F355" s="306" t="s">
        <v>630</v>
      </c>
      <c r="G355" s="307" t="n">
        <v>24</v>
      </c>
      <c r="H355" s="308" t="n">
        <v>90.0826446280992</v>
      </c>
      <c r="I355" s="2"/>
      <c r="J355" s="144" t="s">
        <v>12</v>
      </c>
      <c r="K355" s="309" t="s">
        <v>12</v>
      </c>
      <c r="L355" s="310"/>
      <c r="M355" s="311" t="n">
        <v>0</v>
      </c>
      <c r="N355" s="312" t="n">
        <v>3.6</v>
      </c>
      <c r="O355" s="311" t="n">
        <v>0</v>
      </c>
      <c r="P355" s="312" t="n">
        <v>1.1</v>
      </c>
      <c r="Q355" s="310" t="n">
        <v>0</v>
      </c>
      <c r="R355" s="312" t="n">
        <v>0.3</v>
      </c>
      <c r="S355" s="310"/>
      <c r="T355" s="311" t="n">
        <v>0</v>
      </c>
      <c r="U355" s="312" t="n">
        <v>1.7</v>
      </c>
      <c r="V355" s="311" t="n">
        <v>0</v>
      </c>
      <c r="W355" s="312" t="n">
        <v>0.9</v>
      </c>
      <c r="X355" s="311" t="n">
        <v>0</v>
      </c>
      <c r="Y355" s="312" t="n">
        <v>0.9</v>
      </c>
      <c r="Z355" s="313" t="n">
        <v>0</v>
      </c>
      <c r="AA355" s="314" t="n">
        <v>0.8</v>
      </c>
      <c r="AB355" s="313" t="n">
        <v>0</v>
      </c>
      <c r="AC355" s="314" t="n">
        <v>0.8</v>
      </c>
      <c r="AD355" s="315"/>
      <c r="AE355" s="144" t="n">
        <v>-15</v>
      </c>
      <c r="AF355" s="315"/>
      <c r="AG355" s="311" t="n">
        <v>0</v>
      </c>
      <c r="AH355" s="309" t="n">
        <v>0</v>
      </c>
      <c r="AI355" s="310"/>
      <c r="AJ355" s="311" t="n">
        <v>-11</v>
      </c>
      <c r="AK355" s="309" t="n">
        <v>86.4</v>
      </c>
      <c r="AL355" s="311" t="n">
        <v>49</v>
      </c>
      <c r="AM355" s="309" t="n">
        <v>26.4</v>
      </c>
      <c r="AN355" s="311" t="n">
        <v>68</v>
      </c>
      <c r="AO355" s="309" t="n">
        <v>7.2</v>
      </c>
      <c r="AP355" s="310"/>
      <c r="AQ355" s="311" t="n">
        <v>34</v>
      </c>
      <c r="AR355" s="309" t="n">
        <v>40.8</v>
      </c>
      <c r="AS355" s="311" t="n">
        <v>53</v>
      </c>
      <c r="AT355" s="309" t="n">
        <v>21.6</v>
      </c>
      <c r="AU355" s="311" t="n">
        <v>53</v>
      </c>
      <c r="AV355" s="309" t="n">
        <v>21.6</v>
      </c>
      <c r="AW355" s="311" t="n">
        <v>56</v>
      </c>
      <c r="AX355" s="309" t="n">
        <v>19.2</v>
      </c>
      <c r="AY355" s="311" t="n">
        <v>56</v>
      </c>
      <c r="AZ355" s="309" t="n">
        <v>19.2</v>
      </c>
      <c r="BB355" s="144" t="n">
        <v>0</v>
      </c>
      <c r="BC355" s="315"/>
      <c r="BD355" s="311" t="n">
        <v>0</v>
      </c>
      <c r="BE355" s="316" t="n">
        <v>0</v>
      </c>
      <c r="BF355" s="310"/>
      <c r="BG355" s="317" t="n">
        <v>0</v>
      </c>
      <c r="BH355" s="318" t="n">
        <v>0.5</v>
      </c>
      <c r="BI355" s="317" t="n">
        <v>0</v>
      </c>
      <c r="BJ355" s="318" t="n">
        <v>0.8</v>
      </c>
      <c r="BK355" s="317" t="n">
        <v>0</v>
      </c>
      <c r="BL355" s="318" t="n">
        <v>0</v>
      </c>
      <c r="BM355" s="310"/>
      <c r="BN355" s="317" t="n">
        <v>0</v>
      </c>
      <c r="BO355" s="318" t="n">
        <v>1.2</v>
      </c>
      <c r="BP355" s="317" t="n">
        <v>0</v>
      </c>
      <c r="BQ355" s="318" t="n">
        <v>0.9</v>
      </c>
      <c r="BR355" s="317" t="n">
        <v>0</v>
      </c>
      <c r="BS355" s="318" t="n">
        <v>0.9</v>
      </c>
      <c r="BT355" s="317" t="n">
        <v>0</v>
      </c>
      <c r="BU355" s="318" t="n">
        <v>0.8</v>
      </c>
      <c r="BV355" s="317" t="n">
        <v>0</v>
      </c>
      <c r="BW355" s="318" t="n">
        <v>0.8</v>
      </c>
      <c r="BY355" s="143"/>
      <c r="BZ355" s="315"/>
      <c r="CA355" s="144" t="s">
        <v>12</v>
      </c>
      <c r="CB355" s="315"/>
      <c r="CC355" s="144" t="n">
        <v>-3.68264462809917</v>
      </c>
      <c r="CD355" s="144" t="n">
        <v>-63.6826446280992</v>
      </c>
      <c r="CE355" s="144" t="n">
        <v>-82.8826446280992</v>
      </c>
      <c r="CF355" s="315"/>
      <c r="CG355" s="144" t="n">
        <v>-49.2826446280992</v>
      </c>
      <c r="CH355" s="144" t="n">
        <v>-68.4826446280992</v>
      </c>
      <c r="CI355" s="144" t="n">
        <v>-68.4826446280992</v>
      </c>
      <c r="CJ355" s="144" t="n">
        <v>-70.8826446280992</v>
      </c>
      <c r="CK355" s="144" t="n">
        <v>-70.8826446280992</v>
      </c>
      <c r="CM355" s="144" t="n">
        <v>74.3719008264463</v>
      </c>
      <c r="CO355" s="319"/>
      <c r="CP355" s="320"/>
      <c r="CQ355" s="321" t="s">
        <v>12</v>
      </c>
      <c r="CR355" s="320"/>
      <c r="CS355" s="322" t="n">
        <v>12.0280991735537</v>
      </c>
      <c r="CT355" s="322" t="n">
        <v>-47.9719008264463</v>
      </c>
      <c r="CU355" s="322" t="n">
        <v>-67.1719008264463</v>
      </c>
      <c r="CV355" s="323"/>
      <c r="CW355" s="322" t="n">
        <v>-33.5719008264463</v>
      </c>
      <c r="CX355" s="322" t="n">
        <v>-52.7719008264463</v>
      </c>
      <c r="CY355" s="322" t="n">
        <v>-52.7719008264463</v>
      </c>
      <c r="CZ355" s="322" t="n">
        <v>-55.1719008264463</v>
      </c>
      <c r="DA355" s="322" t="n">
        <v>-55.1719008264463</v>
      </c>
    </row>
    <row r="356" customFormat="false" ht="12.75" hidden="false" customHeight="false" outlineLevel="0" collapsed="false">
      <c r="B356" s="305" t="s">
        <v>428</v>
      </c>
      <c r="C356" s="305" t="s">
        <v>634</v>
      </c>
      <c r="D356" s="306" t="n">
        <v>165</v>
      </c>
      <c r="E356" s="306" t="n">
        <v>0</v>
      </c>
      <c r="F356" s="324" t="s">
        <v>630</v>
      </c>
      <c r="G356" s="144" t="n">
        <v>24</v>
      </c>
      <c r="H356" s="325" t="n">
        <v>133.057851239669</v>
      </c>
      <c r="I356" s="2"/>
      <c r="J356" s="144" t="s">
        <v>12</v>
      </c>
      <c r="K356" s="309" t="s">
        <v>12</v>
      </c>
      <c r="L356" s="310"/>
      <c r="M356" s="311" t="n">
        <v>19</v>
      </c>
      <c r="N356" s="312" t="n">
        <v>4.2</v>
      </c>
      <c r="O356" s="311" t="n">
        <v>0</v>
      </c>
      <c r="P356" s="312" t="n">
        <v>2.5</v>
      </c>
      <c r="Q356" s="310" t="n">
        <v>0</v>
      </c>
      <c r="R356" s="312" t="n">
        <v>1.7</v>
      </c>
      <c r="S356" s="310"/>
      <c r="T356" s="311" t="n">
        <v>0</v>
      </c>
      <c r="U356" s="312" t="n">
        <v>4.8</v>
      </c>
      <c r="V356" s="311" t="n">
        <v>0</v>
      </c>
      <c r="W356" s="312" t="n">
        <v>1.7</v>
      </c>
      <c r="X356" s="311" t="n">
        <v>0</v>
      </c>
      <c r="Y356" s="312" t="n">
        <v>1.7</v>
      </c>
      <c r="Z356" s="313" t="n">
        <v>0</v>
      </c>
      <c r="AA356" s="314" t="n">
        <v>1.7</v>
      </c>
      <c r="AB356" s="313" t="n">
        <v>0</v>
      </c>
      <c r="AC356" s="314" t="n">
        <v>1.7</v>
      </c>
      <c r="AD356" s="315"/>
      <c r="AE356" s="144" t="n">
        <v>32</v>
      </c>
      <c r="AF356" s="315"/>
      <c r="AG356" s="311" t="n">
        <v>0</v>
      </c>
      <c r="AH356" s="309" t="n">
        <v>0</v>
      </c>
      <c r="AI356" s="310"/>
      <c r="AJ356" s="311" t="n">
        <v>45</v>
      </c>
      <c r="AK356" s="309" t="n">
        <v>100.8</v>
      </c>
      <c r="AL356" s="311" t="n">
        <v>105</v>
      </c>
      <c r="AM356" s="309" t="n">
        <v>60</v>
      </c>
      <c r="AN356" s="310" t="n">
        <v>124</v>
      </c>
      <c r="AO356" s="309" t="n">
        <v>40.8</v>
      </c>
      <c r="AP356" s="310"/>
      <c r="AQ356" s="311" t="n">
        <v>50</v>
      </c>
      <c r="AR356" s="309" t="n">
        <v>115.2</v>
      </c>
      <c r="AS356" s="311" t="n">
        <v>124</v>
      </c>
      <c r="AT356" s="309" t="n">
        <v>40.8</v>
      </c>
      <c r="AU356" s="310" t="n">
        <v>124</v>
      </c>
      <c r="AV356" s="309" t="n">
        <v>40.8</v>
      </c>
      <c r="AW356" s="310" t="n">
        <v>124</v>
      </c>
      <c r="AX356" s="309" t="n">
        <v>40.8</v>
      </c>
      <c r="AY356" s="310" t="n">
        <v>124</v>
      </c>
      <c r="AZ356" s="309" t="n">
        <v>40.8</v>
      </c>
      <c r="BB356" s="144" t="n">
        <v>0</v>
      </c>
      <c r="BC356" s="315"/>
      <c r="BD356" s="311" t="n">
        <v>0</v>
      </c>
      <c r="BE356" s="316" t="n">
        <v>0</v>
      </c>
      <c r="BF356" s="310"/>
      <c r="BG356" s="317" t="n">
        <v>0</v>
      </c>
      <c r="BH356" s="318" t="n">
        <v>0.2</v>
      </c>
      <c r="BI356" s="317" t="n">
        <v>0</v>
      </c>
      <c r="BJ356" s="318" t="n">
        <v>0.8</v>
      </c>
      <c r="BK356" s="317" t="n">
        <v>0</v>
      </c>
      <c r="BL356" s="318" t="n">
        <v>0.8</v>
      </c>
      <c r="BM356" s="310"/>
      <c r="BN356" s="317" t="n">
        <v>0</v>
      </c>
      <c r="BO356" s="318" t="n">
        <v>0</v>
      </c>
      <c r="BP356" s="317" t="n">
        <v>0</v>
      </c>
      <c r="BQ356" s="318" t="n">
        <v>0</v>
      </c>
      <c r="BR356" s="317" t="n">
        <v>0</v>
      </c>
      <c r="BS356" s="318" t="n">
        <v>0</v>
      </c>
      <c r="BT356" s="317" t="n">
        <v>0</v>
      </c>
      <c r="BU356" s="318" t="n">
        <v>0</v>
      </c>
      <c r="BV356" s="317" t="n">
        <v>0</v>
      </c>
      <c r="BW356" s="318" t="n">
        <v>0</v>
      </c>
      <c r="BY356" s="143"/>
      <c r="BZ356" s="315"/>
      <c r="CA356" s="144" t="s">
        <v>12</v>
      </c>
      <c r="CB356" s="315"/>
      <c r="CC356" s="144" t="n">
        <v>-13.2578512396694</v>
      </c>
      <c r="CD356" s="144" t="n">
        <v>-73.0578512396694</v>
      </c>
      <c r="CE356" s="144" t="n">
        <v>-92.2578512396694</v>
      </c>
      <c r="CF356" s="315"/>
      <c r="CG356" s="144" t="n">
        <v>-17.8578512396694</v>
      </c>
      <c r="CH356" s="144" t="n">
        <v>-92.2578512396694</v>
      </c>
      <c r="CI356" s="144" t="n">
        <v>-92.2578512396694</v>
      </c>
      <c r="CJ356" s="144" t="n">
        <v>-92.2578512396694</v>
      </c>
      <c r="CK356" s="144" t="n">
        <v>-92.2578512396694</v>
      </c>
      <c r="CM356" s="144" t="n">
        <v>164.462809917355</v>
      </c>
      <c r="CO356" s="319"/>
      <c r="CP356" s="320"/>
      <c r="CQ356" s="321" t="s">
        <v>12</v>
      </c>
      <c r="CR356" s="320"/>
      <c r="CS356" s="322" t="n">
        <v>-44.6628099173554</v>
      </c>
      <c r="CT356" s="322" t="n">
        <v>-104.462809917355</v>
      </c>
      <c r="CU356" s="322" t="n">
        <v>-123.662809917355</v>
      </c>
      <c r="CV356" s="323"/>
      <c r="CW356" s="322" t="n">
        <v>-49.2628099173554</v>
      </c>
      <c r="CX356" s="322" t="n">
        <v>-123.662809917355</v>
      </c>
      <c r="CY356" s="322" t="n">
        <v>-123.662809917355</v>
      </c>
      <c r="CZ356" s="322" t="n">
        <v>-123.662809917355</v>
      </c>
      <c r="DA356" s="322" t="n">
        <v>-123.662809917355</v>
      </c>
    </row>
    <row r="357" customFormat="false" ht="12.75" hidden="false" customHeight="false" outlineLevel="0" collapsed="false">
      <c r="B357" s="305" t="s">
        <v>260</v>
      </c>
      <c r="C357" s="327" t="s">
        <v>635</v>
      </c>
      <c r="D357" s="306" t="n">
        <v>101</v>
      </c>
      <c r="E357" s="306" t="n">
        <v>0</v>
      </c>
      <c r="F357" s="306" t="s">
        <v>630</v>
      </c>
      <c r="G357" s="307" t="n">
        <v>24</v>
      </c>
      <c r="H357" s="308" t="n">
        <v>100.826446280992</v>
      </c>
      <c r="I357" s="2"/>
      <c r="J357" s="144" t="s">
        <v>12</v>
      </c>
      <c r="K357" s="309" t="s">
        <v>12</v>
      </c>
      <c r="L357" s="310"/>
      <c r="M357" s="311" t="n">
        <v>0</v>
      </c>
      <c r="N357" s="312" t="n">
        <v>4</v>
      </c>
      <c r="O357" s="311" t="n">
        <v>0</v>
      </c>
      <c r="P357" s="312" t="n">
        <v>1.5</v>
      </c>
      <c r="Q357" s="310" t="n">
        <v>0</v>
      </c>
      <c r="R357" s="312" t="n">
        <v>0.7</v>
      </c>
      <c r="S357" s="310"/>
      <c r="T357" s="311" t="n">
        <v>0</v>
      </c>
      <c r="U357" s="312" t="n">
        <v>3.8</v>
      </c>
      <c r="V357" s="311" t="n">
        <v>0</v>
      </c>
      <c r="W357" s="312" t="n">
        <v>1.3</v>
      </c>
      <c r="X357" s="311" t="n">
        <v>0</v>
      </c>
      <c r="Y357" s="312" t="n">
        <v>1.3</v>
      </c>
      <c r="Z357" s="313" t="n">
        <v>0</v>
      </c>
      <c r="AA357" s="314" t="n">
        <v>1.2</v>
      </c>
      <c r="AB357" s="313" t="n">
        <v>0</v>
      </c>
      <c r="AC357" s="314" t="n">
        <v>1.2</v>
      </c>
      <c r="AD357" s="315"/>
      <c r="AE357" s="144" t="n">
        <v>0</v>
      </c>
      <c r="AF357" s="315"/>
      <c r="AG357" s="311" t="n">
        <v>0</v>
      </c>
      <c r="AH357" s="309" t="n">
        <v>0</v>
      </c>
      <c r="AI357" s="310"/>
      <c r="AJ357" s="311" t="n">
        <v>5</v>
      </c>
      <c r="AK357" s="309" t="n">
        <v>96</v>
      </c>
      <c r="AL357" s="311" t="n">
        <v>65</v>
      </c>
      <c r="AM357" s="309" t="n">
        <v>36</v>
      </c>
      <c r="AN357" s="311" t="n">
        <v>84</v>
      </c>
      <c r="AO357" s="309" t="n">
        <v>16.8</v>
      </c>
      <c r="AP357" s="310"/>
      <c r="AQ357" s="311" t="n">
        <v>10</v>
      </c>
      <c r="AR357" s="309" t="n">
        <v>91.2</v>
      </c>
      <c r="AS357" s="311" t="n">
        <v>70</v>
      </c>
      <c r="AT357" s="309" t="n">
        <v>31.2</v>
      </c>
      <c r="AU357" s="311" t="n">
        <v>70</v>
      </c>
      <c r="AV357" s="309" t="n">
        <v>31.2</v>
      </c>
      <c r="AW357" s="311" t="n">
        <v>72</v>
      </c>
      <c r="AX357" s="309" t="n">
        <v>28.8</v>
      </c>
      <c r="AY357" s="311" t="n">
        <v>72</v>
      </c>
      <c r="AZ357" s="309" t="n">
        <v>28.8</v>
      </c>
      <c r="BB357" s="144" t="n">
        <v>0</v>
      </c>
      <c r="BC357" s="315"/>
      <c r="BD357" s="311" t="n">
        <v>0</v>
      </c>
      <c r="BE357" s="316" t="n">
        <v>0</v>
      </c>
      <c r="BF357" s="310"/>
      <c r="BG357" s="317" t="n">
        <v>0</v>
      </c>
      <c r="BH357" s="318" t="n">
        <v>0</v>
      </c>
      <c r="BI357" s="317" t="n">
        <v>0</v>
      </c>
      <c r="BJ357" s="318" t="n">
        <v>0</v>
      </c>
      <c r="BK357" s="317" t="n">
        <v>0</v>
      </c>
      <c r="BL357" s="318" t="n">
        <v>0</v>
      </c>
      <c r="BM357" s="310"/>
      <c r="BN357" s="317" t="n">
        <v>0</v>
      </c>
      <c r="BO357" s="318" t="n">
        <v>0</v>
      </c>
      <c r="BP357" s="317" t="n">
        <v>0</v>
      </c>
      <c r="BQ357" s="318" t="n">
        <v>0</v>
      </c>
      <c r="BR357" s="317" t="n">
        <v>0</v>
      </c>
      <c r="BS357" s="318" t="n">
        <v>0</v>
      </c>
      <c r="BT357" s="317" t="n">
        <v>0</v>
      </c>
      <c r="BU357" s="318" t="n">
        <v>0</v>
      </c>
      <c r="BV357" s="317" t="n">
        <v>0</v>
      </c>
      <c r="BW357" s="318" t="n">
        <v>0</v>
      </c>
      <c r="BY357" s="143"/>
      <c r="BZ357" s="315"/>
      <c r="CA357" s="144" t="s">
        <v>12</v>
      </c>
      <c r="CB357" s="315"/>
      <c r="CC357" s="144" t="n">
        <v>-4.82644628099173</v>
      </c>
      <c r="CD357" s="144" t="n">
        <v>-64.8264462809917</v>
      </c>
      <c r="CE357" s="144" t="n">
        <v>-84.0264462809917</v>
      </c>
      <c r="CF357" s="315"/>
      <c r="CG357" s="144" t="n">
        <v>-9.62644628099173</v>
      </c>
      <c r="CH357" s="144" t="n">
        <v>-69.6264462809917</v>
      </c>
      <c r="CI357" s="144" t="n">
        <v>-69.6264462809917</v>
      </c>
      <c r="CJ357" s="144" t="n">
        <v>-72.0264462809917</v>
      </c>
      <c r="CK357" s="144" t="n">
        <v>-72.0264462809917</v>
      </c>
      <c r="CM357" s="144" t="n">
        <v>98.3471074380165</v>
      </c>
      <c r="CO357" s="319"/>
      <c r="CP357" s="320"/>
      <c r="CQ357" s="321" t="s">
        <v>12</v>
      </c>
      <c r="CR357" s="320"/>
      <c r="CS357" s="322" t="n">
        <v>-2.34710743801654</v>
      </c>
      <c r="CT357" s="322" t="n">
        <v>-62.3471074380165</v>
      </c>
      <c r="CU357" s="322" t="n">
        <v>-81.5471074380165</v>
      </c>
      <c r="CV357" s="323"/>
      <c r="CW357" s="322" t="n">
        <v>-7.14710743801653</v>
      </c>
      <c r="CX357" s="322" t="n">
        <v>-67.1471074380165</v>
      </c>
      <c r="CY357" s="322" t="n">
        <v>-67.1471074380165</v>
      </c>
      <c r="CZ357" s="322" t="n">
        <v>-69.5471074380165</v>
      </c>
      <c r="DA357" s="322" t="n">
        <v>-69.5471074380165</v>
      </c>
    </row>
    <row r="358" customFormat="false" ht="12.75" hidden="false" customHeight="false" outlineLevel="0" collapsed="false">
      <c r="B358" s="305" t="s">
        <v>636</v>
      </c>
      <c r="C358" s="305" t="s">
        <v>637</v>
      </c>
      <c r="D358" s="306" t="n">
        <v>538</v>
      </c>
      <c r="E358" s="306" t="n">
        <v>0</v>
      </c>
      <c r="F358" s="324" t="s">
        <v>638</v>
      </c>
      <c r="G358" s="144" t="n">
        <v>24</v>
      </c>
      <c r="H358" s="325" t="n">
        <v>533.057851239669</v>
      </c>
      <c r="I358" s="2"/>
      <c r="J358" s="144" t="s">
        <v>12</v>
      </c>
      <c r="K358" s="309" t="s">
        <v>12</v>
      </c>
      <c r="L358" s="310"/>
      <c r="M358" s="311" t="n">
        <v>219</v>
      </c>
      <c r="N358" s="312" t="n">
        <v>9.3</v>
      </c>
      <c r="O358" s="311" t="n">
        <v>139</v>
      </c>
      <c r="P358" s="312" t="n">
        <v>10.4</v>
      </c>
      <c r="Q358" s="310" t="n">
        <v>139</v>
      </c>
      <c r="R358" s="312" t="n">
        <v>9.6</v>
      </c>
      <c r="S358" s="310"/>
      <c r="T358" s="311" t="n">
        <v>0</v>
      </c>
      <c r="U358" s="312" t="n">
        <v>18.2</v>
      </c>
      <c r="V358" s="311" t="n">
        <v>0</v>
      </c>
      <c r="W358" s="312" t="n">
        <v>14.9</v>
      </c>
      <c r="X358" s="311" t="n">
        <v>0</v>
      </c>
      <c r="Y358" s="312" t="n">
        <v>14.9</v>
      </c>
      <c r="Z358" s="313" t="n">
        <v>0</v>
      </c>
      <c r="AA358" s="314" t="n">
        <v>14.9</v>
      </c>
      <c r="AB358" s="313" t="n">
        <v>0</v>
      </c>
      <c r="AC358" s="314" t="n">
        <v>14.9</v>
      </c>
      <c r="AD358" s="315"/>
      <c r="AE358" s="144" t="n">
        <v>5</v>
      </c>
      <c r="AF358" s="315"/>
      <c r="AG358" s="311" t="n">
        <v>0</v>
      </c>
      <c r="AH358" s="309" t="n">
        <v>0</v>
      </c>
      <c r="AI358" s="310"/>
      <c r="AJ358" s="311" t="n">
        <v>96</v>
      </c>
      <c r="AK358" s="309" t="n">
        <v>223.2</v>
      </c>
      <c r="AL358" s="311" t="n">
        <v>149</v>
      </c>
      <c r="AM358" s="309" t="n">
        <v>249.6</v>
      </c>
      <c r="AN358" s="310" t="n">
        <v>169</v>
      </c>
      <c r="AO358" s="309" t="n">
        <v>230.4</v>
      </c>
      <c r="AP358" s="310"/>
      <c r="AQ358" s="311" t="n">
        <v>101</v>
      </c>
      <c r="AR358" s="309" t="n">
        <v>436.8</v>
      </c>
      <c r="AS358" s="311" t="n">
        <v>180</v>
      </c>
      <c r="AT358" s="309" t="n">
        <v>357.6</v>
      </c>
      <c r="AU358" s="310" t="n">
        <v>180</v>
      </c>
      <c r="AV358" s="309" t="n">
        <v>357.6</v>
      </c>
      <c r="AW358" s="310" t="n">
        <v>180</v>
      </c>
      <c r="AX358" s="309" t="n">
        <v>357.6</v>
      </c>
      <c r="AY358" s="310" t="n">
        <v>180</v>
      </c>
      <c r="AZ358" s="309" t="n">
        <v>357.6</v>
      </c>
      <c r="BB358" s="144" t="n">
        <v>0</v>
      </c>
      <c r="BC358" s="315"/>
      <c r="BD358" s="311" t="n">
        <v>0</v>
      </c>
      <c r="BE358" s="316" t="n">
        <v>0</v>
      </c>
      <c r="BF358" s="310"/>
      <c r="BG358" s="317" t="n">
        <v>0</v>
      </c>
      <c r="BH358" s="318" t="n">
        <v>0.200000000000001</v>
      </c>
      <c r="BI358" s="317" t="n">
        <v>0</v>
      </c>
      <c r="BJ358" s="318" t="n">
        <v>0.6</v>
      </c>
      <c r="BK358" s="317" t="n">
        <v>0</v>
      </c>
      <c r="BL358" s="318" t="n">
        <v>0.700000000000001</v>
      </c>
      <c r="BM358" s="310"/>
      <c r="BN358" s="317" t="n">
        <v>0</v>
      </c>
      <c r="BO358" s="318" t="n">
        <v>0</v>
      </c>
      <c r="BP358" s="317" t="n">
        <v>0</v>
      </c>
      <c r="BQ358" s="318" t="n">
        <v>-0.6</v>
      </c>
      <c r="BR358" s="317" t="n">
        <v>0</v>
      </c>
      <c r="BS358" s="318" t="n">
        <v>-0.6</v>
      </c>
      <c r="BT358" s="317" t="n">
        <v>0</v>
      </c>
      <c r="BU358" s="318" t="n">
        <v>-0.6</v>
      </c>
      <c r="BV358" s="317" t="n">
        <v>0</v>
      </c>
      <c r="BW358" s="318" t="n">
        <v>-0.6</v>
      </c>
      <c r="BY358" s="143"/>
      <c r="BZ358" s="315"/>
      <c r="CA358" s="144" t="s">
        <v>12</v>
      </c>
      <c r="CB358" s="315"/>
      <c r="CC358" s="144" t="n">
        <v>-90.8578512396693</v>
      </c>
      <c r="CD358" s="144" t="n">
        <v>-144.457851239669</v>
      </c>
      <c r="CE358" s="144" t="n">
        <v>-163.657851239669</v>
      </c>
      <c r="CF358" s="315"/>
      <c r="CG358" s="144" t="n">
        <v>-96.2578512396694</v>
      </c>
      <c r="CH358" s="144" t="n">
        <v>-175.457851239669</v>
      </c>
      <c r="CI358" s="144" t="n">
        <v>-175.457851239669</v>
      </c>
      <c r="CJ358" s="144" t="n">
        <v>-175.457851239669</v>
      </c>
      <c r="CK358" s="144" t="n">
        <v>-175.457851239669</v>
      </c>
      <c r="CM358" s="144" t="n">
        <v>537.173553719008</v>
      </c>
      <c r="CO358" s="319"/>
      <c r="CP358" s="320"/>
      <c r="CQ358" s="321" t="s">
        <v>12</v>
      </c>
      <c r="CR358" s="320"/>
      <c r="CS358" s="322" t="n">
        <v>-94.9735537190082</v>
      </c>
      <c r="CT358" s="322" t="n">
        <v>-148.573553719008</v>
      </c>
      <c r="CU358" s="322" t="n">
        <v>-167.773553719008</v>
      </c>
      <c r="CV358" s="323"/>
      <c r="CW358" s="322" t="n">
        <v>-100.373553719008</v>
      </c>
      <c r="CX358" s="322" t="n">
        <v>-179.573553719008</v>
      </c>
      <c r="CY358" s="322" t="n">
        <v>-179.573553719008</v>
      </c>
      <c r="CZ358" s="322" t="n">
        <v>-179.573553719008</v>
      </c>
      <c r="DA358" s="322" t="n">
        <v>-179.573553719008</v>
      </c>
    </row>
    <row r="359" customFormat="false" ht="12.75" hidden="false" customHeight="false" outlineLevel="0" collapsed="false">
      <c r="B359" s="305" t="s">
        <v>636</v>
      </c>
      <c r="C359" s="305" t="s">
        <v>637</v>
      </c>
      <c r="D359" s="306" t="n">
        <v>538</v>
      </c>
      <c r="E359" s="306" t="n">
        <v>0</v>
      </c>
      <c r="F359" s="306" t="s">
        <v>638</v>
      </c>
      <c r="G359" s="307" t="n">
        <v>48</v>
      </c>
      <c r="H359" s="308" t="n">
        <v>533.057851239669</v>
      </c>
      <c r="I359" s="2"/>
      <c r="J359" s="144" t="s">
        <v>12</v>
      </c>
      <c r="K359" s="309" t="s">
        <v>12</v>
      </c>
      <c r="L359" s="310"/>
      <c r="M359" s="311" t="n">
        <v>219</v>
      </c>
      <c r="N359" s="312" t="n">
        <v>4.7</v>
      </c>
      <c r="O359" s="311" t="n">
        <v>139</v>
      </c>
      <c r="P359" s="312" t="n">
        <v>5.2</v>
      </c>
      <c r="Q359" s="310" t="n">
        <v>139</v>
      </c>
      <c r="R359" s="312" t="n">
        <v>4.8</v>
      </c>
      <c r="S359" s="310"/>
      <c r="T359" s="311" t="n">
        <v>0</v>
      </c>
      <c r="U359" s="312" t="n">
        <v>9.1</v>
      </c>
      <c r="V359" s="311" t="n">
        <v>0</v>
      </c>
      <c r="W359" s="312" t="n">
        <v>7.5</v>
      </c>
      <c r="X359" s="311" t="n">
        <v>0</v>
      </c>
      <c r="Y359" s="312" t="n">
        <v>7.5</v>
      </c>
      <c r="Z359" s="313" t="n">
        <v>0</v>
      </c>
      <c r="AA359" s="314" t="n">
        <v>7.5</v>
      </c>
      <c r="AB359" s="313" t="n">
        <v>0</v>
      </c>
      <c r="AC359" s="314" t="n">
        <v>7.5</v>
      </c>
      <c r="AD359" s="315"/>
      <c r="AE359" s="144" t="n">
        <v>5</v>
      </c>
      <c r="AF359" s="315"/>
      <c r="AG359" s="311" t="n">
        <v>0</v>
      </c>
      <c r="AH359" s="309" t="n">
        <v>0</v>
      </c>
      <c r="AI359" s="310"/>
      <c r="AJ359" s="311" t="n">
        <v>93</v>
      </c>
      <c r="AK359" s="309" t="n">
        <v>225.6</v>
      </c>
      <c r="AL359" s="311" t="n">
        <v>149</v>
      </c>
      <c r="AM359" s="309" t="n">
        <v>249.6</v>
      </c>
      <c r="AN359" s="311" t="n">
        <v>169</v>
      </c>
      <c r="AO359" s="309" t="n">
        <v>230.4</v>
      </c>
      <c r="AP359" s="310"/>
      <c r="AQ359" s="311" t="n">
        <v>101</v>
      </c>
      <c r="AR359" s="309" t="n">
        <v>436.8</v>
      </c>
      <c r="AS359" s="311" t="n">
        <v>178</v>
      </c>
      <c r="AT359" s="309" t="n">
        <v>360</v>
      </c>
      <c r="AU359" s="311" t="n">
        <v>178</v>
      </c>
      <c r="AV359" s="309" t="n">
        <v>360</v>
      </c>
      <c r="AW359" s="311" t="n">
        <v>178</v>
      </c>
      <c r="AX359" s="309" t="n">
        <v>360</v>
      </c>
      <c r="AY359" s="311" t="n">
        <v>178</v>
      </c>
      <c r="AZ359" s="309" t="n">
        <v>360</v>
      </c>
      <c r="BB359" s="144" t="n">
        <v>0</v>
      </c>
      <c r="BC359" s="315"/>
      <c r="BD359" s="311" t="n">
        <v>0</v>
      </c>
      <c r="BE359" s="316" t="n">
        <v>0</v>
      </c>
      <c r="BF359" s="310"/>
      <c r="BG359" s="317" t="n">
        <v>0</v>
      </c>
      <c r="BH359" s="318" t="n">
        <v>0</v>
      </c>
      <c r="BI359" s="317" t="n">
        <v>0</v>
      </c>
      <c r="BJ359" s="318" t="n">
        <v>0</v>
      </c>
      <c r="BK359" s="317" t="n">
        <v>0</v>
      </c>
      <c r="BL359" s="318" t="n">
        <v>0</v>
      </c>
      <c r="BM359" s="310"/>
      <c r="BN359" s="317" t="n">
        <v>0</v>
      </c>
      <c r="BO359" s="318" t="n">
        <v>0</v>
      </c>
      <c r="BP359" s="317" t="n">
        <v>0</v>
      </c>
      <c r="BQ359" s="318" t="n">
        <v>0</v>
      </c>
      <c r="BR359" s="317" t="n">
        <v>0</v>
      </c>
      <c r="BS359" s="318" t="n">
        <v>0</v>
      </c>
      <c r="BT359" s="317" t="n">
        <v>0</v>
      </c>
      <c r="BU359" s="318" t="n">
        <v>0</v>
      </c>
      <c r="BV359" s="317" t="n">
        <v>0</v>
      </c>
      <c r="BW359" s="318" t="n">
        <v>0</v>
      </c>
      <c r="BY359" s="143"/>
      <c r="BZ359" s="315"/>
      <c r="CA359" s="144" t="s">
        <v>12</v>
      </c>
      <c r="CB359" s="315"/>
      <c r="CC359" s="144" t="n">
        <v>-88.4578512396694</v>
      </c>
      <c r="CD359" s="144" t="n">
        <v>-144.457851239669</v>
      </c>
      <c r="CE359" s="144" t="n">
        <v>-163.657851239669</v>
      </c>
      <c r="CF359" s="315"/>
      <c r="CG359" s="144" t="n">
        <v>-96.2578512396694</v>
      </c>
      <c r="CH359" s="144" t="n">
        <v>-173.057851239669</v>
      </c>
      <c r="CI359" s="144" t="n">
        <v>-173.057851239669</v>
      </c>
      <c r="CJ359" s="144" t="n">
        <v>-173.057851239669</v>
      </c>
      <c r="CK359" s="144" t="n">
        <v>-173.057851239669</v>
      </c>
      <c r="CM359" s="144" t="n">
        <v>537.173553719008</v>
      </c>
      <c r="CO359" s="319"/>
      <c r="CP359" s="320"/>
      <c r="CQ359" s="321" t="s">
        <v>12</v>
      </c>
      <c r="CR359" s="320"/>
      <c r="CS359" s="322" t="n">
        <v>-92.5735537190083</v>
      </c>
      <c r="CT359" s="322" t="n">
        <v>-148.573553719008</v>
      </c>
      <c r="CU359" s="322" t="n">
        <v>-167.773553719008</v>
      </c>
      <c r="CV359" s="323"/>
      <c r="CW359" s="322" t="n">
        <v>-100.373553719008</v>
      </c>
      <c r="CX359" s="322" t="n">
        <v>-177.173553719008</v>
      </c>
      <c r="CY359" s="322" t="n">
        <v>-177.173553719008</v>
      </c>
      <c r="CZ359" s="322" t="n">
        <v>-177.173553719008</v>
      </c>
      <c r="DA359" s="322" t="n">
        <v>-177.173553719008</v>
      </c>
    </row>
    <row r="360" customFormat="false" ht="12.75" hidden="false" customHeight="false" outlineLevel="0" collapsed="false">
      <c r="B360" s="305" t="s">
        <v>636</v>
      </c>
      <c r="C360" s="305" t="s">
        <v>639</v>
      </c>
      <c r="D360" s="306" t="n">
        <v>589</v>
      </c>
      <c r="E360" s="306" t="n">
        <v>0</v>
      </c>
      <c r="F360" s="324" t="s">
        <v>638</v>
      </c>
      <c r="G360" s="144" t="n">
        <v>24</v>
      </c>
      <c r="H360" s="325" t="n">
        <v>485.123966942149</v>
      </c>
      <c r="I360" s="2"/>
      <c r="J360" s="144" t="s">
        <v>12</v>
      </c>
      <c r="K360" s="309" t="s">
        <v>12</v>
      </c>
      <c r="L360" s="310"/>
      <c r="M360" s="311" t="n">
        <v>169</v>
      </c>
      <c r="N360" s="312" t="n">
        <v>10.2</v>
      </c>
      <c r="O360" s="311" t="n">
        <v>19</v>
      </c>
      <c r="P360" s="312" t="n">
        <v>14.1</v>
      </c>
      <c r="Q360" s="310" t="n">
        <v>19</v>
      </c>
      <c r="R360" s="312" t="n">
        <v>13.3</v>
      </c>
      <c r="S360" s="310"/>
      <c r="T360" s="311" t="n">
        <v>0</v>
      </c>
      <c r="U360" s="312" t="n">
        <v>17</v>
      </c>
      <c r="V360" s="311" t="n">
        <v>0</v>
      </c>
      <c r="W360" s="312" t="n">
        <v>17.5</v>
      </c>
      <c r="X360" s="311" t="n">
        <v>0</v>
      </c>
      <c r="Y360" s="312" t="n">
        <v>17.5</v>
      </c>
      <c r="Z360" s="313" t="n">
        <v>0</v>
      </c>
      <c r="AA360" s="314" t="n">
        <v>17.5</v>
      </c>
      <c r="AB360" s="313" t="n">
        <v>0</v>
      </c>
      <c r="AC360" s="314" t="n">
        <v>17.5</v>
      </c>
      <c r="AD360" s="315"/>
      <c r="AE360" s="144" t="n">
        <v>104</v>
      </c>
      <c r="AF360" s="315"/>
      <c r="AG360" s="311" t="n">
        <v>0</v>
      </c>
      <c r="AH360" s="309" t="n">
        <v>0</v>
      </c>
      <c r="AI360" s="310"/>
      <c r="AJ360" s="311" t="n">
        <v>175</v>
      </c>
      <c r="AK360" s="309" t="n">
        <v>244.8</v>
      </c>
      <c r="AL360" s="311" t="n">
        <v>232</v>
      </c>
      <c r="AM360" s="309" t="n">
        <v>338.4</v>
      </c>
      <c r="AN360" s="310" t="n">
        <v>251</v>
      </c>
      <c r="AO360" s="309" t="n">
        <v>319.2</v>
      </c>
      <c r="AP360" s="310"/>
      <c r="AQ360" s="311" t="n">
        <v>181</v>
      </c>
      <c r="AR360" s="309" t="n">
        <v>408</v>
      </c>
      <c r="AS360" s="311" t="n">
        <v>169</v>
      </c>
      <c r="AT360" s="309" t="n">
        <v>420</v>
      </c>
      <c r="AU360" s="310" t="n">
        <v>169</v>
      </c>
      <c r="AV360" s="309" t="n">
        <v>420</v>
      </c>
      <c r="AW360" s="310" t="n">
        <v>169</v>
      </c>
      <c r="AX360" s="309" t="n">
        <v>420</v>
      </c>
      <c r="AY360" s="310" t="n">
        <v>169</v>
      </c>
      <c r="AZ360" s="309" t="n">
        <v>420</v>
      </c>
      <c r="BB360" s="144" t="n">
        <v>0</v>
      </c>
      <c r="BC360" s="315"/>
      <c r="BD360" s="311" t="n">
        <v>0</v>
      </c>
      <c r="BE360" s="316" t="n">
        <v>0</v>
      </c>
      <c r="BF360" s="310"/>
      <c r="BG360" s="317" t="n">
        <v>-80</v>
      </c>
      <c r="BH360" s="318" t="n">
        <v>0</v>
      </c>
      <c r="BI360" s="317" t="n">
        <v>-130</v>
      </c>
      <c r="BJ360" s="318" t="n">
        <v>2.9</v>
      </c>
      <c r="BK360" s="317" t="n">
        <v>-130</v>
      </c>
      <c r="BL360" s="318" t="n">
        <v>2.9</v>
      </c>
      <c r="BM360" s="310"/>
      <c r="BN360" s="317" t="n">
        <v>0</v>
      </c>
      <c r="BO360" s="318" t="n">
        <v>-3.7</v>
      </c>
      <c r="BP360" s="317" t="n">
        <v>0</v>
      </c>
      <c r="BQ360" s="318" t="n">
        <v>0</v>
      </c>
      <c r="BR360" s="317" t="n">
        <v>0</v>
      </c>
      <c r="BS360" s="318" t="n">
        <v>0</v>
      </c>
      <c r="BT360" s="317" t="n">
        <v>0</v>
      </c>
      <c r="BU360" s="318" t="n">
        <v>0</v>
      </c>
      <c r="BV360" s="317" t="n">
        <v>0</v>
      </c>
      <c r="BW360" s="318" t="n">
        <v>0</v>
      </c>
      <c r="BY360" s="143"/>
      <c r="BZ360" s="315"/>
      <c r="CA360" s="144" t="s">
        <v>12</v>
      </c>
      <c r="CB360" s="315"/>
      <c r="CC360" s="144" t="n">
        <v>-71.3239669421488</v>
      </c>
      <c r="CD360" s="144" t="n">
        <v>-127.723966942149</v>
      </c>
      <c r="CE360" s="144" t="n">
        <v>-146.923966942149</v>
      </c>
      <c r="CF360" s="315"/>
      <c r="CG360" s="144" t="n">
        <v>-77.1239669421488</v>
      </c>
      <c r="CH360" s="144" t="n">
        <v>-65.1239669421488</v>
      </c>
      <c r="CI360" s="144" t="n">
        <v>-65.1239669421488</v>
      </c>
      <c r="CJ360" s="144" t="n">
        <v>-65.1239669421488</v>
      </c>
      <c r="CK360" s="144" t="n">
        <v>-65.1239669421488</v>
      </c>
      <c r="CM360" s="144" t="n">
        <v>520.644628099174</v>
      </c>
      <c r="CO360" s="319"/>
      <c r="CP360" s="320"/>
      <c r="CQ360" s="321" t="s">
        <v>12</v>
      </c>
      <c r="CR360" s="320"/>
      <c r="CS360" s="322" t="n">
        <v>-106.844628099174</v>
      </c>
      <c r="CT360" s="322" t="n">
        <v>-163.244628099174</v>
      </c>
      <c r="CU360" s="322" t="n">
        <v>-182.444628099174</v>
      </c>
      <c r="CV360" s="323"/>
      <c r="CW360" s="322" t="n">
        <v>-112.644628099174</v>
      </c>
      <c r="CX360" s="322" t="n">
        <v>-100.644628099174</v>
      </c>
      <c r="CY360" s="322" t="n">
        <v>-100.644628099174</v>
      </c>
      <c r="CZ360" s="322" t="n">
        <v>-100.644628099174</v>
      </c>
      <c r="DA360" s="322" t="n">
        <v>-100.644628099174</v>
      </c>
    </row>
    <row r="361" customFormat="false" ht="12.75" hidden="false" customHeight="false" outlineLevel="0" collapsed="false">
      <c r="B361" s="305" t="s">
        <v>636</v>
      </c>
      <c r="C361" s="305" t="s">
        <v>639</v>
      </c>
      <c r="D361" s="306" t="n">
        <v>589</v>
      </c>
      <c r="E361" s="306" t="n">
        <v>0</v>
      </c>
      <c r="F361" s="306" t="s">
        <v>638</v>
      </c>
      <c r="G361" s="307" t="n">
        <v>48</v>
      </c>
      <c r="H361" s="308" t="n">
        <v>485.123966942149</v>
      </c>
      <c r="I361" s="2"/>
      <c r="J361" s="144" t="s">
        <v>12</v>
      </c>
      <c r="K361" s="309" t="s">
        <v>12</v>
      </c>
      <c r="L361" s="310"/>
      <c r="M361" s="311" t="n">
        <v>169</v>
      </c>
      <c r="N361" s="312" t="n">
        <v>5.1</v>
      </c>
      <c r="O361" s="311" t="n">
        <v>19</v>
      </c>
      <c r="P361" s="312" t="n">
        <v>7.1</v>
      </c>
      <c r="Q361" s="310" t="n">
        <v>19</v>
      </c>
      <c r="R361" s="312" t="n">
        <v>6.7</v>
      </c>
      <c r="S361" s="310"/>
      <c r="T361" s="311" t="n">
        <v>0</v>
      </c>
      <c r="U361" s="312" t="n">
        <v>8.5</v>
      </c>
      <c r="V361" s="311" t="n">
        <v>0</v>
      </c>
      <c r="W361" s="312" t="n">
        <v>8.8</v>
      </c>
      <c r="X361" s="311" t="n">
        <v>0</v>
      </c>
      <c r="Y361" s="312" t="n">
        <v>8.8</v>
      </c>
      <c r="Z361" s="313" t="n">
        <v>0</v>
      </c>
      <c r="AA361" s="314" t="n">
        <v>8.8</v>
      </c>
      <c r="AB361" s="313" t="n">
        <v>0</v>
      </c>
      <c r="AC361" s="314" t="n">
        <v>8.8</v>
      </c>
      <c r="AD361" s="315"/>
      <c r="AE361" s="144" t="n">
        <v>104</v>
      </c>
      <c r="AF361" s="315"/>
      <c r="AG361" s="311" t="n">
        <v>0</v>
      </c>
      <c r="AH361" s="309" t="n">
        <v>0</v>
      </c>
      <c r="AI361" s="310"/>
      <c r="AJ361" s="311" t="n">
        <v>175</v>
      </c>
      <c r="AK361" s="309" t="n">
        <v>244.8</v>
      </c>
      <c r="AL361" s="311" t="n">
        <v>229</v>
      </c>
      <c r="AM361" s="309" t="n">
        <v>340.8</v>
      </c>
      <c r="AN361" s="311" t="n">
        <v>248</v>
      </c>
      <c r="AO361" s="309" t="n">
        <v>321.6</v>
      </c>
      <c r="AP361" s="310"/>
      <c r="AQ361" s="311" t="n">
        <v>181</v>
      </c>
      <c r="AR361" s="309" t="n">
        <v>408</v>
      </c>
      <c r="AS361" s="311" t="n">
        <v>167</v>
      </c>
      <c r="AT361" s="309" t="n">
        <v>422.4</v>
      </c>
      <c r="AU361" s="311" t="n">
        <v>167</v>
      </c>
      <c r="AV361" s="309" t="n">
        <v>422.4</v>
      </c>
      <c r="AW361" s="311" t="n">
        <v>167</v>
      </c>
      <c r="AX361" s="309" t="n">
        <v>422.4</v>
      </c>
      <c r="AY361" s="311" t="n">
        <v>167</v>
      </c>
      <c r="AZ361" s="309" t="n">
        <v>422.4</v>
      </c>
      <c r="BB361" s="144" t="n">
        <v>0</v>
      </c>
      <c r="BC361" s="315"/>
      <c r="BD361" s="311" t="n">
        <v>0</v>
      </c>
      <c r="BE361" s="316" t="n">
        <v>0</v>
      </c>
      <c r="BF361" s="310"/>
      <c r="BG361" s="317" t="n">
        <v>0</v>
      </c>
      <c r="BH361" s="318" t="n">
        <v>0</v>
      </c>
      <c r="BI361" s="317" t="n">
        <v>0</v>
      </c>
      <c r="BJ361" s="318" t="n">
        <v>0</v>
      </c>
      <c r="BK361" s="317" t="n">
        <v>0</v>
      </c>
      <c r="BL361" s="318" t="n">
        <v>0</v>
      </c>
      <c r="BM361" s="310"/>
      <c r="BN361" s="317" t="n">
        <v>0</v>
      </c>
      <c r="BO361" s="318" t="n">
        <v>0</v>
      </c>
      <c r="BP361" s="317" t="n">
        <v>0</v>
      </c>
      <c r="BQ361" s="318" t="n">
        <v>0</v>
      </c>
      <c r="BR361" s="317" t="n">
        <v>0</v>
      </c>
      <c r="BS361" s="318" t="n">
        <v>0</v>
      </c>
      <c r="BT361" s="317" t="n">
        <v>0</v>
      </c>
      <c r="BU361" s="318" t="n">
        <v>0</v>
      </c>
      <c r="BV361" s="317" t="n">
        <v>0</v>
      </c>
      <c r="BW361" s="318" t="n">
        <v>0</v>
      </c>
      <c r="BY361" s="143"/>
      <c r="BZ361" s="315"/>
      <c r="CA361" s="144" t="s">
        <v>12</v>
      </c>
      <c r="CB361" s="315"/>
      <c r="CC361" s="144" t="n">
        <v>-71.3239669421488</v>
      </c>
      <c r="CD361" s="144" t="n">
        <v>-125.323966942149</v>
      </c>
      <c r="CE361" s="144" t="n">
        <v>-144.523966942149</v>
      </c>
      <c r="CF361" s="315"/>
      <c r="CG361" s="144" t="n">
        <v>-77.1239669421488</v>
      </c>
      <c r="CH361" s="144" t="n">
        <v>-62.7239669421488</v>
      </c>
      <c r="CI361" s="144" t="n">
        <v>-62.7239669421488</v>
      </c>
      <c r="CJ361" s="144" t="n">
        <v>-62.7239669421488</v>
      </c>
      <c r="CK361" s="144" t="n">
        <v>-62.7239669421488</v>
      </c>
      <c r="CM361" s="144" t="n">
        <v>520.644628099174</v>
      </c>
      <c r="CO361" s="319"/>
      <c r="CP361" s="320"/>
      <c r="CQ361" s="321" t="s">
        <v>12</v>
      </c>
      <c r="CR361" s="320"/>
      <c r="CS361" s="322" t="n">
        <v>-106.844628099174</v>
      </c>
      <c r="CT361" s="322" t="n">
        <v>-160.844628099174</v>
      </c>
      <c r="CU361" s="322" t="n">
        <v>-180.044628099174</v>
      </c>
      <c r="CV361" s="323"/>
      <c r="CW361" s="322" t="n">
        <v>-112.644628099174</v>
      </c>
      <c r="CX361" s="322" t="n">
        <v>-98.2446280991736</v>
      </c>
      <c r="CY361" s="322" t="n">
        <v>-98.2446280991736</v>
      </c>
      <c r="CZ361" s="322" t="n">
        <v>-98.2446280991736</v>
      </c>
      <c r="DA361" s="322" t="n">
        <v>-98.2446280991736</v>
      </c>
    </row>
    <row r="362" customFormat="false" ht="12.75" hidden="false" customHeight="false" outlineLevel="0" collapsed="false">
      <c r="B362" s="305" t="s">
        <v>636</v>
      </c>
      <c r="C362" s="305" t="s">
        <v>640</v>
      </c>
      <c r="D362" s="306" t="n">
        <v>434</v>
      </c>
      <c r="E362" s="306" t="n">
        <v>0</v>
      </c>
      <c r="F362" s="324" t="s">
        <v>638</v>
      </c>
      <c r="G362" s="144" t="n">
        <v>24</v>
      </c>
      <c r="H362" s="325" t="n">
        <v>523.140495867769</v>
      </c>
      <c r="I362" s="2"/>
      <c r="J362" s="144" t="s">
        <v>12</v>
      </c>
      <c r="K362" s="309" t="s">
        <v>12</v>
      </c>
      <c r="L362" s="310"/>
      <c r="M362" s="311" t="n">
        <v>219</v>
      </c>
      <c r="N362" s="312" t="n">
        <v>8.9</v>
      </c>
      <c r="O362" s="311" t="n">
        <v>139</v>
      </c>
      <c r="P362" s="312" t="n">
        <v>10</v>
      </c>
      <c r="Q362" s="310" t="n">
        <v>139</v>
      </c>
      <c r="R362" s="312" t="n">
        <v>9.1</v>
      </c>
      <c r="S362" s="310"/>
      <c r="T362" s="311" t="n">
        <v>0</v>
      </c>
      <c r="U362" s="312" t="n">
        <v>17.8</v>
      </c>
      <c r="V362" s="311" t="n">
        <v>0</v>
      </c>
      <c r="W362" s="312" t="n">
        <v>11</v>
      </c>
      <c r="X362" s="311" t="n">
        <v>0</v>
      </c>
      <c r="Y362" s="312" t="n">
        <v>11</v>
      </c>
      <c r="Z362" s="313" t="n">
        <v>0</v>
      </c>
      <c r="AA362" s="314" t="n">
        <v>11</v>
      </c>
      <c r="AB362" s="313" t="n">
        <v>0</v>
      </c>
      <c r="AC362" s="314" t="n">
        <v>11</v>
      </c>
      <c r="AD362" s="315"/>
      <c r="AE362" s="144" t="n">
        <v>-89</v>
      </c>
      <c r="AF362" s="315"/>
      <c r="AG362" s="311" t="n">
        <v>0</v>
      </c>
      <c r="AH362" s="309" t="n">
        <v>0</v>
      </c>
      <c r="AI362" s="310"/>
      <c r="AJ362" s="311" t="n">
        <v>1</v>
      </c>
      <c r="AK362" s="309" t="n">
        <v>213.6</v>
      </c>
      <c r="AL362" s="311" t="n">
        <v>55</v>
      </c>
      <c r="AM362" s="309" t="n">
        <v>240</v>
      </c>
      <c r="AN362" s="310" t="n">
        <v>77</v>
      </c>
      <c r="AO362" s="309" t="n">
        <v>218.4</v>
      </c>
      <c r="AP362" s="310"/>
      <c r="AQ362" s="311" t="n">
        <v>7</v>
      </c>
      <c r="AR362" s="309" t="n">
        <v>427.2</v>
      </c>
      <c r="AS362" s="311" t="n">
        <v>170</v>
      </c>
      <c r="AT362" s="309" t="n">
        <v>264</v>
      </c>
      <c r="AU362" s="310" t="n">
        <v>170</v>
      </c>
      <c r="AV362" s="309" t="n">
        <v>264</v>
      </c>
      <c r="AW362" s="310" t="n">
        <v>170</v>
      </c>
      <c r="AX362" s="309" t="n">
        <v>264</v>
      </c>
      <c r="AY362" s="310" t="n">
        <v>170</v>
      </c>
      <c r="AZ362" s="309" t="n">
        <v>264</v>
      </c>
      <c r="BB362" s="144" t="n">
        <v>0</v>
      </c>
      <c r="BC362" s="315"/>
      <c r="BD362" s="311" t="n">
        <v>0</v>
      </c>
      <c r="BE362" s="316" t="n">
        <v>0</v>
      </c>
      <c r="BF362" s="310"/>
      <c r="BG362" s="317" t="n">
        <v>80</v>
      </c>
      <c r="BH362" s="318" t="n">
        <v>0</v>
      </c>
      <c r="BI362" s="317" t="n">
        <v>120</v>
      </c>
      <c r="BJ362" s="318" t="n">
        <v>-1.2</v>
      </c>
      <c r="BK362" s="317" t="n">
        <v>120</v>
      </c>
      <c r="BL362" s="318" t="n">
        <v>-1.3</v>
      </c>
      <c r="BM362" s="310"/>
      <c r="BN362" s="317" t="n">
        <v>0</v>
      </c>
      <c r="BO362" s="318" t="n">
        <v>2.7</v>
      </c>
      <c r="BP362" s="317" t="n">
        <v>0</v>
      </c>
      <c r="BQ362" s="318" t="n">
        <v>-0.300000000000001</v>
      </c>
      <c r="BR362" s="317" t="n">
        <v>0</v>
      </c>
      <c r="BS362" s="318" t="n">
        <v>-0.300000000000001</v>
      </c>
      <c r="BT362" s="317" t="n">
        <v>0</v>
      </c>
      <c r="BU362" s="318" t="n">
        <v>-0.300000000000001</v>
      </c>
      <c r="BV362" s="317" t="n">
        <v>0</v>
      </c>
      <c r="BW362" s="318" t="n">
        <v>-0.300000000000001</v>
      </c>
      <c r="BY362" s="143"/>
      <c r="BZ362" s="315"/>
      <c r="CA362" s="144" t="s">
        <v>12</v>
      </c>
      <c r="CB362" s="315"/>
      <c r="CC362" s="144" t="n">
        <v>-90.5404958677686</v>
      </c>
      <c r="CD362" s="144" t="n">
        <v>-144.140495867769</v>
      </c>
      <c r="CE362" s="144" t="n">
        <v>-165.740495867769</v>
      </c>
      <c r="CF362" s="315"/>
      <c r="CG362" s="144" t="n">
        <v>-95.9404958677686</v>
      </c>
      <c r="CH362" s="144" t="n">
        <v>-259.140495867769</v>
      </c>
      <c r="CI362" s="144" t="n">
        <v>-259.140495867769</v>
      </c>
      <c r="CJ362" s="144" t="n">
        <v>-259.140495867769</v>
      </c>
      <c r="CK362" s="144" t="n">
        <v>-259.140495867769</v>
      </c>
      <c r="CM362" s="144" t="n">
        <v>363.628099173554</v>
      </c>
      <c r="CO362" s="319"/>
      <c r="CP362" s="320"/>
      <c r="CQ362" s="321" t="s">
        <v>12</v>
      </c>
      <c r="CR362" s="320"/>
      <c r="CS362" s="322" t="n">
        <v>68.9719008264463</v>
      </c>
      <c r="CT362" s="322" t="n">
        <v>15.3719008264463</v>
      </c>
      <c r="CU362" s="322" t="n">
        <v>-6.22809917355374</v>
      </c>
      <c r="CV362" s="323"/>
      <c r="CW362" s="322" t="n">
        <v>63.5719008264463</v>
      </c>
      <c r="CX362" s="322" t="n">
        <v>-99.6280991735537</v>
      </c>
      <c r="CY362" s="322" t="n">
        <v>-99.6280991735537</v>
      </c>
      <c r="CZ362" s="322" t="n">
        <v>-99.6280991735537</v>
      </c>
      <c r="DA362" s="322" t="n">
        <v>-99.6280991735537</v>
      </c>
    </row>
    <row r="363" customFormat="false" ht="12.75" hidden="false" customHeight="false" outlineLevel="0" collapsed="false">
      <c r="B363" s="305" t="s">
        <v>636</v>
      </c>
      <c r="C363" s="305" t="s">
        <v>640</v>
      </c>
      <c r="D363" s="306" t="n">
        <v>434</v>
      </c>
      <c r="E363" s="306" t="n">
        <v>0</v>
      </c>
      <c r="F363" s="306" t="s">
        <v>638</v>
      </c>
      <c r="G363" s="307" t="n">
        <v>48</v>
      </c>
      <c r="H363" s="308" t="n">
        <v>523.140495867769</v>
      </c>
      <c r="I363" s="2"/>
      <c r="J363" s="144" t="s">
        <v>12</v>
      </c>
      <c r="K363" s="309" t="s">
        <v>12</v>
      </c>
      <c r="L363" s="310"/>
      <c r="M363" s="311" t="n">
        <v>219</v>
      </c>
      <c r="N363" s="312" t="n">
        <v>4.5</v>
      </c>
      <c r="O363" s="311" t="n">
        <v>139</v>
      </c>
      <c r="P363" s="312" t="n">
        <v>5</v>
      </c>
      <c r="Q363" s="310" t="n">
        <v>139</v>
      </c>
      <c r="R363" s="312" t="n">
        <v>4.6</v>
      </c>
      <c r="S363" s="310"/>
      <c r="T363" s="311" t="n">
        <v>0</v>
      </c>
      <c r="U363" s="312" t="n">
        <v>8.9</v>
      </c>
      <c r="V363" s="311" t="n">
        <v>0</v>
      </c>
      <c r="W363" s="312" t="n">
        <v>5.5</v>
      </c>
      <c r="X363" s="311" t="n">
        <v>0</v>
      </c>
      <c r="Y363" s="312" t="n">
        <v>5.5</v>
      </c>
      <c r="Z363" s="313" t="n">
        <v>0</v>
      </c>
      <c r="AA363" s="314" t="n">
        <v>5.5</v>
      </c>
      <c r="AB363" s="313" t="n">
        <v>0</v>
      </c>
      <c r="AC363" s="314" t="n">
        <v>5.5</v>
      </c>
      <c r="AD363" s="315"/>
      <c r="AE363" s="144" t="n">
        <v>-89</v>
      </c>
      <c r="AF363" s="315"/>
      <c r="AG363" s="311" t="n">
        <v>0</v>
      </c>
      <c r="AH363" s="309" t="n">
        <v>0</v>
      </c>
      <c r="AI363" s="310"/>
      <c r="AJ363" s="311" t="n">
        <v>-1</v>
      </c>
      <c r="AK363" s="309" t="n">
        <v>216</v>
      </c>
      <c r="AL363" s="311" t="n">
        <v>55</v>
      </c>
      <c r="AM363" s="309" t="n">
        <v>240</v>
      </c>
      <c r="AN363" s="311" t="n">
        <v>74</v>
      </c>
      <c r="AO363" s="309" t="n">
        <v>220.8</v>
      </c>
      <c r="AP363" s="310"/>
      <c r="AQ363" s="311" t="n">
        <v>7</v>
      </c>
      <c r="AR363" s="309" t="n">
        <v>427.2</v>
      </c>
      <c r="AS363" s="311" t="n">
        <v>170</v>
      </c>
      <c r="AT363" s="309" t="n">
        <v>264</v>
      </c>
      <c r="AU363" s="311" t="n">
        <v>170</v>
      </c>
      <c r="AV363" s="309" t="n">
        <v>264</v>
      </c>
      <c r="AW363" s="311" t="n">
        <v>170</v>
      </c>
      <c r="AX363" s="309" t="n">
        <v>264</v>
      </c>
      <c r="AY363" s="311" t="n">
        <v>170</v>
      </c>
      <c r="AZ363" s="309" t="n">
        <v>264</v>
      </c>
      <c r="BB363" s="144" t="n">
        <v>0</v>
      </c>
      <c r="BC363" s="315"/>
      <c r="BD363" s="311" t="n">
        <v>0</v>
      </c>
      <c r="BE363" s="316" t="n">
        <v>0</v>
      </c>
      <c r="BF363" s="310"/>
      <c r="BG363" s="317" t="n">
        <v>0</v>
      </c>
      <c r="BH363" s="318" t="n">
        <v>0</v>
      </c>
      <c r="BI363" s="317" t="n">
        <v>0</v>
      </c>
      <c r="BJ363" s="318" t="n">
        <v>0</v>
      </c>
      <c r="BK363" s="317" t="n">
        <v>0</v>
      </c>
      <c r="BL363" s="318" t="n">
        <v>0</v>
      </c>
      <c r="BM363" s="310"/>
      <c r="BN363" s="317" t="n">
        <v>0</v>
      </c>
      <c r="BO363" s="318" t="n">
        <v>0</v>
      </c>
      <c r="BP363" s="317" t="n">
        <v>0</v>
      </c>
      <c r="BQ363" s="318" t="n">
        <v>0</v>
      </c>
      <c r="BR363" s="317" t="n">
        <v>0</v>
      </c>
      <c r="BS363" s="318" t="n">
        <v>0</v>
      </c>
      <c r="BT363" s="317" t="n">
        <v>0</v>
      </c>
      <c r="BU363" s="318" t="n">
        <v>0</v>
      </c>
      <c r="BV363" s="317" t="n">
        <v>0</v>
      </c>
      <c r="BW363" s="318" t="n">
        <v>0</v>
      </c>
      <c r="BY363" s="143"/>
      <c r="BZ363" s="315"/>
      <c r="CA363" s="144" t="s">
        <v>12</v>
      </c>
      <c r="CB363" s="315"/>
      <c r="CC363" s="144" t="n">
        <v>-88.1404958677687</v>
      </c>
      <c r="CD363" s="144" t="n">
        <v>-144.140495867769</v>
      </c>
      <c r="CE363" s="144" t="n">
        <v>-163.340495867769</v>
      </c>
      <c r="CF363" s="315"/>
      <c r="CG363" s="144" t="n">
        <v>-95.9404958677686</v>
      </c>
      <c r="CH363" s="144" t="n">
        <v>-259.140495867769</v>
      </c>
      <c r="CI363" s="144" t="n">
        <v>-259.140495867769</v>
      </c>
      <c r="CJ363" s="144" t="n">
        <v>-259.140495867769</v>
      </c>
      <c r="CK363" s="144" t="n">
        <v>-259.140495867769</v>
      </c>
      <c r="CM363" s="144" t="n">
        <v>363.628099173554</v>
      </c>
      <c r="CO363" s="319"/>
      <c r="CP363" s="320"/>
      <c r="CQ363" s="321" t="s">
        <v>12</v>
      </c>
      <c r="CR363" s="320"/>
      <c r="CS363" s="322" t="n">
        <v>71.3719008264463</v>
      </c>
      <c r="CT363" s="322" t="n">
        <v>15.3719008264463</v>
      </c>
      <c r="CU363" s="322" t="n">
        <v>-3.82809917355371</v>
      </c>
      <c r="CV363" s="323"/>
      <c r="CW363" s="322" t="n">
        <v>63.5719008264463</v>
      </c>
      <c r="CX363" s="322" t="n">
        <v>-99.6280991735537</v>
      </c>
      <c r="CY363" s="322" t="n">
        <v>-99.6280991735537</v>
      </c>
      <c r="CZ363" s="322" t="n">
        <v>-99.6280991735537</v>
      </c>
      <c r="DA363" s="322" t="n">
        <v>-99.6280991735537</v>
      </c>
    </row>
    <row r="364" customFormat="false" ht="12.75" hidden="false" customHeight="false" outlineLevel="0" collapsed="false">
      <c r="B364" s="305" t="s">
        <v>641</v>
      </c>
      <c r="C364" s="327" t="s">
        <v>642</v>
      </c>
      <c r="D364" s="306" t="n">
        <v>386</v>
      </c>
      <c r="E364" s="306" t="n">
        <v>0</v>
      </c>
      <c r="F364" s="324" t="s">
        <v>643</v>
      </c>
      <c r="G364" s="144" t="n">
        <v>24</v>
      </c>
      <c r="H364" s="325" t="n">
        <v>385.123966942149</v>
      </c>
      <c r="I364" s="2"/>
      <c r="J364" s="144" t="s">
        <v>12</v>
      </c>
      <c r="K364" s="309" t="s">
        <v>12</v>
      </c>
      <c r="L364" s="310"/>
      <c r="M364" s="311" t="n">
        <v>129</v>
      </c>
      <c r="N364" s="312" t="n">
        <v>8.3</v>
      </c>
      <c r="O364" s="311" t="n">
        <v>19</v>
      </c>
      <c r="P364" s="312" t="n">
        <v>10.4</v>
      </c>
      <c r="Q364" s="310" t="n">
        <v>19</v>
      </c>
      <c r="R364" s="312" t="n">
        <v>9.6</v>
      </c>
      <c r="S364" s="310"/>
      <c r="T364" s="311" t="n">
        <v>0</v>
      </c>
      <c r="U364" s="312" t="n">
        <v>13.3</v>
      </c>
      <c r="V364" s="311" t="n">
        <v>0</v>
      </c>
      <c r="W364" s="312" t="n">
        <v>11.6</v>
      </c>
      <c r="X364" s="311" t="n">
        <v>0</v>
      </c>
      <c r="Y364" s="312" t="n">
        <v>11.6</v>
      </c>
      <c r="Z364" s="313" t="n">
        <v>0</v>
      </c>
      <c r="AA364" s="314" t="n">
        <v>11.6</v>
      </c>
      <c r="AB364" s="313" t="n">
        <v>0</v>
      </c>
      <c r="AC364" s="314" t="n">
        <v>11.6</v>
      </c>
      <c r="AD364" s="315"/>
      <c r="AE364" s="144" t="n">
        <v>1</v>
      </c>
      <c r="AF364" s="315"/>
      <c r="AG364" s="311" t="n">
        <v>0</v>
      </c>
      <c r="AH364" s="309" t="n">
        <v>0</v>
      </c>
      <c r="AI364" s="310"/>
      <c r="AJ364" s="311" t="n">
        <v>58</v>
      </c>
      <c r="AK364" s="309" t="n">
        <v>199.2</v>
      </c>
      <c r="AL364" s="311" t="n">
        <v>117</v>
      </c>
      <c r="AM364" s="309" t="n">
        <v>249.6</v>
      </c>
      <c r="AN364" s="310" t="n">
        <v>137</v>
      </c>
      <c r="AO364" s="309" t="n">
        <v>230.4</v>
      </c>
      <c r="AP364" s="310"/>
      <c r="AQ364" s="311" t="n">
        <v>67</v>
      </c>
      <c r="AR364" s="309" t="n">
        <v>319.2</v>
      </c>
      <c r="AS364" s="311" t="n">
        <v>108</v>
      </c>
      <c r="AT364" s="309" t="n">
        <v>278.4</v>
      </c>
      <c r="AU364" s="310" t="n">
        <v>108</v>
      </c>
      <c r="AV364" s="309" t="n">
        <v>278.4</v>
      </c>
      <c r="AW364" s="310" t="n">
        <v>108</v>
      </c>
      <c r="AX364" s="309" t="n">
        <v>278.4</v>
      </c>
      <c r="AY364" s="310" t="n">
        <v>108</v>
      </c>
      <c r="AZ364" s="309" t="n">
        <v>278.4</v>
      </c>
      <c r="BB364" s="144" t="n">
        <v>0</v>
      </c>
      <c r="BC364" s="315"/>
      <c r="BD364" s="311" t="n">
        <v>0</v>
      </c>
      <c r="BE364" s="316" t="n">
        <v>0</v>
      </c>
      <c r="BF364" s="310"/>
      <c r="BG364" s="317" t="n">
        <v>0</v>
      </c>
      <c r="BH364" s="318" t="n">
        <v>0</v>
      </c>
      <c r="BI364" s="317" t="n">
        <v>0</v>
      </c>
      <c r="BJ364" s="318" t="n">
        <v>0</v>
      </c>
      <c r="BK364" s="317" t="n">
        <v>0</v>
      </c>
      <c r="BL364" s="318" t="n">
        <v>0</v>
      </c>
      <c r="BM364" s="310"/>
      <c r="BN364" s="317" t="n">
        <v>0</v>
      </c>
      <c r="BO364" s="318" t="n">
        <v>0</v>
      </c>
      <c r="BP364" s="317" t="n">
        <v>0</v>
      </c>
      <c r="BQ364" s="318" t="n">
        <v>0</v>
      </c>
      <c r="BR364" s="317" t="n">
        <v>0</v>
      </c>
      <c r="BS364" s="318" t="n">
        <v>0</v>
      </c>
      <c r="BT364" s="317" t="n">
        <v>0</v>
      </c>
      <c r="BU364" s="318" t="n">
        <v>0</v>
      </c>
      <c r="BV364" s="317" t="n">
        <v>0</v>
      </c>
      <c r="BW364" s="318" t="n">
        <v>0</v>
      </c>
      <c r="BY364" s="143"/>
      <c r="BZ364" s="315"/>
      <c r="CA364" s="144" t="s">
        <v>12</v>
      </c>
      <c r="CB364" s="315"/>
      <c r="CC364" s="144" t="n">
        <v>-56.9239669421488</v>
      </c>
      <c r="CD364" s="144" t="n">
        <v>-116.523966942149</v>
      </c>
      <c r="CE364" s="144" t="n">
        <v>-135.723966942149</v>
      </c>
      <c r="CF364" s="315"/>
      <c r="CG364" s="144" t="n">
        <v>-65.9239669421488</v>
      </c>
      <c r="CH364" s="144" t="n">
        <v>-106.723966942149</v>
      </c>
      <c r="CI364" s="144" t="n">
        <v>-106.723966942149</v>
      </c>
      <c r="CJ364" s="144" t="n">
        <v>-106.723966942149</v>
      </c>
      <c r="CK364" s="144" t="n">
        <v>-106.723966942149</v>
      </c>
      <c r="CM364" s="144" t="n">
        <v>338.01652892562</v>
      </c>
      <c r="CO364" s="319"/>
      <c r="CP364" s="320"/>
      <c r="CQ364" s="321" t="s">
        <v>12</v>
      </c>
      <c r="CR364" s="320"/>
      <c r="CS364" s="322" t="n">
        <v>-9.81652892561982</v>
      </c>
      <c r="CT364" s="322" t="n">
        <v>-69.4165289256199</v>
      </c>
      <c r="CU364" s="322" t="n">
        <v>-88.6165289256198</v>
      </c>
      <c r="CV364" s="323"/>
      <c r="CW364" s="322" t="n">
        <v>-18.8165289256198</v>
      </c>
      <c r="CX364" s="322" t="n">
        <v>-59.6165289256198</v>
      </c>
      <c r="CY364" s="322" t="n">
        <v>-59.6165289256198</v>
      </c>
      <c r="CZ364" s="322" t="n">
        <v>-59.6165289256198</v>
      </c>
      <c r="DA364" s="322" t="n">
        <v>-59.6165289256198</v>
      </c>
    </row>
    <row r="365" customFormat="false" ht="12.75" hidden="false" customHeight="false" outlineLevel="0" collapsed="false">
      <c r="B365" s="305" t="s">
        <v>641</v>
      </c>
      <c r="C365" s="327" t="s">
        <v>642</v>
      </c>
      <c r="D365" s="306" t="n">
        <v>386</v>
      </c>
      <c r="E365" s="306" t="n">
        <v>0</v>
      </c>
      <c r="F365" s="306" t="s">
        <v>643</v>
      </c>
      <c r="G365" s="307" t="n">
        <v>48</v>
      </c>
      <c r="H365" s="308" t="n">
        <v>385.123966942149</v>
      </c>
      <c r="I365" s="2"/>
      <c r="J365" s="144" t="s">
        <v>12</v>
      </c>
      <c r="K365" s="309" t="s">
        <v>12</v>
      </c>
      <c r="L365" s="310"/>
      <c r="M365" s="311" t="n">
        <v>129</v>
      </c>
      <c r="N365" s="312" t="n">
        <v>4.2</v>
      </c>
      <c r="O365" s="311" t="n">
        <v>19</v>
      </c>
      <c r="P365" s="312" t="n">
        <v>5.2</v>
      </c>
      <c r="Q365" s="310" t="n">
        <v>19</v>
      </c>
      <c r="R365" s="312" t="n">
        <v>4.8</v>
      </c>
      <c r="S365" s="310"/>
      <c r="T365" s="311" t="n">
        <v>0</v>
      </c>
      <c r="U365" s="312" t="n">
        <v>6.7</v>
      </c>
      <c r="V365" s="311" t="n">
        <v>0</v>
      </c>
      <c r="W365" s="312" t="n">
        <v>5.8</v>
      </c>
      <c r="X365" s="311" t="n">
        <v>0</v>
      </c>
      <c r="Y365" s="312" t="n">
        <v>5.8</v>
      </c>
      <c r="Z365" s="313" t="n">
        <v>0</v>
      </c>
      <c r="AA365" s="314" t="n">
        <v>5.8</v>
      </c>
      <c r="AB365" s="313" t="n">
        <v>0</v>
      </c>
      <c r="AC365" s="314" t="n">
        <v>5.8</v>
      </c>
      <c r="AD365" s="315"/>
      <c r="AE365" s="144" t="n">
        <v>1</v>
      </c>
      <c r="AF365" s="315"/>
      <c r="AG365" s="311" t="n">
        <v>0</v>
      </c>
      <c r="AH365" s="309" t="n">
        <v>0</v>
      </c>
      <c r="AI365" s="310"/>
      <c r="AJ365" s="311" t="n">
        <v>55</v>
      </c>
      <c r="AK365" s="309" t="n">
        <v>201.6</v>
      </c>
      <c r="AL365" s="311" t="n">
        <v>117</v>
      </c>
      <c r="AM365" s="309" t="n">
        <v>249.6</v>
      </c>
      <c r="AN365" s="311" t="n">
        <v>137</v>
      </c>
      <c r="AO365" s="309" t="n">
        <v>230.4</v>
      </c>
      <c r="AP365" s="310"/>
      <c r="AQ365" s="311" t="n">
        <v>64</v>
      </c>
      <c r="AR365" s="309" t="n">
        <v>321.6</v>
      </c>
      <c r="AS365" s="311" t="n">
        <v>108</v>
      </c>
      <c r="AT365" s="309" t="n">
        <v>278.4</v>
      </c>
      <c r="AU365" s="311" t="n">
        <v>108</v>
      </c>
      <c r="AV365" s="309" t="n">
        <v>278.4</v>
      </c>
      <c r="AW365" s="311" t="n">
        <v>108</v>
      </c>
      <c r="AX365" s="309" t="n">
        <v>278.4</v>
      </c>
      <c r="AY365" s="311" t="n">
        <v>108</v>
      </c>
      <c r="AZ365" s="309" t="n">
        <v>278.4</v>
      </c>
      <c r="BB365" s="144" t="n">
        <v>0</v>
      </c>
      <c r="BC365" s="315"/>
      <c r="BD365" s="311" t="n">
        <v>0</v>
      </c>
      <c r="BE365" s="316" t="n">
        <v>0</v>
      </c>
      <c r="BF365" s="310"/>
      <c r="BG365" s="317" t="n">
        <v>0</v>
      </c>
      <c r="BH365" s="318" t="n">
        <v>0</v>
      </c>
      <c r="BI365" s="317" t="n">
        <v>0</v>
      </c>
      <c r="BJ365" s="318" t="n">
        <v>0</v>
      </c>
      <c r="BK365" s="317" t="n">
        <v>0</v>
      </c>
      <c r="BL365" s="318" t="n">
        <v>0</v>
      </c>
      <c r="BM365" s="310"/>
      <c r="BN365" s="317" t="n">
        <v>0</v>
      </c>
      <c r="BO365" s="318" t="n">
        <v>0</v>
      </c>
      <c r="BP365" s="317" t="n">
        <v>0</v>
      </c>
      <c r="BQ365" s="318" t="n">
        <v>0</v>
      </c>
      <c r="BR365" s="317" t="n">
        <v>0</v>
      </c>
      <c r="BS365" s="318" t="n">
        <v>0</v>
      </c>
      <c r="BT365" s="317" t="n">
        <v>0</v>
      </c>
      <c r="BU365" s="318" t="n">
        <v>0</v>
      </c>
      <c r="BV365" s="317" t="n">
        <v>0</v>
      </c>
      <c r="BW365" s="318" t="n">
        <v>0</v>
      </c>
      <c r="BY365" s="143"/>
      <c r="BZ365" s="315"/>
      <c r="CA365" s="144" t="s">
        <v>12</v>
      </c>
      <c r="CB365" s="315"/>
      <c r="CC365" s="144" t="n">
        <v>-54.5239669421488</v>
      </c>
      <c r="CD365" s="144" t="n">
        <v>-116.523966942149</v>
      </c>
      <c r="CE365" s="144" t="n">
        <v>-135.723966942149</v>
      </c>
      <c r="CF365" s="315"/>
      <c r="CG365" s="144" t="n">
        <v>-63.5239669421488</v>
      </c>
      <c r="CH365" s="144" t="n">
        <v>-106.723966942149</v>
      </c>
      <c r="CI365" s="144" t="n">
        <v>-106.723966942149</v>
      </c>
      <c r="CJ365" s="144" t="n">
        <v>-106.723966942149</v>
      </c>
      <c r="CK365" s="144" t="n">
        <v>-106.723966942149</v>
      </c>
      <c r="CM365" s="144" t="n">
        <v>338.01652892562</v>
      </c>
      <c r="CO365" s="319"/>
      <c r="CP365" s="320"/>
      <c r="CQ365" s="321" t="s">
        <v>12</v>
      </c>
      <c r="CR365" s="320"/>
      <c r="CS365" s="322" t="n">
        <v>-7.41652892561984</v>
      </c>
      <c r="CT365" s="322" t="n">
        <v>-69.4165289256199</v>
      </c>
      <c r="CU365" s="322" t="n">
        <v>-88.6165289256198</v>
      </c>
      <c r="CV365" s="323"/>
      <c r="CW365" s="322" t="n">
        <v>-16.4165289256198</v>
      </c>
      <c r="CX365" s="322" t="n">
        <v>-59.6165289256198</v>
      </c>
      <c r="CY365" s="322" t="n">
        <v>-59.6165289256198</v>
      </c>
      <c r="CZ365" s="322" t="n">
        <v>-59.6165289256198</v>
      </c>
      <c r="DA365" s="322" t="n">
        <v>-59.6165289256198</v>
      </c>
    </row>
    <row r="366" customFormat="false" ht="12.75" hidden="false" customHeight="false" outlineLevel="0" collapsed="false">
      <c r="B366" s="305" t="s">
        <v>641</v>
      </c>
      <c r="C366" s="327" t="s">
        <v>644</v>
      </c>
      <c r="D366" s="306" t="n">
        <v>386</v>
      </c>
      <c r="E366" s="306" t="n">
        <v>0</v>
      </c>
      <c r="F366" s="324" t="s">
        <v>643</v>
      </c>
      <c r="G366" s="144" t="n">
        <v>24</v>
      </c>
      <c r="H366" s="325" t="n">
        <v>385.123966942149</v>
      </c>
      <c r="I366" s="2"/>
      <c r="J366" s="144" t="s">
        <v>12</v>
      </c>
      <c r="K366" s="309" t="s">
        <v>12</v>
      </c>
      <c r="L366" s="310"/>
      <c r="M366" s="311" t="n">
        <v>129</v>
      </c>
      <c r="N366" s="312" t="n">
        <v>8.3</v>
      </c>
      <c r="O366" s="311" t="n">
        <v>19</v>
      </c>
      <c r="P366" s="312" t="n">
        <v>10.4</v>
      </c>
      <c r="Q366" s="310" t="n">
        <v>19</v>
      </c>
      <c r="R366" s="312" t="n">
        <v>9.6</v>
      </c>
      <c r="S366" s="310"/>
      <c r="T366" s="311" t="n">
        <v>0</v>
      </c>
      <c r="U366" s="312" t="n">
        <v>13.3</v>
      </c>
      <c r="V366" s="311" t="n">
        <v>0</v>
      </c>
      <c r="W366" s="312" t="n">
        <v>11.6</v>
      </c>
      <c r="X366" s="311" t="n">
        <v>0</v>
      </c>
      <c r="Y366" s="312" t="n">
        <v>11.6</v>
      </c>
      <c r="Z366" s="313" t="n">
        <v>0</v>
      </c>
      <c r="AA366" s="314" t="n">
        <v>11.6</v>
      </c>
      <c r="AB366" s="313" t="n">
        <v>0</v>
      </c>
      <c r="AC366" s="314" t="n">
        <v>11.6</v>
      </c>
      <c r="AD366" s="315"/>
      <c r="AE366" s="144" t="n">
        <v>1</v>
      </c>
      <c r="AF366" s="315"/>
      <c r="AG366" s="311" t="n">
        <v>0</v>
      </c>
      <c r="AH366" s="309" t="n">
        <v>0</v>
      </c>
      <c r="AI366" s="310"/>
      <c r="AJ366" s="311" t="n">
        <v>58</v>
      </c>
      <c r="AK366" s="309" t="n">
        <v>199.2</v>
      </c>
      <c r="AL366" s="311" t="n">
        <v>117</v>
      </c>
      <c r="AM366" s="309" t="n">
        <v>249.6</v>
      </c>
      <c r="AN366" s="310" t="n">
        <v>137</v>
      </c>
      <c r="AO366" s="309" t="n">
        <v>230.4</v>
      </c>
      <c r="AP366" s="310"/>
      <c r="AQ366" s="311" t="n">
        <v>67</v>
      </c>
      <c r="AR366" s="309" t="n">
        <v>319.2</v>
      </c>
      <c r="AS366" s="311" t="n">
        <v>108</v>
      </c>
      <c r="AT366" s="309" t="n">
        <v>278.4</v>
      </c>
      <c r="AU366" s="310" t="n">
        <v>108</v>
      </c>
      <c r="AV366" s="309" t="n">
        <v>278.4</v>
      </c>
      <c r="AW366" s="310" t="n">
        <v>108</v>
      </c>
      <c r="AX366" s="309" t="n">
        <v>278.4</v>
      </c>
      <c r="AY366" s="310" t="n">
        <v>108</v>
      </c>
      <c r="AZ366" s="309" t="n">
        <v>278.4</v>
      </c>
      <c r="BB366" s="144" t="n">
        <v>0</v>
      </c>
      <c r="BC366" s="315"/>
      <c r="BD366" s="311" t="n">
        <v>0</v>
      </c>
      <c r="BE366" s="316" t="n">
        <v>0</v>
      </c>
      <c r="BF366" s="310"/>
      <c r="BG366" s="317" t="n">
        <v>0</v>
      </c>
      <c r="BH366" s="318" t="n">
        <v>0</v>
      </c>
      <c r="BI366" s="317" t="n">
        <v>0</v>
      </c>
      <c r="BJ366" s="318" t="n">
        <v>0</v>
      </c>
      <c r="BK366" s="317" t="n">
        <v>0</v>
      </c>
      <c r="BL366" s="318" t="n">
        <v>0</v>
      </c>
      <c r="BM366" s="310"/>
      <c r="BN366" s="317" t="n">
        <v>0</v>
      </c>
      <c r="BO366" s="318" t="n">
        <v>0</v>
      </c>
      <c r="BP366" s="317" t="n">
        <v>0</v>
      </c>
      <c r="BQ366" s="318" t="n">
        <v>0</v>
      </c>
      <c r="BR366" s="317" t="n">
        <v>0</v>
      </c>
      <c r="BS366" s="318" t="n">
        <v>0</v>
      </c>
      <c r="BT366" s="317" t="n">
        <v>0</v>
      </c>
      <c r="BU366" s="318" t="n">
        <v>0</v>
      </c>
      <c r="BV366" s="317" t="n">
        <v>0</v>
      </c>
      <c r="BW366" s="318" t="n">
        <v>0</v>
      </c>
      <c r="BY366" s="143"/>
      <c r="BZ366" s="315"/>
      <c r="CA366" s="144" t="s">
        <v>12</v>
      </c>
      <c r="CB366" s="315"/>
      <c r="CC366" s="144" t="n">
        <v>-56.9239669421488</v>
      </c>
      <c r="CD366" s="144" t="n">
        <v>-116.523966942149</v>
      </c>
      <c r="CE366" s="144" t="n">
        <v>-135.723966942149</v>
      </c>
      <c r="CF366" s="315"/>
      <c r="CG366" s="144" t="n">
        <v>-65.9239669421488</v>
      </c>
      <c r="CH366" s="144" t="n">
        <v>-106.723966942149</v>
      </c>
      <c r="CI366" s="144" t="n">
        <v>-106.723966942149</v>
      </c>
      <c r="CJ366" s="144" t="n">
        <v>-106.723966942149</v>
      </c>
      <c r="CK366" s="144" t="n">
        <v>-106.723966942149</v>
      </c>
      <c r="CM366" s="144" t="n">
        <v>338.01652892562</v>
      </c>
      <c r="CO366" s="319"/>
      <c r="CP366" s="320"/>
      <c r="CQ366" s="321" t="s">
        <v>12</v>
      </c>
      <c r="CR366" s="320"/>
      <c r="CS366" s="322" t="n">
        <v>-9.81652892561982</v>
      </c>
      <c r="CT366" s="322" t="n">
        <v>-69.4165289256199</v>
      </c>
      <c r="CU366" s="322" t="n">
        <v>-88.6165289256198</v>
      </c>
      <c r="CV366" s="323"/>
      <c r="CW366" s="322" t="n">
        <v>-18.8165289256198</v>
      </c>
      <c r="CX366" s="322" t="n">
        <v>-59.6165289256198</v>
      </c>
      <c r="CY366" s="322" t="n">
        <v>-59.6165289256198</v>
      </c>
      <c r="CZ366" s="322" t="n">
        <v>-59.6165289256198</v>
      </c>
      <c r="DA366" s="322" t="n">
        <v>-59.6165289256198</v>
      </c>
    </row>
    <row r="367" customFormat="false" ht="12.75" hidden="false" customHeight="false" outlineLevel="0" collapsed="false">
      <c r="B367" s="305" t="s">
        <v>641</v>
      </c>
      <c r="C367" s="327" t="s">
        <v>644</v>
      </c>
      <c r="D367" s="306" t="n">
        <v>386</v>
      </c>
      <c r="E367" s="306" t="n">
        <v>0</v>
      </c>
      <c r="F367" s="306" t="s">
        <v>643</v>
      </c>
      <c r="G367" s="307" t="n">
        <v>48</v>
      </c>
      <c r="H367" s="308" t="n">
        <v>385.123966942149</v>
      </c>
      <c r="I367" s="2"/>
      <c r="J367" s="144" t="s">
        <v>12</v>
      </c>
      <c r="K367" s="309" t="s">
        <v>12</v>
      </c>
      <c r="L367" s="310"/>
      <c r="M367" s="311" t="n">
        <v>129</v>
      </c>
      <c r="N367" s="312" t="n">
        <v>4.2</v>
      </c>
      <c r="O367" s="311" t="n">
        <v>19</v>
      </c>
      <c r="P367" s="312" t="n">
        <v>5.2</v>
      </c>
      <c r="Q367" s="310" t="n">
        <v>19</v>
      </c>
      <c r="R367" s="312" t="n">
        <v>4.8</v>
      </c>
      <c r="S367" s="310"/>
      <c r="T367" s="311" t="n">
        <v>0</v>
      </c>
      <c r="U367" s="312" t="n">
        <v>6.7</v>
      </c>
      <c r="V367" s="311" t="n">
        <v>0</v>
      </c>
      <c r="W367" s="312" t="n">
        <v>5.8</v>
      </c>
      <c r="X367" s="311" t="n">
        <v>0</v>
      </c>
      <c r="Y367" s="312" t="n">
        <v>5.8</v>
      </c>
      <c r="Z367" s="313" t="n">
        <v>0</v>
      </c>
      <c r="AA367" s="314" t="n">
        <v>5.8</v>
      </c>
      <c r="AB367" s="313" t="n">
        <v>0</v>
      </c>
      <c r="AC367" s="314" t="n">
        <v>5.8</v>
      </c>
      <c r="AD367" s="315"/>
      <c r="AE367" s="144" t="n">
        <v>1</v>
      </c>
      <c r="AF367" s="315"/>
      <c r="AG367" s="311" t="n">
        <v>0</v>
      </c>
      <c r="AH367" s="309" t="n">
        <v>0</v>
      </c>
      <c r="AI367" s="310"/>
      <c r="AJ367" s="311" t="n">
        <v>55</v>
      </c>
      <c r="AK367" s="309" t="n">
        <v>201.6</v>
      </c>
      <c r="AL367" s="311" t="n">
        <v>117</v>
      </c>
      <c r="AM367" s="309" t="n">
        <v>249.6</v>
      </c>
      <c r="AN367" s="311" t="n">
        <v>137</v>
      </c>
      <c r="AO367" s="309" t="n">
        <v>230.4</v>
      </c>
      <c r="AP367" s="310"/>
      <c r="AQ367" s="311" t="n">
        <v>64</v>
      </c>
      <c r="AR367" s="309" t="n">
        <v>321.6</v>
      </c>
      <c r="AS367" s="311" t="n">
        <v>108</v>
      </c>
      <c r="AT367" s="309" t="n">
        <v>278.4</v>
      </c>
      <c r="AU367" s="311" t="n">
        <v>108</v>
      </c>
      <c r="AV367" s="309" t="n">
        <v>278.4</v>
      </c>
      <c r="AW367" s="311" t="n">
        <v>108</v>
      </c>
      <c r="AX367" s="309" t="n">
        <v>278.4</v>
      </c>
      <c r="AY367" s="311" t="n">
        <v>108</v>
      </c>
      <c r="AZ367" s="309" t="n">
        <v>278.4</v>
      </c>
      <c r="BB367" s="144" t="n">
        <v>0</v>
      </c>
      <c r="BC367" s="315"/>
      <c r="BD367" s="311" t="n">
        <v>0</v>
      </c>
      <c r="BE367" s="316" t="n">
        <v>0</v>
      </c>
      <c r="BF367" s="310"/>
      <c r="BG367" s="317" t="n">
        <v>0</v>
      </c>
      <c r="BH367" s="318" t="n">
        <v>0</v>
      </c>
      <c r="BI367" s="317" t="n">
        <v>0</v>
      </c>
      <c r="BJ367" s="318" t="n">
        <v>0</v>
      </c>
      <c r="BK367" s="317" t="n">
        <v>0</v>
      </c>
      <c r="BL367" s="318" t="n">
        <v>0</v>
      </c>
      <c r="BM367" s="310"/>
      <c r="BN367" s="317" t="n">
        <v>0</v>
      </c>
      <c r="BO367" s="318" t="n">
        <v>0</v>
      </c>
      <c r="BP367" s="317" t="n">
        <v>0</v>
      </c>
      <c r="BQ367" s="318" t="n">
        <v>0</v>
      </c>
      <c r="BR367" s="317" t="n">
        <v>0</v>
      </c>
      <c r="BS367" s="318" t="n">
        <v>0</v>
      </c>
      <c r="BT367" s="317" t="n">
        <v>0</v>
      </c>
      <c r="BU367" s="318" t="n">
        <v>0</v>
      </c>
      <c r="BV367" s="317" t="n">
        <v>0</v>
      </c>
      <c r="BW367" s="318" t="n">
        <v>0</v>
      </c>
      <c r="BY367" s="143"/>
      <c r="BZ367" s="315"/>
      <c r="CA367" s="144" t="s">
        <v>12</v>
      </c>
      <c r="CB367" s="315"/>
      <c r="CC367" s="144" t="n">
        <v>-54.5239669421488</v>
      </c>
      <c r="CD367" s="144" t="n">
        <v>-116.523966942149</v>
      </c>
      <c r="CE367" s="144" t="n">
        <v>-135.723966942149</v>
      </c>
      <c r="CF367" s="315"/>
      <c r="CG367" s="144" t="n">
        <v>-63.5239669421488</v>
      </c>
      <c r="CH367" s="144" t="n">
        <v>-106.723966942149</v>
      </c>
      <c r="CI367" s="144" t="n">
        <v>-106.723966942149</v>
      </c>
      <c r="CJ367" s="144" t="n">
        <v>-106.723966942149</v>
      </c>
      <c r="CK367" s="144" t="n">
        <v>-106.723966942149</v>
      </c>
      <c r="CM367" s="144" t="n">
        <v>338.01652892562</v>
      </c>
      <c r="CO367" s="319"/>
      <c r="CP367" s="320"/>
      <c r="CQ367" s="321" t="s">
        <v>12</v>
      </c>
      <c r="CR367" s="320"/>
      <c r="CS367" s="322" t="n">
        <v>-7.41652892561984</v>
      </c>
      <c r="CT367" s="322" t="n">
        <v>-69.4165289256199</v>
      </c>
      <c r="CU367" s="322" t="n">
        <v>-88.6165289256198</v>
      </c>
      <c r="CV367" s="323"/>
      <c r="CW367" s="322" t="n">
        <v>-16.4165289256198</v>
      </c>
      <c r="CX367" s="322" t="n">
        <v>-59.6165289256198</v>
      </c>
      <c r="CY367" s="322" t="n">
        <v>-59.6165289256198</v>
      </c>
      <c r="CZ367" s="322" t="n">
        <v>-59.6165289256198</v>
      </c>
      <c r="DA367" s="322" t="n">
        <v>-59.6165289256198</v>
      </c>
    </row>
    <row r="368" customFormat="false" ht="12.75" hidden="false" customHeight="false" outlineLevel="0" collapsed="false">
      <c r="B368" s="305" t="s">
        <v>641</v>
      </c>
      <c r="C368" s="327" t="s">
        <v>645</v>
      </c>
      <c r="D368" s="306" t="n">
        <v>325</v>
      </c>
      <c r="E368" s="306" t="n">
        <v>0</v>
      </c>
      <c r="F368" s="324" t="s">
        <v>643</v>
      </c>
      <c r="G368" s="144" t="n">
        <v>24</v>
      </c>
      <c r="H368" s="325" t="n">
        <v>324.793388429752</v>
      </c>
      <c r="I368" s="2"/>
      <c r="J368" s="144" t="s">
        <v>12</v>
      </c>
      <c r="K368" s="309" t="s">
        <v>12</v>
      </c>
      <c r="L368" s="310"/>
      <c r="M368" s="311" t="n">
        <v>109</v>
      </c>
      <c r="N368" s="312" t="n">
        <v>6.5</v>
      </c>
      <c r="O368" s="311" t="n">
        <v>19</v>
      </c>
      <c r="P368" s="312" t="n">
        <v>7.7</v>
      </c>
      <c r="Q368" s="310" t="n">
        <v>19</v>
      </c>
      <c r="R368" s="312" t="n">
        <v>6.9</v>
      </c>
      <c r="S368" s="310"/>
      <c r="T368" s="311" t="n">
        <v>0</v>
      </c>
      <c r="U368" s="312" t="n">
        <v>10.8</v>
      </c>
      <c r="V368" s="311" t="n">
        <v>0</v>
      </c>
      <c r="W368" s="312" t="n">
        <v>9.1</v>
      </c>
      <c r="X368" s="311" t="n">
        <v>0</v>
      </c>
      <c r="Y368" s="312" t="n">
        <v>9.1</v>
      </c>
      <c r="Z368" s="313" t="n">
        <v>0</v>
      </c>
      <c r="AA368" s="314" t="n">
        <v>8.7</v>
      </c>
      <c r="AB368" s="313" t="n">
        <v>0</v>
      </c>
      <c r="AC368" s="314" t="n">
        <v>8.7</v>
      </c>
      <c r="AD368" s="315"/>
      <c r="AE368" s="144" t="n">
        <v>0</v>
      </c>
      <c r="AF368" s="315"/>
      <c r="AG368" s="311" t="n">
        <v>0</v>
      </c>
      <c r="AH368" s="309" t="n">
        <v>0</v>
      </c>
      <c r="AI368" s="310"/>
      <c r="AJ368" s="311" t="n">
        <v>60</v>
      </c>
      <c r="AK368" s="309" t="n">
        <v>156</v>
      </c>
      <c r="AL368" s="311" t="n">
        <v>121</v>
      </c>
      <c r="AM368" s="309" t="n">
        <v>184.8</v>
      </c>
      <c r="AN368" s="310" t="n">
        <v>140</v>
      </c>
      <c r="AO368" s="309" t="n">
        <v>165.6</v>
      </c>
      <c r="AP368" s="310"/>
      <c r="AQ368" s="311" t="n">
        <v>66</v>
      </c>
      <c r="AR368" s="309" t="n">
        <v>259.2</v>
      </c>
      <c r="AS368" s="311" t="n">
        <v>107</v>
      </c>
      <c r="AT368" s="309" t="n">
        <v>218.4</v>
      </c>
      <c r="AU368" s="310" t="n">
        <v>107</v>
      </c>
      <c r="AV368" s="309" t="n">
        <v>218.4</v>
      </c>
      <c r="AW368" s="310" t="n">
        <v>116</v>
      </c>
      <c r="AX368" s="309" t="n">
        <v>208.8</v>
      </c>
      <c r="AY368" s="310" t="n">
        <v>116</v>
      </c>
      <c r="AZ368" s="309" t="n">
        <v>208.8</v>
      </c>
      <c r="BB368" s="144" t="n">
        <v>0</v>
      </c>
      <c r="BC368" s="315"/>
      <c r="BD368" s="311" t="n">
        <v>0</v>
      </c>
      <c r="BE368" s="316" t="n">
        <v>0</v>
      </c>
      <c r="BF368" s="310"/>
      <c r="BG368" s="317" t="n">
        <v>0</v>
      </c>
      <c r="BH368" s="318" t="n">
        <v>0</v>
      </c>
      <c r="BI368" s="317" t="n">
        <v>0</v>
      </c>
      <c r="BJ368" s="318" t="n">
        <v>0</v>
      </c>
      <c r="BK368" s="317" t="n">
        <v>0</v>
      </c>
      <c r="BL368" s="318" t="n">
        <v>0</v>
      </c>
      <c r="BM368" s="310"/>
      <c r="BN368" s="317" t="n">
        <v>0</v>
      </c>
      <c r="BO368" s="318" t="n">
        <v>0</v>
      </c>
      <c r="BP368" s="317" t="n">
        <v>0</v>
      </c>
      <c r="BQ368" s="318" t="n">
        <v>0</v>
      </c>
      <c r="BR368" s="317" t="n">
        <v>0</v>
      </c>
      <c r="BS368" s="318" t="n">
        <v>0</v>
      </c>
      <c r="BT368" s="317" t="n">
        <v>0</v>
      </c>
      <c r="BU368" s="318" t="n">
        <v>0</v>
      </c>
      <c r="BV368" s="317" t="n">
        <v>0</v>
      </c>
      <c r="BW368" s="318" t="n">
        <v>0</v>
      </c>
      <c r="BY368" s="143"/>
      <c r="BZ368" s="315"/>
      <c r="CA368" s="144" t="s">
        <v>12</v>
      </c>
      <c r="CB368" s="315"/>
      <c r="CC368" s="144" t="n">
        <v>-59.7933884297521</v>
      </c>
      <c r="CD368" s="144" t="n">
        <v>-120.993388429752</v>
      </c>
      <c r="CE368" s="144" t="n">
        <v>-140.193388429752</v>
      </c>
      <c r="CF368" s="315"/>
      <c r="CG368" s="144" t="n">
        <v>-65.5933884297521</v>
      </c>
      <c r="CH368" s="144" t="n">
        <v>-106.393388429752</v>
      </c>
      <c r="CI368" s="144" t="n">
        <v>-106.393388429752</v>
      </c>
      <c r="CJ368" s="144" t="n">
        <v>-115.993388429752</v>
      </c>
      <c r="CK368" s="144" t="n">
        <v>-115.993388429752</v>
      </c>
      <c r="CM368" s="144" t="n">
        <v>271.900826446281</v>
      </c>
      <c r="CO368" s="319"/>
      <c r="CP368" s="320"/>
      <c r="CQ368" s="321" t="s">
        <v>12</v>
      </c>
      <c r="CR368" s="320"/>
      <c r="CS368" s="322" t="n">
        <v>-6.90082644628097</v>
      </c>
      <c r="CT368" s="322" t="n">
        <v>-68.100826446281</v>
      </c>
      <c r="CU368" s="322" t="n">
        <v>-87.3008264462809</v>
      </c>
      <c r="CV368" s="323"/>
      <c r="CW368" s="322" t="n">
        <v>-12.7008264462809</v>
      </c>
      <c r="CX368" s="322" t="n">
        <v>-53.500826446281</v>
      </c>
      <c r="CY368" s="322" t="n">
        <v>-53.500826446281</v>
      </c>
      <c r="CZ368" s="322" t="n">
        <v>-63.100826446281</v>
      </c>
      <c r="DA368" s="322" t="n">
        <v>-63.100826446281</v>
      </c>
    </row>
    <row r="369" customFormat="false" ht="12.75" hidden="false" customHeight="false" outlineLevel="0" collapsed="false">
      <c r="B369" s="305" t="s">
        <v>641</v>
      </c>
      <c r="C369" s="327" t="s">
        <v>645</v>
      </c>
      <c r="D369" s="306" t="n">
        <v>325</v>
      </c>
      <c r="E369" s="306" t="n">
        <v>0</v>
      </c>
      <c r="F369" s="306" t="s">
        <v>643</v>
      </c>
      <c r="G369" s="307" t="n">
        <v>48</v>
      </c>
      <c r="H369" s="308" t="n">
        <v>324.793388429752</v>
      </c>
      <c r="I369" s="2"/>
      <c r="J369" s="144" t="s">
        <v>12</v>
      </c>
      <c r="K369" s="309" t="s">
        <v>12</v>
      </c>
      <c r="L369" s="310"/>
      <c r="M369" s="311" t="n">
        <v>109</v>
      </c>
      <c r="N369" s="312" t="n">
        <v>3.3</v>
      </c>
      <c r="O369" s="311" t="n">
        <v>19</v>
      </c>
      <c r="P369" s="312" t="n">
        <v>3.9</v>
      </c>
      <c r="Q369" s="310" t="n">
        <v>19</v>
      </c>
      <c r="R369" s="312" t="n">
        <v>3.5</v>
      </c>
      <c r="S369" s="310"/>
      <c r="T369" s="311" t="n">
        <v>0</v>
      </c>
      <c r="U369" s="312" t="n">
        <v>5.4</v>
      </c>
      <c r="V369" s="311" t="n">
        <v>0</v>
      </c>
      <c r="W369" s="312" t="n">
        <v>4.6</v>
      </c>
      <c r="X369" s="311" t="n">
        <v>0</v>
      </c>
      <c r="Y369" s="312" t="n">
        <v>4.6</v>
      </c>
      <c r="Z369" s="313" t="n">
        <v>0</v>
      </c>
      <c r="AA369" s="314" t="n">
        <v>4.4</v>
      </c>
      <c r="AB369" s="313" t="n">
        <v>0</v>
      </c>
      <c r="AC369" s="314" t="n">
        <v>4.4</v>
      </c>
      <c r="AD369" s="315"/>
      <c r="AE369" s="144" t="n">
        <v>0</v>
      </c>
      <c r="AF369" s="315"/>
      <c r="AG369" s="311" t="n">
        <v>0</v>
      </c>
      <c r="AH369" s="309" t="n">
        <v>0</v>
      </c>
      <c r="AI369" s="310"/>
      <c r="AJ369" s="311" t="n">
        <v>58</v>
      </c>
      <c r="AK369" s="309" t="n">
        <v>158.4</v>
      </c>
      <c r="AL369" s="311" t="n">
        <v>119</v>
      </c>
      <c r="AM369" s="309" t="n">
        <v>187.2</v>
      </c>
      <c r="AN369" s="311" t="n">
        <v>138</v>
      </c>
      <c r="AO369" s="309" t="n">
        <v>168</v>
      </c>
      <c r="AP369" s="310"/>
      <c r="AQ369" s="311" t="n">
        <v>66</v>
      </c>
      <c r="AR369" s="309" t="n">
        <v>259.2</v>
      </c>
      <c r="AS369" s="311" t="n">
        <v>104</v>
      </c>
      <c r="AT369" s="309" t="n">
        <v>220.8</v>
      </c>
      <c r="AU369" s="311" t="n">
        <v>104</v>
      </c>
      <c r="AV369" s="309" t="n">
        <v>220.8</v>
      </c>
      <c r="AW369" s="311" t="n">
        <v>114</v>
      </c>
      <c r="AX369" s="309" t="n">
        <v>211.2</v>
      </c>
      <c r="AY369" s="311" t="n">
        <v>114</v>
      </c>
      <c r="AZ369" s="309" t="n">
        <v>211.2</v>
      </c>
      <c r="BB369" s="144" t="n">
        <v>0</v>
      </c>
      <c r="BC369" s="315"/>
      <c r="BD369" s="311" t="n">
        <v>0</v>
      </c>
      <c r="BE369" s="316" t="n">
        <v>0</v>
      </c>
      <c r="BF369" s="310"/>
      <c r="BG369" s="317" t="n">
        <v>0</v>
      </c>
      <c r="BH369" s="318" t="n">
        <v>0</v>
      </c>
      <c r="BI369" s="317" t="n">
        <v>0</v>
      </c>
      <c r="BJ369" s="318" t="n">
        <v>0</v>
      </c>
      <c r="BK369" s="317" t="n">
        <v>0</v>
      </c>
      <c r="BL369" s="318" t="n">
        <v>0</v>
      </c>
      <c r="BM369" s="310"/>
      <c r="BN369" s="317" t="n">
        <v>0</v>
      </c>
      <c r="BO369" s="318" t="n">
        <v>0</v>
      </c>
      <c r="BP369" s="317" t="n">
        <v>0</v>
      </c>
      <c r="BQ369" s="318" t="n">
        <v>0</v>
      </c>
      <c r="BR369" s="317" t="n">
        <v>0</v>
      </c>
      <c r="BS369" s="318" t="n">
        <v>0</v>
      </c>
      <c r="BT369" s="317" t="n">
        <v>0</v>
      </c>
      <c r="BU369" s="318" t="n">
        <v>0</v>
      </c>
      <c r="BV369" s="317" t="n">
        <v>0</v>
      </c>
      <c r="BW369" s="318" t="n">
        <v>0</v>
      </c>
      <c r="BY369" s="143"/>
      <c r="BZ369" s="315"/>
      <c r="CA369" s="144" t="s">
        <v>12</v>
      </c>
      <c r="CB369" s="315"/>
      <c r="CC369" s="144" t="n">
        <v>-57.3933884297521</v>
      </c>
      <c r="CD369" s="144" t="n">
        <v>-118.593388429752</v>
      </c>
      <c r="CE369" s="144" t="n">
        <v>-137.793388429752</v>
      </c>
      <c r="CF369" s="315"/>
      <c r="CG369" s="144" t="n">
        <v>-65.5933884297521</v>
      </c>
      <c r="CH369" s="144" t="n">
        <v>-103.993388429752</v>
      </c>
      <c r="CI369" s="144" t="n">
        <v>-103.993388429752</v>
      </c>
      <c r="CJ369" s="144" t="n">
        <v>-113.593388429752</v>
      </c>
      <c r="CK369" s="144" t="n">
        <v>-113.593388429752</v>
      </c>
      <c r="CM369" s="144" t="n">
        <v>271.900826446281</v>
      </c>
      <c r="CO369" s="319"/>
      <c r="CP369" s="320"/>
      <c r="CQ369" s="321" t="s">
        <v>12</v>
      </c>
      <c r="CR369" s="320"/>
      <c r="CS369" s="322" t="n">
        <v>-4.500826446281</v>
      </c>
      <c r="CT369" s="322" t="n">
        <v>-65.700826446281</v>
      </c>
      <c r="CU369" s="322" t="n">
        <v>-84.900826446281</v>
      </c>
      <c r="CV369" s="323"/>
      <c r="CW369" s="322" t="n">
        <v>-12.7008264462809</v>
      </c>
      <c r="CX369" s="322" t="n">
        <v>-51.100826446281</v>
      </c>
      <c r="CY369" s="322" t="n">
        <v>-51.100826446281</v>
      </c>
      <c r="CZ369" s="322" t="n">
        <v>-60.700826446281</v>
      </c>
      <c r="DA369" s="322" t="n">
        <v>-60.700826446281</v>
      </c>
    </row>
    <row r="370" customFormat="false" ht="12.75" hidden="false" customHeight="false" outlineLevel="0" collapsed="false">
      <c r="B370" s="305" t="s">
        <v>641</v>
      </c>
      <c r="C370" s="327" t="s">
        <v>646</v>
      </c>
      <c r="D370" s="306" t="n">
        <v>348</v>
      </c>
      <c r="E370" s="306" t="n">
        <v>0</v>
      </c>
      <c r="F370" s="324" t="s">
        <v>643</v>
      </c>
      <c r="G370" s="144" t="n">
        <v>24</v>
      </c>
      <c r="H370" s="325" t="n">
        <v>347.107438016529</v>
      </c>
      <c r="I370" s="2"/>
      <c r="J370" s="144" t="s">
        <v>12</v>
      </c>
      <c r="K370" s="309" t="s">
        <v>12</v>
      </c>
      <c r="L370" s="310"/>
      <c r="M370" s="311" t="n">
        <v>119</v>
      </c>
      <c r="N370" s="312" t="n">
        <v>7.1</v>
      </c>
      <c r="O370" s="311" t="n">
        <v>19</v>
      </c>
      <c r="P370" s="312" t="n">
        <v>8.7</v>
      </c>
      <c r="Q370" s="310" t="n">
        <v>19</v>
      </c>
      <c r="R370" s="312" t="n">
        <v>7.9</v>
      </c>
      <c r="S370" s="310"/>
      <c r="T370" s="311" t="n">
        <v>0</v>
      </c>
      <c r="U370" s="312" t="n">
        <v>11.8</v>
      </c>
      <c r="V370" s="311" t="n">
        <v>0</v>
      </c>
      <c r="W370" s="312" t="n">
        <v>9.1</v>
      </c>
      <c r="X370" s="311" t="n">
        <v>0</v>
      </c>
      <c r="Y370" s="312" t="n">
        <v>9.1</v>
      </c>
      <c r="Z370" s="313" t="n">
        <v>0</v>
      </c>
      <c r="AA370" s="314" t="n">
        <v>9.5</v>
      </c>
      <c r="AB370" s="313" t="n">
        <v>0</v>
      </c>
      <c r="AC370" s="314" t="n">
        <v>9.5</v>
      </c>
      <c r="AD370" s="315"/>
      <c r="AE370" s="144" t="n">
        <v>1</v>
      </c>
      <c r="AF370" s="315"/>
      <c r="AG370" s="311" t="n">
        <v>0</v>
      </c>
      <c r="AH370" s="309" t="n">
        <v>0</v>
      </c>
      <c r="AI370" s="310"/>
      <c r="AJ370" s="311" t="n">
        <v>59</v>
      </c>
      <c r="AK370" s="309" t="n">
        <v>170.4</v>
      </c>
      <c r="AL370" s="311" t="n">
        <v>120</v>
      </c>
      <c r="AM370" s="309" t="n">
        <v>208.8</v>
      </c>
      <c r="AN370" s="310" t="n">
        <v>139</v>
      </c>
      <c r="AO370" s="309" t="n">
        <v>189.6</v>
      </c>
      <c r="AP370" s="310"/>
      <c r="AQ370" s="311" t="n">
        <v>65</v>
      </c>
      <c r="AR370" s="309" t="n">
        <v>283.2</v>
      </c>
      <c r="AS370" s="311" t="n">
        <v>130</v>
      </c>
      <c r="AT370" s="309" t="n">
        <v>218.4</v>
      </c>
      <c r="AU370" s="310" t="n">
        <v>130</v>
      </c>
      <c r="AV370" s="309" t="n">
        <v>218.4</v>
      </c>
      <c r="AW370" s="310" t="n">
        <v>120</v>
      </c>
      <c r="AX370" s="309" t="n">
        <v>228</v>
      </c>
      <c r="AY370" s="310" t="n">
        <v>120</v>
      </c>
      <c r="AZ370" s="309" t="n">
        <v>228</v>
      </c>
      <c r="BB370" s="144" t="n">
        <v>0</v>
      </c>
      <c r="BC370" s="315"/>
      <c r="BD370" s="311" t="n">
        <v>0</v>
      </c>
      <c r="BE370" s="316" t="n">
        <v>0</v>
      </c>
      <c r="BF370" s="310"/>
      <c r="BG370" s="317" t="n">
        <v>0</v>
      </c>
      <c r="BH370" s="318" t="n">
        <v>0</v>
      </c>
      <c r="BI370" s="317" t="n">
        <v>0</v>
      </c>
      <c r="BJ370" s="318" t="n">
        <v>0</v>
      </c>
      <c r="BK370" s="317" t="n">
        <v>0</v>
      </c>
      <c r="BL370" s="318" t="n">
        <v>0</v>
      </c>
      <c r="BM370" s="310"/>
      <c r="BN370" s="317" t="n">
        <v>0</v>
      </c>
      <c r="BO370" s="318" t="n">
        <v>0</v>
      </c>
      <c r="BP370" s="317" t="n">
        <v>0</v>
      </c>
      <c r="BQ370" s="318" t="n">
        <v>0</v>
      </c>
      <c r="BR370" s="317" t="n">
        <v>0</v>
      </c>
      <c r="BS370" s="318" t="n">
        <v>0</v>
      </c>
      <c r="BT370" s="317" t="n">
        <v>0</v>
      </c>
      <c r="BU370" s="318" t="n">
        <v>0</v>
      </c>
      <c r="BV370" s="317" t="n">
        <v>0</v>
      </c>
      <c r="BW370" s="318" t="n">
        <v>0</v>
      </c>
      <c r="BY370" s="143"/>
      <c r="BZ370" s="315"/>
      <c r="CA370" s="144" t="s">
        <v>12</v>
      </c>
      <c r="CB370" s="315"/>
      <c r="CC370" s="144" t="n">
        <v>-57.707438016529</v>
      </c>
      <c r="CD370" s="144" t="n">
        <v>-119.307438016529</v>
      </c>
      <c r="CE370" s="144" t="n">
        <v>-138.507438016529</v>
      </c>
      <c r="CF370" s="315"/>
      <c r="CG370" s="144" t="n">
        <v>-63.9074380165289</v>
      </c>
      <c r="CH370" s="144" t="n">
        <v>-128.707438016529</v>
      </c>
      <c r="CI370" s="144" t="n">
        <v>-128.707438016529</v>
      </c>
      <c r="CJ370" s="144" t="n">
        <v>-119.107438016529</v>
      </c>
      <c r="CK370" s="144" t="n">
        <v>-119.107438016529</v>
      </c>
      <c r="CM370" s="144" t="n">
        <v>296.694214876033</v>
      </c>
      <c r="CO370" s="319"/>
      <c r="CP370" s="320"/>
      <c r="CQ370" s="321" t="s">
        <v>12</v>
      </c>
      <c r="CR370" s="320"/>
      <c r="CS370" s="322" t="n">
        <v>-7.2942148760331</v>
      </c>
      <c r="CT370" s="322" t="n">
        <v>-68.8942148760331</v>
      </c>
      <c r="CU370" s="322" t="n">
        <v>-88.0942148760331</v>
      </c>
      <c r="CV370" s="323"/>
      <c r="CW370" s="322" t="n">
        <v>-13.494214876033</v>
      </c>
      <c r="CX370" s="322" t="n">
        <v>-78.2942148760331</v>
      </c>
      <c r="CY370" s="322" t="n">
        <v>-78.2942148760331</v>
      </c>
      <c r="CZ370" s="322" t="n">
        <v>-68.6942148760331</v>
      </c>
      <c r="DA370" s="322" t="n">
        <v>-68.6942148760331</v>
      </c>
    </row>
    <row r="371" customFormat="false" ht="12.75" hidden="false" customHeight="false" outlineLevel="0" collapsed="false">
      <c r="B371" s="305" t="s">
        <v>641</v>
      </c>
      <c r="C371" s="327" t="s">
        <v>646</v>
      </c>
      <c r="D371" s="306" t="n">
        <v>348</v>
      </c>
      <c r="E371" s="306" t="n">
        <v>0</v>
      </c>
      <c r="F371" s="306" t="s">
        <v>643</v>
      </c>
      <c r="G371" s="307" t="n">
        <v>48</v>
      </c>
      <c r="H371" s="308" t="n">
        <v>347.107438016529</v>
      </c>
      <c r="I371" s="2"/>
      <c r="J371" s="144" t="s">
        <v>12</v>
      </c>
      <c r="K371" s="309" t="s">
        <v>12</v>
      </c>
      <c r="L371" s="310"/>
      <c r="M371" s="311" t="n">
        <v>119</v>
      </c>
      <c r="N371" s="312" t="n">
        <v>3.6</v>
      </c>
      <c r="O371" s="311" t="n">
        <v>19</v>
      </c>
      <c r="P371" s="312" t="n">
        <v>4.4</v>
      </c>
      <c r="Q371" s="310" t="n">
        <v>19</v>
      </c>
      <c r="R371" s="312" t="n">
        <v>4</v>
      </c>
      <c r="S371" s="310"/>
      <c r="T371" s="311" t="n">
        <v>0</v>
      </c>
      <c r="U371" s="312" t="n">
        <v>5.9</v>
      </c>
      <c r="V371" s="311" t="n">
        <v>0</v>
      </c>
      <c r="W371" s="312" t="n">
        <v>4.6</v>
      </c>
      <c r="X371" s="311" t="n">
        <v>0</v>
      </c>
      <c r="Y371" s="312" t="n">
        <v>4.6</v>
      </c>
      <c r="Z371" s="313" t="n">
        <v>0</v>
      </c>
      <c r="AA371" s="314" t="n">
        <v>4.8</v>
      </c>
      <c r="AB371" s="313" t="n">
        <v>0</v>
      </c>
      <c r="AC371" s="314" t="n">
        <v>4.8</v>
      </c>
      <c r="AD371" s="315"/>
      <c r="AE371" s="144" t="n">
        <v>1</v>
      </c>
      <c r="AF371" s="315"/>
      <c r="AG371" s="311" t="n">
        <v>0</v>
      </c>
      <c r="AH371" s="309" t="n">
        <v>0</v>
      </c>
      <c r="AI371" s="310"/>
      <c r="AJ371" s="311" t="n">
        <v>56</v>
      </c>
      <c r="AK371" s="309" t="n">
        <v>172.8</v>
      </c>
      <c r="AL371" s="311" t="n">
        <v>118</v>
      </c>
      <c r="AM371" s="309" t="n">
        <v>211.2</v>
      </c>
      <c r="AN371" s="311" t="n">
        <v>137</v>
      </c>
      <c r="AO371" s="309" t="n">
        <v>192</v>
      </c>
      <c r="AP371" s="310"/>
      <c r="AQ371" s="311" t="n">
        <v>65</v>
      </c>
      <c r="AR371" s="309" t="n">
        <v>283.2</v>
      </c>
      <c r="AS371" s="311" t="n">
        <v>127</v>
      </c>
      <c r="AT371" s="309" t="n">
        <v>220.8</v>
      </c>
      <c r="AU371" s="311" t="n">
        <v>127</v>
      </c>
      <c r="AV371" s="309" t="n">
        <v>220.8</v>
      </c>
      <c r="AW371" s="311" t="n">
        <v>118</v>
      </c>
      <c r="AX371" s="309" t="n">
        <v>230.4</v>
      </c>
      <c r="AY371" s="311" t="n">
        <v>118</v>
      </c>
      <c r="AZ371" s="309" t="n">
        <v>230.4</v>
      </c>
      <c r="BB371" s="144" t="n">
        <v>0</v>
      </c>
      <c r="BC371" s="315"/>
      <c r="BD371" s="311" t="n">
        <v>0</v>
      </c>
      <c r="BE371" s="316" t="n">
        <v>0</v>
      </c>
      <c r="BF371" s="310"/>
      <c r="BG371" s="317" t="n">
        <v>0</v>
      </c>
      <c r="BH371" s="318" t="n">
        <v>0</v>
      </c>
      <c r="BI371" s="317" t="n">
        <v>0</v>
      </c>
      <c r="BJ371" s="318" t="n">
        <v>0</v>
      </c>
      <c r="BK371" s="317" t="n">
        <v>0</v>
      </c>
      <c r="BL371" s="318" t="n">
        <v>0</v>
      </c>
      <c r="BM371" s="310"/>
      <c r="BN371" s="317" t="n">
        <v>0</v>
      </c>
      <c r="BO371" s="318" t="n">
        <v>0</v>
      </c>
      <c r="BP371" s="317" t="n">
        <v>0</v>
      </c>
      <c r="BQ371" s="318" t="n">
        <v>0</v>
      </c>
      <c r="BR371" s="317" t="n">
        <v>0</v>
      </c>
      <c r="BS371" s="318" t="n">
        <v>0</v>
      </c>
      <c r="BT371" s="317" t="n">
        <v>0</v>
      </c>
      <c r="BU371" s="318" t="n">
        <v>0</v>
      </c>
      <c r="BV371" s="317" t="n">
        <v>0</v>
      </c>
      <c r="BW371" s="318" t="n">
        <v>0</v>
      </c>
      <c r="BY371" s="143"/>
      <c r="BZ371" s="315"/>
      <c r="CA371" s="144" t="s">
        <v>12</v>
      </c>
      <c r="CB371" s="315"/>
      <c r="CC371" s="144" t="n">
        <v>-55.3074380165289</v>
      </c>
      <c r="CD371" s="144" t="n">
        <v>-116.907438016529</v>
      </c>
      <c r="CE371" s="144" t="n">
        <v>-136.107438016529</v>
      </c>
      <c r="CF371" s="315"/>
      <c r="CG371" s="144" t="n">
        <v>-63.9074380165289</v>
      </c>
      <c r="CH371" s="144" t="n">
        <v>-126.307438016529</v>
      </c>
      <c r="CI371" s="144" t="n">
        <v>-126.307438016529</v>
      </c>
      <c r="CJ371" s="144" t="n">
        <v>-116.707438016529</v>
      </c>
      <c r="CK371" s="144" t="n">
        <v>-116.707438016529</v>
      </c>
      <c r="CM371" s="144" t="n">
        <v>296.694214876033</v>
      </c>
      <c r="CO371" s="319"/>
      <c r="CP371" s="320"/>
      <c r="CQ371" s="321" t="s">
        <v>12</v>
      </c>
      <c r="CR371" s="320"/>
      <c r="CS371" s="322" t="n">
        <v>-4.89421487603306</v>
      </c>
      <c r="CT371" s="322" t="n">
        <v>-66.4942148760331</v>
      </c>
      <c r="CU371" s="322" t="n">
        <v>-85.6942148760331</v>
      </c>
      <c r="CV371" s="323"/>
      <c r="CW371" s="322" t="n">
        <v>-13.494214876033</v>
      </c>
      <c r="CX371" s="322" t="n">
        <v>-75.8942148760331</v>
      </c>
      <c r="CY371" s="322" t="n">
        <v>-75.8942148760331</v>
      </c>
      <c r="CZ371" s="322" t="n">
        <v>-66.294214876033</v>
      </c>
      <c r="DA371" s="322" t="n">
        <v>-66.294214876033</v>
      </c>
    </row>
    <row r="372" customFormat="false" ht="12.75" hidden="false" customHeight="false" outlineLevel="0" collapsed="false">
      <c r="B372" s="305" t="s">
        <v>312</v>
      </c>
      <c r="C372" s="305" t="s">
        <v>647</v>
      </c>
      <c r="D372" s="306" t="n">
        <v>41</v>
      </c>
      <c r="E372" s="306" t="n">
        <v>0</v>
      </c>
      <c r="F372" s="324" t="s">
        <v>648</v>
      </c>
      <c r="G372" s="144" t="n">
        <v>24</v>
      </c>
      <c r="H372" s="325" t="n">
        <v>40.495867768595</v>
      </c>
      <c r="I372" s="2"/>
      <c r="J372" s="144" t="s">
        <v>12</v>
      </c>
      <c r="K372" s="309" t="s">
        <v>12</v>
      </c>
      <c r="L372" s="310"/>
      <c r="M372" s="311" t="n">
        <v>0</v>
      </c>
      <c r="N372" s="312" t="n">
        <v>0.9</v>
      </c>
      <c r="O372" s="311" t="n">
        <v>0</v>
      </c>
      <c r="P372" s="312" t="n">
        <v>0.9</v>
      </c>
      <c r="Q372" s="310" t="n">
        <v>0</v>
      </c>
      <c r="R372" s="312" t="n">
        <v>0.9</v>
      </c>
      <c r="S372" s="310"/>
      <c r="T372" s="311" t="n">
        <v>0</v>
      </c>
      <c r="U372" s="312" t="n">
        <v>0.5</v>
      </c>
      <c r="V372" s="311" t="n">
        <v>0</v>
      </c>
      <c r="W372" s="312" t="n">
        <v>0.5</v>
      </c>
      <c r="X372" s="311" t="n">
        <v>0</v>
      </c>
      <c r="Y372" s="312" t="n">
        <v>0.5</v>
      </c>
      <c r="Z372" s="313" t="n">
        <v>0</v>
      </c>
      <c r="AA372" s="314" t="n">
        <v>0.4</v>
      </c>
      <c r="AB372" s="313" t="n">
        <v>0</v>
      </c>
      <c r="AC372" s="314" t="n">
        <v>0.4</v>
      </c>
      <c r="AD372" s="315"/>
      <c r="AE372" s="144" t="n">
        <v>1</v>
      </c>
      <c r="AF372" s="315"/>
      <c r="AG372" s="311" t="n">
        <v>0</v>
      </c>
      <c r="AH372" s="309" t="n">
        <v>0</v>
      </c>
      <c r="AI372" s="310"/>
      <c r="AJ372" s="311" t="n">
        <v>19</v>
      </c>
      <c r="AK372" s="309" t="n">
        <v>21.6</v>
      </c>
      <c r="AL372" s="311" t="n">
        <v>19</v>
      </c>
      <c r="AM372" s="309" t="n">
        <v>21.6</v>
      </c>
      <c r="AN372" s="310" t="n">
        <v>19</v>
      </c>
      <c r="AO372" s="309" t="n">
        <v>21.6</v>
      </c>
      <c r="AP372" s="310"/>
      <c r="AQ372" s="311" t="n">
        <v>29</v>
      </c>
      <c r="AR372" s="309" t="n">
        <v>12</v>
      </c>
      <c r="AS372" s="311" t="n">
        <v>29</v>
      </c>
      <c r="AT372" s="309" t="n">
        <v>12</v>
      </c>
      <c r="AU372" s="310" t="n">
        <v>29</v>
      </c>
      <c r="AV372" s="309" t="n">
        <v>12</v>
      </c>
      <c r="AW372" s="310" t="n">
        <v>31</v>
      </c>
      <c r="AX372" s="309" t="n">
        <v>9.6</v>
      </c>
      <c r="AY372" s="310" t="n">
        <v>31</v>
      </c>
      <c r="AZ372" s="309" t="n">
        <v>9.6</v>
      </c>
      <c r="BB372" s="144" t="n">
        <v>0</v>
      </c>
      <c r="BC372" s="315"/>
      <c r="BD372" s="311" t="n">
        <v>0</v>
      </c>
      <c r="BE372" s="316" t="n">
        <v>0</v>
      </c>
      <c r="BF372" s="310"/>
      <c r="BG372" s="317" t="n">
        <v>0</v>
      </c>
      <c r="BH372" s="318" t="n">
        <v>0</v>
      </c>
      <c r="BI372" s="317" t="n">
        <v>0</v>
      </c>
      <c r="BJ372" s="318" t="n">
        <v>0</v>
      </c>
      <c r="BK372" s="317" t="n">
        <v>0</v>
      </c>
      <c r="BL372" s="318" t="n">
        <v>0</v>
      </c>
      <c r="BM372" s="310"/>
      <c r="BN372" s="317" t="n">
        <v>0</v>
      </c>
      <c r="BO372" s="318" t="n">
        <v>0</v>
      </c>
      <c r="BP372" s="317" t="n">
        <v>0</v>
      </c>
      <c r="BQ372" s="318" t="n">
        <v>0</v>
      </c>
      <c r="BR372" s="317" t="n">
        <v>0</v>
      </c>
      <c r="BS372" s="318" t="n">
        <v>0</v>
      </c>
      <c r="BT372" s="317" t="n">
        <v>0</v>
      </c>
      <c r="BU372" s="318" t="n">
        <v>0</v>
      </c>
      <c r="BV372" s="317" t="n">
        <v>0</v>
      </c>
      <c r="BW372" s="318" t="n">
        <v>0</v>
      </c>
      <c r="BY372" s="143"/>
      <c r="BZ372" s="315"/>
      <c r="CA372" s="144" t="s">
        <v>12</v>
      </c>
      <c r="CB372" s="315"/>
      <c r="CC372" s="144" t="n">
        <v>-18.895867768595</v>
      </c>
      <c r="CD372" s="144" t="n">
        <v>-18.895867768595</v>
      </c>
      <c r="CE372" s="144" t="n">
        <v>-18.895867768595</v>
      </c>
      <c r="CF372" s="315"/>
      <c r="CG372" s="144" t="n">
        <v>-28.495867768595</v>
      </c>
      <c r="CH372" s="144" t="n">
        <v>-28.495867768595</v>
      </c>
      <c r="CI372" s="144" t="n">
        <v>-28.495867768595</v>
      </c>
      <c r="CJ372" s="144" t="n">
        <v>-30.895867768595</v>
      </c>
      <c r="CK372" s="144" t="n">
        <v>-30.895867768595</v>
      </c>
      <c r="CM372" s="144" t="n">
        <v>33.0165289256198</v>
      </c>
      <c r="CO372" s="319"/>
      <c r="CP372" s="320"/>
      <c r="CQ372" s="321" t="s">
        <v>12</v>
      </c>
      <c r="CR372" s="320"/>
      <c r="CS372" s="322" t="n">
        <v>-11.4165289256198</v>
      </c>
      <c r="CT372" s="322" t="n">
        <v>-11.4165289256198</v>
      </c>
      <c r="CU372" s="322" t="n">
        <v>-11.4165289256198</v>
      </c>
      <c r="CV372" s="323"/>
      <c r="CW372" s="322" t="n">
        <v>-21.0165289256198</v>
      </c>
      <c r="CX372" s="322" t="n">
        <v>-21.0165289256198</v>
      </c>
      <c r="CY372" s="322" t="n">
        <v>-21.0165289256198</v>
      </c>
      <c r="CZ372" s="322" t="n">
        <v>-23.4165289256198</v>
      </c>
      <c r="DA372" s="322" t="n">
        <v>-23.4165289256198</v>
      </c>
    </row>
    <row r="373" customFormat="false" ht="12.75" hidden="false" customHeight="false" outlineLevel="0" collapsed="false">
      <c r="B373" s="305" t="s">
        <v>312</v>
      </c>
      <c r="C373" s="305" t="s">
        <v>649</v>
      </c>
      <c r="D373" s="306" t="n">
        <v>38</v>
      </c>
      <c r="E373" s="306" t="n">
        <v>0</v>
      </c>
      <c r="F373" s="306" t="s">
        <v>648</v>
      </c>
      <c r="G373" s="307" t="n">
        <v>24</v>
      </c>
      <c r="H373" s="308" t="n">
        <v>37.1900826446281</v>
      </c>
      <c r="I373" s="2"/>
      <c r="J373" s="144" t="s">
        <v>12</v>
      </c>
      <c r="K373" s="309" t="s">
        <v>12</v>
      </c>
      <c r="L373" s="310"/>
      <c r="M373" s="311" t="n">
        <v>0</v>
      </c>
      <c r="N373" s="312" t="n">
        <v>0.8</v>
      </c>
      <c r="O373" s="311" t="n">
        <v>0</v>
      </c>
      <c r="P373" s="312" t="n">
        <v>0.8</v>
      </c>
      <c r="Q373" s="310" t="n">
        <v>0</v>
      </c>
      <c r="R373" s="312" t="n">
        <v>0.8</v>
      </c>
      <c r="S373" s="310"/>
      <c r="T373" s="311" t="n">
        <v>0</v>
      </c>
      <c r="U373" s="312" t="n">
        <v>0</v>
      </c>
      <c r="V373" s="311" t="n">
        <v>0</v>
      </c>
      <c r="W373" s="312" t="n">
        <v>0</v>
      </c>
      <c r="X373" s="311" t="n">
        <v>0</v>
      </c>
      <c r="Y373" s="312" t="n">
        <v>0</v>
      </c>
      <c r="Z373" s="313" t="n">
        <v>0</v>
      </c>
      <c r="AA373" s="314" t="n">
        <v>0</v>
      </c>
      <c r="AB373" s="313" t="n">
        <v>0</v>
      </c>
      <c r="AC373" s="314" t="n">
        <v>0</v>
      </c>
      <c r="AD373" s="315"/>
      <c r="AE373" s="144" t="n">
        <v>1</v>
      </c>
      <c r="AF373" s="315"/>
      <c r="AG373" s="311" t="n">
        <v>0</v>
      </c>
      <c r="AH373" s="309" t="n">
        <v>0</v>
      </c>
      <c r="AI373" s="310"/>
      <c r="AJ373" s="311" t="n">
        <v>19</v>
      </c>
      <c r="AK373" s="309" t="n">
        <v>19.2</v>
      </c>
      <c r="AL373" s="311" t="n">
        <v>19</v>
      </c>
      <c r="AM373" s="309" t="n">
        <v>19.2</v>
      </c>
      <c r="AN373" s="311" t="n">
        <v>19</v>
      </c>
      <c r="AO373" s="309" t="n">
        <v>19.2</v>
      </c>
      <c r="AP373" s="310"/>
      <c r="AQ373" s="311" t="n">
        <v>38</v>
      </c>
      <c r="AR373" s="309" t="n">
        <v>0</v>
      </c>
      <c r="AS373" s="311" t="n">
        <v>38</v>
      </c>
      <c r="AT373" s="309" t="n">
        <v>0</v>
      </c>
      <c r="AU373" s="311" t="n">
        <v>38</v>
      </c>
      <c r="AV373" s="309" t="n">
        <v>0</v>
      </c>
      <c r="AW373" s="311" t="n">
        <v>38</v>
      </c>
      <c r="AX373" s="309" t="n">
        <v>0</v>
      </c>
      <c r="AY373" s="311" t="n">
        <v>38</v>
      </c>
      <c r="AZ373" s="309" t="n">
        <v>0</v>
      </c>
      <c r="BB373" s="144" t="n">
        <v>0</v>
      </c>
      <c r="BC373" s="315"/>
      <c r="BD373" s="311" t="n">
        <v>0</v>
      </c>
      <c r="BE373" s="316" t="n">
        <v>0</v>
      </c>
      <c r="BF373" s="310"/>
      <c r="BG373" s="317" t="n">
        <v>0</v>
      </c>
      <c r="BH373" s="318" t="n">
        <v>0</v>
      </c>
      <c r="BI373" s="317" t="n">
        <v>0</v>
      </c>
      <c r="BJ373" s="318" t="n">
        <v>0</v>
      </c>
      <c r="BK373" s="317" t="n">
        <v>0</v>
      </c>
      <c r="BL373" s="318" t="n">
        <v>0</v>
      </c>
      <c r="BM373" s="310"/>
      <c r="BN373" s="317" t="n">
        <v>0</v>
      </c>
      <c r="BO373" s="318" t="n">
        <v>0</v>
      </c>
      <c r="BP373" s="317" t="n">
        <v>0</v>
      </c>
      <c r="BQ373" s="318" t="n">
        <v>0</v>
      </c>
      <c r="BR373" s="317" t="n">
        <v>0</v>
      </c>
      <c r="BS373" s="318" t="n">
        <v>0</v>
      </c>
      <c r="BT373" s="317" t="n">
        <v>0</v>
      </c>
      <c r="BU373" s="318" t="n">
        <v>0</v>
      </c>
      <c r="BV373" s="317" t="n">
        <v>0</v>
      </c>
      <c r="BW373" s="318" t="n">
        <v>0</v>
      </c>
      <c r="BY373" s="143"/>
      <c r="BZ373" s="315"/>
      <c r="CA373" s="144" t="s">
        <v>12</v>
      </c>
      <c r="CB373" s="315"/>
      <c r="CC373" s="144" t="n">
        <v>-17.9900826446281</v>
      </c>
      <c r="CD373" s="144" t="n">
        <v>-17.9900826446281</v>
      </c>
      <c r="CE373" s="144" t="n">
        <v>-17.9900826446281</v>
      </c>
      <c r="CF373" s="315"/>
      <c r="CG373" s="144" t="n">
        <v>-37.1900826446281</v>
      </c>
      <c r="CH373" s="144" t="n">
        <v>-37.1900826446281</v>
      </c>
      <c r="CI373" s="144" t="n">
        <v>-37.1900826446281</v>
      </c>
      <c r="CJ373" s="144" t="n">
        <v>-37.1900826446281</v>
      </c>
      <c r="CK373" s="144" t="n">
        <v>-37.1900826446281</v>
      </c>
      <c r="CM373" s="144" t="n">
        <v>29.7107438016529</v>
      </c>
      <c r="CO373" s="319"/>
      <c r="CP373" s="320"/>
      <c r="CQ373" s="321" t="s">
        <v>12</v>
      </c>
      <c r="CR373" s="320"/>
      <c r="CS373" s="322" t="n">
        <v>-10.5107438016529</v>
      </c>
      <c r="CT373" s="322" t="n">
        <v>-10.5107438016529</v>
      </c>
      <c r="CU373" s="322" t="n">
        <v>-10.5107438016529</v>
      </c>
      <c r="CV373" s="323"/>
      <c r="CW373" s="322" t="n">
        <v>-29.7107438016529</v>
      </c>
      <c r="CX373" s="322" t="n">
        <v>-29.7107438016529</v>
      </c>
      <c r="CY373" s="322" t="n">
        <v>-29.7107438016529</v>
      </c>
      <c r="CZ373" s="322" t="n">
        <v>-29.7107438016529</v>
      </c>
      <c r="DA373" s="322" t="n">
        <v>-29.7107438016529</v>
      </c>
    </row>
    <row r="374" customFormat="false" ht="12.75" hidden="false" customHeight="false" outlineLevel="0" collapsed="false">
      <c r="B374" s="305" t="s">
        <v>312</v>
      </c>
      <c r="C374" s="305" t="s">
        <v>650</v>
      </c>
      <c r="D374" s="306" t="n">
        <v>36</v>
      </c>
      <c r="E374" s="306" t="n">
        <v>0</v>
      </c>
      <c r="F374" s="324" t="s">
        <v>648</v>
      </c>
      <c r="G374" s="144" t="n">
        <v>24</v>
      </c>
      <c r="H374" s="325" t="n">
        <v>35.5371900826446</v>
      </c>
      <c r="I374" s="2"/>
      <c r="J374" s="144" t="s">
        <v>12</v>
      </c>
      <c r="K374" s="309" t="s">
        <v>12</v>
      </c>
      <c r="L374" s="310"/>
      <c r="M374" s="311" t="n">
        <v>0</v>
      </c>
      <c r="N374" s="312" t="n">
        <v>0.7</v>
      </c>
      <c r="O374" s="311" t="n">
        <v>0</v>
      </c>
      <c r="P374" s="312" t="n">
        <v>0.7</v>
      </c>
      <c r="Q374" s="310" t="n">
        <v>0</v>
      </c>
      <c r="R374" s="312" t="n">
        <v>0.7</v>
      </c>
      <c r="S374" s="310"/>
      <c r="T374" s="311" t="n">
        <v>0</v>
      </c>
      <c r="U374" s="312" t="n">
        <v>0</v>
      </c>
      <c r="V374" s="311" t="n">
        <v>0</v>
      </c>
      <c r="W374" s="312" t="n">
        <v>0</v>
      </c>
      <c r="X374" s="311" t="n">
        <v>0</v>
      </c>
      <c r="Y374" s="312" t="n">
        <v>0</v>
      </c>
      <c r="Z374" s="313" t="n">
        <v>0</v>
      </c>
      <c r="AA374" s="314" t="n">
        <v>0</v>
      </c>
      <c r="AB374" s="313" t="n">
        <v>0</v>
      </c>
      <c r="AC374" s="314" t="n">
        <v>0</v>
      </c>
      <c r="AD374" s="315"/>
      <c r="AE374" s="144" t="n">
        <v>0</v>
      </c>
      <c r="AF374" s="315"/>
      <c r="AG374" s="311" t="n">
        <v>0</v>
      </c>
      <c r="AH374" s="309" t="n">
        <v>0</v>
      </c>
      <c r="AI374" s="310"/>
      <c r="AJ374" s="311" t="n">
        <v>19</v>
      </c>
      <c r="AK374" s="309" t="n">
        <v>16.8</v>
      </c>
      <c r="AL374" s="311" t="n">
        <v>19</v>
      </c>
      <c r="AM374" s="309" t="n">
        <v>16.8</v>
      </c>
      <c r="AN374" s="310" t="n">
        <v>19</v>
      </c>
      <c r="AO374" s="309" t="n">
        <v>16.8</v>
      </c>
      <c r="AP374" s="310"/>
      <c r="AQ374" s="311" t="n">
        <v>36</v>
      </c>
      <c r="AR374" s="309" t="n">
        <v>0</v>
      </c>
      <c r="AS374" s="311" t="n">
        <v>36</v>
      </c>
      <c r="AT374" s="309" t="n">
        <v>0</v>
      </c>
      <c r="AU374" s="310" t="n">
        <v>36</v>
      </c>
      <c r="AV374" s="309" t="n">
        <v>0</v>
      </c>
      <c r="AW374" s="310" t="n">
        <v>36</v>
      </c>
      <c r="AX374" s="309" t="n">
        <v>0</v>
      </c>
      <c r="AY374" s="310" t="n">
        <v>36</v>
      </c>
      <c r="AZ374" s="309" t="n">
        <v>0</v>
      </c>
      <c r="BB374" s="144" t="n">
        <v>0</v>
      </c>
      <c r="BC374" s="315"/>
      <c r="BD374" s="311" t="n">
        <v>0</v>
      </c>
      <c r="BE374" s="316" t="n">
        <v>0</v>
      </c>
      <c r="BF374" s="310"/>
      <c r="BG374" s="317" t="n">
        <v>0</v>
      </c>
      <c r="BH374" s="318" t="n">
        <v>0</v>
      </c>
      <c r="BI374" s="317" t="n">
        <v>0</v>
      </c>
      <c r="BJ374" s="318" t="n">
        <v>0</v>
      </c>
      <c r="BK374" s="317" t="n">
        <v>0</v>
      </c>
      <c r="BL374" s="318" t="n">
        <v>0</v>
      </c>
      <c r="BM374" s="310"/>
      <c r="BN374" s="317" t="n">
        <v>0</v>
      </c>
      <c r="BO374" s="318" t="n">
        <v>0</v>
      </c>
      <c r="BP374" s="317" t="n">
        <v>0</v>
      </c>
      <c r="BQ374" s="318" t="n">
        <v>0</v>
      </c>
      <c r="BR374" s="317" t="n">
        <v>0</v>
      </c>
      <c r="BS374" s="318" t="n">
        <v>0</v>
      </c>
      <c r="BT374" s="317" t="n">
        <v>0</v>
      </c>
      <c r="BU374" s="318" t="n">
        <v>0</v>
      </c>
      <c r="BV374" s="317" t="n">
        <v>0</v>
      </c>
      <c r="BW374" s="318" t="n">
        <v>0</v>
      </c>
      <c r="BY374" s="143"/>
      <c r="BZ374" s="315"/>
      <c r="CA374" s="144" t="s">
        <v>12</v>
      </c>
      <c r="CB374" s="315"/>
      <c r="CC374" s="144" t="n">
        <v>-18.7371900826446</v>
      </c>
      <c r="CD374" s="144" t="n">
        <v>-18.7371900826446</v>
      </c>
      <c r="CE374" s="144" t="n">
        <v>-18.7371900826446</v>
      </c>
      <c r="CF374" s="315"/>
      <c r="CG374" s="144" t="n">
        <v>-35.5371900826446</v>
      </c>
      <c r="CH374" s="144" t="n">
        <v>-35.5371900826446</v>
      </c>
      <c r="CI374" s="144" t="n">
        <v>-35.5371900826446</v>
      </c>
      <c r="CJ374" s="144" t="n">
        <v>-35.5371900826446</v>
      </c>
      <c r="CK374" s="144" t="n">
        <v>-35.5371900826446</v>
      </c>
      <c r="CM374" s="144" t="n">
        <v>29.7107438016529</v>
      </c>
      <c r="CO374" s="319"/>
      <c r="CP374" s="320"/>
      <c r="CQ374" s="321" t="s">
        <v>12</v>
      </c>
      <c r="CR374" s="320"/>
      <c r="CS374" s="322" t="n">
        <v>-12.9107438016529</v>
      </c>
      <c r="CT374" s="322" t="n">
        <v>-12.9107438016529</v>
      </c>
      <c r="CU374" s="322" t="n">
        <v>-12.9107438016529</v>
      </c>
      <c r="CV374" s="323"/>
      <c r="CW374" s="322" t="n">
        <v>-29.7107438016529</v>
      </c>
      <c r="CX374" s="322" t="n">
        <v>-29.7107438016529</v>
      </c>
      <c r="CY374" s="322" t="n">
        <v>-29.7107438016529</v>
      </c>
      <c r="CZ374" s="322" t="n">
        <v>-29.7107438016529</v>
      </c>
      <c r="DA374" s="322" t="n">
        <v>-29.7107438016529</v>
      </c>
    </row>
    <row r="375" customFormat="false" ht="12.75" hidden="false" customHeight="false" outlineLevel="0" collapsed="false">
      <c r="B375" s="305" t="s">
        <v>312</v>
      </c>
      <c r="C375" s="305" t="s">
        <v>651</v>
      </c>
      <c r="D375" s="306" t="n">
        <v>33</v>
      </c>
      <c r="E375" s="306" t="n">
        <v>0</v>
      </c>
      <c r="F375" s="306" t="s">
        <v>648</v>
      </c>
      <c r="G375" s="307" t="n">
        <v>24</v>
      </c>
      <c r="H375" s="308" t="n">
        <v>32.2314049586777</v>
      </c>
      <c r="I375" s="2"/>
      <c r="J375" s="144" t="s">
        <v>12</v>
      </c>
      <c r="K375" s="309" t="s">
        <v>12</v>
      </c>
      <c r="L375" s="310"/>
      <c r="M375" s="311" t="n">
        <v>0</v>
      </c>
      <c r="N375" s="312" t="n">
        <v>0.6</v>
      </c>
      <c r="O375" s="311" t="n">
        <v>0</v>
      </c>
      <c r="P375" s="312" t="n">
        <v>0.6</v>
      </c>
      <c r="Q375" s="310" t="n">
        <v>0</v>
      </c>
      <c r="R375" s="312" t="n">
        <v>0.6</v>
      </c>
      <c r="S375" s="310"/>
      <c r="T375" s="311" t="n">
        <v>0</v>
      </c>
      <c r="U375" s="312" t="n">
        <v>0</v>
      </c>
      <c r="V375" s="311" t="n">
        <v>0</v>
      </c>
      <c r="W375" s="312" t="n">
        <v>0</v>
      </c>
      <c r="X375" s="311" t="n">
        <v>0</v>
      </c>
      <c r="Y375" s="312" t="n">
        <v>0</v>
      </c>
      <c r="Z375" s="313" t="n">
        <v>0</v>
      </c>
      <c r="AA375" s="314" t="n">
        <v>0</v>
      </c>
      <c r="AB375" s="313" t="n">
        <v>0</v>
      </c>
      <c r="AC375" s="314" t="n">
        <v>0</v>
      </c>
      <c r="AD375" s="315"/>
      <c r="AE375" s="144" t="n">
        <v>1</v>
      </c>
      <c r="AF375" s="315"/>
      <c r="AG375" s="311" t="n">
        <v>0</v>
      </c>
      <c r="AH375" s="309" t="n">
        <v>0</v>
      </c>
      <c r="AI375" s="310"/>
      <c r="AJ375" s="311" t="n">
        <v>19</v>
      </c>
      <c r="AK375" s="309" t="n">
        <v>14.4</v>
      </c>
      <c r="AL375" s="311" t="n">
        <v>19</v>
      </c>
      <c r="AM375" s="309" t="n">
        <v>14.4</v>
      </c>
      <c r="AN375" s="311" t="n">
        <v>19</v>
      </c>
      <c r="AO375" s="309" t="n">
        <v>14.4</v>
      </c>
      <c r="AP375" s="310"/>
      <c r="AQ375" s="311" t="n">
        <v>33</v>
      </c>
      <c r="AR375" s="309" t="n">
        <v>0</v>
      </c>
      <c r="AS375" s="311" t="n">
        <v>33</v>
      </c>
      <c r="AT375" s="309" t="n">
        <v>0</v>
      </c>
      <c r="AU375" s="311" t="n">
        <v>33</v>
      </c>
      <c r="AV375" s="309" t="n">
        <v>0</v>
      </c>
      <c r="AW375" s="311" t="n">
        <v>33</v>
      </c>
      <c r="AX375" s="309" t="n">
        <v>0</v>
      </c>
      <c r="AY375" s="311" t="n">
        <v>33</v>
      </c>
      <c r="AZ375" s="309" t="n">
        <v>0</v>
      </c>
      <c r="BB375" s="144" t="n">
        <v>0</v>
      </c>
      <c r="BC375" s="315"/>
      <c r="BD375" s="311" t="n">
        <v>0</v>
      </c>
      <c r="BE375" s="316" t="n">
        <v>0</v>
      </c>
      <c r="BF375" s="310"/>
      <c r="BG375" s="317" t="n">
        <v>0</v>
      </c>
      <c r="BH375" s="318" t="n">
        <v>0</v>
      </c>
      <c r="BI375" s="317" t="n">
        <v>0</v>
      </c>
      <c r="BJ375" s="318" t="n">
        <v>0</v>
      </c>
      <c r="BK375" s="317" t="n">
        <v>0</v>
      </c>
      <c r="BL375" s="318" t="n">
        <v>0</v>
      </c>
      <c r="BM375" s="310"/>
      <c r="BN375" s="317" t="n">
        <v>0</v>
      </c>
      <c r="BO375" s="318" t="n">
        <v>0</v>
      </c>
      <c r="BP375" s="317" t="n">
        <v>0</v>
      </c>
      <c r="BQ375" s="318" t="n">
        <v>0</v>
      </c>
      <c r="BR375" s="317" t="n">
        <v>0</v>
      </c>
      <c r="BS375" s="318" t="n">
        <v>0</v>
      </c>
      <c r="BT375" s="317" t="n">
        <v>0</v>
      </c>
      <c r="BU375" s="318" t="n">
        <v>0</v>
      </c>
      <c r="BV375" s="317" t="n">
        <v>0</v>
      </c>
      <c r="BW375" s="318" t="n">
        <v>0</v>
      </c>
      <c r="BY375" s="143"/>
      <c r="BZ375" s="315"/>
      <c r="CA375" s="144" t="s">
        <v>12</v>
      </c>
      <c r="CB375" s="315"/>
      <c r="CC375" s="144" t="n">
        <v>-17.8314049586777</v>
      </c>
      <c r="CD375" s="144" t="n">
        <v>-17.8314049586777</v>
      </c>
      <c r="CE375" s="144" t="n">
        <v>-17.8314049586777</v>
      </c>
      <c r="CF375" s="315"/>
      <c r="CG375" s="144" t="n">
        <v>-32.2314049586777</v>
      </c>
      <c r="CH375" s="144" t="n">
        <v>-32.2314049586777</v>
      </c>
      <c r="CI375" s="144" t="n">
        <v>-32.2314049586777</v>
      </c>
      <c r="CJ375" s="144" t="n">
        <v>-32.2314049586777</v>
      </c>
      <c r="CK375" s="144" t="n">
        <v>-32.2314049586777</v>
      </c>
      <c r="CM375" s="144" t="n">
        <v>24.7520661157025</v>
      </c>
      <c r="CO375" s="319"/>
      <c r="CP375" s="320"/>
      <c r="CQ375" s="321" t="s">
        <v>12</v>
      </c>
      <c r="CR375" s="320"/>
      <c r="CS375" s="322" t="n">
        <v>-10.3520661157025</v>
      </c>
      <c r="CT375" s="322" t="n">
        <v>-10.3520661157025</v>
      </c>
      <c r="CU375" s="322" t="n">
        <v>-10.3520661157025</v>
      </c>
      <c r="CV375" s="323"/>
      <c r="CW375" s="322" t="n">
        <v>-24.7520661157025</v>
      </c>
      <c r="CX375" s="322" t="n">
        <v>-24.7520661157025</v>
      </c>
      <c r="CY375" s="322" t="n">
        <v>-24.7520661157025</v>
      </c>
      <c r="CZ375" s="322" t="n">
        <v>-24.7520661157025</v>
      </c>
      <c r="DA375" s="322" t="n">
        <v>-24.7520661157025</v>
      </c>
    </row>
    <row r="376" customFormat="false" ht="12.75" hidden="false" customHeight="false" outlineLevel="0" collapsed="false">
      <c r="B376" s="305" t="s">
        <v>652</v>
      </c>
      <c r="C376" s="305" t="s">
        <v>653</v>
      </c>
      <c r="D376" s="306" t="n">
        <v>47</v>
      </c>
      <c r="E376" s="306" t="n">
        <v>0</v>
      </c>
      <c r="F376" s="324" t="s">
        <v>648</v>
      </c>
      <c r="G376" s="144" t="n">
        <v>24</v>
      </c>
      <c r="H376" s="325" t="n">
        <v>35.5371900826446</v>
      </c>
      <c r="I376" s="2"/>
      <c r="J376" s="144" t="s">
        <v>12</v>
      </c>
      <c r="K376" s="309" t="s">
        <v>12</v>
      </c>
      <c r="L376" s="310"/>
      <c r="M376" s="311" t="n">
        <v>0</v>
      </c>
      <c r="N376" s="312" t="n">
        <v>0.7</v>
      </c>
      <c r="O376" s="311" t="n">
        <v>0</v>
      </c>
      <c r="P376" s="312" t="n">
        <v>0.7</v>
      </c>
      <c r="Q376" s="310" t="n">
        <v>0</v>
      </c>
      <c r="R376" s="312" t="n">
        <v>0.7</v>
      </c>
      <c r="S376" s="310"/>
      <c r="T376" s="311" t="n">
        <v>0</v>
      </c>
      <c r="U376" s="312" t="n">
        <v>0</v>
      </c>
      <c r="V376" s="311" t="n">
        <v>0</v>
      </c>
      <c r="W376" s="312" t="n">
        <v>0</v>
      </c>
      <c r="X376" s="311" t="n">
        <v>0</v>
      </c>
      <c r="Y376" s="312" t="n">
        <v>0</v>
      </c>
      <c r="Z376" s="313" t="n">
        <v>0</v>
      </c>
      <c r="AA376" s="314" t="n">
        <v>0</v>
      </c>
      <c r="AB376" s="313" t="n">
        <v>0</v>
      </c>
      <c r="AC376" s="314" t="n">
        <v>0</v>
      </c>
      <c r="AD376" s="315"/>
      <c r="AE376" s="144" t="n">
        <v>11</v>
      </c>
      <c r="AF376" s="315"/>
      <c r="AG376" s="311" t="n">
        <v>0</v>
      </c>
      <c r="AH376" s="309" t="n">
        <v>0</v>
      </c>
      <c r="AI376" s="310"/>
      <c r="AJ376" s="311" t="n">
        <v>30</v>
      </c>
      <c r="AK376" s="309" t="n">
        <v>16.8</v>
      </c>
      <c r="AL376" s="311" t="n">
        <v>30</v>
      </c>
      <c r="AM376" s="309" t="n">
        <v>16.8</v>
      </c>
      <c r="AN376" s="310" t="n">
        <v>30</v>
      </c>
      <c r="AO376" s="309" t="n">
        <v>16.8</v>
      </c>
      <c r="AP376" s="310"/>
      <c r="AQ376" s="311" t="n">
        <v>47</v>
      </c>
      <c r="AR376" s="309" t="n">
        <v>0</v>
      </c>
      <c r="AS376" s="311" t="n">
        <v>47</v>
      </c>
      <c r="AT376" s="309" t="n">
        <v>0</v>
      </c>
      <c r="AU376" s="310" t="n">
        <v>47</v>
      </c>
      <c r="AV376" s="309" t="n">
        <v>0</v>
      </c>
      <c r="AW376" s="310" t="n">
        <v>47</v>
      </c>
      <c r="AX376" s="309" t="n">
        <v>0</v>
      </c>
      <c r="AY376" s="310" t="n">
        <v>47</v>
      </c>
      <c r="AZ376" s="309" t="n">
        <v>0</v>
      </c>
      <c r="BB376" s="144" t="n">
        <v>0</v>
      </c>
      <c r="BC376" s="315"/>
      <c r="BD376" s="311" t="n">
        <v>0</v>
      </c>
      <c r="BE376" s="316" t="n">
        <v>0</v>
      </c>
      <c r="BF376" s="310"/>
      <c r="BG376" s="317" t="n">
        <v>0</v>
      </c>
      <c r="BH376" s="318" t="n">
        <v>0</v>
      </c>
      <c r="BI376" s="317" t="n">
        <v>0</v>
      </c>
      <c r="BJ376" s="318" t="n">
        <v>0</v>
      </c>
      <c r="BK376" s="317" t="n">
        <v>0</v>
      </c>
      <c r="BL376" s="318" t="n">
        <v>0</v>
      </c>
      <c r="BM376" s="310"/>
      <c r="BN376" s="317" t="n">
        <v>0</v>
      </c>
      <c r="BO376" s="318" t="n">
        <v>0</v>
      </c>
      <c r="BP376" s="317" t="n">
        <v>0</v>
      </c>
      <c r="BQ376" s="318" t="n">
        <v>0</v>
      </c>
      <c r="BR376" s="317" t="n">
        <v>0</v>
      </c>
      <c r="BS376" s="318" t="n">
        <v>0</v>
      </c>
      <c r="BT376" s="317" t="n">
        <v>0</v>
      </c>
      <c r="BU376" s="318" t="n">
        <v>0</v>
      </c>
      <c r="BV376" s="317" t="n">
        <v>0</v>
      </c>
      <c r="BW376" s="318" t="n">
        <v>0</v>
      </c>
      <c r="BY376" s="143"/>
      <c r="BZ376" s="315"/>
      <c r="CA376" s="144" t="s">
        <v>12</v>
      </c>
      <c r="CB376" s="315"/>
      <c r="CC376" s="144" t="n">
        <v>-18.7371900826446</v>
      </c>
      <c r="CD376" s="144" t="n">
        <v>-18.7371900826446</v>
      </c>
      <c r="CE376" s="144" t="n">
        <v>-18.7371900826446</v>
      </c>
      <c r="CF376" s="315"/>
      <c r="CG376" s="144" t="n">
        <v>-35.5371900826446</v>
      </c>
      <c r="CH376" s="144" t="n">
        <v>-35.5371900826446</v>
      </c>
      <c r="CI376" s="144" t="n">
        <v>-35.5371900826446</v>
      </c>
      <c r="CJ376" s="144" t="n">
        <v>-35.5371900826446</v>
      </c>
      <c r="CK376" s="144" t="n">
        <v>-35.5371900826446</v>
      </c>
      <c r="CM376" s="144" t="n">
        <v>46.9834710743802</v>
      </c>
      <c r="CO376" s="319"/>
      <c r="CP376" s="320"/>
      <c r="CQ376" s="321" t="s">
        <v>12</v>
      </c>
      <c r="CR376" s="320"/>
      <c r="CS376" s="322" t="n">
        <v>-30.1834710743802</v>
      </c>
      <c r="CT376" s="322" t="n">
        <v>-30.1834710743802</v>
      </c>
      <c r="CU376" s="322" t="n">
        <v>-30.1834710743802</v>
      </c>
      <c r="CV376" s="323"/>
      <c r="CW376" s="322" t="n">
        <v>-46.9834710743802</v>
      </c>
      <c r="CX376" s="322" t="n">
        <v>-46.9834710743802</v>
      </c>
      <c r="CY376" s="322" t="n">
        <v>-46.9834710743802</v>
      </c>
      <c r="CZ376" s="322" t="n">
        <v>-46.9834710743802</v>
      </c>
      <c r="DA376" s="322" t="n">
        <v>-46.9834710743802</v>
      </c>
    </row>
    <row r="377" customFormat="false" ht="12.75" hidden="false" customHeight="false" outlineLevel="0" collapsed="false">
      <c r="B377" s="305" t="s">
        <v>652</v>
      </c>
      <c r="C377" s="305" t="s">
        <v>654</v>
      </c>
      <c r="D377" s="306" t="n">
        <v>33</v>
      </c>
      <c r="E377" s="306" t="n">
        <v>0</v>
      </c>
      <c r="F377" s="306" t="s">
        <v>648</v>
      </c>
      <c r="G377" s="307" t="n">
        <v>24</v>
      </c>
      <c r="H377" s="308" t="n">
        <v>40.495867768595</v>
      </c>
      <c r="I377" s="2"/>
      <c r="J377" s="144" t="s">
        <v>12</v>
      </c>
      <c r="K377" s="309" t="s">
        <v>12</v>
      </c>
      <c r="L377" s="310"/>
      <c r="M377" s="311" t="n">
        <v>0</v>
      </c>
      <c r="N377" s="312" t="n">
        <v>0.9</v>
      </c>
      <c r="O377" s="311" t="n">
        <v>0</v>
      </c>
      <c r="P377" s="312" t="n">
        <v>0.9</v>
      </c>
      <c r="Q377" s="310" t="n">
        <v>0</v>
      </c>
      <c r="R377" s="312" t="n">
        <v>0.9</v>
      </c>
      <c r="S377" s="310"/>
      <c r="T377" s="311" t="n">
        <v>0</v>
      </c>
      <c r="U377" s="312" t="n">
        <v>0</v>
      </c>
      <c r="V377" s="311" t="n">
        <v>0</v>
      </c>
      <c r="W377" s="312" t="n">
        <v>0</v>
      </c>
      <c r="X377" s="311" t="n">
        <v>0</v>
      </c>
      <c r="Y377" s="312" t="n">
        <v>0</v>
      </c>
      <c r="Z377" s="313" t="n">
        <v>0</v>
      </c>
      <c r="AA377" s="314" t="n">
        <v>0</v>
      </c>
      <c r="AB377" s="313" t="n">
        <v>0</v>
      </c>
      <c r="AC377" s="314" t="n">
        <v>0</v>
      </c>
      <c r="AD377" s="315"/>
      <c r="AE377" s="144" t="n">
        <v>-7</v>
      </c>
      <c r="AF377" s="315"/>
      <c r="AG377" s="311" t="n">
        <v>0</v>
      </c>
      <c r="AH377" s="309" t="n">
        <v>0</v>
      </c>
      <c r="AI377" s="310"/>
      <c r="AJ377" s="311" t="n">
        <v>11</v>
      </c>
      <c r="AK377" s="309" t="n">
        <v>21.6</v>
      </c>
      <c r="AL377" s="311" t="n">
        <v>11</v>
      </c>
      <c r="AM377" s="309" t="n">
        <v>21.6</v>
      </c>
      <c r="AN377" s="311" t="n">
        <v>11</v>
      </c>
      <c r="AO377" s="309" t="n">
        <v>21.6</v>
      </c>
      <c r="AP377" s="310"/>
      <c r="AQ377" s="311" t="n">
        <v>33</v>
      </c>
      <c r="AR377" s="309" t="n">
        <v>0</v>
      </c>
      <c r="AS377" s="311" t="n">
        <v>33</v>
      </c>
      <c r="AT377" s="309" t="n">
        <v>0</v>
      </c>
      <c r="AU377" s="311" t="n">
        <v>33</v>
      </c>
      <c r="AV377" s="309" t="n">
        <v>0</v>
      </c>
      <c r="AW377" s="311" t="n">
        <v>33</v>
      </c>
      <c r="AX377" s="309" t="n">
        <v>0</v>
      </c>
      <c r="AY377" s="311" t="n">
        <v>33</v>
      </c>
      <c r="AZ377" s="309" t="n">
        <v>0</v>
      </c>
      <c r="BB377" s="144" t="n">
        <v>0</v>
      </c>
      <c r="BC377" s="315"/>
      <c r="BD377" s="311" t="n">
        <v>0</v>
      </c>
      <c r="BE377" s="316" t="n">
        <v>0</v>
      </c>
      <c r="BF377" s="310"/>
      <c r="BG377" s="317" t="n">
        <v>0</v>
      </c>
      <c r="BH377" s="318" t="n">
        <v>0</v>
      </c>
      <c r="BI377" s="317" t="n">
        <v>0</v>
      </c>
      <c r="BJ377" s="318" t="n">
        <v>0</v>
      </c>
      <c r="BK377" s="317" t="n">
        <v>0</v>
      </c>
      <c r="BL377" s="318" t="n">
        <v>0</v>
      </c>
      <c r="BM377" s="310"/>
      <c r="BN377" s="317" t="n">
        <v>0</v>
      </c>
      <c r="BO377" s="318" t="n">
        <v>0</v>
      </c>
      <c r="BP377" s="317" t="n">
        <v>0</v>
      </c>
      <c r="BQ377" s="318" t="n">
        <v>0</v>
      </c>
      <c r="BR377" s="317" t="n">
        <v>0</v>
      </c>
      <c r="BS377" s="318" t="n">
        <v>0</v>
      </c>
      <c r="BT377" s="317" t="n">
        <v>0</v>
      </c>
      <c r="BU377" s="318" t="n">
        <v>0</v>
      </c>
      <c r="BV377" s="317" t="n">
        <v>0</v>
      </c>
      <c r="BW377" s="318" t="n">
        <v>0</v>
      </c>
      <c r="BY377" s="143"/>
      <c r="BZ377" s="315"/>
      <c r="CA377" s="144" t="s">
        <v>12</v>
      </c>
      <c r="CB377" s="315"/>
      <c r="CC377" s="144" t="n">
        <v>-18.895867768595</v>
      </c>
      <c r="CD377" s="144" t="n">
        <v>-18.895867768595</v>
      </c>
      <c r="CE377" s="144" t="n">
        <v>-18.895867768595</v>
      </c>
      <c r="CF377" s="315"/>
      <c r="CG377" s="144" t="n">
        <v>-40.495867768595</v>
      </c>
      <c r="CH377" s="144" t="n">
        <v>-40.495867768595</v>
      </c>
      <c r="CI377" s="144" t="n">
        <v>-40.495867768595</v>
      </c>
      <c r="CJ377" s="144" t="n">
        <v>-40.495867768595</v>
      </c>
      <c r="CK377" s="144" t="n">
        <v>-40.495867768595</v>
      </c>
      <c r="CM377" s="144" t="n">
        <v>33.0165289256198</v>
      </c>
      <c r="CO377" s="319"/>
      <c r="CP377" s="320"/>
      <c r="CQ377" s="321" t="s">
        <v>12</v>
      </c>
      <c r="CR377" s="320"/>
      <c r="CS377" s="322" t="n">
        <v>-11.4165289256198</v>
      </c>
      <c r="CT377" s="322" t="n">
        <v>-11.4165289256198</v>
      </c>
      <c r="CU377" s="322" t="n">
        <v>-11.4165289256198</v>
      </c>
      <c r="CV377" s="323"/>
      <c r="CW377" s="322" t="n">
        <v>-33.0165289256198</v>
      </c>
      <c r="CX377" s="322" t="n">
        <v>-33.0165289256198</v>
      </c>
      <c r="CY377" s="322" t="n">
        <v>-33.0165289256198</v>
      </c>
      <c r="CZ377" s="322" t="n">
        <v>-33.0165289256198</v>
      </c>
      <c r="DA377" s="322" t="n">
        <v>-33.0165289256198</v>
      </c>
    </row>
    <row r="378" customFormat="false" ht="12.75" hidden="false" customHeight="false" outlineLevel="0" collapsed="false">
      <c r="B378" s="305" t="s">
        <v>655</v>
      </c>
      <c r="C378" s="305" t="s">
        <v>656</v>
      </c>
      <c r="D378" s="306" t="n">
        <v>176</v>
      </c>
      <c r="E378" s="306" t="n">
        <v>0</v>
      </c>
      <c r="F378" s="324" t="s">
        <v>648</v>
      </c>
      <c r="G378" s="144" t="n">
        <v>24</v>
      </c>
      <c r="H378" s="325" t="n">
        <v>154.545454545455</v>
      </c>
      <c r="I378" s="2"/>
      <c r="J378" s="144" t="s">
        <v>12</v>
      </c>
      <c r="K378" s="309" t="s">
        <v>12</v>
      </c>
      <c r="L378" s="310"/>
      <c r="M378" s="311" t="n">
        <v>29</v>
      </c>
      <c r="N378" s="312" t="n">
        <v>4.4</v>
      </c>
      <c r="O378" s="311" t="n">
        <v>0</v>
      </c>
      <c r="P378" s="312" t="n">
        <v>2.9</v>
      </c>
      <c r="Q378" s="310" t="n">
        <v>0</v>
      </c>
      <c r="R378" s="312" t="n">
        <v>2.1</v>
      </c>
      <c r="S378" s="310"/>
      <c r="T378" s="311" t="n">
        <v>0</v>
      </c>
      <c r="U378" s="312" t="n">
        <v>5.2</v>
      </c>
      <c r="V378" s="311" t="n">
        <v>0</v>
      </c>
      <c r="W378" s="312" t="n">
        <v>2.5</v>
      </c>
      <c r="X378" s="311" t="n">
        <v>0</v>
      </c>
      <c r="Y378" s="312" t="n">
        <v>2.5</v>
      </c>
      <c r="Z378" s="313" t="n">
        <v>0</v>
      </c>
      <c r="AA378" s="314" t="n">
        <v>2.5</v>
      </c>
      <c r="AB378" s="313" t="n">
        <v>0</v>
      </c>
      <c r="AC378" s="314" t="n">
        <v>2.5</v>
      </c>
      <c r="AD378" s="315"/>
      <c r="AE378" s="144" t="n">
        <v>21</v>
      </c>
      <c r="AF378" s="315"/>
      <c r="AG378" s="311" t="n">
        <v>0</v>
      </c>
      <c r="AH378" s="309" t="n">
        <v>0</v>
      </c>
      <c r="AI378" s="310"/>
      <c r="AJ378" s="311" t="n">
        <v>41</v>
      </c>
      <c r="AK378" s="309" t="n">
        <v>105.6</v>
      </c>
      <c r="AL378" s="311" t="n">
        <v>106</v>
      </c>
      <c r="AM378" s="309" t="n">
        <v>69.6</v>
      </c>
      <c r="AN378" s="310" t="n">
        <v>126</v>
      </c>
      <c r="AO378" s="309" t="n">
        <v>50.4</v>
      </c>
      <c r="AP378" s="310"/>
      <c r="AQ378" s="311" t="n">
        <v>51</v>
      </c>
      <c r="AR378" s="309" t="n">
        <v>124.8</v>
      </c>
      <c r="AS378" s="311" t="n">
        <v>116</v>
      </c>
      <c r="AT378" s="309" t="n">
        <v>60</v>
      </c>
      <c r="AU378" s="310" t="n">
        <v>116</v>
      </c>
      <c r="AV378" s="309" t="n">
        <v>60</v>
      </c>
      <c r="AW378" s="310" t="n">
        <v>116</v>
      </c>
      <c r="AX378" s="309" t="n">
        <v>60</v>
      </c>
      <c r="AY378" s="310" t="n">
        <v>116</v>
      </c>
      <c r="AZ378" s="309" t="n">
        <v>60</v>
      </c>
      <c r="BB378" s="144" t="n">
        <v>0</v>
      </c>
      <c r="BC378" s="315"/>
      <c r="BD378" s="311" t="n">
        <v>0</v>
      </c>
      <c r="BE378" s="316" t="n">
        <v>0</v>
      </c>
      <c r="BF378" s="310"/>
      <c r="BG378" s="317" t="n">
        <v>0</v>
      </c>
      <c r="BH378" s="318" t="n">
        <v>0.4</v>
      </c>
      <c r="BI378" s="317" t="n">
        <v>0</v>
      </c>
      <c r="BJ378" s="318" t="n">
        <v>0.8</v>
      </c>
      <c r="BK378" s="317" t="n">
        <v>0</v>
      </c>
      <c r="BL378" s="318" t="n">
        <v>0.8</v>
      </c>
      <c r="BM378" s="310"/>
      <c r="BN378" s="317" t="n">
        <v>0</v>
      </c>
      <c r="BO378" s="318" t="n">
        <v>0</v>
      </c>
      <c r="BP378" s="317" t="n">
        <v>0</v>
      </c>
      <c r="BQ378" s="318" t="n">
        <v>0</v>
      </c>
      <c r="BR378" s="317" t="n">
        <v>0</v>
      </c>
      <c r="BS378" s="318" t="n">
        <v>0</v>
      </c>
      <c r="BT378" s="317" t="n">
        <v>0</v>
      </c>
      <c r="BU378" s="318" t="n">
        <v>0</v>
      </c>
      <c r="BV378" s="317" t="n">
        <v>0</v>
      </c>
      <c r="BW378" s="318" t="n">
        <v>0</v>
      </c>
      <c r="BY378" s="143"/>
      <c r="BZ378" s="315"/>
      <c r="CA378" s="144" t="s">
        <v>12</v>
      </c>
      <c r="CB378" s="315"/>
      <c r="CC378" s="144" t="n">
        <v>-19.9454545454545</v>
      </c>
      <c r="CD378" s="144" t="n">
        <v>-84.9454545454546</v>
      </c>
      <c r="CE378" s="144" t="n">
        <v>-104.145454545455</v>
      </c>
      <c r="CF378" s="315"/>
      <c r="CG378" s="144" t="n">
        <v>-29.7454545454545</v>
      </c>
      <c r="CH378" s="144" t="n">
        <v>-94.5454545454546</v>
      </c>
      <c r="CI378" s="144" t="n">
        <v>-94.5454545454546</v>
      </c>
      <c r="CJ378" s="144" t="n">
        <v>-94.5454545454546</v>
      </c>
      <c r="CK378" s="144" t="n">
        <v>-94.5454545454546</v>
      </c>
      <c r="CM378" s="144" t="n">
        <v>165.198347107438</v>
      </c>
      <c r="CO378" s="319"/>
      <c r="CP378" s="320"/>
      <c r="CQ378" s="321" t="s">
        <v>12</v>
      </c>
      <c r="CR378" s="320"/>
      <c r="CS378" s="322" t="n">
        <v>-30.598347107438</v>
      </c>
      <c r="CT378" s="322" t="n">
        <v>-95.598347107438</v>
      </c>
      <c r="CU378" s="322" t="n">
        <v>-114.798347107438</v>
      </c>
      <c r="CV378" s="323"/>
      <c r="CW378" s="322" t="n">
        <v>-40.398347107438</v>
      </c>
      <c r="CX378" s="322" t="n">
        <v>-105.198347107438</v>
      </c>
      <c r="CY378" s="322" t="n">
        <v>-105.198347107438</v>
      </c>
      <c r="CZ378" s="322" t="n">
        <v>-105.198347107438</v>
      </c>
      <c r="DA378" s="322" t="n">
        <v>-105.198347107438</v>
      </c>
    </row>
    <row r="379" customFormat="false" ht="12.75" hidden="false" customHeight="false" outlineLevel="0" collapsed="false">
      <c r="B379" s="305" t="s">
        <v>277</v>
      </c>
      <c r="C379" s="305" t="s">
        <v>657</v>
      </c>
      <c r="D379" s="306" t="n">
        <v>82</v>
      </c>
      <c r="E379" s="306" t="n">
        <v>0</v>
      </c>
      <c r="F379" s="306" t="s">
        <v>648</v>
      </c>
      <c r="G379" s="307" t="n">
        <v>24</v>
      </c>
      <c r="H379" s="308" t="n">
        <v>95.0413223140496</v>
      </c>
      <c r="I379" s="2"/>
      <c r="J379" s="144" t="s">
        <v>12</v>
      </c>
      <c r="K379" s="309" t="s">
        <v>12</v>
      </c>
      <c r="L379" s="310"/>
      <c r="M379" s="311" t="n">
        <v>0</v>
      </c>
      <c r="N379" s="312" t="n">
        <v>3.4</v>
      </c>
      <c r="O379" s="311" t="n">
        <v>0</v>
      </c>
      <c r="P379" s="312" t="n">
        <v>3.4</v>
      </c>
      <c r="Q379" s="310" t="n">
        <v>0</v>
      </c>
      <c r="R379" s="312" t="n">
        <v>3.4</v>
      </c>
      <c r="S379" s="310"/>
      <c r="T379" s="311" t="n">
        <v>0</v>
      </c>
      <c r="U379" s="312" t="n">
        <v>3.4</v>
      </c>
      <c r="V379" s="311" t="n">
        <v>0</v>
      </c>
      <c r="W379" s="312" t="n">
        <v>3.4</v>
      </c>
      <c r="X379" s="311" t="n">
        <v>0</v>
      </c>
      <c r="Y379" s="312" t="n">
        <v>3.4</v>
      </c>
      <c r="Z379" s="313" t="n">
        <v>0</v>
      </c>
      <c r="AA379" s="314" t="n">
        <v>3.3</v>
      </c>
      <c r="AB379" s="313" t="n">
        <v>0</v>
      </c>
      <c r="AC379" s="314" t="n">
        <v>3.3</v>
      </c>
      <c r="AD379" s="315"/>
      <c r="AE379" s="144" t="n">
        <v>-13</v>
      </c>
      <c r="AF379" s="315"/>
      <c r="AG379" s="311" t="n">
        <v>0</v>
      </c>
      <c r="AH379" s="309" t="n">
        <v>0</v>
      </c>
      <c r="AI379" s="310"/>
      <c r="AJ379" s="311" t="n">
        <v>0</v>
      </c>
      <c r="AK379" s="309" t="n">
        <v>81.6</v>
      </c>
      <c r="AL379" s="311" t="n">
        <v>0</v>
      </c>
      <c r="AM379" s="309" t="n">
        <v>81.6</v>
      </c>
      <c r="AN379" s="311" t="n">
        <v>0</v>
      </c>
      <c r="AO379" s="309" t="n">
        <v>81.6</v>
      </c>
      <c r="AP379" s="310"/>
      <c r="AQ379" s="311" t="n">
        <v>0</v>
      </c>
      <c r="AR379" s="309" t="n">
        <v>81.6</v>
      </c>
      <c r="AS379" s="311" t="n">
        <v>0</v>
      </c>
      <c r="AT379" s="309" t="n">
        <v>81.6</v>
      </c>
      <c r="AU379" s="311" t="n">
        <v>0</v>
      </c>
      <c r="AV379" s="309" t="n">
        <v>81.6</v>
      </c>
      <c r="AW379" s="311" t="n">
        <v>3</v>
      </c>
      <c r="AX379" s="309" t="n">
        <v>79.2</v>
      </c>
      <c r="AY379" s="311" t="n">
        <v>3</v>
      </c>
      <c r="AZ379" s="309" t="n">
        <v>79.2</v>
      </c>
      <c r="BB379" s="144" t="n">
        <v>0</v>
      </c>
      <c r="BC379" s="315"/>
      <c r="BD379" s="311" t="n">
        <v>0</v>
      </c>
      <c r="BE379" s="316" t="n">
        <v>0</v>
      </c>
      <c r="BF379" s="310"/>
      <c r="BG379" s="317" t="n">
        <v>0</v>
      </c>
      <c r="BH379" s="318" t="n">
        <v>0</v>
      </c>
      <c r="BI379" s="317" t="n">
        <v>0</v>
      </c>
      <c r="BJ379" s="318" t="n">
        <v>0</v>
      </c>
      <c r="BK379" s="317" t="n">
        <v>0</v>
      </c>
      <c r="BL379" s="318" t="n">
        <v>0</v>
      </c>
      <c r="BM379" s="310"/>
      <c r="BN379" s="317" t="n">
        <v>0</v>
      </c>
      <c r="BO379" s="318" t="n">
        <v>0</v>
      </c>
      <c r="BP379" s="317" t="n">
        <v>0</v>
      </c>
      <c r="BQ379" s="318" t="n">
        <v>0</v>
      </c>
      <c r="BR379" s="317" t="n">
        <v>0</v>
      </c>
      <c r="BS379" s="318" t="n">
        <v>0</v>
      </c>
      <c r="BT379" s="317" t="n">
        <v>0</v>
      </c>
      <c r="BU379" s="318" t="n">
        <v>0</v>
      </c>
      <c r="BV379" s="317" t="n">
        <v>0</v>
      </c>
      <c r="BW379" s="318" t="n">
        <v>0</v>
      </c>
      <c r="BY379" s="143"/>
      <c r="BZ379" s="315"/>
      <c r="CA379" s="144" t="s">
        <v>12</v>
      </c>
      <c r="CB379" s="315"/>
      <c r="CC379" s="144" t="n">
        <v>-13.4413223140496</v>
      </c>
      <c r="CD379" s="144" t="n">
        <v>-13.4413223140496</v>
      </c>
      <c r="CE379" s="144" t="n">
        <v>-13.4413223140496</v>
      </c>
      <c r="CF379" s="315"/>
      <c r="CG379" s="144" t="n">
        <v>-13.4413223140496</v>
      </c>
      <c r="CH379" s="144" t="n">
        <v>-13.4413223140496</v>
      </c>
      <c r="CI379" s="144" t="n">
        <v>-13.4413223140496</v>
      </c>
      <c r="CJ379" s="144" t="n">
        <v>-15.8413223140496</v>
      </c>
      <c r="CK379" s="144" t="n">
        <v>-15.8413223140496</v>
      </c>
      <c r="CM379" s="144" t="n">
        <v>61.9834710743802</v>
      </c>
      <c r="CO379" s="319"/>
      <c r="CP379" s="320"/>
      <c r="CQ379" s="321" t="s">
        <v>12</v>
      </c>
      <c r="CR379" s="320"/>
      <c r="CS379" s="322" t="n">
        <v>19.6165289256198</v>
      </c>
      <c r="CT379" s="322" t="n">
        <v>19.6165289256198</v>
      </c>
      <c r="CU379" s="322" t="n">
        <v>19.6165289256198</v>
      </c>
      <c r="CV379" s="323"/>
      <c r="CW379" s="322" t="n">
        <v>19.6165289256198</v>
      </c>
      <c r="CX379" s="322" t="n">
        <v>19.6165289256198</v>
      </c>
      <c r="CY379" s="322" t="n">
        <v>19.6165289256198</v>
      </c>
      <c r="CZ379" s="322" t="n">
        <v>17.2165289256198</v>
      </c>
      <c r="DA379" s="322" t="n">
        <v>17.2165289256198</v>
      </c>
    </row>
    <row r="380" customFormat="false" ht="12.75" hidden="false" customHeight="false" outlineLevel="0" collapsed="false">
      <c r="B380" s="305" t="s">
        <v>277</v>
      </c>
      <c r="C380" s="305" t="s">
        <v>658</v>
      </c>
      <c r="D380" s="306" t="n">
        <v>100</v>
      </c>
      <c r="E380" s="306" t="n">
        <v>0</v>
      </c>
      <c r="F380" s="324" t="s">
        <v>648</v>
      </c>
      <c r="G380" s="144" t="n">
        <v>24</v>
      </c>
      <c r="H380" s="325" t="n">
        <v>104.95867768595</v>
      </c>
      <c r="I380" s="2"/>
      <c r="J380" s="144" t="s">
        <v>12</v>
      </c>
      <c r="K380" s="309" t="s">
        <v>12</v>
      </c>
      <c r="L380" s="310"/>
      <c r="M380" s="311" t="n">
        <v>0</v>
      </c>
      <c r="N380" s="312" t="n">
        <v>3.8</v>
      </c>
      <c r="O380" s="311" t="n">
        <v>0</v>
      </c>
      <c r="P380" s="312" t="n">
        <v>3.8</v>
      </c>
      <c r="Q380" s="310" t="n">
        <v>0</v>
      </c>
      <c r="R380" s="312" t="n">
        <v>3.8</v>
      </c>
      <c r="S380" s="310"/>
      <c r="T380" s="311" t="n">
        <v>0</v>
      </c>
      <c r="U380" s="312" t="n">
        <v>3.8</v>
      </c>
      <c r="V380" s="311" t="n">
        <v>0</v>
      </c>
      <c r="W380" s="312" t="n">
        <v>3.8</v>
      </c>
      <c r="X380" s="311" t="n">
        <v>0</v>
      </c>
      <c r="Y380" s="312" t="n">
        <v>3.8</v>
      </c>
      <c r="Z380" s="313" t="n">
        <v>0</v>
      </c>
      <c r="AA380" s="314" t="n">
        <v>3.7</v>
      </c>
      <c r="AB380" s="313" t="n">
        <v>0</v>
      </c>
      <c r="AC380" s="314" t="n">
        <v>3.7</v>
      </c>
      <c r="AD380" s="315"/>
      <c r="AE380" s="144" t="n">
        <v>-5</v>
      </c>
      <c r="AF380" s="315"/>
      <c r="AG380" s="311" t="n">
        <v>0</v>
      </c>
      <c r="AH380" s="309" t="n">
        <v>0</v>
      </c>
      <c r="AI380" s="310"/>
      <c r="AJ380" s="311" t="n">
        <v>9</v>
      </c>
      <c r="AK380" s="309" t="n">
        <v>91.2</v>
      </c>
      <c r="AL380" s="311" t="n">
        <v>9</v>
      </c>
      <c r="AM380" s="309" t="n">
        <v>91.2</v>
      </c>
      <c r="AN380" s="310" t="n">
        <v>9</v>
      </c>
      <c r="AO380" s="309" t="n">
        <v>91.2</v>
      </c>
      <c r="AP380" s="310"/>
      <c r="AQ380" s="311" t="n">
        <v>9</v>
      </c>
      <c r="AR380" s="309" t="n">
        <v>91.2</v>
      </c>
      <c r="AS380" s="311" t="n">
        <v>9</v>
      </c>
      <c r="AT380" s="309" t="n">
        <v>91.2</v>
      </c>
      <c r="AU380" s="310" t="n">
        <v>9</v>
      </c>
      <c r="AV380" s="309" t="n">
        <v>91.2</v>
      </c>
      <c r="AW380" s="310" t="n">
        <v>11</v>
      </c>
      <c r="AX380" s="309" t="n">
        <v>88.8</v>
      </c>
      <c r="AY380" s="310" t="n">
        <v>11</v>
      </c>
      <c r="AZ380" s="309" t="n">
        <v>88.8</v>
      </c>
      <c r="BB380" s="144" t="n">
        <v>0</v>
      </c>
      <c r="BC380" s="315"/>
      <c r="BD380" s="311" t="n">
        <v>0</v>
      </c>
      <c r="BE380" s="316" t="n">
        <v>0</v>
      </c>
      <c r="BF380" s="310"/>
      <c r="BG380" s="317" t="n">
        <v>0</v>
      </c>
      <c r="BH380" s="318" t="n">
        <v>0</v>
      </c>
      <c r="BI380" s="317" t="n">
        <v>0</v>
      </c>
      <c r="BJ380" s="318" t="n">
        <v>0</v>
      </c>
      <c r="BK380" s="317" t="n">
        <v>0</v>
      </c>
      <c r="BL380" s="318" t="n">
        <v>0</v>
      </c>
      <c r="BM380" s="310"/>
      <c r="BN380" s="317" t="n">
        <v>0</v>
      </c>
      <c r="BO380" s="318" t="n">
        <v>0</v>
      </c>
      <c r="BP380" s="317" t="n">
        <v>0</v>
      </c>
      <c r="BQ380" s="318" t="n">
        <v>0</v>
      </c>
      <c r="BR380" s="317" t="n">
        <v>0</v>
      </c>
      <c r="BS380" s="318" t="n">
        <v>0</v>
      </c>
      <c r="BT380" s="317" t="n">
        <v>0</v>
      </c>
      <c r="BU380" s="318" t="n">
        <v>0</v>
      </c>
      <c r="BV380" s="317" t="n">
        <v>0</v>
      </c>
      <c r="BW380" s="318" t="n">
        <v>0</v>
      </c>
      <c r="BY380" s="143"/>
      <c r="BZ380" s="315"/>
      <c r="CA380" s="144" t="s">
        <v>12</v>
      </c>
      <c r="CB380" s="315"/>
      <c r="CC380" s="144" t="n">
        <v>-13.7586776859504</v>
      </c>
      <c r="CD380" s="144" t="n">
        <v>-13.7586776859504</v>
      </c>
      <c r="CE380" s="144" t="n">
        <v>-13.7586776859504</v>
      </c>
      <c r="CF380" s="315"/>
      <c r="CG380" s="144" t="n">
        <v>-13.7586776859504</v>
      </c>
      <c r="CH380" s="144" t="n">
        <v>-13.7586776859504</v>
      </c>
      <c r="CI380" s="144" t="n">
        <v>-13.7586776859504</v>
      </c>
      <c r="CJ380" s="144" t="n">
        <v>-16.1586776859504</v>
      </c>
      <c r="CK380" s="144" t="n">
        <v>-16.1586776859504</v>
      </c>
      <c r="CM380" s="144" t="n">
        <v>107.355371900826</v>
      </c>
      <c r="CO380" s="319"/>
      <c r="CP380" s="320"/>
      <c r="CQ380" s="321" t="s">
        <v>12</v>
      </c>
      <c r="CR380" s="320"/>
      <c r="CS380" s="322" t="n">
        <v>-16.1553719008265</v>
      </c>
      <c r="CT380" s="322" t="n">
        <v>-16.1553719008265</v>
      </c>
      <c r="CU380" s="322" t="n">
        <v>-16.1553719008265</v>
      </c>
      <c r="CV380" s="323"/>
      <c r="CW380" s="322" t="n">
        <v>-16.1553719008265</v>
      </c>
      <c r="CX380" s="322" t="n">
        <v>-16.1553719008265</v>
      </c>
      <c r="CY380" s="322" t="n">
        <v>-16.1553719008265</v>
      </c>
      <c r="CZ380" s="322" t="n">
        <v>-18.5553719008264</v>
      </c>
      <c r="DA380" s="322" t="n">
        <v>-18.5553719008264</v>
      </c>
    </row>
    <row r="381" customFormat="false" ht="12.75" hidden="false" customHeight="false" outlineLevel="0" collapsed="false">
      <c r="B381" s="305" t="s">
        <v>277</v>
      </c>
      <c r="C381" s="305" t="s">
        <v>659</v>
      </c>
      <c r="D381" s="306" t="n">
        <v>41</v>
      </c>
      <c r="E381" s="306" t="n">
        <v>0</v>
      </c>
      <c r="F381" s="306" t="s">
        <v>648</v>
      </c>
      <c r="G381" s="307" t="n">
        <v>24</v>
      </c>
      <c r="H381" s="308" t="n">
        <v>62.8099173553719</v>
      </c>
      <c r="I381" s="2"/>
      <c r="J381" s="144" t="s">
        <v>12</v>
      </c>
      <c r="K381" s="309" t="s">
        <v>12</v>
      </c>
      <c r="L381" s="310"/>
      <c r="M381" s="311" t="n">
        <v>0</v>
      </c>
      <c r="N381" s="312" t="n">
        <v>1.7</v>
      </c>
      <c r="O381" s="311" t="n">
        <v>0</v>
      </c>
      <c r="P381" s="312" t="n">
        <v>1.7</v>
      </c>
      <c r="Q381" s="310" t="n">
        <v>0</v>
      </c>
      <c r="R381" s="312" t="n">
        <v>1.7</v>
      </c>
      <c r="S381" s="310"/>
      <c r="T381" s="311" t="n">
        <v>0</v>
      </c>
      <c r="U381" s="312" t="n">
        <v>1.7</v>
      </c>
      <c r="V381" s="311" t="n">
        <v>0</v>
      </c>
      <c r="W381" s="312" t="n">
        <v>1.7</v>
      </c>
      <c r="X381" s="311" t="n">
        <v>0</v>
      </c>
      <c r="Y381" s="312" t="n">
        <v>1.7</v>
      </c>
      <c r="Z381" s="313" t="n">
        <v>0</v>
      </c>
      <c r="AA381" s="314" t="n">
        <v>1.7</v>
      </c>
      <c r="AB381" s="313" t="n">
        <v>0</v>
      </c>
      <c r="AC381" s="314" t="n">
        <v>1.7</v>
      </c>
      <c r="AD381" s="315"/>
      <c r="AE381" s="144" t="n">
        <v>-22</v>
      </c>
      <c r="AF381" s="315"/>
      <c r="AG381" s="311" t="n">
        <v>0</v>
      </c>
      <c r="AH381" s="309" t="n">
        <v>0</v>
      </c>
      <c r="AI381" s="310"/>
      <c r="AJ381" s="311" t="n">
        <v>0</v>
      </c>
      <c r="AK381" s="309" t="n">
        <v>40.8</v>
      </c>
      <c r="AL381" s="311" t="n">
        <v>0</v>
      </c>
      <c r="AM381" s="309" t="n">
        <v>40.8</v>
      </c>
      <c r="AN381" s="311" t="n">
        <v>0</v>
      </c>
      <c r="AO381" s="309" t="n">
        <v>40.8</v>
      </c>
      <c r="AP381" s="310"/>
      <c r="AQ381" s="311" t="n">
        <v>0</v>
      </c>
      <c r="AR381" s="309" t="n">
        <v>40.8</v>
      </c>
      <c r="AS381" s="311" t="n">
        <v>0</v>
      </c>
      <c r="AT381" s="309" t="n">
        <v>40.8</v>
      </c>
      <c r="AU381" s="311" t="n">
        <v>0</v>
      </c>
      <c r="AV381" s="309" t="n">
        <v>40.8</v>
      </c>
      <c r="AW381" s="311" t="n">
        <v>0</v>
      </c>
      <c r="AX381" s="309" t="n">
        <v>40.8</v>
      </c>
      <c r="AY381" s="311" t="n">
        <v>0</v>
      </c>
      <c r="AZ381" s="309" t="n">
        <v>40.8</v>
      </c>
      <c r="BB381" s="144" t="n">
        <v>0</v>
      </c>
      <c r="BC381" s="315"/>
      <c r="BD381" s="311" t="n">
        <v>0</v>
      </c>
      <c r="BE381" s="316" t="n">
        <v>0</v>
      </c>
      <c r="BF381" s="310"/>
      <c r="BG381" s="317" t="n">
        <v>0</v>
      </c>
      <c r="BH381" s="318" t="n">
        <v>0</v>
      </c>
      <c r="BI381" s="317" t="n">
        <v>0</v>
      </c>
      <c r="BJ381" s="318" t="n">
        <v>0</v>
      </c>
      <c r="BK381" s="317" t="n">
        <v>0</v>
      </c>
      <c r="BL381" s="318" t="n">
        <v>0</v>
      </c>
      <c r="BM381" s="310"/>
      <c r="BN381" s="317" t="n">
        <v>0</v>
      </c>
      <c r="BO381" s="318" t="n">
        <v>0</v>
      </c>
      <c r="BP381" s="317" t="n">
        <v>0</v>
      </c>
      <c r="BQ381" s="318" t="n">
        <v>0</v>
      </c>
      <c r="BR381" s="317" t="n">
        <v>0</v>
      </c>
      <c r="BS381" s="318" t="n">
        <v>0</v>
      </c>
      <c r="BT381" s="317" t="n">
        <v>0</v>
      </c>
      <c r="BU381" s="318" t="n">
        <v>0</v>
      </c>
      <c r="BV381" s="317" t="n">
        <v>0</v>
      </c>
      <c r="BW381" s="318" t="n">
        <v>0</v>
      </c>
      <c r="BY381" s="143"/>
      <c r="BZ381" s="315"/>
      <c r="CA381" s="144" t="s">
        <v>12</v>
      </c>
      <c r="CB381" s="315"/>
      <c r="CC381" s="144" t="n">
        <v>-22.0099173553719</v>
      </c>
      <c r="CD381" s="144" t="n">
        <v>-22.0099173553719</v>
      </c>
      <c r="CE381" s="144" t="n">
        <v>-22.0099173553719</v>
      </c>
      <c r="CF381" s="315"/>
      <c r="CG381" s="144" t="n">
        <v>-22.0099173553719</v>
      </c>
      <c r="CH381" s="144" t="n">
        <v>-22.0099173553719</v>
      </c>
      <c r="CI381" s="144" t="n">
        <v>-22.0099173553719</v>
      </c>
      <c r="CJ381" s="144" t="n">
        <v>-22.0099173553719</v>
      </c>
      <c r="CK381" s="144" t="n">
        <v>-22.0099173553719</v>
      </c>
      <c r="CM381" s="144" t="n">
        <v>33.0495867768595</v>
      </c>
      <c r="CO381" s="319"/>
      <c r="CP381" s="320"/>
      <c r="CQ381" s="321" t="s">
        <v>12</v>
      </c>
      <c r="CR381" s="320"/>
      <c r="CS381" s="322" t="n">
        <v>7.7504132231405</v>
      </c>
      <c r="CT381" s="322" t="n">
        <v>7.7504132231405</v>
      </c>
      <c r="CU381" s="322" t="n">
        <v>7.7504132231405</v>
      </c>
      <c r="CV381" s="323"/>
      <c r="CW381" s="322" t="n">
        <v>7.7504132231405</v>
      </c>
      <c r="CX381" s="322" t="n">
        <v>7.7504132231405</v>
      </c>
      <c r="CY381" s="322" t="n">
        <v>7.7504132231405</v>
      </c>
      <c r="CZ381" s="322" t="n">
        <v>7.7504132231405</v>
      </c>
      <c r="DA381" s="322" t="n">
        <v>7.7504132231405</v>
      </c>
    </row>
    <row r="382" customFormat="false" ht="12.75" hidden="false" customHeight="false" outlineLevel="0" collapsed="false">
      <c r="B382" s="305" t="s">
        <v>277</v>
      </c>
      <c r="C382" s="305" t="s">
        <v>660</v>
      </c>
      <c r="D382" s="306" t="n">
        <v>48</v>
      </c>
      <c r="E382" s="306" t="n">
        <v>0</v>
      </c>
      <c r="F382" s="324" t="s">
        <v>648</v>
      </c>
      <c r="G382" s="144" t="n">
        <v>24</v>
      </c>
      <c r="H382" s="325" t="n">
        <v>90.0826446280992</v>
      </c>
      <c r="I382" s="2"/>
      <c r="J382" s="144" t="s">
        <v>12</v>
      </c>
      <c r="K382" s="309" t="s">
        <v>12</v>
      </c>
      <c r="L382" s="310"/>
      <c r="M382" s="311" t="n">
        <v>0</v>
      </c>
      <c r="N382" s="312" t="n">
        <v>2.5</v>
      </c>
      <c r="O382" s="311" t="n">
        <v>0</v>
      </c>
      <c r="P382" s="312" t="n">
        <v>2.5</v>
      </c>
      <c r="Q382" s="310" t="n">
        <v>0</v>
      </c>
      <c r="R382" s="312" t="n">
        <v>2.5</v>
      </c>
      <c r="S382" s="310"/>
      <c r="T382" s="311" t="n">
        <v>0</v>
      </c>
      <c r="U382" s="312" t="n">
        <v>2.5</v>
      </c>
      <c r="V382" s="311" t="n">
        <v>0</v>
      </c>
      <c r="W382" s="312" t="n">
        <v>2.5</v>
      </c>
      <c r="X382" s="311" t="n">
        <v>0</v>
      </c>
      <c r="Y382" s="312" t="n">
        <v>2.5</v>
      </c>
      <c r="Z382" s="313" t="n">
        <v>0</v>
      </c>
      <c r="AA382" s="314" t="n">
        <v>2.5</v>
      </c>
      <c r="AB382" s="313" t="n">
        <v>0</v>
      </c>
      <c r="AC382" s="314" t="n">
        <v>2.5</v>
      </c>
      <c r="AD382" s="315"/>
      <c r="AE382" s="144" t="n">
        <v>-42</v>
      </c>
      <c r="AF382" s="315"/>
      <c r="AG382" s="311" t="n">
        <v>0</v>
      </c>
      <c r="AH382" s="309" t="n">
        <v>0</v>
      </c>
      <c r="AI382" s="310"/>
      <c r="AJ382" s="311" t="n">
        <v>-12</v>
      </c>
      <c r="AK382" s="309" t="n">
        <v>60</v>
      </c>
      <c r="AL382" s="311" t="n">
        <v>-12</v>
      </c>
      <c r="AM382" s="309" t="n">
        <v>60</v>
      </c>
      <c r="AN382" s="310" t="n">
        <v>-12</v>
      </c>
      <c r="AO382" s="309" t="n">
        <v>60</v>
      </c>
      <c r="AP382" s="310"/>
      <c r="AQ382" s="311" t="n">
        <v>-12</v>
      </c>
      <c r="AR382" s="309" t="n">
        <v>60</v>
      </c>
      <c r="AS382" s="311" t="n">
        <v>-12</v>
      </c>
      <c r="AT382" s="309" t="n">
        <v>60</v>
      </c>
      <c r="AU382" s="310" t="n">
        <v>-12</v>
      </c>
      <c r="AV382" s="309" t="n">
        <v>60</v>
      </c>
      <c r="AW382" s="310" t="n">
        <v>-12</v>
      </c>
      <c r="AX382" s="309" t="n">
        <v>60</v>
      </c>
      <c r="AY382" s="310" t="n">
        <v>-12</v>
      </c>
      <c r="AZ382" s="309" t="n">
        <v>60</v>
      </c>
      <c r="BB382" s="144" t="n">
        <v>0</v>
      </c>
      <c r="BC382" s="315"/>
      <c r="BD382" s="311" t="n">
        <v>0</v>
      </c>
      <c r="BE382" s="316" t="n">
        <v>0</v>
      </c>
      <c r="BF382" s="310"/>
      <c r="BG382" s="317" t="n">
        <v>0</v>
      </c>
      <c r="BH382" s="318" t="n">
        <v>0</v>
      </c>
      <c r="BI382" s="317" t="n">
        <v>0</v>
      </c>
      <c r="BJ382" s="318" t="n">
        <v>0</v>
      </c>
      <c r="BK382" s="317" t="n">
        <v>0</v>
      </c>
      <c r="BL382" s="318" t="n">
        <v>0</v>
      </c>
      <c r="BM382" s="310"/>
      <c r="BN382" s="317" t="n">
        <v>0</v>
      </c>
      <c r="BO382" s="318" t="n">
        <v>0</v>
      </c>
      <c r="BP382" s="317" t="n">
        <v>0</v>
      </c>
      <c r="BQ382" s="318" t="n">
        <v>0</v>
      </c>
      <c r="BR382" s="317" t="n">
        <v>0</v>
      </c>
      <c r="BS382" s="318" t="n">
        <v>0</v>
      </c>
      <c r="BT382" s="317" t="n">
        <v>0</v>
      </c>
      <c r="BU382" s="318" t="n">
        <v>0</v>
      </c>
      <c r="BV382" s="317" t="n">
        <v>0</v>
      </c>
      <c r="BW382" s="318" t="n">
        <v>0</v>
      </c>
      <c r="BY382" s="143"/>
      <c r="BZ382" s="315"/>
      <c r="CA382" s="144" t="s">
        <v>12</v>
      </c>
      <c r="CB382" s="315"/>
      <c r="CC382" s="144" t="n">
        <v>-30.0826446280992</v>
      </c>
      <c r="CD382" s="144" t="n">
        <v>-30.0826446280992</v>
      </c>
      <c r="CE382" s="144" t="n">
        <v>-30.0826446280992</v>
      </c>
      <c r="CF382" s="315"/>
      <c r="CG382" s="144" t="n">
        <v>-30.0826446280992</v>
      </c>
      <c r="CH382" s="144" t="n">
        <v>-30.0826446280992</v>
      </c>
      <c r="CI382" s="144" t="n">
        <v>-30.0826446280992</v>
      </c>
      <c r="CJ382" s="144" t="n">
        <v>-30.0826446280992</v>
      </c>
      <c r="CK382" s="144" t="n">
        <v>-30.0826446280992</v>
      </c>
      <c r="CM382" s="144" t="n">
        <v>49.504132231405</v>
      </c>
      <c r="CO382" s="319"/>
      <c r="CP382" s="320"/>
      <c r="CQ382" s="321" t="s">
        <v>12</v>
      </c>
      <c r="CR382" s="320"/>
      <c r="CS382" s="322" t="n">
        <v>10.495867768595</v>
      </c>
      <c r="CT382" s="322" t="n">
        <v>10.495867768595</v>
      </c>
      <c r="CU382" s="322" t="n">
        <v>10.495867768595</v>
      </c>
      <c r="CV382" s="323"/>
      <c r="CW382" s="322" t="n">
        <v>10.495867768595</v>
      </c>
      <c r="CX382" s="322" t="n">
        <v>10.495867768595</v>
      </c>
      <c r="CY382" s="322" t="n">
        <v>10.495867768595</v>
      </c>
      <c r="CZ382" s="322" t="n">
        <v>10.495867768595</v>
      </c>
      <c r="DA382" s="322" t="n">
        <v>10.495867768595</v>
      </c>
    </row>
    <row r="383" customFormat="false" ht="12.75" hidden="false" customHeight="false" outlineLevel="0" collapsed="false">
      <c r="B383" s="305" t="s">
        <v>497</v>
      </c>
      <c r="C383" s="305" t="s">
        <v>661</v>
      </c>
      <c r="D383" s="306" t="n">
        <v>60</v>
      </c>
      <c r="E383" s="306" t="n">
        <v>0</v>
      </c>
      <c r="F383" s="306" t="s">
        <v>662</v>
      </c>
      <c r="G383" s="307" t="n">
        <v>24</v>
      </c>
      <c r="H383" s="308" t="n">
        <v>55.3719008264463</v>
      </c>
      <c r="I383" s="2"/>
      <c r="J383" s="144" t="s">
        <v>12</v>
      </c>
      <c r="K383" s="309" t="s">
        <v>12</v>
      </c>
      <c r="L383" s="310"/>
      <c r="M383" s="311" t="n">
        <v>0</v>
      </c>
      <c r="N383" s="312" t="n">
        <v>0.5</v>
      </c>
      <c r="O383" s="311" t="n">
        <v>0</v>
      </c>
      <c r="P383" s="312" t="n">
        <v>0.5</v>
      </c>
      <c r="Q383" s="310" t="n">
        <v>0</v>
      </c>
      <c r="R383" s="312" t="n">
        <v>0.5</v>
      </c>
      <c r="S383" s="310"/>
      <c r="T383" s="311" t="n">
        <v>0</v>
      </c>
      <c r="U383" s="312" t="n">
        <v>0</v>
      </c>
      <c r="V383" s="311" t="n">
        <v>0</v>
      </c>
      <c r="W383" s="312" t="n">
        <v>0</v>
      </c>
      <c r="X383" s="311" t="n">
        <v>0</v>
      </c>
      <c r="Y383" s="312" t="n">
        <v>0</v>
      </c>
      <c r="Z383" s="313" t="n">
        <v>0</v>
      </c>
      <c r="AA383" s="314" t="n">
        <v>0</v>
      </c>
      <c r="AB383" s="313" t="n">
        <v>0</v>
      </c>
      <c r="AC383" s="314" t="n">
        <v>0</v>
      </c>
      <c r="AD383" s="315"/>
      <c r="AE383" s="144" t="n">
        <v>5</v>
      </c>
      <c r="AF383" s="315"/>
      <c r="AG383" s="311" t="n">
        <v>0</v>
      </c>
      <c r="AH383" s="309" t="n">
        <v>0</v>
      </c>
      <c r="AI383" s="310"/>
      <c r="AJ383" s="311" t="n">
        <v>48</v>
      </c>
      <c r="AK383" s="309" t="n">
        <v>12</v>
      </c>
      <c r="AL383" s="311" t="n">
        <v>48</v>
      </c>
      <c r="AM383" s="309" t="n">
        <v>12</v>
      </c>
      <c r="AN383" s="311" t="n">
        <v>48</v>
      </c>
      <c r="AO383" s="309" t="n">
        <v>12</v>
      </c>
      <c r="AP383" s="310"/>
      <c r="AQ383" s="311" t="n">
        <v>60</v>
      </c>
      <c r="AR383" s="309" t="n">
        <v>0</v>
      </c>
      <c r="AS383" s="311" t="n">
        <v>60</v>
      </c>
      <c r="AT383" s="309" t="n">
        <v>0</v>
      </c>
      <c r="AU383" s="311" t="n">
        <v>60</v>
      </c>
      <c r="AV383" s="309" t="n">
        <v>0</v>
      </c>
      <c r="AW383" s="311" t="n">
        <v>60</v>
      </c>
      <c r="AX383" s="309" t="n">
        <v>0</v>
      </c>
      <c r="AY383" s="311" t="n">
        <v>60</v>
      </c>
      <c r="AZ383" s="309" t="n">
        <v>0</v>
      </c>
      <c r="BB383" s="144" t="n">
        <v>0</v>
      </c>
      <c r="BC383" s="315"/>
      <c r="BD383" s="311" t="n">
        <v>0</v>
      </c>
      <c r="BE383" s="316" t="n">
        <v>0</v>
      </c>
      <c r="BF383" s="310"/>
      <c r="BG383" s="317" t="n">
        <v>0</v>
      </c>
      <c r="BH383" s="318" t="n">
        <v>0</v>
      </c>
      <c r="BI383" s="317" t="n">
        <v>0</v>
      </c>
      <c r="BJ383" s="318" t="n">
        <v>0</v>
      </c>
      <c r="BK383" s="317" t="n">
        <v>0</v>
      </c>
      <c r="BL383" s="318" t="n">
        <v>0</v>
      </c>
      <c r="BM383" s="310"/>
      <c r="BN383" s="317" t="n">
        <v>0</v>
      </c>
      <c r="BO383" s="318" t="n">
        <v>0</v>
      </c>
      <c r="BP383" s="317" t="n">
        <v>0</v>
      </c>
      <c r="BQ383" s="318" t="n">
        <v>0</v>
      </c>
      <c r="BR383" s="317" t="n">
        <v>0</v>
      </c>
      <c r="BS383" s="318" t="n">
        <v>0</v>
      </c>
      <c r="BT383" s="317" t="n">
        <v>0</v>
      </c>
      <c r="BU383" s="318" t="n">
        <v>0</v>
      </c>
      <c r="BV383" s="317" t="n">
        <v>0</v>
      </c>
      <c r="BW383" s="318" t="n">
        <v>0</v>
      </c>
      <c r="BY383" s="143"/>
      <c r="BZ383" s="315"/>
      <c r="CA383" s="144" t="s">
        <v>12</v>
      </c>
      <c r="CB383" s="315"/>
      <c r="CC383" s="144" t="n">
        <v>-43.3719008264463</v>
      </c>
      <c r="CD383" s="144" t="n">
        <v>-43.3719008264463</v>
      </c>
      <c r="CE383" s="144" t="n">
        <v>-43.3719008264463</v>
      </c>
      <c r="CF383" s="315"/>
      <c r="CG383" s="144" t="n">
        <v>-55.3719008264463</v>
      </c>
      <c r="CH383" s="144" t="n">
        <v>-55.3719008264463</v>
      </c>
      <c r="CI383" s="144" t="n">
        <v>-55.3719008264463</v>
      </c>
      <c r="CJ383" s="144" t="n">
        <v>-55.3719008264463</v>
      </c>
      <c r="CK383" s="144" t="n">
        <v>-55.3719008264463</v>
      </c>
      <c r="CM383" s="144" t="n">
        <v>41.3140495867769</v>
      </c>
      <c r="CO383" s="319"/>
      <c r="CP383" s="320"/>
      <c r="CQ383" s="321" t="s">
        <v>12</v>
      </c>
      <c r="CR383" s="320"/>
      <c r="CS383" s="322" t="n">
        <v>-29.3140495867769</v>
      </c>
      <c r="CT383" s="322" t="n">
        <v>-29.3140495867769</v>
      </c>
      <c r="CU383" s="322" t="n">
        <v>-29.3140495867769</v>
      </c>
      <c r="CV383" s="323"/>
      <c r="CW383" s="322" t="n">
        <v>-41.3140495867769</v>
      </c>
      <c r="CX383" s="322" t="n">
        <v>-41.3140495867769</v>
      </c>
      <c r="CY383" s="322" t="n">
        <v>-41.3140495867769</v>
      </c>
      <c r="CZ383" s="322" t="n">
        <v>-41.3140495867769</v>
      </c>
      <c r="DA383" s="322" t="n">
        <v>-41.3140495867769</v>
      </c>
    </row>
    <row r="384" customFormat="false" ht="12.75" hidden="false" customHeight="false" outlineLevel="0" collapsed="false">
      <c r="B384" s="305" t="s">
        <v>510</v>
      </c>
      <c r="C384" s="305" t="s">
        <v>663</v>
      </c>
      <c r="D384" s="306" t="n">
        <v>58</v>
      </c>
      <c r="E384" s="306" t="n">
        <v>0</v>
      </c>
      <c r="F384" s="324" t="s">
        <v>662</v>
      </c>
      <c r="G384" s="144" t="n">
        <v>24</v>
      </c>
      <c r="H384" s="325" t="n">
        <v>55.3719008264463</v>
      </c>
      <c r="I384" s="2"/>
      <c r="J384" s="144" t="s">
        <v>12</v>
      </c>
      <c r="K384" s="309" t="s">
        <v>12</v>
      </c>
      <c r="L384" s="310"/>
      <c r="M384" s="311" t="n">
        <v>0</v>
      </c>
      <c r="N384" s="312" t="n">
        <v>1.4</v>
      </c>
      <c r="O384" s="311" t="n">
        <v>0</v>
      </c>
      <c r="P384" s="312" t="n">
        <v>1.4</v>
      </c>
      <c r="Q384" s="310" t="n">
        <v>0</v>
      </c>
      <c r="R384" s="312" t="n">
        <v>1.4</v>
      </c>
      <c r="S384" s="310"/>
      <c r="T384" s="311" t="n">
        <v>0</v>
      </c>
      <c r="U384" s="312" t="n">
        <v>0</v>
      </c>
      <c r="V384" s="311" t="n">
        <v>0</v>
      </c>
      <c r="W384" s="312" t="n">
        <v>0</v>
      </c>
      <c r="X384" s="311" t="n">
        <v>0</v>
      </c>
      <c r="Y384" s="312" t="n">
        <v>0</v>
      </c>
      <c r="Z384" s="313" t="n">
        <v>0</v>
      </c>
      <c r="AA384" s="314" t="n">
        <v>0</v>
      </c>
      <c r="AB384" s="313" t="n">
        <v>0</v>
      </c>
      <c r="AC384" s="314" t="n">
        <v>0</v>
      </c>
      <c r="AD384" s="315"/>
      <c r="AE384" s="144" t="n">
        <v>3</v>
      </c>
      <c r="AF384" s="315"/>
      <c r="AG384" s="311" t="n">
        <v>0</v>
      </c>
      <c r="AH384" s="309" t="n">
        <v>0</v>
      </c>
      <c r="AI384" s="310"/>
      <c r="AJ384" s="311" t="n">
        <v>24</v>
      </c>
      <c r="AK384" s="309" t="n">
        <v>33.6</v>
      </c>
      <c r="AL384" s="311" t="n">
        <v>24</v>
      </c>
      <c r="AM384" s="309" t="n">
        <v>33.6</v>
      </c>
      <c r="AN384" s="310" t="n">
        <v>24</v>
      </c>
      <c r="AO384" s="309" t="n">
        <v>33.6</v>
      </c>
      <c r="AP384" s="310"/>
      <c r="AQ384" s="311" t="n">
        <v>58</v>
      </c>
      <c r="AR384" s="309" t="n">
        <v>0</v>
      </c>
      <c r="AS384" s="311" t="n">
        <v>58</v>
      </c>
      <c r="AT384" s="309" t="n">
        <v>0</v>
      </c>
      <c r="AU384" s="310" t="n">
        <v>58</v>
      </c>
      <c r="AV384" s="309" t="n">
        <v>0</v>
      </c>
      <c r="AW384" s="310" t="n">
        <v>58</v>
      </c>
      <c r="AX384" s="309" t="n">
        <v>0</v>
      </c>
      <c r="AY384" s="310" t="n">
        <v>58</v>
      </c>
      <c r="AZ384" s="309" t="n">
        <v>0</v>
      </c>
      <c r="BB384" s="144" t="n">
        <v>0</v>
      </c>
      <c r="BC384" s="315"/>
      <c r="BD384" s="311" t="n">
        <v>0</v>
      </c>
      <c r="BE384" s="316" t="n">
        <v>0</v>
      </c>
      <c r="BF384" s="310"/>
      <c r="BG384" s="317" t="n">
        <v>0</v>
      </c>
      <c r="BH384" s="318" t="n">
        <v>0</v>
      </c>
      <c r="BI384" s="317" t="n">
        <v>0</v>
      </c>
      <c r="BJ384" s="318" t="n">
        <v>0</v>
      </c>
      <c r="BK384" s="317" t="n">
        <v>0</v>
      </c>
      <c r="BL384" s="318" t="n">
        <v>0</v>
      </c>
      <c r="BM384" s="310"/>
      <c r="BN384" s="317" t="n">
        <v>0</v>
      </c>
      <c r="BO384" s="318" t="n">
        <v>0</v>
      </c>
      <c r="BP384" s="317" t="n">
        <v>0</v>
      </c>
      <c r="BQ384" s="318" t="n">
        <v>0</v>
      </c>
      <c r="BR384" s="317" t="n">
        <v>0</v>
      </c>
      <c r="BS384" s="318" t="n">
        <v>0</v>
      </c>
      <c r="BT384" s="317" t="n">
        <v>0</v>
      </c>
      <c r="BU384" s="318" t="n">
        <v>0</v>
      </c>
      <c r="BV384" s="317" t="n">
        <v>0</v>
      </c>
      <c r="BW384" s="318" t="n">
        <v>0</v>
      </c>
      <c r="BY384" s="143"/>
      <c r="BZ384" s="315"/>
      <c r="CA384" s="144" t="s">
        <v>12</v>
      </c>
      <c r="CB384" s="315"/>
      <c r="CC384" s="144" t="n">
        <v>-21.7719008264463</v>
      </c>
      <c r="CD384" s="144" t="n">
        <v>-21.7719008264463</v>
      </c>
      <c r="CE384" s="144" t="n">
        <v>-21.7719008264463</v>
      </c>
      <c r="CF384" s="315"/>
      <c r="CG384" s="144" t="n">
        <v>-55.3719008264463</v>
      </c>
      <c r="CH384" s="144" t="n">
        <v>-55.3719008264463</v>
      </c>
      <c r="CI384" s="144" t="n">
        <v>-55.3719008264463</v>
      </c>
      <c r="CJ384" s="144" t="n">
        <v>-55.3719008264463</v>
      </c>
      <c r="CK384" s="144" t="n">
        <v>-55.3719008264463</v>
      </c>
      <c r="CM384" s="144" t="n">
        <v>57.8429752066116</v>
      </c>
      <c r="CO384" s="319"/>
      <c r="CP384" s="320"/>
      <c r="CQ384" s="321" t="s">
        <v>12</v>
      </c>
      <c r="CR384" s="320"/>
      <c r="CS384" s="322" t="n">
        <v>-24.2429752066116</v>
      </c>
      <c r="CT384" s="322" t="n">
        <v>-24.2429752066116</v>
      </c>
      <c r="CU384" s="322" t="n">
        <v>-24.2429752066116</v>
      </c>
      <c r="CV384" s="323"/>
      <c r="CW384" s="322" t="n">
        <v>-57.8429752066116</v>
      </c>
      <c r="CX384" s="322" t="n">
        <v>-57.8429752066116</v>
      </c>
      <c r="CY384" s="322" t="n">
        <v>-57.8429752066116</v>
      </c>
      <c r="CZ384" s="322" t="n">
        <v>-57.8429752066116</v>
      </c>
      <c r="DA384" s="322" t="n">
        <v>-57.8429752066116</v>
      </c>
    </row>
    <row r="385" customFormat="false" ht="12.75" hidden="false" customHeight="false" outlineLevel="0" collapsed="false">
      <c r="B385" s="305" t="s">
        <v>664</v>
      </c>
      <c r="C385" s="305" t="s">
        <v>665</v>
      </c>
      <c r="D385" s="306" t="n">
        <v>48</v>
      </c>
      <c r="E385" s="306" t="n">
        <v>0</v>
      </c>
      <c r="F385" s="306" t="s">
        <v>643</v>
      </c>
      <c r="G385" s="307" t="n">
        <v>24</v>
      </c>
      <c r="H385" s="308" t="n">
        <v>41.3223140495868</v>
      </c>
      <c r="I385" s="2"/>
      <c r="J385" s="144" t="s">
        <v>12</v>
      </c>
      <c r="K385" s="309" t="s">
        <v>12</v>
      </c>
      <c r="L385" s="310"/>
      <c r="M385" s="311" t="n">
        <v>0</v>
      </c>
      <c r="N385" s="312" t="n">
        <v>0.5</v>
      </c>
      <c r="O385" s="311" t="n">
        <v>0</v>
      </c>
      <c r="P385" s="312" t="n">
        <v>0.5</v>
      </c>
      <c r="Q385" s="310" t="n">
        <v>0</v>
      </c>
      <c r="R385" s="312" t="n">
        <v>0.5</v>
      </c>
      <c r="S385" s="310"/>
      <c r="T385" s="311" t="n">
        <v>0</v>
      </c>
      <c r="U385" s="312" t="n">
        <v>0</v>
      </c>
      <c r="V385" s="311" t="n">
        <v>0</v>
      </c>
      <c r="W385" s="312" t="n">
        <v>0</v>
      </c>
      <c r="X385" s="311" t="n">
        <v>0</v>
      </c>
      <c r="Y385" s="312" t="n">
        <v>0</v>
      </c>
      <c r="Z385" s="313" t="n">
        <v>0</v>
      </c>
      <c r="AA385" s="314" t="n">
        <v>0</v>
      </c>
      <c r="AB385" s="313" t="n">
        <v>0</v>
      </c>
      <c r="AC385" s="314" t="n">
        <v>0</v>
      </c>
      <c r="AD385" s="315"/>
      <c r="AE385" s="144" t="n">
        <v>7</v>
      </c>
      <c r="AF385" s="315"/>
      <c r="AG385" s="311" t="n">
        <v>0</v>
      </c>
      <c r="AH385" s="309" t="n">
        <v>0</v>
      </c>
      <c r="AI385" s="310"/>
      <c r="AJ385" s="311" t="n">
        <v>36</v>
      </c>
      <c r="AK385" s="309" t="n">
        <v>12</v>
      </c>
      <c r="AL385" s="311" t="n">
        <v>36</v>
      </c>
      <c r="AM385" s="309" t="n">
        <v>12</v>
      </c>
      <c r="AN385" s="311" t="n">
        <v>36</v>
      </c>
      <c r="AO385" s="309" t="n">
        <v>12</v>
      </c>
      <c r="AP385" s="310"/>
      <c r="AQ385" s="311" t="n">
        <v>48</v>
      </c>
      <c r="AR385" s="309" t="n">
        <v>0</v>
      </c>
      <c r="AS385" s="311" t="n">
        <v>48</v>
      </c>
      <c r="AT385" s="309" t="n">
        <v>0</v>
      </c>
      <c r="AU385" s="311" t="n">
        <v>48</v>
      </c>
      <c r="AV385" s="309" t="n">
        <v>0</v>
      </c>
      <c r="AW385" s="311" t="n">
        <v>48</v>
      </c>
      <c r="AX385" s="309" t="n">
        <v>0</v>
      </c>
      <c r="AY385" s="311" t="n">
        <v>48</v>
      </c>
      <c r="AZ385" s="309" t="n">
        <v>0</v>
      </c>
      <c r="BB385" s="144" t="n">
        <v>0</v>
      </c>
      <c r="BC385" s="315"/>
      <c r="BD385" s="311" t="n">
        <v>0</v>
      </c>
      <c r="BE385" s="316" t="n">
        <v>0</v>
      </c>
      <c r="BF385" s="310"/>
      <c r="BG385" s="317" t="n">
        <v>0</v>
      </c>
      <c r="BH385" s="318" t="n">
        <v>0</v>
      </c>
      <c r="BI385" s="317" t="n">
        <v>0</v>
      </c>
      <c r="BJ385" s="318" t="n">
        <v>0</v>
      </c>
      <c r="BK385" s="317" t="n">
        <v>0</v>
      </c>
      <c r="BL385" s="318" t="n">
        <v>0</v>
      </c>
      <c r="BM385" s="310"/>
      <c r="BN385" s="317" t="n">
        <v>0</v>
      </c>
      <c r="BO385" s="318" t="n">
        <v>0</v>
      </c>
      <c r="BP385" s="317" t="n">
        <v>0</v>
      </c>
      <c r="BQ385" s="318" t="n">
        <v>0</v>
      </c>
      <c r="BR385" s="317" t="n">
        <v>0</v>
      </c>
      <c r="BS385" s="318" t="n">
        <v>0</v>
      </c>
      <c r="BT385" s="317" t="n">
        <v>0</v>
      </c>
      <c r="BU385" s="318" t="n">
        <v>0</v>
      </c>
      <c r="BV385" s="317" t="n">
        <v>0</v>
      </c>
      <c r="BW385" s="318" t="n">
        <v>0</v>
      </c>
      <c r="BY385" s="143"/>
      <c r="BZ385" s="315"/>
      <c r="CA385" s="144" t="s">
        <v>12</v>
      </c>
      <c r="CB385" s="315"/>
      <c r="CC385" s="144" t="n">
        <v>-29.3223140495868</v>
      </c>
      <c r="CD385" s="144" t="n">
        <v>-29.3223140495868</v>
      </c>
      <c r="CE385" s="144" t="n">
        <v>-29.3223140495868</v>
      </c>
      <c r="CF385" s="315"/>
      <c r="CG385" s="144" t="n">
        <v>-41.3223140495868</v>
      </c>
      <c r="CH385" s="144" t="n">
        <v>-41.3223140495868</v>
      </c>
      <c r="CI385" s="144" t="n">
        <v>-41.3223140495868</v>
      </c>
      <c r="CJ385" s="144" t="n">
        <v>-41.3223140495868</v>
      </c>
      <c r="CK385" s="144" t="n">
        <v>-41.3223140495868</v>
      </c>
      <c r="CM385" s="144" t="n">
        <v>41.2809917355372</v>
      </c>
      <c r="CO385" s="319"/>
      <c r="CP385" s="320"/>
      <c r="CQ385" s="321" t="s">
        <v>12</v>
      </c>
      <c r="CR385" s="320"/>
      <c r="CS385" s="322" t="n">
        <v>-29.2809917355372</v>
      </c>
      <c r="CT385" s="322" t="n">
        <v>-29.2809917355372</v>
      </c>
      <c r="CU385" s="322" t="n">
        <v>-29.2809917355372</v>
      </c>
      <c r="CV385" s="323"/>
      <c r="CW385" s="322" t="n">
        <v>-41.2809917355372</v>
      </c>
      <c r="CX385" s="322" t="n">
        <v>-41.2809917355372</v>
      </c>
      <c r="CY385" s="322" t="n">
        <v>-41.2809917355372</v>
      </c>
      <c r="CZ385" s="322" t="n">
        <v>-41.2809917355372</v>
      </c>
      <c r="DA385" s="322" t="n">
        <v>-41.2809917355372</v>
      </c>
    </row>
    <row r="386" customFormat="false" ht="12.75" hidden="false" customHeight="false" outlineLevel="0" collapsed="false">
      <c r="B386" s="305" t="s">
        <v>664</v>
      </c>
      <c r="C386" s="305" t="s">
        <v>666</v>
      </c>
      <c r="D386" s="306" t="n">
        <v>46</v>
      </c>
      <c r="E386" s="306" t="n">
        <v>0</v>
      </c>
      <c r="F386" s="324" t="s">
        <v>643</v>
      </c>
      <c r="G386" s="144" t="n">
        <v>24</v>
      </c>
      <c r="H386" s="325" t="n">
        <v>41.3223140495868</v>
      </c>
      <c r="I386" s="2"/>
      <c r="J386" s="144" t="s">
        <v>12</v>
      </c>
      <c r="K386" s="309" t="s">
        <v>12</v>
      </c>
      <c r="L386" s="310"/>
      <c r="M386" s="311" t="n">
        <v>0</v>
      </c>
      <c r="N386" s="312" t="n">
        <v>0.5</v>
      </c>
      <c r="O386" s="311" t="n">
        <v>0</v>
      </c>
      <c r="P386" s="312" t="n">
        <v>0.5</v>
      </c>
      <c r="Q386" s="310" t="n">
        <v>0</v>
      </c>
      <c r="R386" s="312" t="n">
        <v>0.5</v>
      </c>
      <c r="S386" s="310"/>
      <c r="T386" s="311" t="n">
        <v>0</v>
      </c>
      <c r="U386" s="312" t="n">
        <v>0</v>
      </c>
      <c r="V386" s="311" t="n">
        <v>0</v>
      </c>
      <c r="W386" s="312" t="n">
        <v>0</v>
      </c>
      <c r="X386" s="311" t="n">
        <v>0</v>
      </c>
      <c r="Y386" s="312" t="n">
        <v>0</v>
      </c>
      <c r="Z386" s="313" t="n">
        <v>0</v>
      </c>
      <c r="AA386" s="314" t="n">
        <v>0</v>
      </c>
      <c r="AB386" s="313" t="n">
        <v>0</v>
      </c>
      <c r="AC386" s="314" t="n">
        <v>0</v>
      </c>
      <c r="AD386" s="315"/>
      <c r="AE386" s="144" t="n">
        <v>5</v>
      </c>
      <c r="AF386" s="315"/>
      <c r="AG386" s="311" t="n">
        <v>0</v>
      </c>
      <c r="AH386" s="309" t="n">
        <v>0</v>
      </c>
      <c r="AI386" s="310"/>
      <c r="AJ386" s="311" t="n">
        <v>34</v>
      </c>
      <c r="AK386" s="309" t="n">
        <v>12</v>
      </c>
      <c r="AL386" s="311" t="n">
        <v>34</v>
      </c>
      <c r="AM386" s="309" t="n">
        <v>12</v>
      </c>
      <c r="AN386" s="310" t="n">
        <v>34</v>
      </c>
      <c r="AO386" s="309" t="n">
        <v>12</v>
      </c>
      <c r="AP386" s="310"/>
      <c r="AQ386" s="311" t="n">
        <v>46</v>
      </c>
      <c r="AR386" s="309" t="n">
        <v>0</v>
      </c>
      <c r="AS386" s="311" t="n">
        <v>46</v>
      </c>
      <c r="AT386" s="309" t="n">
        <v>0</v>
      </c>
      <c r="AU386" s="310" t="n">
        <v>46</v>
      </c>
      <c r="AV386" s="309" t="n">
        <v>0</v>
      </c>
      <c r="AW386" s="310" t="n">
        <v>46</v>
      </c>
      <c r="AX386" s="309" t="n">
        <v>0</v>
      </c>
      <c r="AY386" s="310" t="n">
        <v>46</v>
      </c>
      <c r="AZ386" s="309" t="n">
        <v>0</v>
      </c>
      <c r="BB386" s="144" t="n">
        <v>0</v>
      </c>
      <c r="BC386" s="315"/>
      <c r="BD386" s="311" t="n">
        <v>0</v>
      </c>
      <c r="BE386" s="316" t="n">
        <v>0</v>
      </c>
      <c r="BF386" s="310"/>
      <c r="BG386" s="317" t="n">
        <v>0</v>
      </c>
      <c r="BH386" s="318" t="n">
        <v>0</v>
      </c>
      <c r="BI386" s="317" t="n">
        <v>0</v>
      </c>
      <c r="BJ386" s="318" t="n">
        <v>0</v>
      </c>
      <c r="BK386" s="317" t="n">
        <v>0</v>
      </c>
      <c r="BL386" s="318" t="n">
        <v>0</v>
      </c>
      <c r="BM386" s="310"/>
      <c r="BN386" s="317" t="n">
        <v>0</v>
      </c>
      <c r="BO386" s="318" t="n">
        <v>0</v>
      </c>
      <c r="BP386" s="317" t="n">
        <v>0</v>
      </c>
      <c r="BQ386" s="318" t="n">
        <v>0</v>
      </c>
      <c r="BR386" s="317" t="n">
        <v>0</v>
      </c>
      <c r="BS386" s="318" t="n">
        <v>0</v>
      </c>
      <c r="BT386" s="317" t="n">
        <v>0</v>
      </c>
      <c r="BU386" s="318" t="n">
        <v>0</v>
      </c>
      <c r="BV386" s="317" t="n">
        <v>0</v>
      </c>
      <c r="BW386" s="318" t="n">
        <v>0</v>
      </c>
      <c r="BY386" s="143"/>
      <c r="BZ386" s="315"/>
      <c r="CA386" s="144" t="s">
        <v>12</v>
      </c>
      <c r="CB386" s="315"/>
      <c r="CC386" s="144" t="n">
        <v>-29.3223140495868</v>
      </c>
      <c r="CD386" s="144" t="n">
        <v>-29.3223140495868</v>
      </c>
      <c r="CE386" s="144" t="n">
        <v>-29.3223140495868</v>
      </c>
      <c r="CF386" s="315"/>
      <c r="CG386" s="144" t="n">
        <v>-41.3223140495868</v>
      </c>
      <c r="CH386" s="144" t="n">
        <v>-41.3223140495868</v>
      </c>
      <c r="CI386" s="144" t="n">
        <v>-41.3223140495868</v>
      </c>
      <c r="CJ386" s="144" t="n">
        <v>-41.3223140495868</v>
      </c>
      <c r="CK386" s="144" t="n">
        <v>-41.3223140495868</v>
      </c>
      <c r="CM386" s="144" t="n">
        <v>41.2809917355372</v>
      </c>
      <c r="CO386" s="319"/>
      <c r="CP386" s="320"/>
      <c r="CQ386" s="321" t="s">
        <v>12</v>
      </c>
      <c r="CR386" s="320"/>
      <c r="CS386" s="322" t="n">
        <v>-29.2809917355372</v>
      </c>
      <c r="CT386" s="322" t="n">
        <v>-29.2809917355372</v>
      </c>
      <c r="CU386" s="322" t="n">
        <v>-29.2809917355372</v>
      </c>
      <c r="CV386" s="323"/>
      <c r="CW386" s="322" t="n">
        <v>-41.2809917355372</v>
      </c>
      <c r="CX386" s="322" t="n">
        <v>-41.2809917355372</v>
      </c>
      <c r="CY386" s="322" t="n">
        <v>-41.2809917355372</v>
      </c>
      <c r="CZ386" s="322" t="n">
        <v>-41.2809917355372</v>
      </c>
      <c r="DA386" s="322" t="n">
        <v>-41.2809917355372</v>
      </c>
    </row>
    <row r="387" customFormat="false" ht="12.75" hidden="false" customHeight="false" outlineLevel="0" collapsed="false">
      <c r="B387" s="305" t="s">
        <v>277</v>
      </c>
      <c r="C387" s="305" t="s">
        <v>667</v>
      </c>
      <c r="D387" s="306" t="n">
        <v>59</v>
      </c>
      <c r="E387" s="306" t="n">
        <v>0</v>
      </c>
      <c r="F387" s="306" t="s">
        <v>643</v>
      </c>
      <c r="G387" s="307" t="n">
        <v>24</v>
      </c>
      <c r="H387" s="308" t="n">
        <v>58.6776859504132</v>
      </c>
      <c r="I387" s="2"/>
      <c r="J387" s="144" t="s">
        <v>12</v>
      </c>
      <c r="K387" s="309" t="s">
        <v>12</v>
      </c>
      <c r="L387" s="310"/>
      <c r="M387" s="311" t="n">
        <v>0</v>
      </c>
      <c r="N387" s="312" t="n">
        <v>0.9</v>
      </c>
      <c r="O387" s="311" t="n">
        <v>0</v>
      </c>
      <c r="P387" s="312" t="n">
        <v>0.9</v>
      </c>
      <c r="Q387" s="310" t="n">
        <v>0</v>
      </c>
      <c r="R387" s="312" t="n">
        <v>0.9</v>
      </c>
      <c r="S387" s="310"/>
      <c r="T387" s="311" t="n">
        <v>0</v>
      </c>
      <c r="U387" s="312" t="n">
        <v>0.9</v>
      </c>
      <c r="V387" s="311" t="n">
        <v>0</v>
      </c>
      <c r="W387" s="312" t="n">
        <v>0.9</v>
      </c>
      <c r="X387" s="311" t="n">
        <v>0</v>
      </c>
      <c r="Y387" s="312" t="n">
        <v>0.9</v>
      </c>
      <c r="Z387" s="313" t="n">
        <v>0</v>
      </c>
      <c r="AA387" s="314" t="n">
        <v>0.8</v>
      </c>
      <c r="AB387" s="313" t="n">
        <v>0</v>
      </c>
      <c r="AC387" s="314" t="n">
        <v>0.8</v>
      </c>
      <c r="AD387" s="315"/>
      <c r="AE387" s="144" t="n">
        <v>0</v>
      </c>
      <c r="AF387" s="315"/>
      <c r="AG387" s="311" t="n">
        <v>0</v>
      </c>
      <c r="AH387" s="309" t="n">
        <v>0</v>
      </c>
      <c r="AI387" s="310"/>
      <c r="AJ387" s="311" t="n">
        <v>37</v>
      </c>
      <c r="AK387" s="309" t="n">
        <v>21.6</v>
      </c>
      <c r="AL387" s="311" t="n">
        <v>37</v>
      </c>
      <c r="AM387" s="309" t="n">
        <v>21.6</v>
      </c>
      <c r="AN387" s="311" t="n">
        <v>37</v>
      </c>
      <c r="AO387" s="309" t="n">
        <v>21.6</v>
      </c>
      <c r="AP387" s="310"/>
      <c r="AQ387" s="311" t="n">
        <v>37</v>
      </c>
      <c r="AR387" s="309" t="n">
        <v>21.6</v>
      </c>
      <c r="AS387" s="311" t="n">
        <v>37</v>
      </c>
      <c r="AT387" s="309" t="n">
        <v>21.6</v>
      </c>
      <c r="AU387" s="311" t="n">
        <v>37</v>
      </c>
      <c r="AV387" s="309" t="n">
        <v>21.6</v>
      </c>
      <c r="AW387" s="311" t="n">
        <v>40</v>
      </c>
      <c r="AX387" s="309" t="n">
        <v>19.2</v>
      </c>
      <c r="AY387" s="311" t="n">
        <v>40</v>
      </c>
      <c r="AZ387" s="309" t="n">
        <v>19.2</v>
      </c>
      <c r="BB387" s="144" t="n">
        <v>0</v>
      </c>
      <c r="BC387" s="315"/>
      <c r="BD387" s="311" t="n">
        <v>0</v>
      </c>
      <c r="BE387" s="316" t="n">
        <v>0</v>
      </c>
      <c r="BF387" s="310"/>
      <c r="BG387" s="317" t="n">
        <v>0</v>
      </c>
      <c r="BH387" s="318" t="n">
        <v>0</v>
      </c>
      <c r="BI387" s="317" t="n">
        <v>0</v>
      </c>
      <c r="BJ387" s="318" t="n">
        <v>0</v>
      </c>
      <c r="BK387" s="317" t="n">
        <v>0</v>
      </c>
      <c r="BL387" s="318" t="n">
        <v>0</v>
      </c>
      <c r="BM387" s="310"/>
      <c r="BN387" s="317" t="n">
        <v>0</v>
      </c>
      <c r="BO387" s="318" t="n">
        <v>0</v>
      </c>
      <c r="BP387" s="317" t="n">
        <v>0</v>
      </c>
      <c r="BQ387" s="318" t="n">
        <v>0</v>
      </c>
      <c r="BR387" s="317" t="n">
        <v>0</v>
      </c>
      <c r="BS387" s="318" t="n">
        <v>0</v>
      </c>
      <c r="BT387" s="317" t="n">
        <v>0</v>
      </c>
      <c r="BU387" s="318" t="n">
        <v>0</v>
      </c>
      <c r="BV387" s="317" t="n">
        <v>0</v>
      </c>
      <c r="BW387" s="318" t="n">
        <v>0</v>
      </c>
      <c r="BY387" s="143"/>
      <c r="BZ387" s="315"/>
      <c r="CA387" s="144" t="s">
        <v>12</v>
      </c>
      <c r="CB387" s="315"/>
      <c r="CC387" s="144" t="n">
        <v>-37.0776859504132</v>
      </c>
      <c r="CD387" s="144" t="n">
        <v>-37.0776859504132</v>
      </c>
      <c r="CE387" s="144" t="n">
        <v>-37.0776859504132</v>
      </c>
      <c r="CF387" s="315"/>
      <c r="CG387" s="144" t="n">
        <v>-37.0776859504132</v>
      </c>
      <c r="CH387" s="144" t="n">
        <v>-37.0776859504132</v>
      </c>
      <c r="CI387" s="144" t="n">
        <v>-37.0776859504132</v>
      </c>
      <c r="CJ387" s="144" t="n">
        <v>-39.4776859504132</v>
      </c>
      <c r="CK387" s="144" t="n">
        <v>-39.4776859504132</v>
      </c>
      <c r="CM387" s="144" t="n">
        <v>57.7685950413223</v>
      </c>
      <c r="CO387" s="319"/>
      <c r="CP387" s="320"/>
      <c r="CQ387" s="321" t="s">
        <v>12</v>
      </c>
      <c r="CR387" s="320"/>
      <c r="CS387" s="322" t="n">
        <v>-36.1685950413223</v>
      </c>
      <c r="CT387" s="322" t="n">
        <v>-36.1685950413223</v>
      </c>
      <c r="CU387" s="322" t="n">
        <v>-36.1685950413223</v>
      </c>
      <c r="CV387" s="323"/>
      <c r="CW387" s="322" t="n">
        <v>-36.1685950413223</v>
      </c>
      <c r="CX387" s="322" t="n">
        <v>-36.1685950413223</v>
      </c>
      <c r="CY387" s="322" t="n">
        <v>-36.1685950413223</v>
      </c>
      <c r="CZ387" s="322" t="n">
        <v>-38.5685950413223</v>
      </c>
      <c r="DA387" s="322" t="n">
        <v>-38.5685950413223</v>
      </c>
    </row>
    <row r="388" customFormat="false" ht="12.75" hidden="false" customHeight="false" outlineLevel="0" collapsed="false">
      <c r="B388" s="305" t="s">
        <v>668</v>
      </c>
      <c r="C388" s="305" t="s">
        <v>669</v>
      </c>
      <c r="D388" s="306" t="n">
        <v>781</v>
      </c>
      <c r="E388" s="306" t="n">
        <v>0</v>
      </c>
      <c r="F388" s="324" t="s">
        <v>670</v>
      </c>
      <c r="G388" s="144" t="n">
        <v>24</v>
      </c>
      <c r="H388" s="325" t="n">
        <v>620.661157024793</v>
      </c>
      <c r="I388" s="2"/>
      <c r="J388" s="144" t="s">
        <v>12</v>
      </c>
      <c r="K388" s="309" t="s">
        <v>12</v>
      </c>
      <c r="L388" s="310"/>
      <c r="M388" s="311" t="n">
        <v>269</v>
      </c>
      <c r="N388" s="312" t="n">
        <v>11</v>
      </c>
      <c r="O388" s="311" t="n">
        <v>159</v>
      </c>
      <c r="P388" s="312" t="n">
        <v>13.1</v>
      </c>
      <c r="Q388" s="310" t="n">
        <v>159</v>
      </c>
      <c r="R388" s="312" t="n">
        <v>12.2</v>
      </c>
      <c r="S388" s="310"/>
      <c r="T388" s="311" t="n">
        <v>0</v>
      </c>
      <c r="U388" s="312" t="n">
        <v>22</v>
      </c>
      <c r="V388" s="311" t="n">
        <v>0</v>
      </c>
      <c r="W388" s="312" t="n">
        <v>19</v>
      </c>
      <c r="X388" s="311" t="n">
        <v>0</v>
      </c>
      <c r="Y388" s="312" t="n">
        <v>19</v>
      </c>
      <c r="Z388" s="313" t="n">
        <v>0</v>
      </c>
      <c r="AA388" s="314" t="n">
        <v>19</v>
      </c>
      <c r="AB388" s="313" t="n">
        <v>0</v>
      </c>
      <c r="AC388" s="314" t="n">
        <v>19</v>
      </c>
      <c r="AD388" s="315"/>
      <c r="AE388" s="144" t="n">
        <v>160</v>
      </c>
      <c r="AF388" s="315"/>
      <c r="AG388" s="311" t="n">
        <v>0</v>
      </c>
      <c r="AH388" s="309" t="n">
        <v>0</v>
      </c>
      <c r="AI388" s="310"/>
      <c r="AJ388" s="311" t="n">
        <v>248</v>
      </c>
      <c r="AK388" s="309" t="n">
        <v>264</v>
      </c>
      <c r="AL388" s="311" t="n">
        <v>308</v>
      </c>
      <c r="AM388" s="309" t="n">
        <v>314.4</v>
      </c>
      <c r="AN388" s="310" t="n">
        <v>329</v>
      </c>
      <c r="AO388" s="309" t="n">
        <v>292.8</v>
      </c>
      <c r="AP388" s="310"/>
      <c r="AQ388" s="311" t="n">
        <v>253</v>
      </c>
      <c r="AR388" s="309" t="n">
        <v>528</v>
      </c>
      <c r="AS388" s="311" t="n">
        <v>325</v>
      </c>
      <c r="AT388" s="309" t="n">
        <v>456</v>
      </c>
      <c r="AU388" s="310" t="n">
        <v>325</v>
      </c>
      <c r="AV388" s="309" t="n">
        <v>456</v>
      </c>
      <c r="AW388" s="310" t="n">
        <v>325</v>
      </c>
      <c r="AX388" s="309" t="n">
        <v>456</v>
      </c>
      <c r="AY388" s="310" t="n">
        <v>325</v>
      </c>
      <c r="AZ388" s="309" t="n">
        <v>456</v>
      </c>
      <c r="BB388" s="144" t="n">
        <v>0</v>
      </c>
      <c r="BC388" s="315"/>
      <c r="BD388" s="311" t="n">
        <v>0</v>
      </c>
      <c r="BE388" s="316" t="n">
        <v>0</v>
      </c>
      <c r="BF388" s="310"/>
      <c r="BG388" s="317" t="n">
        <v>0</v>
      </c>
      <c r="BH388" s="318" t="n">
        <v>0.199999999999999</v>
      </c>
      <c r="BI388" s="317" t="n">
        <v>0</v>
      </c>
      <c r="BJ388" s="318" t="n">
        <v>0.9</v>
      </c>
      <c r="BK388" s="317" t="n">
        <v>0</v>
      </c>
      <c r="BL388" s="318" t="n">
        <v>0.800000000000001</v>
      </c>
      <c r="BM388" s="310"/>
      <c r="BN388" s="317" t="n">
        <v>0</v>
      </c>
      <c r="BO388" s="318" t="n">
        <v>-0.200000000000003</v>
      </c>
      <c r="BP388" s="317" t="n">
        <v>0</v>
      </c>
      <c r="BQ388" s="318" t="n">
        <v>-0.5</v>
      </c>
      <c r="BR388" s="317" t="n">
        <v>0</v>
      </c>
      <c r="BS388" s="318" t="n">
        <v>-0.5</v>
      </c>
      <c r="BT388" s="317" t="n">
        <v>0</v>
      </c>
      <c r="BU388" s="318" t="n">
        <v>-0.5</v>
      </c>
      <c r="BV388" s="317" t="n">
        <v>0</v>
      </c>
      <c r="BW388" s="318" t="n">
        <v>-0.5</v>
      </c>
      <c r="BY388" s="143"/>
      <c r="BZ388" s="315"/>
      <c r="CA388" s="144" t="s">
        <v>12</v>
      </c>
      <c r="CB388" s="315"/>
      <c r="CC388" s="144" t="n">
        <v>-87.6611570247934</v>
      </c>
      <c r="CD388" s="144" t="n">
        <v>-147.261157024793</v>
      </c>
      <c r="CE388" s="144" t="n">
        <v>-168.861157024793</v>
      </c>
      <c r="CF388" s="315"/>
      <c r="CG388" s="144" t="n">
        <v>-92.6611570247934</v>
      </c>
      <c r="CH388" s="144" t="n">
        <v>-164.661157024793</v>
      </c>
      <c r="CI388" s="144" t="n">
        <v>-164.661157024793</v>
      </c>
      <c r="CJ388" s="144" t="n">
        <v>-164.661157024793</v>
      </c>
      <c r="CK388" s="144" t="n">
        <v>-164.661157024793</v>
      </c>
      <c r="CM388" s="144" t="n">
        <v>660.330578512397</v>
      </c>
      <c r="CO388" s="319"/>
      <c r="CP388" s="320"/>
      <c r="CQ388" s="321" t="s">
        <v>12</v>
      </c>
      <c r="CR388" s="320"/>
      <c r="CS388" s="322" t="n">
        <v>-127.330578512397</v>
      </c>
      <c r="CT388" s="322" t="n">
        <v>-186.930578512397</v>
      </c>
      <c r="CU388" s="322" t="n">
        <v>-208.530578512397</v>
      </c>
      <c r="CV388" s="323"/>
      <c r="CW388" s="322" t="n">
        <v>-132.330578512397</v>
      </c>
      <c r="CX388" s="322" t="n">
        <v>-204.330578512397</v>
      </c>
      <c r="CY388" s="322" t="n">
        <v>-204.330578512397</v>
      </c>
      <c r="CZ388" s="322" t="n">
        <v>-204.330578512397</v>
      </c>
      <c r="DA388" s="322" t="n">
        <v>-204.330578512397</v>
      </c>
    </row>
    <row r="389" customFormat="false" ht="12.75" hidden="false" customHeight="false" outlineLevel="0" collapsed="false">
      <c r="B389" s="305" t="s">
        <v>668</v>
      </c>
      <c r="C389" s="305" t="s">
        <v>669</v>
      </c>
      <c r="D389" s="306" t="n">
        <v>781</v>
      </c>
      <c r="E389" s="306" t="n">
        <v>0</v>
      </c>
      <c r="F389" s="306" t="s">
        <v>670</v>
      </c>
      <c r="G389" s="307" t="n">
        <v>48</v>
      </c>
      <c r="H389" s="308" t="n">
        <v>620.661157024793</v>
      </c>
      <c r="I389" s="2"/>
      <c r="J389" s="144" t="s">
        <v>12</v>
      </c>
      <c r="K389" s="309" t="s">
        <v>12</v>
      </c>
      <c r="L389" s="310"/>
      <c r="M389" s="311" t="n">
        <v>269</v>
      </c>
      <c r="N389" s="312" t="n">
        <v>5.5</v>
      </c>
      <c r="O389" s="311" t="n">
        <v>159</v>
      </c>
      <c r="P389" s="312" t="n">
        <v>6.6</v>
      </c>
      <c r="Q389" s="310" t="n">
        <v>159</v>
      </c>
      <c r="R389" s="312" t="n">
        <v>6.1</v>
      </c>
      <c r="S389" s="310"/>
      <c r="T389" s="311" t="n">
        <v>0</v>
      </c>
      <c r="U389" s="312" t="n">
        <v>11</v>
      </c>
      <c r="V389" s="311" t="n">
        <v>0</v>
      </c>
      <c r="W389" s="312" t="n">
        <v>9.5</v>
      </c>
      <c r="X389" s="311" t="n">
        <v>0</v>
      </c>
      <c r="Y389" s="312" t="n">
        <v>9.5</v>
      </c>
      <c r="Z389" s="313" t="n">
        <v>0</v>
      </c>
      <c r="AA389" s="314" t="n">
        <v>9.5</v>
      </c>
      <c r="AB389" s="313" t="n">
        <v>0</v>
      </c>
      <c r="AC389" s="314" t="n">
        <v>9.5</v>
      </c>
      <c r="AD389" s="315"/>
      <c r="AE389" s="144" t="n">
        <v>160</v>
      </c>
      <c r="AF389" s="315"/>
      <c r="AG389" s="311" t="n">
        <v>0</v>
      </c>
      <c r="AH389" s="309" t="n">
        <v>0</v>
      </c>
      <c r="AI389" s="310"/>
      <c r="AJ389" s="311" t="n">
        <v>248</v>
      </c>
      <c r="AK389" s="309" t="n">
        <v>264</v>
      </c>
      <c r="AL389" s="311" t="n">
        <v>305</v>
      </c>
      <c r="AM389" s="309" t="n">
        <v>316.8</v>
      </c>
      <c r="AN389" s="311" t="n">
        <v>329</v>
      </c>
      <c r="AO389" s="309" t="n">
        <v>292.8</v>
      </c>
      <c r="AP389" s="310"/>
      <c r="AQ389" s="311" t="n">
        <v>253</v>
      </c>
      <c r="AR389" s="309" t="n">
        <v>528</v>
      </c>
      <c r="AS389" s="311" t="n">
        <v>325</v>
      </c>
      <c r="AT389" s="309" t="n">
        <v>456</v>
      </c>
      <c r="AU389" s="311" t="n">
        <v>325</v>
      </c>
      <c r="AV389" s="309" t="n">
        <v>456</v>
      </c>
      <c r="AW389" s="311" t="n">
        <v>325</v>
      </c>
      <c r="AX389" s="309" t="n">
        <v>456</v>
      </c>
      <c r="AY389" s="311" t="n">
        <v>325</v>
      </c>
      <c r="AZ389" s="309" t="n">
        <v>456</v>
      </c>
      <c r="BB389" s="144" t="n">
        <v>0</v>
      </c>
      <c r="BC389" s="315"/>
      <c r="BD389" s="311" t="n">
        <v>0</v>
      </c>
      <c r="BE389" s="316" t="n">
        <v>0</v>
      </c>
      <c r="BF389" s="310"/>
      <c r="BG389" s="317" t="n">
        <v>0</v>
      </c>
      <c r="BH389" s="318" t="n">
        <v>0</v>
      </c>
      <c r="BI389" s="317" t="n">
        <v>0</v>
      </c>
      <c r="BJ389" s="318" t="n">
        <v>0</v>
      </c>
      <c r="BK389" s="317" t="n">
        <v>0</v>
      </c>
      <c r="BL389" s="318" t="n">
        <v>0</v>
      </c>
      <c r="BM389" s="310"/>
      <c r="BN389" s="317" t="n">
        <v>0</v>
      </c>
      <c r="BO389" s="318" t="n">
        <v>0</v>
      </c>
      <c r="BP389" s="317" t="n">
        <v>0</v>
      </c>
      <c r="BQ389" s="318" t="n">
        <v>0</v>
      </c>
      <c r="BR389" s="317" t="n">
        <v>0</v>
      </c>
      <c r="BS389" s="318" t="n">
        <v>0</v>
      </c>
      <c r="BT389" s="317" t="n">
        <v>0</v>
      </c>
      <c r="BU389" s="318" t="n">
        <v>0</v>
      </c>
      <c r="BV389" s="317" t="n">
        <v>0</v>
      </c>
      <c r="BW389" s="318" t="n">
        <v>0</v>
      </c>
      <c r="BY389" s="143"/>
      <c r="BZ389" s="315"/>
      <c r="CA389" s="144" t="s">
        <v>12</v>
      </c>
      <c r="CB389" s="315"/>
      <c r="CC389" s="144" t="n">
        <v>-87.6611570247934</v>
      </c>
      <c r="CD389" s="144" t="n">
        <v>-144.861157024793</v>
      </c>
      <c r="CE389" s="144" t="n">
        <v>-168.861157024793</v>
      </c>
      <c r="CF389" s="315"/>
      <c r="CG389" s="144" t="n">
        <v>-92.6611570247934</v>
      </c>
      <c r="CH389" s="144" t="n">
        <v>-164.661157024793</v>
      </c>
      <c r="CI389" s="144" t="n">
        <v>-164.661157024793</v>
      </c>
      <c r="CJ389" s="144" t="n">
        <v>-164.661157024793</v>
      </c>
      <c r="CK389" s="144" t="n">
        <v>-164.661157024793</v>
      </c>
      <c r="CM389" s="144" t="n">
        <v>660.330578512397</v>
      </c>
      <c r="CO389" s="319"/>
      <c r="CP389" s="320"/>
      <c r="CQ389" s="321" t="s">
        <v>12</v>
      </c>
      <c r="CR389" s="320"/>
      <c r="CS389" s="322" t="n">
        <v>-127.330578512397</v>
      </c>
      <c r="CT389" s="322" t="n">
        <v>-184.530578512397</v>
      </c>
      <c r="CU389" s="322" t="n">
        <v>-208.530578512397</v>
      </c>
      <c r="CV389" s="323"/>
      <c r="CW389" s="322" t="n">
        <v>-132.330578512397</v>
      </c>
      <c r="CX389" s="322" t="n">
        <v>-204.330578512397</v>
      </c>
      <c r="CY389" s="322" t="n">
        <v>-204.330578512397</v>
      </c>
      <c r="CZ389" s="322" t="n">
        <v>-204.330578512397</v>
      </c>
      <c r="DA389" s="322" t="n">
        <v>-204.330578512397</v>
      </c>
    </row>
    <row r="390" customFormat="false" ht="12.75" hidden="false" customHeight="false" outlineLevel="0" collapsed="false">
      <c r="B390" s="305" t="s">
        <v>668</v>
      </c>
      <c r="C390" s="305" t="s">
        <v>671</v>
      </c>
      <c r="D390" s="306" t="n">
        <v>482</v>
      </c>
      <c r="E390" s="306" t="n">
        <v>0</v>
      </c>
      <c r="F390" s="324" t="s">
        <v>670</v>
      </c>
      <c r="G390" s="144" t="n">
        <v>24</v>
      </c>
      <c r="H390" s="325" t="n">
        <v>419.834710743802</v>
      </c>
      <c r="I390" s="2"/>
      <c r="J390" s="144" t="s">
        <v>12</v>
      </c>
      <c r="K390" s="309" t="s">
        <v>12</v>
      </c>
      <c r="L390" s="310"/>
      <c r="M390" s="311" t="n">
        <v>139</v>
      </c>
      <c r="N390" s="312" t="n">
        <v>8.5</v>
      </c>
      <c r="O390" s="311" t="n">
        <v>19</v>
      </c>
      <c r="P390" s="312" t="n">
        <v>11.4</v>
      </c>
      <c r="Q390" s="310" t="n">
        <v>19</v>
      </c>
      <c r="R390" s="312" t="n">
        <v>10.6</v>
      </c>
      <c r="S390" s="310"/>
      <c r="T390" s="311" t="n">
        <v>0</v>
      </c>
      <c r="U390" s="312" t="n">
        <v>14.3</v>
      </c>
      <c r="V390" s="311" t="n">
        <v>0</v>
      </c>
      <c r="W390" s="312" t="n">
        <v>11.6</v>
      </c>
      <c r="X390" s="311" t="n">
        <v>0</v>
      </c>
      <c r="Y390" s="312" t="n">
        <v>11.6</v>
      </c>
      <c r="Z390" s="313" t="n">
        <v>0</v>
      </c>
      <c r="AA390" s="314" t="n">
        <v>11.6</v>
      </c>
      <c r="AB390" s="313" t="n">
        <v>0</v>
      </c>
      <c r="AC390" s="314" t="n">
        <v>11.6</v>
      </c>
      <c r="AD390" s="315"/>
      <c r="AE390" s="144" t="n">
        <v>62</v>
      </c>
      <c r="AF390" s="315"/>
      <c r="AG390" s="311" t="n">
        <v>0</v>
      </c>
      <c r="AH390" s="309" t="n">
        <v>0</v>
      </c>
      <c r="AI390" s="310"/>
      <c r="AJ390" s="311" t="n">
        <v>139</v>
      </c>
      <c r="AK390" s="309" t="n">
        <v>204</v>
      </c>
      <c r="AL390" s="311" t="n">
        <v>189</v>
      </c>
      <c r="AM390" s="309" t="n">
        <v>273.6</v>
      </c>
      <c r="AN390" s="310" t="n">
        <v>209</v>
      </c>
      <c r="AO390" s="309" t="n">
        <v>254.4</v>
      </c>
      <c r="AP390" s="310"/>
      <c r="AQ390" s="311" t="n">
        <v>139</v>
      </c>
      <c r="AR390" s="309" t="n">
        <v>343.2</v>
      </c>
      <c r="AS390" s="311" t="n">
        <v>204</v>
      </c>
      <c r="AT390" s="309" t="n">
        <v>278.4</v>
      </c>
      <c r="AU390" s="310" t="n">
        <v>204</v>
      </c>
      <c r="AV390" s="309" t="n">
        <v>278.4</v>
      </c>
      <c r="AW390" s="310" t="n">
        <v>204</v>
      </c>
      <c r="AX390" s="309" t="n">
        <v>278.4</v>
      </c>
      <c r="AY390" s="310" t="n">
        <v>204</v>
      </c>
      <c r="AZ390" s="309" t="n">
        <v>278.4</v>
      </c>
      <c r="BB390" s="144" t="n">
        <v>0</v>
      </c>
      <c r="BC390" s="315"/>
      <c r="BD390" s="311" t="n">
        <v>0</v>
      </c>
      <c r="BE390" s="316" t="n">
        <v>0</v>
      </c>
      <c r="BF390" s="310"/>
      <c r="BG390" s="317" t="n">
        <v>0</v>
      </c>
      <c r="BH390" s="318" t="n">
        <v>0.199999999999999</v>
      </c>
      <c r="BI390" s="317" t="n">
        <v>0</v>
      </c>
      <c r="BJ390" s="318" t="n">
        <v>0.6</v>
      </c>
      <c r="BK390" s="317" t="n">
        <v>0</v>
      </c>
      <c r="BL390" s="318" t="n">
        <v>0.800000000000001</v>
      </c>
      <c r="BM390" s="310"/>
      <c r="BN390" s="317" t="n">
        <v>0</v>
      </c>
      <c r="BO390" s="318" t="n">
        <v>0</v>
      </c>
      <c r="BP390" s="317" t="n">
        <v>0</v>
      </c>
      <c r="BQ390" s="318" t="n">
        <v>1.3</v>
      </c>
      <c r="BR390" s="317" t="n">
        <v>0</v>
      </c>
      <c r="BS390" s="318" t="n">
        <v>1.3</v>
      </c>
      <c r="BT390" s="317" t="n">
        <v>0</v>
      </c>
      <c r="BU390" s="318" t="n">
        <v>1.3</v>
      </c>
      <c r="BV390" s="317" t="n">
        <v>0</v>
      </c>
      <c r="BW390" s="318" t="n">
        <v>1.3</v>
      </c>
      <c r="BY390" s="143"/>
      <c r="BZ390" s="315"/>
      <c r="CA390" s="144" t="s">
        <v>12</v>
      </c>
      <c r="CB390" s="315"/>
      <c r="CC390" s="144" t="n">
        <v>-76.8347107438017</v>
      </c>
      <c r="CD390" s="144" t="n">
        <v>-127.234710743802</v>
      </c>
      <c r="CE390" s="144" t="n">
        <v>-146.434710743802</v>
      </c>
      <c r="CF390" s="315"/>
      <c r="CG390" s="144" t="n">
        <v>-76.6347107438016</v>
      </c>
      <c r="CH390" s="144" t="n">
        <v>-141.434710743802</v>
      </c>
      <c r="CI390" s="144" t="n">
        <v>-141.434710743802</v>
      </c>
      <c r="CJ390" s="144" t="n">
        <v>-141.434710743802</v>
      </c>
      <c r="CK390" s="144" t="n">
        <v>-141.434710743802</v>
      </c>
      <c r="CM390" s="144" t="n">
        <v>412.396694214876</v>
      </c>
      <c r="CO390" s="319"/>
      <c r="CP390" s="320"/>
      <c r="CQ390" s="321" t="s">
        <v>12</v>
      </c>
      <c r="CR390" s="320"/>
      <c r="CS390" s="322" t="n">
        <v>-69.3966942148761</v>
      </c>
      <c r="CT390" s="322" t="n">
        <v>-119.796694214876</v>
      </c>
      <c r="CU390" s="322" t="n">
        <v>-138.996694214876</v>
      </c>
      <c r="CV390" s="323"/>
      <c r="CW390" s="322" t="n">
        <v>-69.196694214876</v>
      </c>
      <c r="CX390" s="322" t="n">
        <v>-133.996694214876</v>
      </c>
      <c r="CY390" s="322" t="n">
        <v>-133.996694214876</v>
      </c>
      <c r="CZ390" s="322" t="n">
        <v>-133.996694214876</v>
      </c>
      <c r="DA390" s="322" t="n">
        <v>-133.996694214876</v>
      </c>
    </row>
    <row r="391" customFormat="false" ht="12.75" hidden="false" customHeight="false" outlineLevel="0" collapsed="false">
      <c r="B391" s="305" t="s">
        <v>668</v>
      </c>
      <c r="C391" s="305" t="s">
        <v>671</v>
      </c>
      <c r="D391" s="306" t="n">
        <v>482</v>
      </c>
      <c r="E391" s="306" t="n">
        <v>0</v>
      </c>
      <c r="F391" s="306" t="s">
        <v>670</v>
      </c>
      <c r="G391" s="307" t="n">
        <v>48</v>
      </c>
      <c r="H391" s="308" t="n">
        <v>419.834710743802</v>
      </c>
      <c r="I391" s="2"/>
      <c r="J391" s="144" t="s">
        <v>12</v>
      </c>
      <c r="K391" s="309" t="s">
        <v>12</v>
      </c>
      <c r="L391" s="310"/>
      <c r="M391" s="311" t="n">
        <v>139</v>
      </c>
      <c r="N391" s="312" t="n">
        <v>4.3</v>
      </c>
      <c r="O391" s="311" t="n">
        <v>19</v>
      </c>
      <c r="P391" s="312" t="n">
        <v>5.7</v>
      </c>
      <c r="Q391" s="310" t="n">
        <v>19</v>
      </c>
      <c r="R391" s="312" t="n">
        <v>5.3</v>
      </c>
      <c r="S391" s="310"/>
      <c r="T391" s="311" t="n">
        <v>0</v>
      </c>
      <c r="U391" s="312" t="n">
        <v>7.2</v>
      </c>
      <c r="V391" s="311" t="n">
        <v>0</v>
      </c>
      <c r="W391" s="312" t="n">
        <v>5.8</v>
      </c>
      <c r="X391" s="311" t="n">
        <v>0</v>
      </c>
      <c r="Y391" s="312" t="n">
        <v>5.8</v>
      </c>
      <c r="Z391" s="313" t="n">
        <v>0</v>
      </c>
      <c r="AA391" s="314" t="n">
        <v>5.8</v>
      </c>
      <c r="AB391" s="313" t="n">
        <v>0</v>
      </c>
      <c r="AC391" s="314" t="n">
        <v>5.8</v>
      </c>
      <c r="AD391" s="315"/>
      <c r="AE391" s="144" t="n">
        <v>62</v>
      </c>
      <c r="AF391" s="315"/>
      <c r="AG391" s="311" t="n">
        <v>0</v>
      </c>
      <c r="AH391" s="309" t="n">
        <v>0</v>
      </c>
      <c r="AI391" s="310"/>
      <c r="AJ391" s="311" t="n">
        <v>137</v>
      </c>
      <c r="AK391" s="309" t="n">
        <v>206.4</v>
      </c>
      <c r="AL391" s="311" t="n">
        <v>189</v>
      </c>
      <c r="AM391" s="309" t="n">
        <v>273.6</v>
      </c>
      <c r="AN391" s="311" t="n">
        <v>209</v>
      </c>
      <c r="AO391" s="309" t="n">
        <v>254.4</v>
      </c>
      <c r="AP391" s="310"/>
      <c r="AQ391" s="311" t="n">
        <v>136</v>
      </c>
      <c r="AR391" s="309" t="n">
        <v>345.6</v>
      </c>
      <c r="AS391" s="311" t="n">
        <v>204</v>
      </c>
      <c r="AT391" s="309" t="n">
        <v>278.4</v>
      </c>
      <c r="AU391" s="311" t="n">
        <v>204</v>
      </c>
      <c r="AV391" s="309" t="n">
        <v>278.4</v>
      </c>
      <c r="AW391" s="311" t="n">
        <v>204</v>
      </c>
      <c r="AX391" s="309" t="n">
        <v>278.4</v>
      </c>
      <c r="AY391" s="311" t="n">
        <v>204</v>
      </c>
      <c r="AZ391" s="309" t="n">
        <v>278.4</v>
      </c>
      <c r="BB391" s="144" t="n">
        <v>0</v>
      </c>
      <c r="BC391" s="315"/>
      <c r="BD391" s="311" t="n">
        <v>0</v>
      </c>
      <c r="BE391" s="316" t="n">
        <v>0</v>
      </c>
      <c r="BF391" s="310"/>
      <c r="BG391" s="317" t="n">
        <v>0</v>
      </c>
      <c r="BH391" s="318" t="n">
        <v>0</v>
      </c>
      <c r="BI391" s="317" t="n">
        <v>0</v>
      </c>
      <c r="BJ391" s="318" t="n">
        <v>0</v>
      </c>
      <c r="BK391" s="317" t="n">
        <v>0</v>
      </c>
      <c r="BL391" s="318" t="n">
        <v>0</v>
      </c>
      <c r="BM391" s="310"/>
      <c r="BN391" s="317" t="n">
        <v>0</v>
      </c>
      <c r="BO391" s="318" t="n">
        <v>0</v>
      </c>
      <c r="BP391" s="317" t="n">
        <v>0</v>
      </c>
      <c r="BQ391" s="318" t="n">
        <v>0</v>
      </c>
      <c r="BR391" s="317" t="n">
        <v>0</v>
      </c>
      <c r="BS391" s="318" t="n">
        <v>0</v>
      </c>
      <c r="BT391" s="317" t="n">
        <v>0</v>
      </c>
      <c r="BU391" s="318" t="n">
        <v>0</v>
      </c>
      <c r="BV391" s="317" t="n">
        <v>0</v>
      </c>
      <c r="BW391" s="318" t="n">
        <v>0</v>
      </c>
      <c r="BY391" s="143"/>
      <c r="BZ391" s="315"/>
      <c r="CA391" s="144" t="s">
        <v>12</v>
      </c>
      <c r="CB391" s="315"/>
      <c r="CC391" s="144" t="n">
        <v>-74.4347107438017</v>
      </c>
      <c r="CD391" s="144" t="n">
        <v>-127.234710743802</v>
      </c>
      <c r="CE391" s="144" t="n">
        <v>-146.434710743802</v>
      </c>
      <c r="CF391" s="315"/>
      <c r="CG391" s="144" t="n">
        <v>-74.2347107438017</v>
      </c>
      <c r="CH391" s="144" t="n">
        <v>-141.434710743802</v>
      </c>
      <c r="CI391" s="144" t="n">
        <v>-141.434710743802</v>
      </c>
      <c r="CJ391" s="144" t="n">
        <v>-141.434710743802</v>
      </c>
      <c r="CK391" s="144" t="n">
        <v>-141.434710743802</v>
      </c>
      <c r="CM391" s="144" t="n">
        <v>412.396694214876</v>
      </c>
      <c r="CO391" s="319"/>
      <c r="CP391" s="320"/>
      <c r="CQ391" s="321" t="s">
        <v>12</v>
      </c>
      <c r="CR391" s="320"/>
      <c r="CS391" s="322" t="n">
        <v>-66.9966942148761</v>
      </c>
      <c r="CT391" s="322" t="n">
        <v>-119.796694214876</v>
      </c>
      <c r="CU391" s="322" t="n">
        <v>-138.996694214876</v>
      </c>
      <c r="CV391" s="323"/>
      <c r="CW391" s="322" t="n">
        <v>-66.796694214876</v>
      </c>
      <c r="CX391" s="322" t="n">
        <v>-133.996694214876</v>
      </c>
      <c r="CY391" s="322" t="n">
        <v>-133.996694214876</v>
      </c>
      <c r="CZ391" s="322" t="n">
        <v>-133.996694214876</v>
      </c>
      <c r="DA391" s="322" t="n">
        <v>-133.996694214876</v>
      </c>
    </row>
    <row r="392" customFormat="false" ht="12.75" hidden="false" customHeight="false" outlineLevel="0" collapsed="false">
      <c r="B392" s="305" t="s">
        <v>668</v>
      </c>
      <c r="C392" s="305" t="s">
        <v>672</v>
      </c>
      <c r="D392" s="306" t="n">
        <v>482</v>
      </c>
      <c r="E392" s="306" t="n">
        <v>0</v>
      </c>
      <c r="F392" s="324" t="s">
        <v>670</v>
      </c>
      <c r="G392" s="144" t="n">
        <v>24</v>
      </c>
      <c r="H392" s="325" t="n">
        <v>419.834710743802</v>
      </c>
      <c r="I392" s="2"/>
      <c r="J392" s="144" t="s">
        <v>12</v>
      </c>
      <c r="K392" s="309" t="s">
        <v>12</v>
      </c>
      <c r="L392" s="310"/>
      <c r="M392" s="311" t="n">
        <v>139</v>
      </c>
      <c r="N392" s="312" t="n">
        <v>8.5</v>
      </c>
      <c r="O392" s="311" t="n">
        <v>19</v>
      </c>
      <c r="P392" s="312" t="n">
        <v>11.4</v>
      </c>
      <c r="Q392" s="310" t="n">
        <v>19</v>
      </c>
      <c r="R392" s="312" t="n">
        <v>10.6</v>
      </c>
      <c r="S392" s="310"/>
      <c r="T392" s="311" t="n">
        <v>0</v>
      </c>
      <c r="U392" s="312" t="n">
        <v>14.3</v>
      </c>
      <c r="V392" s="311" t="n">
        <v>0</v>
      </c>
      <c r="W392" s="312" t="n">
        <v>11.6</v>
      </c>
      <c r="X392" s="311" t="n">
        <v>0</v>
      </c>
      <c r="Y392" s="312" t="n">
        <v>11.6</v>
      </c>
      <c r="Z392" s="313" t="n">
        <v>0</v>
      </c>
      <c r="AA392" s="314" t="n">
        <v>11.6</v>
      </c>
      <c r="AB392" s="313" t="n">
        <v>0</v>
      </c>
      <c r="AC392" s="314" t="n">
        <v>11.6</v>
      </c>
      <c r="AD392" s="315"/>
      <c r="AE392" s="144" t="n">
        <v>62</v>
      </c>
      <c r="AF392" s="315"/>
      <c r="AG392" s="311" t="n">
        <v>0</v>
      </c>
      <c r="AH392" s="309" t="n">
        <v>0</v>
      </c>
      <c r="AI392" s="310"/>
      <c r="AJ392" s="311" t="n">
        <v>139</v>
      </c>
      <c r="AK392" s="309" t="n">
        <v>204</v>
      </c>
      <c r="AL392" s="311" t="n">
        <v>189</v>
      </c>
      <c r="AM392" s="309" t="n">
        <v>273.6</v>
      </c>
      <c r="AN392" s="310" t="n">
        <v>209</v>
      </c>
      <c r="AO392" s="309" t="n">
        <v>254.4</v>
      </c>
      <c r="AP392" s="310"/>
      <c r="AQ392" s="311" t="n">
        <v>139</v>
      </c>
      <c r="AR392" s="309" t="n">
        <v>343.2</v>
      </c>
      <c r="AS392" s="311" t="n">
        <v>204</v>
      </c>
      <c r="AT392" s="309" t="n">
        <v>278.4</v>
      </c>
      <c r="AU392" s="310" t="n">
        <v>204</v>
      </c>
      <c r="AV392" s="309" t="n">
        <v>278.4</v>
      </c>
      <c r="AW392" s="310" t="n">
        <v>204</v>
      </c>
      <c r="AX392" s="309" t="n">
        <v>278.4</v>
      </c>
      <c r="AY392" s="310" t="n">
        <v>204</v>
      </c>
      <c r="AZ392" s="309" t="n">
        <v>278.4</v>
      </c>
      <c r="BB392" s="144" t="n">
        <v>0</v>
      </c>
      <c r="BC392" s="315"/>
      <c r="BD392" s="311" t="n">
        <v>0</v>
      </c>
      <c r="BE392" s="316" t="n">
        <v>0</v>
      </c>
      <c r="BF392" s="310"/>
      <c r="BG392" s="317" t="n">
        <v>0</v>
      </c>
      <c r="BH392" s="318" t="n">
        <v>0.199999999999999</v>
      </c>
      <c r="BI392" s="317" t="n">
        <v>0</v>
      </c>
      <c r="BJ392" s="318" t="n">
        <v>0.6</v>
      </c>
      <c r="BK392" s="317" t="n">
        <v>0</v>
      </c>
      <c r="BL392" s="318" t="n">
        <v>0.800000000000001</v>
      </c>
      <c r="BM392" s="310"/>
      <c r="BN392" s="317" t="n">
        <v>0</v>
      </c>
      <c r="BO392" s="318" t="n">
        <v>0</v>
      </c>
      <c r="BP392" s="317" t="n">
        <v>0</v>
      </c>
      <c r="BQ392" s="318" t="n">
        <v>1.3</v>
      </c>
      <c r="BR392" s="317" t="n">
        <v>0</v>
      </c>
      <c r="BS392" s="318" t="n">
        <v>1.3</v>
      </c>
      <c r="BT392" s="317" t="n">
        <v>0</v>
      </c>
      <c r="BU392" s="318" t="n">
        <v>1.3</v>
      </c>
      <c r="BV392" s="317" t="n">
        <v>0</v>
      </c>
      <c r="BW392" s="318" t="n">
        <v>1.3</v>
      </c>
      <c r="BY392" s="143"/>
      <c r="BZ392" s="315"/>
      <c r="CA392" s="144" t="s">
        <v>12</v>
      </c>
      <c r="CB392" s="315"/>
      <c r="CC392" s="144" t="n">
        <v>-76.8347107438017</v>
      </c>
      <c r="CD392" s="144" t="n">
        <v>-127.234710743802</v>
      </c>
      <c r="CE392" s="144" t="n">
        <v>-146.434710743802</v>
      </c>
      <c r="CF392" s="315"/>
      <c r="CG392" s="144" t="n">
        <v>-76.6347107438016</v>
      </c>
      <c r="CH392" s="144" t="n">
        <v>-141.434710743802</v>
      </c>
      <c r="CI392" s="144" t="n">
        <v>-141.434710743802</v>
      </c>
      <c r="CJ392" s="144" t="n">
        <v>-141.434710743802</v>
      </c>
      <c r="CK392" s="144" t="n">
        <v>-141.434710743802</v>
      </c>
      <c r="CM392" s="144" t="n">
        <v>412.396694214876</v>
      </c>
      <c r="CO392" s="319"/>
      <c r="CP392" s="320"/>
      <c r="CQ392" s="321" t="s">
        <v>12</v>
      </c>
      <c r="CR392" s="320"/>
      <c r="CS392" s="322" t="n">
        <v>-69.3966942148761</v>
      </c>
      <c r="CT392" s="322" t="n">
        <v>-119.796694214876</v>
      </c>
      <c r="CU392" s="322" t="n">
        <v>-138.996694214876</v>
      </c>
      <c r="CV392" s="323"/>
      <c r="CW392" s="322" t="n">
        <v>-69.196694214876</v>
      </c>
      <c r="CX392" s="322" t="n">
        <v>-133.996694214876</v>
      </c>
      <c r="CY392" s="322" t="n">
        <v>-133.996694214876</v>
      </c>
      <c r="CZ392" s="322" t="n">
        <v>-133.996694214876</v>
      </c>
      <c r="DA392" s="322" t="n">
        <v>-133.996694214876</v>
      </c>
    </row>
    <row r="393" customFormat="false" ht="12.75" hidden="false" customHeight="false" outlineLevel="0" collapsed="false">
      <c r="B393" s="305" t="s">
        <v>668</v>
      </c>
      <c r="C393" s="305" t="s">
        <v>672</v>
      </c>
      <c r="D393" s="306" t="n">
        <v>482</v>
      </c>
      <c r="E393" s="306" t="n">
        <v>0</v>
      </c>
      <c r="F393" s="306" t="s">
        <v>670</v>
      </c>
      <c r="G393" s="307" t="n">
        <v>48</v>
      </c>
      <c r="H393" s="308" t="n">
        <v>419.834710743802</v>
      </c>
      <c r="I393" s="2"/>
      <c r="J393" s="144" t="s">
        <v>12</v>
      </c>
      <c r="K393" s="309" t="s">
        <v>12</v>
      </c>
      <c r="L393" s="310"/>
      <c r="M393" s="311" t="n">
        <v>139</v>
      </c>
      <c r="N393" s="312" t="n">
        <v>4.3</v>
      </c>
      <c r="O393" s="311" t="n">
        <v>19</v>
      </c>
      <c r="P393" s="312" t="n">
        <v>5.7</v>
      </c>
      <c r="Q393" s="310" t="n">
        <v>19</v>
      </c>
      <c r="R393" s="312" t="n">
        <v>5.3</v>
      </c>
      <c r="S393" s="310"/>
      <c r="T393" s="311" t="n">
        <v>0</v>
      </c>
      <c r="U393" s="312" t="n">
        <v>7.2</v>
      </c>
      <c r="V393" s="311" t="n">
        <v>0</v>
      </c>
      <c r="W393" s="312" t="n">
        <v>5.8</v>
      </c>
      <c r="X393" s="311" t="n">
        <v>0</v>
      </c>
      <c r="Y393" s="312" t="n">
        <v>5.8</v>
      </c>
      <c r="Z393" s="313" t="n">
        <v>0</v>
      </c>
      <c r="AA393" s="314" t="n">
        <v>5.8</v>
      </c>
      <c r="AB393" s="313" t="n">
        <v>0</v>
      </c>
      <c r="AC393" s="314" t="n">
        <v>5.8</v>
      </c>
      <c r="AD393" s="315"/>
      <c r="AE393" s="144" t="n">
        <v>62</v>
      </c>
      <c r="AF393" s="315"/>
      <c r="AG393" s="311" t="n">
        <v>0</v>
      </c>
      <c r="AH393" s="309" t="n">
        <v>0</v>
      </c>
      <c r="AI393" s="310"/>
      <c r="AJ393" s="311" t="n">
        <v>137</v>
      </c>
      <c r="AK393" s="309" t="n">
        <v>206.4</v>
      </c>
      <c r="AL393" s="311" t="n">
        <v>189</v>
      </c>
      <c r="AM393" s="309" t="n">
        <v>273.6</v>
      </c>
      <c r="AN393" s="311" t="n">
        <v>209</v>
      </c>
      <c r="AO393" s="309" t="n">
        <v>254.4</v>
      </c>
      <c r="AP393" s="310"/>
      <c r="AQ393" s="311" t="n">
        <v>136</v>
      </c>
      <c r="AR393" s="309" t="n">
        <v>345.6</v>
      </c>
      <c r="AS393" s="311" t="n">
        <v>204</v>
      </c>
      <c r="AT393" s="309" t="n">
        <v>278.4</v>
      </c>
      <c r="AU393" s="311" t="n">
        <v>204</v>
      </c>
      <c r="AV393" s="309" t="n">
        <v>278.4</v>
      </c>
      <c r="AW393" s="311" t="n">
        <v>204</v>
      </c>
      <c r="AX393" s="309" t="n">
        <v>278.4</v>
      </c>
      <c r="AY393" s="311" t="n">
        <v>204</v>
      </c>
      <c r="AZ393" s="309" t="n">
        <v>278.4</v>
      </c>
      <c r="BB393" s="144" t="n">
        <v>0</v>
      </c>
      <c r="BC393" s="315"/>
      <c r="BD393" s="311" t="n">
        <v>0</v>
      </c>
      <c r="BE393" s="316" t="n">
        <v>0</v>
      </c>
      <c r="BF393" s="310"/>
      <c r="BG393" s="317" t="n">
        <v>0</v>
      </c>
      <c r="BH393" s="318" t="n">
        <v>0</v>
      </c>
      <c r="BI393" s="317" t="n">
        <v>0</v>
      </c>
      <c r="BJ393" s="318" t="n">
        <v>0</v>
      </c>
      <c r="BK393" s="317" t="n">
        <v>0</v>
      </c>
      <c r="BL393" s="318" t="n">
        <v>0</v>
      </c>
      <c r="BM393" s="310"/>
      <c r="BN393" s="317" t="n">
        <v>0</v>
      </c>
      <c r="BO393" s="318" t="n">
        <v>0</v>
      </c>
      <c r="BP393" s="317" t="n">
        <v>0</v>
      </c>
      <c r="BQ393" s="318" t="n">
        <v>0</v>
      </c>
      <c r="BR393" s="317" t="n">
        <v>0</v>
      </c>
      <c r="BS393" s="318" t="n">
        <v>0</v>
      </c>
      <c r="BT393" s="317" t="n">
        <v>0</v>
      </c>
      <c r="BU393" s="318" t="n">
        <v>0</v>
      </c>
      <c r="BV393" s="317" t="n">
        <v>0</v>
      </c>
      <c r="BW393" s="318" t="n">
        <v>0</v>
      </c>
      <c r="BY393" s="143"/>
      <c r="BZ393" s="315"/>
      <c r="CA393" s="144" t="s">
        <v>12</v>
      </c>
      <c r="CB393" s="315"/>
      <c r="CC393" s="144" t="n">
        <v>-74.4347107438017</v>
      </c>
      <c r="CD393" s="144" t="n">
        <v>-127.234710743802</v>
      </c>
      <c r="CE393" s="144" t="n">
        <v>-146.434710743802</v>
      </c>
      <c r="CF393" s="315"/>
      <c r="CG393" s="144" t="n">
        <v>-74.2347107438017</v>
      </c>
      <c r="CH393" s="144" t="n">
        <v>-141.434710743802</v>
      </c>
      <c r="CI393" s="144" t="n">
        <v>-141.434710743802</v>
      </c>
      <c r="CJ393" s="144" t="n">
        <v>-141.434710743802</v>
      </c>
      <c r="CK393" s="144" t="n">
        <v>-141.434710743802</v>
      </c>
      <c r="CM393" s="144" t="n">
        <v>412.396694214876</v>
      </c>
      <c r="CO393" s="319"/>
      <c r="CP393" s="320"/>
      <c r="CQ393" s="321" t="s">
        <v>12</v>
      </c>
      <c r="CR393" s="320"/>
      <c r="CS393" s="322" t="n">
        <v>-66.9966942148761</v>
      </c>
      <c r="CT393" s="322" t="n">
        <v>-119.796694214876</v>
      </c>
      <c r="CU393" s="322" t="n">
        <v>-138.996694214876</v>
      </c>
      <c r="CV393" s="323"/>
      <c r="CW393" s="322" t="n">
        <v>-66.796694214876</v>
      </c>
      <c r="CX393" s="322" t="n">
        <v>-133.996694214876</v>
      </c>
      <c r="CY393" s="322" t="n">
        <v>-133.996694214876</v>
      </c>
      <c r="CZ393" s="322" t="n">
        <v>-133.996694214876</v>
      </c>
      <c r="DA393" s="322" t="n">
        <v>-133.996694214876</v>
      </c>
    </row>
    <row r="394" customFormat="false" ht="12.75" hidden="false" customHeight="false" outlineLevel="0" collapsed="false">
      <c r="B394" s="305" t="s">
        <v>668</v>
      </c>
      <c r="C394" s="305" t="s">
        <v>673</v>
      </c>
      <c r="D394" s="306" t="n">
        <v>652</v>
      </c>
      <c r="E394" s="306" t="n">
        <v>0</v>
      </c>
      <c r="F394" s="324" t="s">
        <v>670</v>
      </c>
      <c r="G394" s="144" t="n">
        <v>24</v>
      </c>
      <c r="H394" s="325" t="n">
        <v>596.694214876033</v>
      </c>
      <c r="I394" s="2"/>
      <c r="J394" s="144" t="s">
        <v>12</v>
      </c>
      <c r="K394" s="309" t="s">
        <v>12</v>
      </c>
      <c r="L394" s="310"/>
      <c r="M394" s="311" t="n">
        <v>249</v>
      </c>
      <c r="N394" s="312" t="n">
        <v>10.6</v>
      </c>
      <c r="O394" s="311" t="n">
        <v>149</v>
      </c>
      <c r="P394" s="312" t="n">
        <v>12.4</v>
      </c>
      <c r="Q394" s="310" t="n">
        <v>149</v>
      </c>
      <c r="R394" s="312" t="n">
        <v>11.6</v>
      </c>
      <c r="S394" s="310"/>
      <c r="T394" s="311" t="n">
        <v>0</v>
      </c>
      <c r="U394" s="312" t="n">
        <v>20.9</v>
      </c>
      <c r="V394" s="311" t="n">
        <v>0</v>
      </c>
      <c r="W394" s="312" t="n">
        <v>17.4</v>
      </c>
      <c r="X394" s="311" t="n">
        <v>0</v>
      </c>
      <c r="Y394" s="312" t="n">
        <v>17.4</v>
      </c>
      <c r="Z394" s="313" t="n">
        <v>0</v>
      </c>
      <c r="AA394" s="314" t="n">
        <v>17.4</v>
      </c>
      <c r="AB394" s="313" t="n">
        <v>0</v>
      </c>
      <c r="AC394" s="314" t="n">
        <v>17.4</v>
      </c>
      <c r="AD394" s="315"/>
      <c r="AE394" s="144" t="n">
        <v>55</v>
      </c>
      <c r="AF394" s="315"/>
      <c r="AG394" s="311" t="n">
        <v>0</v>
      </c>
      <c r="AH394" s="309" t="n">
        <v>0</v>
      </c>
      <c r="AI394" s="310"/>
      <c r="AJ394" s="311" t="n">
        <v>149</v>
      </c>
      <c r="AK394" s="309" t="n">
        <v>254.4</v>
      </c>
      <c r="AL394" s="311" t="n">
        <v>205</v>
      </c>
      <c r="AM394" s="309" t="n">
        <v>297.6</v>
      </c>
      <c r="AN394" s="310" t="n">
        <v>225</v>
      </c>
      <c r="AO394" s="309" t="n">
        <v>278.4</v>
      </c>
      <c r="AP394" s="310"/>
      <c r="AQ394" s="311" t="n">
        <v>150</v>
      </c>
      <c r="AR394" s="309" t="n">
        <v>501.6</v>
      </c>
      <c r="AS394" s="311" t="n">
        <v>234</v>
      </c>
      <c r="AT394" s="309" t="n">
        <v>417.6</v>
      </c>
      <c r="AU394" s="310" t="n">
        <v>234</v>
      </c>
      <c r="AV394" s="309" t="n">
        <v>417.6</v>
      </c>
      <c r="AW394" s="310" t="n">
        <v>234</v>
      </c>
      <c r="AX394" s="309" t="n">
        <v>417.6</v>
      </c>
      <c r="AY394" s="310" t="n">
        <v>234</v>
      </c>
      <c r="AZ394" s="309" t="n">
        <v>417.6</v>
      </c>
      <c r="BB394" s="144" t="n">
        <v>0</v>
      </c>
      <c r="BC394" s="315"/>
      <c r="BD394" s="311" t="n">
        <v>0</v>
      </c>
      <c r="BE394" s="316" t="n">
        <v>0</v>
      </c>
      <c r="BF394" s="310"/>
      <c r="BG394" s="317" t="n">
        <v>0</v>
      </c>
      <c r="BH394" s="318" t="n">
        <v>0.200000000000001</v>
      </c>
      <c r="BI394" s="317" t="n">
        <v>0</v>
      </c>
      <c r="BJ394" s="318" t="n">
        <v>0.6</v>
      </c>
      <c r="BK394" s="317" t="n">
        <v>0</v>
      </c>
      <c r="BL394" s="318" t="n">
        <v>0.800000000000001</v>
      </c>
      <c r="BM394" s="310"/>
      <c r="BN394" s="317" t="n">
        <v>0</v>
      </c>
      <c r="BO394" s="318" t="n">
        <v>-0.199999999999999</v>
      </c>
      <c r="BP394" s="317" t="n">
        <v>0</v>
      </c>
      <c r="BQ394" s="318" t="n">
        <v>0.400000000000002</v>
      </c>
      <c r="BR394" s="317" t="n">
        <v>0</v>
      </c>
      <c r="BS394" s="318" t="n">
        <v>0.400000000000002</v>
      </c>
      <c r="BT394" s="317" t="n">
        <v>0</v>
      </c>
      <c r="BU394" s="318" t="n">
        <v>0.400000000000002</v>
      </c>
      <c r="BV394" s="317" t="n">
        <v>0</v>
      </c>
      <c r="BW394" s="318" t="n">
        <v>0.400000000000002</v>
      </c>
      <c r="BY394" s="143"/>
      <c r="BZ394" s="315"/>
      <c r="CA394" s="144" t="s">
        <v>12</v>
      </c>
      <c r="CB394" s="315"/>
      <c r="CC394" s="144" t="n">
        <v>-93.2942148760331</v>
      </c>
      <c r="CD394" s="144" t="n">
        <v>-150.094214876033</v>
      </c>
      <c r="CE394" s="144" t="n">
        <v>-169.294214876033</v>
      </c>
      <c r="CF394" s="315"/>
      <c r="CG394" s="144" t="n">
        <v>-95.0942148760331</v>
      </c>
      <c r="CH394" s="144" t="n">
        <v>-179.094214876033</v>
      </c>
      <c r="CI394" s="144" t="n">
        <v>-179.094214876033</v>
      </c>
      <c r="CJ394" s="144" t="n">
        <v>-179.094214876033</v>
      </c>
      <c r="CK394" s="144" t="n">
        <v>-179.094214876033</v>
      </c>
      <c r="CM394" s="144" t="n">
        <v>577.685950413223</v>
      </c>
      <c r="CO394" s="319"/>
      <c r="CP394" s="320"/>
      <c r="CQ394" s="321" t="s">
        <v>12</v>
      </c>
      <c r="CR394" s="320"/>
      <c r="CS394" s="322" t="n">
        <v>-74.2859504132231</v>
      </c>
      <c r="CT394" s="322" t="n">
        <v>-131.085950413223</v>
      </c>
      <c r="CU394" s="322" t="n">
        <v>-150.285950413223</v>
      </c>
      <c r="CV394" s="323"/>
      <c r="CW394" s="322" t="n">
        <v>-76.0859504132232</v>
      </c>
      <c r="CX394" s="322" t="n">
        <v>-160.085950413223</v>
      </c>
      <c r="CY394" s="322" t="n">
        <v>-160.085950413223</v>
      </c>
      <c r="CZ394" s="322" t="n">
        <v>-160.085950413223</v>
      </c>
      <c r="DA394" s="322" t="n">
        <v>-160.085950413223</v>
      </c>
    </row>
    <row r="395" customFormat="false" ht="12.75" hidden="false" customHeight="false" outlineLevel="0" collapsed="false">
      <c r="B395" s="305" t="s">
        <v>668</v>
      </c>
      <c r="C395" s="305" t="s">
        <v>673</v>
      </c>
      <c r="D395" s="306" t="n">
        <v>652</v>
      </c>
      <c r="E395" s="306" t="n">
        <v>0</v>
      </c>
      <c r="F395" s="306" t="s">
        <v>670</v>
      </c>
      <c r="G395" s="307" t="n">
        <v>48</v>
      </c>
      <c r="H395" s="308" t="n">
        <v>596.694214876033</v>
      </c>
      <c r="I395" s="2"/>
      <c r="J395" s="144" t="s">
        <v>12</v>
      </c>
      <c r="K395" s="309" t="s">
        <v>12</v>
      </c>
      <c r="L395" s="310"/>
      <c r="M395" s="311" t="n">
        <v>249</v>
      </c>
      <c r="N395" s="312" t="n">
        <v>5.3</v>
      </c>
      <c r="O395" s="311" t="n">
        <v>149</v>
      </c>
      <c r="P395" s="312" t="n">
        <v>6.2</v>
      </c>
      <c r="Q395" s="310" t="n">
        <v>149</v>
      </c>
      <c r="R395" s="312" t="n">
        <v>5.8</v>
      </c>
      <c r="S395" s="310"/>
      <c r="T395" s="311" t="n">
        <v>0</v>
      </c>
      <c r="U395" s="312" t="n">
        <v>10.5</v>
      </c>
      <c r="V395" s="311" t="n">
        <v>0</v>
      </c>
      <c r="W395" s="312" t="n">
        <v>8.7</v>
      </c>
      <c r="X395" s="311" t="n">
        <v>0</v>
      </c>
      <c r="Y395" s="312" t="n">
        <v>8.7</v>
      </c>
      <c r="Z395" s="313" t="n">
        <v>0</v>
      </c>
      <c r="AA395" s="314" t="n">
        <v>8.7</v>
      </c>
      <c r="AB395" s="313" t="n">
        <v>0</v>
      </c>
      <c r="AC395" s="314" t="n">
        <v>8.7</v>
      </c>
      <c r="AD395" s="315"/>
      <c r="AE395" s="144" t="n">
        <v>55</v>
      </c>
      <c r="AF395" s="315"/>
      <c r="AG395" s="311" t="n">
        <v>0</v>
      </c>
      <c r="AH395" s="309" t="n">
        <v>0</v>
      </c>
      <c r="AI395" s="310"/>
      <c r="AJ395" s="311" t="n">
        <v>149</v>
      </c>
      <c r="AK395" s="309" t="n">
        <v>254.4</v>
      </c>
      <c r="AL395" s="311" t="n">
        <v>205</v>
      </c>
      <c r="AM395" s="309" t="n">
        <v>297.6</v>
      </c>
      <c r="AN395" s="311" t="n">
        <v>225</v>
      </c>
      <c r="AO395" s="309" t="n">
        <v>278.4</v>
      </c>
      <c r="AP395" s="310"/>
      <c r="AQ395" s="311" t="n">
        <v>148</v>
      </c>
      <c r="AR395" s="309" t="n">
        <v>504</v>
      </c>
      <c r="AS395" s="311" t="n">
        <v>234</v>
      </c>
      <c r="AT395" s="309" t="n">
        <v>417.6</v>
      </c>
      <c r="AU395" s="311" t="n">
        <v>234</v>
      </c>
      <c r="AV395" s="309" t="n">
        <v>417.6</v>
      </c>
      <c r="AW395" s="311" t="n">
        <v>234</v>
      </c>
      <c r="AX395" s="309" t="n">
        <v>417.6</v>
      </c>
      <c r="AY395" s="311" t="n">
        <v>234</v>
      </c>
      <c r="AZ395" s="309" t="n">
        <v>417.6</v>
      </c>
      <c r="BB395" s="144" t="n">
        <v>0</v>
      </c>
      <c r="BC395" s="315"/>
      <c r="BD395" s="311" t="n">
        <v>0</v>
      </c>
      <c r="BE395" s="316" t="n">
        <v>0</v>
      </c>
      <c r="BF395" s="310"/>
      <c r="BG395" s="317" t="n">
        <v>0</v>
      </c>
      <c r="BH395" s="318" t="n">
        <v>0</v>
      </c>
      <c r="BI395" s="317" t="n">
        <v>0</v>
      </c>
      <c r="BJ395" s="318" t="n">
        <v>0</v>
      </c>
      <c r="BK395" s="317" t="n">
        <v>0</v>
      </c>
      <c r="BL395" s="318" t="n">
        <v>0</v>
      </c>
      <c r="BM395" s="310"/>
      <c r="BN395" s="317" t="n">
        <v>0</v>
      </c>
      <c r="BO395" s="318" t="n">
        <v>0</v>
      </c>
      <c r="BP395" s="317" t="n">
        <v>0</v>
      </c>
      <c r="BQ395" s="318" t="n">
        <v>0</v>
      </c>
      <c r="BR395" s="317" t="n">
        <v>0</v>
      </c>
      <c r="BS395" s="318" t="n">
        <v>0</v>
      </c>
      <c r="BT395" s="317" t="n">
        <v>0</v>
      </c>
      <c r="BU395" s="318" t="n">
        <v>0</v>
      </c>
      <c r="BV395" s="317" t="n">
        <v>0</v>
      </c>
      <c r="BW395" s="318" t="n">
        <v>0</v>
      </c>
      <c r="BY395" s="143"/>
      <c r="BZ395" s="315"/>
      <c r="CA395" s="144" t="s">
        <v>12</v>
      </c>
      <c r="CB395" s="315"/>
      <c r="CC395" s="144" t="n">
        <v>-93.2942148760331</v>
      </c>
      <c r="CD395" s="144" t="n">
        <v>-150.094214876033</v>
      </c>
      <c r="CE395" s="144" t="n">
        <v>-169.294214876033</v>
      </c>
      <c r="CF395" s="315"/>
      <c r="CG395" s="144" t="n">
        <v>-92.6942148760331</v>
      </c>
      <c r="CH395" s="144" t="n">
        <v>-179.094214876033</v>
      </c>
      <c r="CI395" s="144" t="n">
        <v>-179.094214876033</v>
      </c>
      <c r="CJ395" s="144" t="n">
        <v>-179.094214876033</v>
      </c>
      <c r="CK395" s="144" t="n">
        <v>-179.094214876033</v>
      </c>
      <c r="CM395" s="144" t="n">
        <v>577.685950413223</v>
      </c>
      <c r="CO395" s="319"/>
      <c r="CP395" s="320"/>
      <c r="CQ395" s="321" t="s">
        <v>12</v>
      </c>
      <c r="CR395" s="320"/>
      <c r="CS395" s="322" t="n">
        <v>-74.2859504132231</v>
      </c>
      <c r="CT395" s="322" t="n">
        <v>-131.085950413223</v>
      </c>
      <c r="CU395" s="322" t="n">
        <v>-150.285950413223</v>
      </c>
      <c r="CV395" s="323"/>
      <c r="CW395" s="322" t="n">
        <v>-73.6859504132232</v>
      </c>
      <c r="CX395" s="322" t="n">
        <v>-160.085950413223</v>
      </c>
      <c r="CY395" s="322" t="n">
        <v>-160.085950413223</v>
      </c>
      <c r="CZ395" s="322" t="n">
        <v>-160.085950413223</v>
      </c>
      <c r="DA395" s="322" t="n">
        <v>-160.085950413223</v>
      </c>
    </row>
    <row r="396" customFormat="false" ht="12.75" hidden="false" customHeight="false" outlineLevel="0" collapsed="false">
      <c r="B396" s="305" t="s">
        <v>668</v>
      </c>
      <c r="C396" s="305" t="s">
        <v>674</v>
      </c>
      <c r="D396" s="306" t="n">
        <v>652</v>
      </c>
      <c r="E396" s="306" t="n">
        <v>0</v>
      </c>
      <c r="F396" s="324" t="s">
        <v>670</v>
      </c>
      <c r="G396" s="144" t="n">
        <v>24</v>
      </c>
      <c r="H396" s="325" t="n">
        <v>596.694214876033</v>
      </c>
      <c r="I396" s="2"/>
      <c r="J396" s="144" t="s">
        <v>12</v>
      </c>
      <c r="K396" s="309" t="s">
        <v>12</v>
      </c>
      <c r="L396" s="310"/>
      <c r="M396" s="311" t="n">
        <v>249</v>
      </c>
      <c r="N396" s="312" t="n">
        <v>10.6</v>
      </c>
      <c r="O396" s="311" t="n">
        <v>149</v>
      </c>
      <c r="P396" s="312" t="n">
        <v>12.4</v>
      </c>
      <c r="Q396" s="310" t="n">
        <v>149</v>
      </c>
      <c r="R396" s="312" t="n">
        <v>11.6</v>
      </c>
      <c r="S396" s="310"/>
      <c r="T396" s="311" t="n">
        <v>0</v>
      </c>
      <c r="U396" s="312" t="n">
        <v>20.9</v>
      </c>
      <c r="V396" s="311" t="n">
        <v>0</v>
      </c>
      <c r="W396" s="312" t="n">
        <v>17.4</v>
      </c>
      <c r="X396" s="311" t="n">
        <v>0</v>
      </c>
      <c r="Y396" s="312" t="n">
        <v>17.4</v>
      </c>
      <c r="Z396" s="313" t="n">
        <v>0</v>
      </c>
      <c r="AA396" s="314" t="n">
        <v>17.4</v>
      </c>
      <c r="AB396" s="313" t="n">
        <v>0</v>
      </c>
      <c r="AC396" s="314" t="n">
        <v>17.4</v>
      </c>
      <c r="AD396" s="315"/>
      <c r="AE396" s="144" t="n">
        <v>55</v>
      </c>
      <c r="AF396" s="315"/>
      <c r="AG396" s="311" t="n">
        <v>0</v>
      </c>
      <c r="AH396" s="309" t="n">
        <v>0</v>
      </c>
      <c r="AI396" s="310"/>
      <c r="AJ396" s="311" t="n">
        <v>149</v>
      </c>
      <c r="AK396" s="309" t="n">
        <v>254.4</v>
      </c>
      <c r="AL396" s="311" t="n">
        <v>205</v>
      </c>
      <c r="AM396" s="309" t="n">
        <v>297.6</v>
      </c>
      <c r="AN396" s="310" t="n">
        <v>225</v>
      </c>
      <c r="AO396" s="309" t="n">
        <v>278.4</v>
      </c>
      <c r="AP396" s="310"/>
      <c r="AQ396" s="311" t="n">
        <v>150</v>
      </c>
      <c r="AR396" s="309" t="n">
        <v>501.6</v>
      </c>
      <c r="AS396" s="311" t="n">
        <v>234</v>
      </c>
      <c r="AT396" s="309" t="n">
        <v>417.6</v>
      </c>
      <c r="AU396" s="310" t="n">
        <v>234</v>
      </c>
      <c r="AV396" s="309" t="n">
        <v>417.6</v>
      </c>
      <c r="AW396" s="310" t="n">
        <v>234</v>
      </c>
      <c r="AX396" s="309" t="n">
        <v>417.6</v>
      </c>
      <c r="AY396" s="310" t="n">
        <v>234</v>
      </c>
      <c r="AZ396" s="309" t="n">
        <v>417.6</v>
      </c>
      <c r="BB396" s="144" t="n">
        <v>0</v>
      </c>
      <c r="BC396" s="315"/>
      <c r="BD396" s="311" t="n">
        <v>0</v>
      </c>
      <c r="BE396" s="316" t="n">
        <v>0</v>
      </c>
      <c r="BF396" s="310"/>
      <c r="BG396" s="317" t="n">
        <v>0</v>
      </c>
      <c r="BH396" s="318" t="n">
        <v>0.200000000000001</v>
      </c>
      <c r="BI396" s="317" t="n">
        <v>0</v>
      </c>
      <c r="BJ396" s="318" t="n">
        <v>0.6</v>
      </c>
      <c r="BK396" s="317" t="n">
        <v>0</v>
      </c>
      <c r="BL396" s="318" t="n">
        <v>0.800000000000001</v>
      </c>
      <c r="BM396" s="310"/>
      <c r="BN396" s="317" t="n">
        <v>0</v>
      </c>
      <c r="BO396" s="318" t="n">
        <v>-0.199999999999999</v>
      </c>
      <c r="BP396" s="317" t="n">
        <v>0</v>
      </c>
      <c r="BQ396" s="318" t="n">
        <v>0.400000000000002</v>
      </c>
      <c r="BR396" s="317" t="n">
        <v>0</v>
      </c>
      <c r="BS396" s="318" t="n">
        <v>0.400000000000002</v>
      </c>
      <c r="BT396" s="317" t="n">
        <v>0</v>
      </c>
      <c r="BU396" s="318" t="n">
        <v>0.400000000000002</v>
      </c>
      <c r="BV396" s="317" t="n">
        <v>0</v>
      </c>
      <c r="BW396" s="318" t="n">
        <v>0.400000000000002</v>
      </c>
      <c r="BY396" s="143"/>
      <c r="BZ396" s="315"/>
      <c r="CA396" s="144" t="s">
        <v>12</v>
      </c>
      <c r="CB396" s="315"/>
      <c r="CC396" s="144" t="n">
        <v>-93.2942148760331</v>
      </c>
      <c r="CD396" s="144" t="n">
        <v>-150.094214876033</v>
      </c>
      <c r="CE396" s="144" t="n">
        <v>-169.294214876033</v>
      </c>
      <c r="CF396" s="315"/>
      <c r="CG396" s="144" t="n">
        <v>-95.0942148760331</v>
      </c>
      <c r="CH396" s="144" t="n">
        <v>-179.094214876033</v>
      </c>
      <c r="CI396" s="144" t="n">
        <v>-179.094214876033</v>
      </c>
      <c r="CJ396" s="144" t="n">
        <v>-179.094214876033</v>
      </c>
      <c r="CK396" s="144" t="n">
        <v>-179.094214876033</v>
      </c>
      <c r="CM396" s="144" t="n">
        <v>577.685950413223</v>
      </c>
      <c r="CO396" s="319"/>
      <c r="CP396" s="320"/>
      <c r="CQ396" s="321" t="s">
        <v>12</v>
      </c>
      <c r="CR396" s="320"/>
      <c r="CS396" s="322" t="n">
        <v>-74.2859504132231</v>
      </c>
      <c r="CT396" s="322" t="n">
        <v>-131.085950413223</v>
      </c>
      <c r="CU396" s="322" t="n">
        <v>-150.285950413223</v>
      </c>
      <c r="CV396" s="323"/>
      <c r="CW396" s="322" t="n">
        <v>-76.0859504132232</v>
      </c>
      <c r="CX396" s="322" t="n">
        <v>-160.085950413223</v>
      </c>
      <c r="CY396" s="322" t="n">
        <v>-160.085950413223</v>
      </c>
      <c r="CZ396" s="322" t="n">
        <v>-160.085950413223</v>
      </c>
      <c r="DA396" s="322" t="n">
        <v>-160.085950413223</v>
      </c>
    </row>
    <row r="397" customFormat="false" ht="12.75" hidden="false" customHeight="false" outlineLevel="0" collapsed="false">
      <c r="B397" s="305" t="s">
        <v>668</v>
      </c>
      <c r="C397" s="305" t="s">
        <v>674</v>
      </c>
      <c r="D397" s="306" t="n">
        <v>652</v>
      </c>
      <c r="E397" s="306" t="n">
        <v>0</v>
      </c>
      <c r="F397" s="306" t="s">
        <v>670</v>
      </c>
      <c r="G397" s="307" t="n">
        <v>48</v>
      </c>
      <c r="H397" s="308" t="n">
        <v>596.694214876033</v>
      </c>
      <c r="I397" s="2"/>
      <c r="J397" s="144" t="s">
        <v>12</v>
      </c>
      <c r="K397" s="309" t="s">
        <v>12</v>
      </c>
      <c r="L397" s="310"/>
      <c r="M397" s="311" t="n">
        <v>249</v>
      </c>
      <c r="N397" s="312" t="n">
        <v>5.3</v>
      </c>
      <c r="O397" s="311" t="n">
        <v>149</v>
      </c>
      <c r="P397" s="312" t="n">
        <v>6.2</v>
      </c>
      <c r="Q397" s="310" t="n">
        <v>149</v>
      </c>
      <c r="R397" s="312" t="n">
        <v>5.8</v>
      </c>
      <c r="S397" s="310"/>
      <c r="T397" s="311" t="n">
        <v>0</v>
      </c>
      <c r="U397" s="312" t="n">
        <v>10.5</v>
      </c>
      <c r="V397" s="311" t="n">
        <v>0</v>
      </c>
      <c r="W397" s="312" t="n">
        <v>8.7</v>
      </c>
      <c r="X397" s="311" t="n">
        <v>0</v>
      </c>
      <c r="Y397" s="312" t="n">
        <v>8.7</v>
      </c>
      <c r="Z397" s="313" t="n">
        <v>0</v>
      </c>
      <c r="AA397" s="314" t="n">
        <v>8.7</v>
      </c>
      <c r="AB397" s="313" t="n">
        <v>0</v>
      </c>
      <c r="AC397" s="314" t="n">
        <v>8.7</v>
      </c>
      <c r="AD397" s="315"/>
      <c r="AE397" s="144" t="n">
        <v>55</v>
      </c>
      <c r="AF397" s="315"/>
      <c r="AG397" s="311" t="n">
        <v>0</v>
      </c>
      <c r="AH397" s="309" t="n">
        <v>0</v>
      </c>
      <c r="AI397" s="310"/>
      <c r="AJ397" s="311" t="n">
        <v>149</v>
      </c>
      <c r="AK397" s="309" t="n">
        <v>254.4</v>
      </c>
      <c r="AL397" s="311" t="n">
        <v>205</v>
      </c>
      <c r="AM397" s="309" t="n">
        <v>297.6</v>
      </c>
      <c r="AN397" s="311" t="n">
        <v>225</v>
      </c>
      <c r="AO397" s="309" t="n">
        <v>278.4</v>
      </c>
      <c r="AP397" s="310"/>
      <c r="AQ397" s="311" t="n">
        <v>148</v>
      </c>
      <c r="AR397" s="309" t="n">
        <v>504</v>
      </c>
      <c r="AS397" s="311" t="n">
        <v>234</v>
      </c>
      <c r="AT397" s="309" t="n">
        <v>417.6</v>
      </c>
      <c r="AU397" s="311" t="n">
        <v>234</v>
      </c>
      <c r="AV397" s="309" t="n">
        <v>417.6</v>
      </c>
      <c r="AW397" s="311" t="n">
        <v>234</v>
      </c>
      <c r="AX397" s="309" t="n">
        <v>417.6</v>
      </c>
      <c r="AY397" s="311" t="n">
        <v>234</v>
      </c>
      <c r="AZ397" s="309" t="n">
        <v>417.6</v>
      </c>
      <c r="BB397" s="144" t="n">
        <v>0</v>
      </c>
      <c r="BC397" s="315"/>
      <c r="BD397" s="311" t="n">
        <v>0</v>
      </c>
      <c r="BE397" s="316" t="n">
        <v>0</v>
      </c>
      <c r="BF397" s="310"/>
      <c r="BG397" s="317" t="n">
        <v>0</v>
      </c>
      <c r="BH397" s="318" t="n">
        <v>0</v>
      </c>
      <c r="BI397" s="317" t="n">
        <v>0</v>
      </c>
      <c r="BJ397" s="318" t="n">
        <v>0</v>
      </c>
      <c r="BK397" s="317" t="n">
        <v>0</v>
      </c>
      <c r="BL397" s="318" t="n">
        <v>0</v>
      </c>
      <c r="BM397" s="310"/>
      <c r="BN397" s="317" t="n">
        <v>0</v>
      </c>
      <c r="BO397" s="318" t="n">
        <v>0</v>
      </c>
      <c r="BP397" s="317" t="n">
        <v>0</v>
      </c>
      <c r="BQ397" s="318" t="n">
        <v>0</v>
      </c>
      <c r="BR397" s="317" t="n">
        <v>0</v>
      </c>
      <c r="BS397" s="318" t="n">
        <v>0</v>
      </c>
      <c r="BT397" s="317" t="n">
        <v>0</v>
      </c>
      <c r="BU397" s="318" t="n">
        <v>0</v>
      </c>
      <c r="BV397" s="317" t="n">
        <v>0</v>
      </c>
      <c r="BW397" s="318" t="n">
        <v>0</v>
      </c>
      <c r="BY397" s="143"/>
      <c r="BZ397" s="315"/>
      <c r="CA397" s="144" t="s">
        <v>12</v>
      </c>
      <c r="CB397" s="315"/>
      <c r="CC397" s="144" t="n">
        <v>-93.2942148760331</v>
      </c>
      <c r="CD397" s="144" t="n">
        <v>-150.094214876033</v>
      </c>
      <c r="CE397" s="144" t="n">
        <v>-169.294214876033</v>
      </c>
      <c r="CF397" s="315"/>
      <c r="CG397" s="144" t="n">
        <v>-92.6942148760331</v>
      </c>
      <c r="CH397" s="144" t="n">
        <v>-179.094214876033</v>
      </c>
      <c r="CI397" s="144" t="n">
        <v>-179.094214876033</v>
      </c>
      <c r="CJ397" s="144" t="n">
        <v>-179.094214876033</v>
      </c>
      <c r="CK397" s="144" t="n">
        <v>-179.094214876033</v>
      </c>
      <c r="CM397" s="144" t="n">
        <v>577.685950413223</v>
      </c>
      <c r="CO397" s="319"/>
      <c r="CP397" s="320"/>
      <c r="CQ397" s="321" t="s">
        <v>12</v>
      </c>
      <c r="CR397" s="320"/>
      <c r="CS397" s="322" t="n">
        <v>-74.2859504132231</v>
      </c>
      <c r="CT397" s="322" t="n">
        <v>-131.085950413223</v>
      </c>
      <c r="CU397" s="322" t="n">
        <v>-150.285950413223</v>
      </c>
      <c r="CV397" s="323"/>
      <c r="CW397" s="322" t="n">
        <v>-73.6859504132232</v>
      </c>
      <c r="CX397" s="322" t="n">
        <v>-160.085950413223</v>
      </c>
      <c r="CY397" s="322" t="n">
        <v>-160.085950413223</v>
      </c>
      <c r="CZ397" s="322" t="n">
        <v>-160.085950413223</v>
      </c>
      <c r="DA397" s="322" t="n">
        <v>-160.085950413223</v>
      </c>
    </row>
    <row r="398" customFormat="false" ht="12.75" hidden="false" customHeight="false" outlineLevel="0" collapsed="false">
      <c r="B398" s="305" t="s">
        <v>668</v>
      </c>
      <c r="C398" s="305" t="s">
        <v>675</v>
      </c>
      <c r="D398" s="306" t="n">
        <v>775</v>
      </c>
      <c r="E398" s="306" t="n">
        <v>0</v>
      </c>
      <c r="F398" s="324" t="s">
        <v>670</v>
      </c>
      <c r="G398" s="144" t="n">
        <v>24</v>
      </c>
      <c r="H398" s="325" t="n">
        <v>666.942148760331</v>
      </c>
      <c r="I398" s="2"/>
      <c r="J398" s="144" t="s">
        <v>12</v>
      </c>
      <c r="K398" s="309" t="s">
        <v>12</v>
      </c>
      <c r="L398" s="310"/>
      <c r="M398" s="311" t="n">
        <v>289</v>
      </c>
      <c r="N398" s="312" t="n">
        <v>12.2</v>
      </c>
      <c r="O398" s="311" t="n">
        <v>179</v>
      </c>
      <c r="P398" s="312" t="n">
        <v>14.3</v>
      </c>
      <c r="Q398" s="310" t="n">
        <v>179</v>
      </c>
      <c r="R398" s="312" t="n">
        <v>13.5</v>
      </c>
      <c r="S398" s="310"/>
      <c r="T398" s="311" t="n">
        <v>0</v>
      </c>
      <c r="U398" s="312" t="n">
        <v>23.8</v>
      </c>
      <c r="V398" s="311" t="n">
        <v>0</v>
      </c>
      <c r="W398" s="312" t="n">
        <v>20.7</v>
      </c>
      <c r="X398" s="311" t="n">
        <v>0</v>
      </c>
      <c r="Y398" s="312" t="n">
        <v>20.7</v>
      </c>
      <c r="Z398" s="313" t="n">
        <v>0</v>
      </c>
      <c r="AA398" s="314" t="n">
        <v>20.7</v>
      </c>
      <c r="AB398" s="313" t="n">
        <v>0</v>
      </c>
      <c r="AC398" s="314" t="n">
        <v>20.7</v>
      </c>
      <c r="AD398" s="315"/>
      <c r="AE398" s="144" t="n">
        <v>108</v>
      </c>
      <c r="AF398" s="315"/>
      <c r="AG398" s="311" t="n">
        <v>0</v>
      </c>
      <c r="AH398" s="309" t="n">
        <v>0</v>
      </c>
      <c r="AI398" s="310"/>
      <c r="AJ398" s="311" t="n">
        <v>193</v>
      </c>
      <c r="AK398" s="309" t="n">
        <v>292.8</v>
      </c>
      <c r="AL398" s="311" t="n">
        <v>253</v>
      </c>
      <c r="AM398" s="309" t="n">
        <v>343.2</v>
      </c>
      <c r="AN398" s="310" t="n">
        <v>272</v>
      </c>
      <c r="AO398" s="309" t="n">
        <v>324</v>
      </c>
      <c r="AP398" s="310"/>
      <c r="AQ398" s="311" t="n">
        <v>204</v>
      </c>
      <c r="AR398" s="309" t="n">
        <v>571.2</v>
      </c>
      <c r="AS398" s="311" t="n">
        <v>278</v>
      </c>
      <c r="AT398" s="309" t="n">
        <v>496.8</v>
      </c>
      <c r="AU398" s="310" t="n">
        <v>278</v>
      </c>
      <c r="AV398" s="309" t="n">
        <v>496.8</v>
      </c>
      <c r="AW398" s="310" t="n">
        <v>278</v>
      </c>
      <c r="AX398" s="309" t="n">
        <v>496.8</v>
      </c>
      <c r="AY398" s="310" t="n">
        <v>278</v>
      </c>
      <c r="AZ398" s="309" t="n">
        <v>496.8</v>
      </c>
      <c r="BB398" s="144" t="n">
        <v>0</v>
      </c>
      <c r="BC398" s="315"/>
      <c r="BD398" s="311" t="n">
        <v>0</v>
      </c>
      <c r="BE398" s="316" t="n">
        <v>0</v>
      </c>
      <c r="BF398" s="310"/>
      <c r="BG398" s="317" t="n">
        <v>0</v>
      </c>
      <c r="BH398" s="318" t="n">
        <v>0.200000000000001</v>
      </c>
      <c r="BI398" s="317" t="n">
        <v>0</v>
      </c>
      <c r="BJ398" s="318" t="n">
        <v>0.800000000000001</v>
      </c>
      <c r="BK398" s="317" t="n">
        <v>0</v>
      </c>
      <c r="BL398" s="318" t="n">
        <v>0.6</v>
      </c>
      <c r="BM398" s="310"/>
      <c r="BN398" s="317" t="n">
        <v>0</v>
      </c>
      <c r="BO398" s="318" t="n">
        <v>0</v>
      </c>
      <c r="BP398" s="317" t="n">
        <v>0</v>
      </c>
      <c r="BQ398" s="318" t="n">
        <v>0.700000000000003</v>
      </c>
      <c r="BR398" s="317" t="n">
        <v>0</v>
      </c>
      <c r="BS398" s="318" t="n">
        <v>0.700000000000003</v>
      </c>
      <c r="BT398" s="317" t="n">
        <v>0</v>
      </c>
      <c r="BU398" s="318" t="n">
        <v>0.700000000000003</v>
      </c>
      <c r="BV398" s="317" t="n">
        <v>0</v>
      </c>
      <c r="BW398" s="318" t="n">
        <v>0.700000000000003</v>
      </c>
      <c r="BY398" s="143"/>
      <c r="BZ398" s="315"/>
      <c r="CA398" s="144" t="s">
        <v>12</v>
      </c>
      <c r="CB398" s="315"/>
      <c r="CC398" s="144" t="n">
        <v>-85.1421487603307</v>
      </c>
      <c r="CD398" s="144" t="n">
        <v>-144.742148760331</v>
      </c>
      <c r="CE398" s="144" t="n">
        <v>-163.942148760331</v>
      </c>
      <c r="CF398" s="315"/>
      <c r="CG398" s="144" t="n">
        <v>-95.7421487603306</v>
      </c>
      <c r="CH398" s="144" t="n">
        <v>-170.142148760331</v>
      </c>
      <c r="CI398" s="144" t="n">
        <v>-170.142148760331</v>
      </c>
      <c r="CJ398" s="144" t="n">
        <v>-170.142148760331</v>
      </c>
      <c r="CK398" s="144" t="n">
        <v>-170.142148760331</v>
      </c>
      <c r="CM398" s="144" t="n">
        <v>660.330578512397</v>
      </c>
      <c r="CO398" s="319"/>
      <c r="CP398" s="320"/>
      <c r="CQ398" s="321" t="s">
        <v>12</v>
      </c>
      <c r="CR398" s="320"/>
      <c r="CS398" s="322" t="n">
        <v>-78.5305785123968</v>
      </c>
      <c r="CT398" s="322" t="n">
        <v>-138.130578512397</v>
      </c>
      <c r="CU398" s="322" t="n">
        <v>-157.330578512397</v>
      </c>
      <c r="CV398" s="323"/>
      <c r="CW398" s="322" t="n">
        <v>-89.1305785123967</v>
      </c>
      <c r="CX398" s="322" t="n">
        <v>-163.530578512397</v>
      </c>
      <c r="CY398" s="322" t="n">
        <v>-163.530578512397</v>
      </c>
      <c r="CZ398" s="322" t="n">
        <v>-163.530578512397</v>
      </c>
      <c r="DA398" s="322" t="n">
        <v>-163.530578512397</v>
      </c>
    </row>
    <row r="399" customFormat="false" ht="12.75" hidden="false" customHeight="false" outlineLevel="0" collapsed="false">
      <c r="B399" s="305" t="s">
        <v>668</v>
      </c>
      <c r="C399" s="305" t="s">
        <v>675</v>
      </c>
      <c r="D399" s="306" t="n">
        <v>775</v>
      </c>
      <c r="E399" s="306" t="n">
        <v>0</v>
      </c>
      <c r="F399" s="306" t="s">
        <v>670</v>
      </c>
      <c r="G399" s="307" t="n">
        <v>48</v>
      </c>
      <c r="H399" s="308" t="n">
        <v>666.942148760331</v>
      </c>
      <c r="I399" s="2"/>
      <c r="J399" s="144" t="s">
        <v>12</v>
      </c>
      <c r="K399" s="309" t="s">
        <v>12</v>
      </c>
      <c r="L399" s="310"/>
      <c r="M399" s="311" t="n">
        <v>289</v>
      </c>
      <c r="N399" s="312" t="n">
        <v>6.1</v>
      </c>
      <c r="O399" s="311" t="n">
        <v>179</v>
      </c>
      <c r="P399" s="312" t="n">
        <v>7.2</v>
      </c>
      <c r="Q399" s="310" t="n">
        <v>179</v>
      </c>
      <c r="R399" s="312" t="n">
        <v>6.8</v>
      </c>
      <c r="S399" s="310"/>
      <c r="T399" s="311" t="n">
        <v>0</v>
      </c>
      <c r="U399" s="312" t="n">
        <v>11.9</v>
      </c>
      <c r="V399" s="311" t="n">
        <v>0</v>
      </c>
      <c r="W399" s="312" t="n">
        <v>10.4</v>
      </c>
      <c r="X399" s="311" t="n">
        <v>0</v>
      </c>
      <c r="Y399" s="312" t="n">
        <v>10.4</v>
      </c>
      <c r="Z399" s="313" t="n">
        <v>0</v>
      </c>
      <c r="AA399" s="314" t="n">
        <v>10.4</v>
      </c>
      <c r="AB399" s="313" t="n">
        <v>0</v>
      </c>
      <c r="AC399" s="314" t="n">
        <v>10.4</v>
      </c>
      <c r="AD399" s="315"/>
      <c r="AE399" s="144" t="n">
        <v>108</v>
      </c>
      <c r="AF399" s="315"/>
      <c r="AG399" s="311" t="n">
        <v>0</v>
      </c>
      <c r="AH399" s="309" t="n">
        <v>0</v>
      </c>
      <c r="AI399" s="310"/>
      <c r="AJ399" s="311" t="n">
        <v>193</v>
      </c>
      <c r="AK399" s="309" t="n">
        <v>292.8</v>
      </c>
      <c r="AL399" s="311" t="n">
        <v>250</v>
      </c>
      <c r="AM399" s="309" t="n">
        <v>345.6</v>
      </c>
      <c r="AN399" s="311" t="n">
        <v>270</v>
      </c>
      <c r="AO399" s="309" t="n">
        <v>326.4</v>
      </c>
      <c r="AP399" s="310"/>
      <c r="AQ399" s="311" t="n">
        <v>204</v>
      </c>
      <c r="AR399" s="309" t="n">
        <v>571.2</v>
      </c>
      <c r="AS399" s="311" t="n">
        <v>276</v>
      </c>
      <c r="AT399" s="309" t="n">
        <v>499.2</v>
      </c>
      <c r="AU399" s="311" t="n">
        <v>276</v>
      </c>
      <c r="AV399" s="309" t="n">
        <v>499.2</v>
      </c>
      <c r="AW399" s="311" t="n">
        <v>276</v>
      </c>
      <c r="AX399" s="309" t="n">
        <v>499.2</v>
      </c>
      <c r="AY399" s="311" t="n">
        <v>276</v>
      </c>
      <c r="AZ399" s="309" t="n">
        <v>499.2</v>
      </c>
      <c r="BB399" s="144" t="n">
        <v>0</v>
      </c>
      <c r="BC399" s="315"/>
      <c r="BD399" s="311" t="n">
        <v>0</v>
      </c>
      <c r="BE399" s="316" t="n">
        <v>0</v>
      </c>
      <c r="BF399" s="310"/>
      <c r="BG399" s="317" t="n">
        <v>0</v>
      </c>
      <c r="BH399" s="318" t="n">
        <v>0</v>
      </c>
      <c r="BI399" s="317" t="n">
        <v>0</v>
      </c>
      <c r="BJ399" s="318" t="n">
        <v>0</v>
      </c>
      <c r="BK399" s="317" t="n">
        <v>0</v>
      </c>
      <c r="BL399" s="318" t="n">
        <v>0</v>
      </c>
      <c r="BM399" s="310"/>
      <c r="BN399" s="317" t="n">
        <v>0</v>
      </c>
      <c r="BO399" s="318" t="n">
        <v>0</v>
      </c>
      <c r="BP399" s="317" t="n">
        <v>0</v>
      </c>
      <c r="BQ399" s="318" t="n">
        <v>0</v>
      </c>
      <c r="BR399" s="317" t="n">
        <v>0</v>
      </c>
      <c r="BS399" s="318" t="n">
        <v>0</v>
      </c>
      <c r="BT399" s="317" t="n">
        <v>0</v>
      </c>
      <c r="BU399" s="318" t="n">
        <v>0</v>
      </c>
      <c r="BV399" s="317" t="n">
        <v>0</v>
      </c>
      <c r="BW399" s="318" t="n">
        <v>0</v>
      </c>
      <c r="BY399" s="143"/>
      <c r="BZ399" s="315"/>
      <c r="CA399" s="144" t="s">
        <v>12</v>
      </c>
      <c r="CB399" s="315"/>
      <c r="CC399" s="144" t="n">
        <v>-85.1421487603307</v>
      </c>
      <c r="CD399" s="144" t="n">
        <v>-142.342148760331</v>
      </c>
      <c r="CE399" s="144" t="n">
        <v>-161.542148760331</v>
      </c>
      <c r="CF399" s="315"/>
      <c r="CG399" s="144" t="n">
        <v>-95.7421487603306</v>
      </c>
      <c r="CH399" s="144" t="n">
        <v>-167.742148760331</v>
      </c>
      <c r="CI399" s="144" t="n">
        <v>-167.742148760331</v>
      </c>
      <c r="CJ399" s="144" t="n">
        <v>-167.742148760331</v>
      </c>
      <c r="CK399" s="144" t="n">
        <v>-167.742148760331</v>
      </c>
      <c r="CM399" s="144" t="n">
        <v>660.330578512397</v>
      </c>
      <c r="CO399" s="319"/>
      <c r="CP399" s="320"/>
      <c r="CQ399" s="321" t="s">
        <v>12</v>
      </c>
      <c r="CR399" s="320"/>
      <c r="CS399" s="322" t="n">
        <v>-78.5305785123968</v>
      </c>
      <c r="CT399" s="322" t="n">
        <v>-135.730578512397</v>
      </c>
      <c r="CU399" s="322" t="n">
        <v>-154.930578512397</v>
      </c>
      <c r="CV399" s="323"/>
      <c r="CW399" s="322" t="n">
        <v>-89.1305785123967</v>
      </c>
      <c r="CX399" s="322" t="n">
        <v>-161.130578512397</v>
      </c>
      <c r="CY399" s="322" t="n">
        <v>-161.130578512397</v>
      </c>
      <c r="CZ399" s="322" t="n">
        <v>-161.130578512397</v>
      </c>
      <c r="DA399" s="322" t="n">
        <v>-161.130578512397</v>
      </c>
    </row>
    <row r="400" customFormat="false" ht="12.75" hidden="false" customHeight="false" outlineLevel="0" collapsed="false">
      <c r="B400" s="305" t="s">
        <v>668</v>
      </c>
      <c r="C400" s="305" t="s">
        <v>676</v>
      </c>
      <c r="D400" s="306" t="n">
        <v>946</v>
      </c>
      <c r="E400" s="306" t="n">
        <v>0</v>
      </c>
      <c r="F400" s="324" t="s">
        <v>670</v>
      </c>
      <c r="G400" s="144" t="n">
        <v>24</v>
      </c>
      <c r="H400" s="325" t="n">
        <v>847.933884297521</v>
      </c>
      <c r="I400" s="2"/>
      <c r="J400" s="144" t="s">
        <v>12</v>
      </c>
      <c r="K400" s="309" t="s">
        <v>12</v>
      </c>
      <c r="L400" s="310"/>
      <c r="M400" s="311" t="n">
        <v>359</v>
      </c>
      <c r="N400" s="312" t="n">
        <v>14.9</v>
      </c>
      <c r="O400" s="311" t="n">
        <v>219</v>
      </c>
      <c r="P400" s="312" t="n">
        <v>18.4</v>
      </c>
      <c r="Q400" s="310" t="n">
        <v>219</v>
      </c>
      <c r="R400" s="312" t="n">
        <v>17.6</v>
      </c>
      <c r="S400" s="310"/>
      <c r="T400" s="311" t="n">
        <v>0</v>
      </c>
      <c r="U400" s="312" t="n">
        <v>29.6</v>
      </c>
      <c r="V400" s="311" t="n">
        <v>0</v>
      </c>
      <c r="W400" s="312" t="n">
        <v>25.6</v>
      </c>
      <c r="X400" s="311" t="n">
        <v>0</v>
      </c>
      <c r="Y400" s="312" t="n">
        <v>25.6</v>
      </c>
      <c r="Z400" s="313" t="n">
        <v>0</v>
      </c>
      <c r="AA400" s="314" t="n">
        <v>25.6</v>
      </c>
      <c r="AB400" s="313" t="n">
        <v>0</v>
      </c>
      <c r="AC400" s="314" t="n">
        <v>25.6</v>
      </c>
      <c r="AD400" s="315"/>
      <c r="AE400" s="144" t="n">
        <v>98</v>
      </c>
      <c r="AF400" s="315"/>
      <c r="AG400" s="311" t="n">
        <v>0</v>
      </c>
      <c r="AH400" s="309" t="n">
        <v>0</v>
      </c>
      <c r="AI400" s="310"/>
      <c r="AJ400" s="311" t="n">
        <v>229</v>
      </c>
      <c r="AK400" s="309" t="n">
        <v>357.6</v>
      </c>
      <c r="AL400" s="311" t="n">
        <v>285</v>
      </c>
      <c r="AM400" s="309" t="n">
        <v>441.6</v>
      </c>
      <c r="AN400" s="310" t="n">
        <v>305</v>
      </c>
      <c r="AO400" s="309" t="n">
        <v>422.4</v>
      </c>
      <c r="AP400" s="310"/>
      <c r="AQ400" s="311" t="n">
        <v>236</v>
      </c>
      <c r="AR400" s="309" t="n">
        <v>710.4</v>
      </c>
      <c r="AS400" s="311" t="n">
        <v>332</v>
      </c>
      <c r="AT400" s="309" t="n">
        <v>614.4</v>
      </c>
      <c r="AU400" s="310" t="n">
        <v>332</v>
      </c>
      <c r="AV400" s="309" t="n">
        <v>614.4</v>
      </c>
      <c r="AW400" s="310" t="n">
        <v>332</v>
      </c>
      <c r="AX400" s="309" t="n">
        <v>614.4</v>
      </c>
      <c r="AY400" s="310" t="n">
        <v>332</v>
      </c>
      <c r="AZ400" s="309" t="n">
        <v>614.4</v>
      </c>
      <c r="BB400" s="144" t="n">
        <v>0</v>
      </c>
      <c r="BC400" s="315"/>
      <c r="BD400" s="311" t="n">
        <v>0</v>
      </c>
      <c r="BE400" s="316" t="n">
        <v>0</v>
      </c>
      <c r="BF400" s="310"/>
      <c r="BG400" s="317" t="n">
        <v>0</v>
      </c>
      <c r="BH400" s="318" t="n">
        <v>0</v>
      </c>
      <c r="BI400" s="317" t="n">
        <v>0</v>
      </c>
      <c r="BJ400" s="318" t="n">
        <v>0.800000000000001</v>
      </c>
      <c r="BK400" s="317" t="n">
        <v>0</v>
      </c>
      <c r="BL400" s="318" t="n">
        <v>0.600000000000001</v>
      </c>
      <c r="BM400" s="310"/>
      <c r="BN400" s="317" t="n">
        <v>0</v>
      </c>
      <c r="BO400" s="318" t="n">
        <v>-0.199999999999999</v>
      </c>
      <c r="BP400" s="317" t="n">
        <v>0</v>
      </c>
      <c r="BQ400" s="318" t="n">
        <v>-0.399999999999999</v>
      </c>
      <c r="BR400" s="317" t="n">
        <v>0</v>
      </c>
      <c r="BS400" s="318" t="n">
        <v>-0.399999999999999</v>
      </c>
      <c r="BT400" s="317" t="n">
        <v>0</v>
      </c>
      <c r="BU400" s="318" t="n">
        <v>-0.399999999999999</v>
      </c>
      <c r="BV400" s="317" t="n">
        <v>0</v>
      </c>
      <c r="BW400" s="318" t="n">
        <v>-0.399999999999999</v>
      </c>
      <c r="BY400" s="143"/>
      <c r="BZ400" s="315"/>
      <c r="CA400" s="144" t="s">
        <v>12</v>
      </c>
      <c r="CB400" s="315"/>
      <c r="CC400" s="144" t="n">
        <v>-131.333884297521</v>
      </c>
      <c r="CD400" s="144" t="n">
        <v>-187.333884297521</v>
      </c>
      <c r="CE400" s="144" t="n">
        <v>-206.533884297521</v>
      </c>
      <c r="CF400" s="315"/>
      <c r="CG400" s="144" t="n">
        <v>-137.533884297521</v>
      </c>
      <c r="CH400" s="144" t="n">
        <v>-233.533884297521</v>
      </c>
      <c r="CI400" s="144" t="n">
        <v>-233.533884297521</v>
      </c>
      <c r="CJ400" s="144" t="n">
        <v>-233.533884297521</v>
      </c>
      <c r="CK400" s="144" t="n">
        <v>-233.533884297521</v>
      </c>
      <c r="CM400" s="144" t="n">
        <v>825.619834710744</v>
      </c>
      <c r="CO400" s="319"/>
      <c r="CP400" s="320"/>
      <c r="CQ400" s="321" t="s">
        <v>12</v>
      </c>
      <c r="CR400" s="320"/>
      <c r="CS400" s="322" t="n">
        <v>-109.019834710744</v>
      </c>
      <c r="CT400" s="322" t="n">
        <v>-165.019834710744</v>
      </c>
      <c r="CU400" s="322" t="n">
        <v>-184.219834710744</v>
      </c>
      <c r="CV400" s="323"/>
      <c r="CW400" s="322" t="n">
        <v>-115.219834710744</v>
      </c>
      <c r="CX400" s="322" t="n">
        <v>-211.219834710744</v>
      </c>
      <c r="CY400" s="322" t="n">
        <v>-211.219834710744</v>
      </c>
      <c r="CZ400" s="322" t="n">
        <v>-211.219834710744</v>
      </c>
      <c r="DA400" s="322" t="n">
        <v>-211.219834710744</v>
      </c>
    </row>
    <row r="401" customFormat="false" ht="12.75" hidden="false" customHeight="false" outlineLevel="0" collapsed="false">
      <c r="B401" s="305" t="s">
        <v>668</v>
      </c>
      <c r="C401" s="305" t="s">
        <v>676</v>
      </c>
      <c r="D401" s="306" t="n">
        <v>946</v>
      </c>
      <c r="E401" s="306" t="n">
        <v>0</v>
      </c>
      <c r="F401" s="306" t="s">
        <v>670</v>
      </c>
      <c r="G401" s="307" t="n">
        <v>48</v>
      </c>
      <c r="H401" s="308" t="n">
        <v>847.933884297521</v>
      </c>
      <c r="I401" s="2"/>
      <c r="J401" s="144" t="s">
        <v>12</v>
      </c>
      <c r="K401" s="309" t="s">
        <v>12</v>
      </c>
      <c r="L401" s="310"/>
      <c r="M401" s="311" t="n">
        <v>359</v>
      </c>
      <c r="N401" s="312" t="n">
        <v>7.5</v>
      </c>
      <c r="O401" s="311" t="n">
        <v>219</v>
      </c>
      <c r="P401" s="312" t="n">
        <v>9.2</v>
      </c>
      <c r="Q401" s="310" t="n">
        <v>219</v>
      </c>
      <c r="R401" s="312" t="n">
        <v>8.8</v>
      </c>
      <c r="S401" s="310"/>
      <c r="T401" s="311" t="n">
        <v>0</v>
      </c>
      <c r="U401" s="312" t="n">
        <v>14.8</v>
      </c>
      <c r="V401" s="311" t="n">
        <v>0</v>
      </c>
      <c r="W401" s="312" t="n">
        <v>12.8</v>
      </c>
      <c r="X401" s="311" t="n">
        <v>0</v>
      </c>
      <c r="Y401" s="312" t="n">
        <v>12.8</v>
      </c>
      <c r="Z401" s="313" t="n">
        <v>0</v>
      </c>
      <c r="AA401" s="314" t="n">
        <v>12.8</v>
      </c>
      <c r="AB401" s="313" t="n">
        <v>0</v>
      </c>
      <c r="AC401" s="314" t="n">
        <v>12.8</v>
      </c>
      <c r="AD401" s="315"/>
      <c r="AE401" s="144" t="n">
        <v>98</v>
      </c>
      <c r="AF401" s="315"/>
      <c r="AG401" s="311" t="n">
        <v>0</v>
      </c>
      <c r="AH401" s="309" t="n">
        <v>0</v>
      </c>
      <c r="AI401" s="310"/>
      <c r="AJ401" s="311" t="n">
        <v>227</v>
      </c>
      <c r="AK401" s="309" t="n">
        <v>360</v>
      </c>
      <c r="AL401" s="311" t="n">
        <v>285</v>
      </c>
      <c r="AM401" s="309" t="n">
        <v>441.6</v>
      </c>
      <c r="AN401" s="311" t="n">
        <v>305</v>
      </c>
      <c r="AO401" s="309" t="n">
        <v>422.4</v>
      </c>
      <c r="AP401" s="310"/>
      <c r="AQ401" s="311" t="n">
        <v>236</v>
      </c>
      <c r="AR401" s="309" t="n">
        <v>710.4</v>
      </c>
      <c r="AS401" s="311" t="n">
        <v>332</v>
      </c>
      <c r="AT401" s="309" t="n">
        <v>614.4</v>
      </c>
      <c r="AU401" s="311" t="n">
        <v>332</v>
      </c>
      <c r="AV401" s="309" t="n">
        <v>614.4</v>
      </c>
      <c r="AW401" s="311" t="n">
        <v>332</v>
      </c>
      <c r="AX401" s="309" t="n">
        <v>614.4</v>
      </c>
      <c r="AY401" s="311" t="n">
        <v>332</v>
      </c>
      <c r="AZ401" s="309" t="n">
        <v>614.4</v>
      </c>
      <c r="BB401" s="144" t="n">
        <v>0</v>
      </c>
      <c r="BC401" s="315"/>
      <c r="BD401" s="311" t="n">
        <v>0</v>
      </c>
      <c r="BE401" s="316" t="n">
        <v>0</v>
      </c>
      <c r="BF401" s="310"/>
      <c r="BG401" s="317" t="n">
        <v>0</v>
      </c>
      <c r="BH401" s="318" t="n">
        <v>0</v>
      </c>
      <c r="BI401" s="317" t="n">
        <v>0</v>
      </c>
      <c r="BJ401" s="318" t="n">
        <v>0</v>
      </c>
      <c r="BK401" s="317" t="n">
        <v>0</v>
      </c>
      <c r="BL401" s="318" t="n">
        <v>0</v>
      </c>
      <c r="BM401" s="310"/>
      <c r="BN401" s="317" t="n">
        <v>0</v>
      </c>
      <c r="BO401" s="318" t="n">
        <v>0</v>
      </c>
      <c r="BP401" s="317" t="n">
        <v>0</v>
      </c>
      <c r="BQ401" s="318" t="n">
        <v>0</v>
      </c>
      <c r="BR401" s="317" t="n">
        <v>0</v>
      </c>
      <c r="BS401" s="318" t="n">
        <v>0</v>
      </c>
      <c r="BT401" s="317" t="n">
        <v>0</v>
      </c>
      <c r="BU401" s="318" t="n">
        <v>0</v>
      </c>
      <c r="BV401" s="317" t="n">
        <v>0</v>
      </c>
      <c r="BW401" s="318" t="n">
        <v>0</v>
      </c>
      <c r="BY401" s="143"/>
      <c r="BZ401" s="315"/>
      <c r="CA401" s="144" t="s">
        <v>12</v>
      </c>
      <c r="CB401" s="315"/>
      <c r="CC401" s="144" t="n">
        <v>-128.933884297521</v>
      </c>
      <c r="CD401" s="144" t="n">
        <v>-187.333884297521</v>
      </c>
      <c r="CE401" s="144" t="n">
        <v>-206.533884297521</v>
      </c>
      <c r="CF401" s="315"/>
      <c r="CG401" s="144" t="n">
        <v>-137.533884297521</v>
      </c>
      <c r="CH401" s="144" t="n">
        <v>-233.533884297521</v>
      </c>
      <c r="CI401" s="144" t="n">
        <v>-233.533884297521</v>
      </c>
      <c r="CJ401" s="144" t="n">
        <v>-233.533884297521</v>
      </c>
      <c r="CK401" s="144" t="n">
        <v>-233.533884297521</v>
      </c>
      <c r="CM401" s="144" t="n">
        <v>825.619834710744</v>
      </c>
      <c r="CO401" s="319"/>
      <c r="CP401" s="320"/>
      <c r="CQ401" s="321" t="s">
        <v>12</v>
      </c>
      <c r="CR401" s="320"/>
      <c r="CS401" s="322" t="n">
        <v>-106.619834710744</v>
      </c>
      <c r="CT401" s="322" t="n">
        <v>-165.019834710744</v>
      </c>
      <c r="CU401" s="322" t="n">
        <v>-184.219834710744</v>
      </c>
      <c r="CV401" s="323"/>
      <c r="CW401" s="322" t="n">
        <v>-115.219834710744</v>
      </c>
      <c r="CX401" s="322" t="n">
        <v>-211.219834710744</v>
      </c>
      <c r="CY401" s="322" t="n">
        <v>-211.219834710744</v>
      </c>
      <c r="CZ401" s="322" t="n">
        <v>-211.219834710744</v>
      </c>
      <c r="DA401" s="322" t="n">
        <v>-211.219834710744</v>
      </c>
    </row>
    <row r="402" customFormat="false" ht="12.75" hidden="false" customHeight="false" outlineLevel="0" collapsed="false">
      <c r="B402" s="305" t="s">
        <v>668</v>
      </c>
      <c r="C402" s="305" t="s">
        <v>677</v>
      </c>
      <c r="D402" s="306" t="n">
        <v>535</v>
      </c>
      <c r="E402" s="306" t="n">
        <v>0</v>
      </c>
      <c r="F402" s="324" t="s">
        <v>678</v>
      </c>
      <c r="G402" s="144" t="n">
        <v>24</v>
      </c>
      <c r="H402" s="325" t="n">
        <v>471.900826446281</v>
      </c>
      <c r="I402" s="2"/>
      <c r="J402" s="144" t="s">
        <v>12</v>
      </c>
      <c r="K402" s="309" t="s">
        <v>12</v>
      </c>
      <c r="L402" s="310"/>
      <c r="M402" s="311" t="n">
        <v>159</v>
      </c>
      <c r="N402" s="312" t="n">
        <v>10</v>
      </c>
      <c r="O402" s="311" t="n">
        <v>19</v>
      </c>
      <c r="P402" s="312" t="n">
        <v>13.5</v>
      </c>
      <c r="Q402" s="310" t="n">
        <v>19</v>
      </c>
      <c r="R402" s="312" t="n">
        <v>12.7</v>
      </c>
      <c r="S402" s="310"/>
      <c r="T402" s="311" t="n">
        <v>0</v>
      </c>
      <c r="U402" s="312" t="n">
        <v>16.6</v>
      </c>
      <c r="V402" s="311" t="n">
        <v>0</v>
      </c>
      <c r="W402" s="312" t="n">
        <v>12.4</v>
      </c>
      <c r="X402" s="311" t="n">
        <v>0</v>
      </c>
      <c r="Y402" s="312" t="n">
        <v>12.4</v>
      </c>
      <c r="Z402" s="313" t="n">
        <v>0</v>
      </c>
      <c r="AA402" s="314" t="n">
        <v>12.4</v>
      </c>
      <c r="AB402" s="313" t="n">
        <v>0</v>
      </c>
      <c r="AC402" s="314" t="n">
        <v>12.4</v>
      </c>
      <c r="AD402" s="315"/>
      <c r="AE402" s="144" t="n">
        <v>63</v>
      </c>
      <c r="AF402" s="315"/>
      <c r="AG402" s="311" t="n">
        <v>0</v>
      </c>
      <c r="AH402" s="309" t="n">
        <v>0</v>
      </c>
      <c r="AI402" s="310"/>
      <c r="AJ402" s="311" t="n">
        <v>136</v>
      </c>
      <c r="AK402" s="309" t="n">
        <v>240</v>
      </c>
      <c r="AL402" s="311" t="n">
        <v>192</v>
      </c>
      <c r="AM402" s="309" t="n">
        <v>324</v>
      </c>
      <c r="AN402" s="310" t="n">
        <v>211</v>
      </c>
      <c r="AO402" s="309" t="n">
        <v>304.8</v>
      </c>
      <c r="AP402" s="310"/>
      <c r="AQ402" s="311" t="n">
        <v>137</v>
      </c>
      <c r="AR402" s="309" t="n">
        <v>398.4</v>
      </c>
      <c r="AS402" s="311" t="n">
        <v>237</v>
      </c>
      <c r="AT402" s="309" t="n">
        <v>297.6</v>
      </c>
      <c r="AU402" s="310" t="n">
        <v>237</v>
      </c>
      <c r="AV402" s="309" t="n">
        <v>297.6</v>
      </c>
      <c r="AW402" s="310" t="n">
        <v>237</v>
      </c>
      <c r="AX402" s="309" t="n">
        <v>297.6</v>
      </c>
      <c r="AY402" s="310" t="n">
        <v>237</v>
      </c>
      <c r="AZ402" s="309" t="n">
        <v>297.6</v>
      </c>
      <c r="BB402" s="144" t="n">
        <v>0</v>
      </c>
      <c r="BC402" s="315"/>
      <c r="BD402" s="311" t="n">
        <v>0</v>
      </c>
      <c r="BE402" s="316" t="n">
        <v>0</v>
      </c>
      <c r="BF402" s="310"/>
      <c r="BG402" s="317" t="n">
        <v>0</v>
      </c>
      <c r="BH402" s="318" t="n">
        <v>0</v>
      </c>
      <c r="BI402" s="317" t="n">
        <v>0</v>
      </c>
      <c r="BJ402" s="318" t="n">
        <v>0.6</v>
      </c>
      <c r="BK402" s="317" t="n">
        <v>0</v>
      </c>
      <c r="BL402" s="318" t="n">
        <v>0.700000000000001</v>
      </c>
      <c r="BM402" s="310"/>
      <c r="BN402" s="317" t="n">
        <v>0</v>
      </c>
      <c r="BO402" s="318" t="n">
        <v>0</v>
      </c>
      <c r="BP402" s="317" t="n">
        <v>0</v>
      </c>
      <c r="BQ402" s="318" t="n">
        <v>0</v>
      </c>
      <c r="BR402" s="317" t="n">
        <v>0</v>
      </c>
      <c r="BS402" s="318" t="n">
        <v>0</v>
      </c>
      <c r="BT402" s="317" t="n">
        <v>0</v>
      </c>
      <c r="BU402" s="318" t="n">
        <v>0</v>
      </c>
      <c r="BV402" s="317" t="n">
        <v>0</v>
      </c>
      <c r="BW402" s="318" t="n">
        <v>0</v>
      </c>
      <c r="BY402" s="143"/>
      <c r="BZ402" s="315"/>
      <c r="CA402" s="144" t="s">
        <v>12</v>
      </c>
      <c r="CB402" s="315"/>
      <c r="CC402" s="144" t="n">
        <v>-72.900826446281</v>
      </c>
      <c r="CD402" s="144" t="n">
        <v>-128.900826446281</v>
      </c>
      <c r="CE402" s="144" t="n">
        <v>-148.100826446281</v>
      </c>
      <c r="CF402" s="315"/>
      <c r="CG402" s="144" t="n">
        <v>-73.500826446281</v>
      </c>
      <c r="CH402" s="144" t="n">
        <v>-174.300826446281</v>
      </c>
      <c r="CI402" s="144" t="n">
        <v>-174.300826446281</v>
      </c>
      <c r="CJ402" s="144" t="n">
        <v>-174.300826446281</v>
      </c>
      <c r="CK402" s="144" t="n">
        <v>-174.300826446281</v>
      </c>
      <c r="CM402" s="144" t="n">
        <v>453.719008264463</v>
      </c>
      <c r="CO402" s="319"/>
      <c r="CP402" s="320"/>
      <c r="CQ402" s="321" t="s">
        <v>12</v>
      </c>
      <c r="CR402" s="320"/>
      <c r="CS402" s="322" t="n">
        <v>-54.7190082644628</v>
      </c>
      <c r="CT402" s="322" t="n">
        <v>-110.719008264463</v>
      </c>
      <c r="CU402" s="322" t="n">
        <v>-129.919008264463</v>
      </c>
      <c r="CV402" s="323"/>
      <c r="CW402" s="322" t="n">
        <v>-55.3190082644628</v>
      </c>
      <c r="CX402" s="322" t="n">
        <v>-156.119008264463</v>
      </c>
      <c r="CY402" s="322" t="n">
        <v>-156.119008264463</v>
      </c>
      <c r="CZ402" s="322" t="n">
        <v>-156.119008264463</v>
      </c>
      <c r="DA402" s="322" t="n">
        <v>-156.119008264463</v>
      </c>
    </row>
    <row r="403" customFormat="false" ht="12.75" hidden="false" customHeight="false" outlineLevel="0" collapsed="false">
      <c r="B403" s="305" t="s">
        <v>668</v>
      </c>
      <c r="C403" s="305" t="s">
        <v>677</v>
      </c>
      <c r="D403" s="306" t="n">
        <v>535</v>
      </c>
      <c r="E403" s="306" t="n">
        <v>0</v>
      </c>
      <c r="F403" s="306" t="s">
        <v>678</v>
      </c>
      <c r="G403" s="307" t="n">
        <v>48</v>
      </c>
      <c r="H403" s="308" t="n">
        <v>471.900826446281</v>
      </c>
      <c r="I403" s="2"/>
      <c r="J403" s="144" t="s">
        <v>12</v>
      </c>
      <c r="K403" s="309" t="s">
        <v>12</v>
      </c>
      <c r="L403" s="310"/>
      <c r="M403" s="311" t="n">
        <v>159</v>
      </c>
      <c r="N403" s="312" t="n">
        <v>5</v>
      </c>
      <c r="O403" s="311" t="n">
        <v>19</v>
      </c>
      <c r="P403" s="312" t="n">
        <v>6.8</v>
      </c>
      <c r="Q403" s="310" t="n">
        <v>19</v>
      </c>
      <c r="R403" s="312" t="n">
        <v>6.4</v>
      </c>
      <c r="S403" s="310"/>
      <c r="T403" s="311" t="n">
        <v>0</v>
      </c>
      <c r="U403" s="312" t="n">
        <v>8.3</v>
      </c>
      <c r="V403" s="311" t="n">
        <v>0</v>
      </c>
      <c r="W403" s="312" t="n">
        <v>6.2</v>
      </c>
      <c r="X403" s="311" t="n">
        <v>0</v>
      </c>
      <c r="Y403" s="312" t="n">
        <v>6.2</v>
      </c>
      <c r="Z403" s="313" t="n">
        <v>0</v>
      </c>
      <c r="AA403" s="314" t="n">
        <v>6.2</v>
      </c>
      <c r="AB403" s="313" t="n">
        <v>0</v>
      </c>
      <c r="AC403" s="314" t="n">
        <v>6.2</v>
      </c>
      <c r="AD403" s="315"/>
      <c r="AE403" s="144" t="n">
        <v>63</v>
      </c>
      <c r="AF403" s="315"/>
      <c r="AG403" s="311" t="n">
        <v>0</v>
      </c>
      <c r="AH403" s="309" t="n">
        <v>0</v>
      </c>
      <c r="AI403" s="310"/>
      <c r="AJ403" s="311" t="n">
        <v>136</v>
      </c>
      <c r="AK403" s="309" t="n">
        <v>240</v>
      </c>
      <c r="AL403" s="311" t="n">
        <v>190</v>
      </c>
      <c r="AM403" s="309" t="n">
        <v>326.4</v>
      </c>
      <c r="AN403" s="311" t="n">
        <v>209</v>
      </c>
      <c r="AO403" s="309" t="n">
        <v>307.2</v>
      </c>
      <c r="AP403" s="310"/>
      <c r="AQ403" s="311" t="n">
        <v>137</v>
      </c>
      <c r="AR403" s="309" t="n">
        <v>398.4</v>
      </c>
      <c r="AS403" s="311" t="n">
        <v>237</v>
      </c>
      <c r="AT403" s="309" t="n">
        <v>297.6</v>
      </c>
      <c r="AU403" s="311" t="n">
        <v>237</v>
      </c>
      <c r="AV403" s="309" t="n">
        <v>297.6</v>
      </c>
      <c r="AW403" s="311" t="n">
        <v>237</v>
      </c>
      <c r="AX403" s="309" t="n">
        <v>297.6</v>
      </c>
      <c r="AY403" s="311" t="n">
        <v>237</v>
      </c>
      <c r="AZ403" s="309" t="n">
        <v>297.6</v>
      </c>
      <c r="BB403" s="144" t="n">
        <v>0</v>
      </c>
      <c r="BC403" s="315"/>
      <c r="BD403" s="311" t="n">
        <v>0</v>
      </c>
      <c r="BE403" s="316" t="n">
        <v>0</v>
      </c>
      <c r="BF403" s="310"/>
      <c r="BG403" s="317" t="n">
        <v>0</v>
      </c>
      <c r="BH403" s="318" t="n">
        <v>0</v>
      </c>
      <c r="BI403" s="317" t="n">
        <v>0</v>
      </c>
      <c r="BJ403" s="318" t="n">
        <v>0</v>
      </c>
      <c r="BK403" s="317" t="n">
        <v>0</v>
      </c>
      <c r="BL403" s="318" t="n">
        <v>0</v>
      </c>
      <c r="BM403" s="310"/>
      <c r="BN403" s="317" t="n">
        <v>0</v>
      </c>
      <c r="BO403" s="318" t="n">
        <v>0</v>
      </c>
      <c r="BP403" s="317" t="n">
        <v>0</v>
      </c>
      <c r="BQ403" s="318" t="n">
        <v>0</v>
      </c>
      <c r="BR403" s="317" t="n">
        <v>0</v>
      </c>
      <c r="BS403" s="318" t="n">
        <v>0</v>
      </c>
      <c r="BT403" s="317" t="n">
        <v>0</v>
      </c>
      <c r="BU403" s="318" t="n">
        <v>0</v>
      </c>
      <c r="BV403" s="317" t="n">
        <v>0</v>
      </c>
      <c r="BW403" s="318" t="n">
        <v>0</v>
      </c>
      <c r="BY403" s="143"/>
      <c r="BZ403" s="315"/>
      <c r="CA403" s="144" t="s">
        <v>12</v>
      </c>
      <c r="CB403" s="315"/>
      <c r="CC403" s="144" t="n">
        <v>-72.900826446281</v>
      </c>
      <c r="CD403" s="144" t="n">
        <v>-126.500826446281</v>
      </c>
      <c r="CE403" s="144" t="n">
        <v>-145.700826446281</v>
      </c>
      <c r="CF403" s="315"/>
      <c r="CG403" s="144" t="n">
        <v>-73.500826446281</v>
      </c>
      <c r="CH403" s="144" t="n">
        <v>-174.300826446281</v>
      </c>
      <c r="CI403" s="144" t="n">
        <v>-174.300826446281</v>
      </c>
      <c r="CJ403" s="144" t="n">
        <v>-174.300826446281</v>
      </c>
      <c r="CK403" s="144" t="n">
        <v>-174.300826446281</v>
      </c>
      <c r="CM403" s="144" t="n">
        <v>453.719008264463</v>
      </c>
      <c r="CO403" s="319"/>
      <c r="CP403" s="320"/>
      <c r="CQ403" s="321" t="s">
        <v>12</v>
      </c>
      <c r="CR403" s="320"/>
      <c r="CS403" s="322" t="n">
        <v>-54.7190082644628</v>
      </c>
      <c r="CT403" s="322" t="n">
        <v>-108.319008264463</v>
      </c>
      <c r="CU403" s="322" t="n">
        <v>-127.519008264463</v>
      </c>
      <c r="CV403" s="323"/>
      <c r="CW403" s="322" t="n">
        <v>-55.3190082644628</v>
      </c>
      <c r="CX403" s="322" t="n">
        <v>-156.119008264463</v>
      </c>
      <c r="CY403" s="322" t="n">
        <v>-156.119008264463</v>
      </c>
      <c r="CZ403" s="322" t="n">
        <v>-156.119008264463</v>
      </c>
      <c r="DA403" s="322" t="n">
        <v>-156.119008264463</v>
      </c>
    </row>
    <row r="404" customFormat="false" ht="12.75" hidden="false" customHeight="false" outlineLevel="0" collapsed="false">
      <c r="B404" s="305" t="s">
        <v>679</v>
      </c>
      <c r="C404" s="305" t="s">
        <v>680</v>
      </c>
      <c r="D404" s="306" t="n">
        <v>72</v>
      </c>
      <c r="E404" s="306" t="n">
        <v>0</v>
      </c>
      <c r="F404" s="324" t="s">
        <v>670</v>
      </c>
      <c r="G404" s="144" t="n">
        <v>24</v>
      </c>
      <c r="H404" s="325" t="n">
        <v>82.6446280991736</v>
      </c>
      <c r="I404" s="2"/>
      <c r="J404" s="144" t="s">
        <v>12</v>
      </c>
      <c r="K404" s="309" t="s">
        <v>12</v>
      </c>
      <c r="L404" s="310"/>
      <c r="M404" s="311" t="n">
        <v>0</v>
      </c>
      <c r="N404" s="312" t="n">
        <v>2.5</v>
      </c>
      <c r="O404" s="311" t="n">
        <v>0</v>
      </c>
      <c r="P404" s="312" t="n">
        <v>2.5</v>
      </c>
      <c r="Q404" s="310" t="n">
        <v>0</v>
      </c>
      <c r="R404" s="312" t="n">
        <v>2.5</v>
      </c>
      <c r="S404" s="310"/>
      <c r="T404" s="311" t="n">
        <v>0</v>
      </c>
      <c r="U404" s="312" t="n">
        <v>2.5</v>
      </c>
      <c r="V404" s="311" t="n">
        <v>0</v>
      </c>
      <c r="W404" s="312" t="n">
        <v>2.5</v>
      </c>
      <c r="X404" s="311" t="n">
        <v>0</v>
      </c>
      <c r="Y404" s="312" t="n">
        <v>2.5</v>
      </c>
      <c r="Z404" s="313" t="n">
        <v>0</v>
      </c>
      <c r="AA404" s="314" t="n">
        <v>2.5</v>
      </c>
      <c r="AB404" s="313" t="n">
        <v>0</v>
      </c>
      <c r="AC404" s="314" t="n">
        <v>2.5</v>
      </c>
      <c r="AD404" s="315"/>
      <c r="AE404" s="144" t="n">
        <v>-11</v>
      </c>
      <c r="AF404" s="315"/>
      <c r="AG404" s="311" t="n">
        <v>0</v>
      </c>
      <c r="AH404" s="309" t="n">
        <v>0</v>
      </c>
      <c r="AI404" s="310"/>
      <c r="AJ404" s="311" t="n">
        <v>12</v>
      </c>
      <c r="AK404" s="309" t="n">
        <v>60</v>
      </c>
      <c r="AL404" s="311" t="n">
        <v>12</v>
      </c>
      <c r="AM404" s="309" t="n">
        <v>60</v>
      </c>
      <c r="AN404" s="310" t="n">
        <v>12</v>
      </c>
      <c r="AO404" s="309" t="n">
        <v>60</v>
      </c>
      <c r="AP404" s="310"/>
      <c r="AQ404" s="311" t="n">
        <v>12</v>
      </c>
      <c r="AR404" s="309" t="n">
        <v>60</v>
      </c>
      <c r="AS404" s="311" t="n">
        <v>12</v>
      </c>
      <c r="AT404" s="309" t="n">
        <v>60</v>
      </c>
      <c r="AU404" s="310" t="n">
        <v>12</v>
      </c>
      <c r="AV404" s="309" t="n">
        <v>60</v>
      </c>
      <c r="AW404" s="310" t="n">
        <v>12</v>
      </c>
      <c r="AX404" s="309" t="n">
        <v>60</v>
      </c>
      <c r="AY404" s="310" t="n">
        <v>12</v>
      </c>
      <c r="AZ404" s="309" t="n">
        <v>60</v>
      </c>
      <c r="BB404" s="144" t="n">
        <v>0</v>
      </c>
      <c r="BC404" s="315"/>
      <c r="BD404" s="311" t="n">
        <v>0</v>
      </c>
      <c r="BE404" s="316" t="n">
        <v>0</v>
      </c>
      <c r="BF404" s="310"/>
      <c r="BG404" s="317" t="n">
        <v>0</v>
      </c>
      <c r="BH404" s="318" t="n">
        <v>0</v>
      </c>
      <c r="BI404" s="317" t="n">
        <v>0</v>
      </c>
      <c r="BJ404" s="318" t="n">
        <v>0</v>
      </c>
      <c r="BK404" s="317" t="n">
        <v>0</v>
      </c>
      <c r="BL404" s="318" t="n">
        <v>0</v>
      </c>
      <c r="BM404" s="310"/>
      <c r="BN404" s="317" t="n">
        <v>0</v>
      </c>
      <c r="BO404" s="318" t="n">
        <v>0</v>
      </c>
      <c r="BP404" s="317" t="n">
        <v>0</v>
      </c>
      <c r="BQ404" s="318" t="n">
        <v>0</v>
      </c>
      <c r="BR404" s="317" t="n">
        <v>0</v>
      </c>
      <c r="BS404" s="318" t="n">
        <v>0</v>
      </c>
      <c r="BT404" s="317" t="n">
        <v>0</v>
      </c>
      <c r="BU404" s="318" t="n">
        <v>0</v>
      </c>
      <c r="BV404" s="317" t="n">
        <v>0</v>
      </c>
      <c r="BW404" s="318" t="n">
        <v>0</v>
      </c>
      <c r="BY404" s="143"/>
      <c r="BZ404" s="315"/>
      <c r="CA404" s="144" t="s">
        <v>12</v>
      </c>
      <c r="CB404" s="315"/>
      <c r="CC404" s="144" t="n">
        <v>-22.6446280991736</v>
      </c>
      <c r="CD404" s="144" t="n">
        <v>-22.6446280991736</v>
      </c>
      <c r="CE404" s="144" t="n">
        <v>-22.6446280991736</v>
      </c>
      <c r="CF404" s="315"/>
      <c r="CG404" s="144" t="n">
        <v>-22.6446280991736</v>
      </c>
      <c r="CH404" s="144" t="n">
        <v>-22.6446280991736</v>
      </c>
      <c r="CI404" s="144" t="n">
        <v>-22.6446280991736</v>
      </c>
      <c r="CJ404" s="144" t="n">
        <v>-22.6446280991736</v>
      </c>
      <c r="CK404" s="144" t="n">
        <v>-22.6446280991736</v>
      </c>
      <c r="CM404" s="144" t="n">
        <v>66.1074380165289</v>
      </c>
      <c r="CO404" s="319"/>
      <c r="CP404" s="320"/>
      <c r="CQ404" s="321" t="s">
        <v>12</v>
      </c>
      <c r="CR404" s="320"/>
      <c r="CS404" s="322" t="n">
        <v>-6.10743801652892</v>
      </c>
      <c r="CT404" s="322" t="n">
        <v>-6.10743801652892</v>
      </c>
      <c r="CU404" s="322" t="n">
        <v>-6.10743801652892</v>
      </c>
      <c r="CV404" s="323"/>
      <c r="CW404" s="322" t="n">
        <v>-6.10743801652892</v>
      </c>
      <c r="CX404" s="322" t="n">
        <v>-6.10743801652892</v>
      </c>
      <c r="CY404" s="322" t="n">
        <v>-6.10743801652892</v>
      </c>
      <c r="CZ404" s="322" t="n">
        <v>-6.10743801652892</v>
      </c>
      <c r="DA404" s="322" t="n">
        <v>-6.10743801652892</v>
      </c>
    </row>
    <row r="405" customFormat="false" ht="12.75" hidden="false" customHeight="false" outlineLevel="0" collapsed="false">
      <c r="B405" s="305" t="s">
        <v>679</v>
      </c>
      <c r="C405" s="305" t="s">
        <v>681</v>
      </c>
      <c r="D405" s="306" t="n">
        <v>83</v>
      </c>
      <c r="E405" s="306" t="n">
        <v>0</v>
      </c>
      <c r="F405" s="306" t="s">
        <v>670</v>
      </c>
      <c r="G405" s="307" t="n">
        <v>24</v>
      </c>
      <c r="H405" s="308" t="n">
        <v>90.9090909090909</v>
      </c>
      <c r="I405" s="2"/>
      <c r="J405" s="144" t="s">
        <v>12</v>
      </c>
      <c r="K405" s="309" t="s">
        <v>12</v>
      </c>
      <c r="L405" s="310"/>
      <c r="M405" s="311" t="n">
        <v>0</v>
      </c>
      <c r="N405" s="312" t="n">
        <v>3.4</v>
      </c>
      <c r="O405" s="311" t="n">
        <v>0</v>
      </c>
      <c r="P405" s="312" t="n">
        <v>3.4</v>
      </c>
      <c r="Q405" s="310" t="n">
        <v>0</v>
      </c>
      <c r="R405" s="312" t="n">
        <v>3.4</v>
      </c>
      <c r="S405" s="310"/>
      <c r="T405" s="311" t="n">
        <v>0</v>
      </c>
      <c r="U405" s="312" t="n">
        <v>3.4</v>
      </c>
      <c r="V405" s="311" t="n">
        <v>0</v>
      </c>
      <c r="W405" s="312" t="n">
        <v>3.4</v>
      </c>
      <c r="X405" s="311" t="n">
        <v>0</v>
      </c>
      <c r="Y405" s="312" t="n">
        <v>3.4</v>
      </c>
      <c r="Z405" s="313" t="n">
        <v>0</v>
      </c>
      <c r="AA405" s="314" t="n">
        <v>3.3</v>
      </c>
      <c r="AB405" s="313" t="n">
        <v>0</v>
      </c>
      <c r="AC405" s="314" t="n">
        <v>3.3</v>
      </c>
      <c r="AD405" s="315"/>
      <c r="AE405" s="144" t="n">
        <v>-8</v>
      </c>
      <c r="AF405" s="315"/>
      <c r="AG405" s="311" t="n">
        <v>0</v>
      </c>
      <c r="AH405" s="309" t="n">
        <v>0</v>
      </c>
      <c r="AI405" s="310"/>
      <c r="AJ405" s="311" t="n">
        <v>1</v>
      </c>
      <c r="AK405" s="309" t="n">
        <v>81.6</v>
      </c>
      <c r="AL405" s="311" t="n">
        <v>1</v>
      </c>
      <c r="AM405" s="309" t="n">
        <v>81.6</v>
      </c>
      <c r="AN405" s="311" t="n">
        <v>1</v>
      </c>
      <c r="AO405" s="309" t="n">
        <v>81.6</v>
      </c>
      <c r="AP405" s="310"/>
      <c r="AQ405" s="311" t="n">
        <v>1</v>
      </c>
      <c r="AR405" s="309" t="n">
        <v>81.6</v>
      </c>
      <c r="AS405" s="311" t="n">
        <v>1</v>
      </c>
      <c r="AT405" s="309" t="n">
        <v>81.6</v>
      </c>
      <c r="AU405" s="311" t="n">
        <v>1</v>
      </c>
      <c r="AV405" s="309" t="n">
        <v>81.6</v>
      </c>
      <c r="AW405" s="311" t="n">
        <v>4</v>
      </c>
      <c r="AX405" s="309" t="n">
        <v>79.2</v>
      </c>
      <c r="AY405" s="311" t="n">
        <v>4</v>
      </c>
      <c r="AZ405" s="309" t="n">
        <v>79.2</v>
      </c>
      <c r="BB405" s="144" t="n">
        <v>0</v>
      </c>
      <c r="BC405" s="315"/>
      <c r="BD405" s="311" t="n">
        <v>0</v>
      </c>
      <c r="BE405" s="316" t="n">
        <v>0</v>
      </c>
      <c r="BF405" s="310"/>
      <c r="BG405" s="317" t="n">
        <v>0</v>
      </c>
      <c r="BH405" s="318" t="n">
        <v>0</v>
      </c>
      <c r="BI405" s="317" t="n">
        <v>0</v>
      </c>
      <c r="BJ405" s="318" t="n">
        <v>0</v>
      </c>
      <c r="BK405" s="317" t="n">
        <v>0</v>
      </c>
      <c r="BL405" s="318" t="n">
        <v>0</v>
      </c>
      <c r="BM405" s="310"/>
      <c r="BN405" s="317" t="n">
        <v>0</v>
      </c>
      <c r="BO405" s="318" t="n">
        <v>0</v>
      </c>
      <c r="BP405" s="317" t="n">
        <v>0</v>
      </c>
      <c r="BQ405" s="318" t="n">
        <v>0</v>
      </c>
      <c r="BR405" s="317" t="n">
        <v>0</v>
      </c>
      <c r="BS405" s="318" t="n">
        <v>0</v>
      </c>
      <c r="BT405" s="317" t="n">
        <v>0</v>
      </c>
      <c r="BU405" s="318" t="n">
        <v>0</v>
      </c>
      <c r="BV405" s="317" t="n">
        <v>0</v>
      </c>
      <c r="BW405" s="318" t="n">
        <v>0</v>
      </c>
      <c r="BY405" s="143"/>
      <c r="BZ405" s="315"/>
      <c r="CA405" s="144" t="s">
        <v>12</v>
      </c>
      <c r="CB405" s="315"/>
      <c r="CC405" s="144" t="n">
        <v>-9.3090909090909</v>
      </c>
      <c r="CD405" s="144" t="n">
        <v>-9.3090909090909</v>
      </c>
      <c r="CE405" s="144" t="n">
        <v>-9.3090909090909</v>
      </c>
      <c r="CF405" s="315"/>
      <c r="CG405" s="144" t="n">
        <v>-9.3090909090909</v>
      </c>
      <c r="CH405" s="144" t="n">
        <v>-9.3090909090909</v>
      </c>
      <c r="CI405" s="144" t="n">
        <v>-9.3090909090909</v>
      </c>
      <c r="CJ405" s="144" t="n">
        <v>-11.7090909090909</v>
      </c>
      <c r="CK405" s="144" t="n">
        <v>-11.7090909090909</v>
      </c>
      <c r="CM405" s="144" t="n">
        <v>82.6363636363636</v>
      </c>
      <c r="CO405" s="319"/>
      <c r="CP405" s="320"/>
      <c r="CQ405" s="321" t="s">
        <v>12</v>
      </c>
      <c r="CR405" s="320"/>
      <c r="CS405" s="322" t="n">
        <v>-1.03636363636363</v>
      </c>
      <c r="CT405" s="322" t="n">
        <v>-1.03636363636363</v>
      </c>
      <c r="CU405" s="322" t="n">
        <v>-1.03636363636363</v>
      </c>
      <c r="CV405" s="323"/>
      <c r="CW405" s="322" t="n">
        <v>-1.03636363636363</v>
      </c>
      <c r="CX405" s="322" t="n">
        <v>-1.03636363636363</v>
      </c>
      <c r="CY405" s="322" t="n">
        <v>-1.03636363636363</v>
      </c>
      <c r="CZ405" s="322" t="n">
        <v>-3.43636363636364</v>
      </c>
      <c r="DA405" s="322" t="n">
        <v>-3.43636363636364</v>
      </c>
    </row>
    <row r="406" customFormat="false" ht="12.75" hidden="false" customHeight="false" outlineLevel="0" collapsed="false">
      <c r="B406" s="305" t="s">
        <v>200</v>
      </c>
      <c r="C406" s="305" t="s">
        <v>682</v>
      </c>
      <c r="D406" s="306" t="n">
        <v>367</v>
      </c>
      <c r="E406" s="306" t="n">
        <v>0</v>
      </c>
      <c r="F406" s="324" t="s">
        <v>670</v>
      </c>
      <c r="G406" s="144" t="n">
        <v>24</v>
      </c>
      <c r="H406" s="325" t="n">
        <v>366.942148760331</v>
      </c>
      <c r="I406" s="2"/>
      <c r="J406" s="144" t="s">
        <v>12</v>
      </c>
      <c r="K406" s="309" t="s">
        <v>12</v>
      </c>
      <c r="L406" s="310"/>
      <c r="M406" s="311" t="n">
        <v>129</v>
      </c>
      <c r="N406" s="312" t="n">
        <v>7.5</v>
      </c>
      <c r="O406" s="311" t="n">
        <v>19</v>
      </c>
      <c r="P406" s="312" t="n">
        <v>9.6</v>
      </c>
      <c r="Q406" s="310" t="n">
        <v>19</v>
      </c>
      <c r="R406" s="312" t="n">
        <v>8.7</v>
      </c>
      <c r="S406" s="310"/>
      <c r="T406" s="311" t="n">
        <v>0</v>
      </c>
      <c r="U406" s="312" t="n">
        <v>12.7</v>
      </c>
      <c r="V406" s="311" t="n">
        <v>0</v>
      </c>
      <c r="W406" s="312" t="n">
        <v>9.1</v>
      </c>
      <c r="X406" s="311" t="n">
        <v>0</v>
      </c>
      <c r="Y406" s="312" t="n">
        <v>9.1</v>
      </c>
      <c r="Z406" s="313" t="n">
        <v>0</v>
      </c>
      <c r="AA406" s="314" t="n">
        <v>9.1</v>
      </c>
      <c r="AB406" s="313" t="n">
        <v>0</v>
      </c>
      <c r="AC406" s="314" t="n">
        <v>9.1</v>
      </c>
      <c r="AD406" s="315"/>
      <c r="AE406" s="144" t="n">
        <v>0</v>
      </c>
      <c r="AF406" s="315"/>
      <c r="AG406" s="311" t="n">
        <v>0</v>
      </c>
      <c r="AH406" s="309" t="n">
        <v>0</v>
      </c>
      <c r="AI406" s="310"/>
      <c r="AJ406" s="311" t="n">
        <v>58</v>
      </c>
      <c r="AK406" s="309" t="n">
        <v>180</v>
      </c>
      <c r="AL406" s="311" t="n">
        <v>118</v>
      </c>
      <c r="AM406" s="309" t="n">
        <v>230.4</v>
      </c>
      <c r="AN406" s="310" t="n">
        <v>139</v>
      </c>
      <c r="AO406" s="309" t="n">
        <v>208.8</v>
      </c>
      <c r="AP406" s="310"/>
      <c r="AQ406" s="311" t="n">
        <v>62</v>
      </c>
      <c r="AR406" s="309" t="n">
        <v>304.8</v>
      </c>
      <c r="AS406" s="311" t="n">
        <v>149</v>
      </c>
      <c r="AT406" s="309" t="n">
        <v>218.4</v>
      </c>
      <c r="AU406" s="310" t="n">
        <v>149</v>
      </c>
      <c r="AV406" s="309" t="n">
        <v>218.4</v>
      </c>
      <c r="AW406" s="310" t="n">
        <v>149</v>
      </c>
      <c r="AX406" s="309" t="n">
        <v>218.4</v>
      </c>
      <c r="AY406" s="310" t="n">
        <v>149</v>
      </c>
      <c r="AZ406" s="309" t="n">
        <v>218.4</v>
      </c>
      <c r="BB406" s="144" t="n">
        <v>0</v>
      </c>
      <c r="BC406" s="315"/>
      <c r="BD406" s="311" t="n">
        <v>0</v>
      </c>
      <c r="BE406" s="316" t="n">
        <v>0</v>
      </c>
      <c r="BF406" s="310"/>
      <c r="BG406" s="317" t="n">
        <v>0</v>
      </c>
      <c r="BH406" s="318" t="n">
        <v>0.199999999999999</v>
      </c>
      <c r="BI406" s="317" t="n">
        <v>0</v>
      </c>
      <c r="BJ406" s="318" t="n">
        <v>0.700000000000001</v>
      </c>
      <c r="BK406" s="317" t="n">
        <v>0</v>
      </c>
      <c r="BL406" s="318" t="n">
        <v>0.800000000000001</v>
      </c>
      <c r="BM406" s="310"/>
      <c r="BN406" s="317" t="n">
        <v>0</v>
      </c>
      <c r="BO406" s="318" t="n">
        <v>-0.199999999999999</v>
      </c>
      <c r="BP406" s="317" t="n">
        <v>0</v>
      </c>
      <c r="BQ406" s="318" t="n">
        <v>0.799999999999999</v>
      </c>
      <c r="BR406" s="317" t="n">
        <v>0</v>
      </c>
      <c r="BS406" s="318" t="n">
        <v>0.799999999999999</v>
      </c>
      <c r="BT406" s="317" t="n">
        <v>0</v>
      </c>
      <c r="BU406" s="318" t="n">
        <v>0.0999999999999996</v>
      </c>
      <c r="BV406" s="317" t="n">
        <v>0</v>
      </c>
      <c r="BW406" s="318" t="n">
        <v>0.0999999999999996</v>
      </c>
      <c r="BY406" s="143"/>
      <c r="BZ406" s="315"/>
      <c r="CA406" s="144" t="s">
        <v>12</v>
      </c>
      <c r="CB406" s="315"/>
      <c r="CC406" s="144" t="n">
        <v>-57.9421487603306</v>
      </c>
      <c r="CD406" s="144" t="n">
        <v>-117.542148760331</v>
      </c>
      <c r="CE406" s="144" t="n">
        <v>-139.142148760331</v>
      </c>
      <c r="CF406" s="315"/>
      <c r="CG406" s="144" t="n">
        <v>-62.1421487603306</v>
      </c>
      <c r="CH406" s="144" t="n">
        <v>-148.542148760331</v>
      </c>
      <c r="CI406" s="144" t="n">
        <v>-148.542148760331</v>
      </c>
      <c r="CJ406" s="144" t="n">
        <v>-148.542148760331</v>
      </c>
      <c r="CK406" s="144" t="n">
        <v>-148.542148760331</v>
      </c>
      <c r="CM406" s="144" t="n">
        <v>313.223140495868</v>
      </c>
      <c r="CO406" s="319"/>
      <c r="CP406" s="320"/>
      <c r="CQ406" s="321" t="s">
        <v>12</v>
      </c>
      <c r="CR406" s="320"/>
      <c r="CS406" s="322" t="n">
        <v>-4.22314049586777</v>
      </c>
      <c r="CT406" s="322" t="n">
        <v>-63.8231404958677</v>
      </c>
      <c r="CU406" s="322" t="n">
        <v>-85.4231404958678</v>
      </c>
      <c r="CV406" s="323"/>
      <c r="CW406" s="322" t="n">
        <v>-8.42314049586776</v>
      </c>
      <c r="CX406" s="322" t="n">
        <v>-94.8231404958678</v>
      </c>
      <c r="CY406" s="322" t="n">
        <v>-94.8231404958678</v>
      </c>
      <c r="CZ406" s="322" t="n">
        <v>-94.8231404958678</v>
      </c>
      <c r="DA406" s="322" t="n">
        <v>-94.8231404958678</v>
      </c>
    </row>
    <row r="407" customFormat="false" ht="12.75" hidden="false" customHeight="false" outlineLevel="0" collapsed="false">
      <c r="B407" s="305" t="s">
        <v>200</v>
      </c>
      <c r="C407" s="305" t="s">
        <v>682</v>
      </c>
      <c r="D407" s="306" t="n">
        <v>367</v>
      </c>
      <c r="E407" s="306" t="n">
        <v>0</v>
      </c>
      <c r="F407" s="306" t="s">
        <v>670</v>
      </c>
      <c r="G407" s="307" t="n">
        <v>48</v>
      </c>
      <c r="H407" s="308" t="n">
        <v>366.942148760331</v>
      </c>
      <c r="I407" s="2"/>
      <c r="J407" s="144" t="s">
        <v>12</v>
      </c>
      <c r="K407" s="309" t="s">
        <v>12</v>
      </c>
      <c r="L407" s="310"/>
      <c r="M407" s="311" t="n">
        <v>129</v>
      </c>
      <c r="N407" s="312" t="n">
        <v>3.8</v>
      </c>
      <c r="O407" s="311" t="n">
        <v>19</v>
      </c>
      <c r="P407" s="312" t="n">
        <v>4.8</v>
      </c>
      <c r="Q407" s="310" t="n">
        <v>19</v>
      </c>
      <c r="R407" s="312" t="n">
        <v>4.4</v>
      </c>
      <c r="S407" s="310"/>
      <c r="T407" s="311" t="n">
        <v>0</v>
      </c>
      <c r="U407" s="312" t="n">
        <v>6.4</v>
      </c>
      <c r="V407" s="311" t="n">
        <v>0</v>
      </c>
      <c r="W407" s="312" t="n">
        <v>4.6</v>
      </c>
      <c r="X407" s="311" t="n">
        <v>0</v>
      </c>
      <c r="Y407" s="312" t="n">
        <v>4.6</v>
      </c>
      <c r="Z407" s="313" t="n">
        <v>0</v>
      </c>
      <c r="AA407" s="314" t="n">
        <v>4.5</v>
      </c>
      <c r="AB407" s="313" t="n">
        <v>0</v>
      </c>
      <c r="AC407" s="314" t="n">
        <v>4.5</v>
      </c>
      <c r="AD407" s="315"/>
      <c r="AE407" s="144" t="n">
        <v>0</v>
      </c>
      <c r="AF407" s="315"/>
      <c r="AG407" s="311" t="n">
        <v>0</v>
      </c>
      <c r="AH407" s="309" t="n">
        <v>0</v>
      </c>
      <c r="AI407" s="310"/>
      <c r="AJ407" s="311" t="n">
        <v>56</v>
      </c>
      <c r="AK407" s="309" t="n">
        <v>182.4</v>
      </c>
      <c r="AL407" s="311" t="n">
        <v>118</v>
      </c>
      <c r="AM407" s="309" t="n">
        <v>230.4</v>
      </c>
      <c r="AN407" s="311" t="n">
        <v>137</v>
      </c>
      <c r="AO407" s="309" t="n">
        <v>211.2</v>
      </c>
      <c r="AP407" s="310"/>
      <c r="AQ407" s="311" t="n">
        <v>60</v>
      </c>
      <c r="AR407" s="309" t="n">
        <v>307.2</v>
      </c>
      <c r="AS407" s="311" t="n">
        <v>146</v>
      </c>
      <c r="AT407" s="309" t="n">
        <v>220.8</v>
      </c>
      <c r="AU407" s="311" t="n">
        <v>146</v>
      </c>
      <c r="AV407" s="309" t="n">
        <v>220.8</v>
      </c>
      <c r="AW407" s="311" t="n">
        <v>151</v>
      </c>
      <c r="AX407" s="309" t="n">
        <v>216</v>
      </c>
      <c r="AY407" s="311" t="n">
        <v>151</v>
      </c>
      <c r="AZ407" s="309" t="n">
        <v>216</v>
      </c>
      <c r="BB407" s="144" t="n">
        <v>0</v>
      </c>
      <c r="BC407" s="315"/>
      <c r="BD407" s="311" t="n">
        <v>0</v>
      </c>
      <c r="BE407" s="316" t="n">
        <v>0</v>
      </c>
      <c r="BF407" s="310"/>
      <c r="BG407" s="317" t="n">
        <v>0</v>
      </c>
      <c r="BH407" s="318" t="n">
        <v>0</v>
      </c>
      <c r="BI407" s="317" t="n">
        <v>0</v>
      </c>
      <c r="BJ407" s="318" t="n">
        <v>0</v>
      </c>
      <c r="BK407" s="317" t="n">
        <v>0</v>
      </c>
      <c r="BL407" s="318" t="n">
        <v>0</v>
      </c>
      <c r="BM407" s="310"/>
      <c r="BN407" s="317" t="n">
        <v>0</v>
      </c>
      <c r="BO407" s="318" t="n">
        <v>0</v>
      </c>
      <c r="BP407" s="317" t="n">
        <v>0</v>
      </c>
      <c r="BQ407" s="318" t="n">
        <v>0</v>
      </c>
      <c r="BR407" s="317" t="n">
        <v>0</v>
      </c>
      <c r="BS407" s="318" t="n">
        <v>0</v>
      </c>
      <c r="BT407" s="317" t="n">
        <v>0</v>
      </c>
      <c r="BU407" s="318" t="n">
        <v>0</v>
      </c>
      <c r="BV407" s="317" t="n">
        <v>0</v>
      </c>
      <c r="BW407" s="318" t="n">
        <v>0</v>
      </c>
      <c r="BY407" s="143"/>
      <c r="BZ407" s="315"/>
      <c r="CA407" s="144" t="s">
        <v>12</v>
      </c>
      <c r="CB407" s="315"/>
      <c r="CC407" s="144" t="n">
        <v>-55.5421487603306</v>
      </c>
      <c r="CD407" s="144" t="n">
        <v>-117.542148760331</v>
      </c>
      <c r="CE407" s="144" t="n">
        <v>-136.742148760331</v>
      </c>
      <c r="CF407" s="315"/>
      <c r="CG407" s="144" t="n">
        <v>-59.7421487603306</v>
      </c>
      <c r="CH407" s="144" t="n">
        <v>-146.142148760331</v>
      </c>
      <c r="CI407" s="144" t="n">
        <v>-146.142148760331</v>
      </c>
      <c r="CJ407" s="144" t="n">
        <v>-150.942148760331</v>
      </c>
      <c r="CK407" s="144" t="n">
        <v>-150.942148760331</v>
      </c>
      <c r="CM407" s="144" t="n">
        <v>313.223140495868</v>
      </c>
      <c r="CO407" s="319"/>
      <c r="CP407" s="320"/>
      <c r="CQ407" s="321" t="s">
        <v>12</v>
      </c>
      <c r="CR407" s="320"/>
      <c r="CS407" s="322" t="n">
        <v>-1.82314049586779</v>
      </c>
      <c r="CT407" s="322" t="n">
        <v>-63.8231404958677</v>
      </c>
      <c r="CU407" s="322" t="n">
        <v>-83.0231404958677</v>
      </c>
      <c r="CV407" s="323"/>
      <c r="CW407" s="322" t="n">
        <v>-6.02314049586772</v>
      </c>
      <c r="CX407" s="322" t="n">
        <v>-92.4231404958678</v>
      </c>
      <c r="CY407" s="322" t="n">
        <v>-92.4231404958678</v>
      </c>
      <c r="CZ407" s="322" t="n">
        <v>-97.2231404958678</v>
      </c>
      <c r="DA407" s="322" t="n">
        <v>-97.2231404958678</v>
      </c>
    </row>
    <row r="408" customFormat="false" ht="12.75" hidden="false" customHeight="false" outlineLevel="0" collapsed="false">
      <c r="B408" s="305" t="s">
        <v>683</v>
      </c>
      <c r="C408" s="305" t="s">
        <v>684</v>
      </c>
      <c r="D408" s="306" t="n">
        <v>434</v>
      </c>
      <c r="E408" s="306" t="n">
        <v>0</v>
      </c>
      <c r="F408" s="324" t="s">
        <v>670</v>
      </c>
      <c r="G408" s="144" t="n">
        <v>24</v>
      </c>
      <c r="H408" s="325" t="n">
        <v>407.438016528926</v>
      </c>
      <c r="I408" s="2"/>
      <c r="J408" s="144" t="s">
        <v>12</v>
      </c>
      <c r="K408" s="309" t="s">
        <v>12</v>
      </c>
      <c r="L408" s="310"/>
      <c r="M408" s="311" t="n">
        <v>139</v>
      </c>
      <c r="N408" s="312" t="n">
        <v>8.3</v>
      </c>
      <c r="O408" s="311" t="n">
        <v>19</v>
      </c>
      <c r="P408" s="312" t="n">
        <v>10.8</v>
      </c>
      <c r="Q408" s="310" t="n">
        <v>19</v>
      </c>
      <c r="R408" s="312" t="n">
        <v>10</v>
      </c>
      <c r="S408" s="310"/>
      <c r="T408" s="311" t="n">
        <v>0</v>
      </c>
      <c r="U408" s="312" t="n">
        <v>13.9</v>
      </c>
      <c r="V408" s="311" t="n">
        <v>0</v>
      </c>
      <c r="W408" s="312" t="n">
        <v>10.8</v>
      </c>
      <c r="X408" s="311" t="n">
        <v>0</v>
      </c>
      <c r="Y408" s="312" t="n">
        <v>10.8</v>
      </c>
      <c r="Z408" s="313" t="n">
        <v>0</v>
      </c>
      <c r="AA408" s="314" t="n">
        <v>10.7</v>
      </c>
      <c r="AB408" s="313" t="n">
        <v>0</v>
      </c>
      <c r="AC408" s="314" t="n">
        <v>10.7</v>
      </c>
      <c r="AD408" s="315"/>
      <c r="AE408" s="144" t="n">
        <v>27</v>
      </c>
      <c r="AF408" s="315"/>
      <c r="AG408" s="311" t="n">
        <v>0</v>
      </c>
      <c r="AH408" s="309" t="n">
        <v>0</v>
      </c>
      <c r="AI408" s="310"/>
      <c r="AJ408" s="311" t="n">
        <v>96</v>
      </c>
      <c r="AK408" s="309" t="n">
        <v>199.2</v>
      </c>
      <c r="AL408" s="311" t="n">
        <v>156</v>
      </c>
      <c r="AM408" s="309" t="n">
        <v>259.2</v>
      </c>
      <c r="AN408" s="310" t="n">
        <v>175</v>
      </c>
      <c r="AO408" s="309" t="n">
        <v>240</v>
      </c>
      <c r="AP408" s="310"/>
      <c r="AQ408" s="311" t="n">
        <v>100</v>
      </c>
      <c r="AR408" s="309" t="n">
        <v>333.6</v>
      </c>
      <c r="AS408" s="311" t="n">
        <v>175</v>
      </c>
      <c r="AT408" s="309" t="n">
        <v>259.2</v>
      </c>
      <c r="AU408" s="310" t="n">
        <v>175</v>
      </c>
      <c r="AV408" s="309" t="n">
        <v>259.2</v>
      </c>
      <c r="AW408" s="310" t="n">
        <v>177</v>
      </c>
      <c r="AX408" s="309" t="n">
        <v>256.8</v>
      </c>
      <c r="AY408" s="310" t="n">
        <v>177</v>
      </c>
      <c r="AZ408" s="309" t="n">
        <v>256.8</v>
      </c>
      <c r="BB408" s="144" t="n">
        <v>0</v>
      </c>
      <c r="BC408" s="315"/>
      <c r="BD408" s="311" t="n">
        <v>0</v>
      </c>
      <c r="BE408" s="316" t="n">
        <v>0</v>
      </c>
      <c r="BF408" s="310"/>
      <c r="BG408" s="317" t="n">
        <v>10</v>
      </c>
      <c r="BH408" s="318" t="n">
        <v>0.4</v>
      </c>
      <c r="BI408" s="317" t="n">
        <v>0</v>
      </c>
      <c r="BJ408" s="318" t="n">
        <v>1</v>
      </c>
      <c r="BK408" s="317" t="n">
        <v>0</v>
      </c>
      <c r="BL408" s="318" t="n">
        <v>1.3</v>
      </c>
      <c r="BM408" s="310"/>
      <c r="BN408" s="317" t="n">
        <v>0</v>
      </c>
      <c r="BO408" s="318" t="n">
        <v>0.6</v>
      </c>
      <c r="BP408" s="317" t="n">
        <v>0</v>
      </c>
      <c r="BQ408" s="318" t="n">
        <v>2.5</v>
      </c>
      <c r="BR408" s="317" t="n">
        <v>0</v>
      </c>
      <c r="BS408" s="318" t="n">
        <v>2.5</v>
      </c>
      <c r="BT408" s="317" t="n">
        <v>0</v>
      </c>
      <c r="BU408" s="318" t="n">
        <v>1.2</v>
      </c>
      <c r="BV408" s="317" t="n">
        <v>0</v>
      </c>
      <c r="BW408" s="318" t="n">
        <v>1.2</v>
      </c>
      <c r="BY408" s="143"/>
      <c r="BZ408" s="315"/>
      <c r="CA408" s="144" t="s">
        <v>12</v>
      </c>
      <c r="CB408" s="315"/>
      <c r="CC408" s="144" t="n">
        <v>-69.2380165289256</v>
      </c>
      <c r="CD408" s="144" t="n">
        <v>-129.238016528926</v>
      </c>
      <c r="CE408" s="144" t="n">
        <v>-148.438016528926</v>
      </c>
      <c r="CF408" s="315"/>
      <c r="CG408" s="144" t="n">
        <v>-73.8380165289256</v>
      </c>
      <c r="CH408" s="144" t="n">
        <v>-148.238016528926</v>
      </c>
      <c r="CI408" s="144" t="n">
        <v>-148.238016528926</v>
      </c>
      <c r="CJ408" s="144" t="n">
        <v>-150.638016528926</v>
      </c>
      <c r="CK408" s="144" t="n">
        <v>-150.638016528926</v>
      </c>
      <c r="CM408" s="144" t="n">
        <v>433.05785123967</v>
      </c>
      <c r="CO408" s="319"/>
      <c r="CP408" s="320"/>
      <c r="CQ408" s="321" t="s">
        <v>12</v>
      </c>
      <c r="CR408" s="320"/>
      <c r="CS408" s="322" t="n">
        <v>-94.8578512396694</v>
      </c>
      <c r="CT408" s="322" t="n">
        <v>-154.857851239669</v>
      </c>
      <c r="CU408" s="322" t="n">
        <v>-174.057851239669</v>
      </c>
      <c r="CV408" s="323"/>
      <c r="CW408" s="322" t="n">
        <v>-99.4578512396694</v>
      </c>
      <c r="CX408" s="322" t="n">
        <v>-173.857851239669</v>
      </c>
      <c r="CY408" s="322" t="n">
        <v>-173.857851239669</v>
      </c>
      <c r="CZ408" s="322" t="n">
        <v>-176.257851239669</v>
      </c>
      <c r="DA408" s="322" t="n">
        <v>-176.257851239669</v>
      </c>
    </row>
    <row r="409" customFormat="false" ht="12.75" hidden="false" customHeight="false" outlineLevel="0" collapsed="false">
      <c r="B409" s="305" t="s">
        <v>683</v>
      </c>
      <c r="C409" s="305" t="s">
        <v>684</v>
      </c>
      <c r="D409" s="306" t="n">
        <v>434</v>
      </c>
      <c r="E409" s="306" t="n">
        <v>0</v>
      </c>
      <c r="F409" s="306" t="s">
        <v>670</v>
      </c>
      <c r="G409" s="307" t="n">
        <v>48</v>
      </c>
      <c r="H409" s="308" t="n">
        <v>407.438016528926</v>
      </c>
      <c r="I409" s="2"/>
      <c r="J409" s="144" t="s">
        <v>12</v>
      </c>
      <c r="K409" s="309" t="s">
        <v>12</v>
      </c>
      <c r="L409" s="310"/>
      <c r="M409" s="311" t="n">
        <v>139</v>
      </c>
      <c r="N409" s="312" t="n">
        <v>4.2</v>
      </c>
      <c r="O409" s="311" t="n">
        <v>19</v>
      </c>
      <c r="P409" s="312" t="n">
        <v>5.4</v>
      </c>
      <c r="Q409" s="310" t="n">
        <v>19</v>
      </c>
      <c r="R409" s="312" t="n">
        <v>5</v>
      </c>
      <c r="S409" s="310"/>
      <c r="T409" s="311" t="n">
        <v>0</v>
      </c>
      <c r="U409" s="312" t="n">
        <v>7</v>
      </c>
      <c r="V409" s="311" t="n">
        <v>0</v>
      </c>
      <c r="W409" s="312" t="n">
        <v>5.4</v>
      </c>
      <c r="X409" s="311" t="n">
        <v>0</v>
      </c>
      <c r="Y409" s="312" t="n">
        <v>5.4</v>
      </c>
      <c r="Z409" s="313" t="n">
        <v>0</v>
      </c>
      <c r="AA409" s="314" t="n">
        <v>5.4</v>
      </c>
      <c r="AB409" s="313" t="n">
        <v>0</v>
      </c>
      <c r="AC409" s="314" t="n">
        <v>5.4</v>
      </c>
      <c r="AD409" s="315"/>
      <c r="AE409" s="144" t="n">
        <v>27</v>
      </c>
      <c r="AF409" s="315"/>
      <c r="AG409" s="311" t="n">
        <v>0</v>
      </c>
      <c r="AH409" s="309" t="n">
        <v>0</v>
      </c>
      <c r="AI409" s="310"/>
      <c r="AJ409" s="311" t="n">
        <v>93</v>
      </c>
      <c r="AK409" s="309" t="n">
        <v>201.6</v>
      </c>
      <c r="AL409" s="311" t="n">
        <v>156</v>
      </c>
      <c r="AM409" s="309" t="n">
        <v>259.2</v>
      </c>
      <c r="AN409" s="311" t="n">
        <v>175</v>
      </c>
      <c r="AO409" s="309" t="n">
        <v>240</v>
      </c>
      <c r="AP409" s="310"/>
      <c r="AQ409" s="311" t="n">
        <v>98</v>
      </c>
      <c r="AR409" s="309" t="n">
        <v>336</v>
      </c>
      <c r="AS409" s="311" t="n">
        <v>175</v>
      </c>
      <c r="AT409" s="309" t="n">
        <v>259.2</v>
      </c>
      <c r="AU409" s="311" t="n">
        <v>175</v>
      </c>
      <c r="AV409" s="309" t="n">
        <v>259.2</v>
      </c>
      <c r="AW409" s="311" t="n">
        <v>175</v>
      </c>
      <c r="AX409" s="309" t="n">
        <v>259.2</v>
      </c>
      <c r="AY409" s="311" t="n">
        <v>175</v>
      </c>
      <c r="AZ409" s="309" t="n">
        <v>259.2</v>
      </c>
      <c r="BB409" s="144" t="n">
        <v>0</v>
      </c>
      <c r="BC409" s="315"/>
      <c r="BD409" s="311" t="n">
        <v>0</v>
      </c>
      <c r="BE409" s="316" t="n">
        <v>0</v>
      </c>
      <c r="BF409" s="310"/>
      <c r="BG409" s="317" t="n">
        <v>0</v>
      </c>
      <c r="BH409" s="318" t="n">
        <v>0</v>
      </c>
      <c r="BI409" s="317" t="n">
        <v>0</v>
      </c>
      <c r="BJ409" s="318" t="n">
        <v>0</v>
      </c>
      <c r="BK409" s="317" t="n">
        <v>0</v>
      </c>
      <c r="BL409" s="318" t="n">
        <v>0</v>
      </c>
      <c r="BM409" s="310"/>
      <c r="BN409" s="317" t="n">
        <v>0</v>
      </c>
      <c r="BO409" s="318" t="n">
        <v>0</v>
      </c>
      <c r="BP409" s="317" t="n">
        <v>0</v>
      </c>
      <c r="BQ409" s="318" t="n">
        <v>0</v>
      </c>
      <c r="BR409" s="317" t="n">
        <v>0</v>
      </c>
      <c r="BS409" s="318" t="n">
        <v>0</v>
      </c>
      <c r="BT409" s="317" t="n">
        <v>0</v>
      </c>
      <c r="BU409" s="318" t="n">
        <v>0</v>
      </c>
      <c r="BV409" s="317" t="n">
        <v>0</v>
      </c>
      <c r="BW409" s="318" t="n">
        <v>0</v>
      </c>
      <c r="BY409" s="143"/>
      <c r="BZ409" s="315"/>
      <c r="CA409" s="144" t="s">
        <v>12</v>
      </c>
      <c r="CB409" s="315"/>
      <c r="CC409" s="144" t="n">
        <v>-66.8380165289256</v>
      </c>
      <c r="CD409" s="144" t="n">
        <v>-129.238016528926</v>
      </c>
      <c r="CE409" s="144" t="n">
        <v>-148.438016528926</v>
      </c>
      <c r="CF409" s="315"/>
      <c r="CG409" s="144" t="n">
        <v>-71.4380165289256</v>
      </c>
      <c r="CH409" s="144" t="n">
        <v>-148.238016528926</v>
      </c>
      <c r="CI409" s="144" t="n">
        <v>-148.238016528926</v>
      </c>
      <c r="CJ409" s="144" t="n">
        <v>-148.238016528926</v>
      </c>
      <c r="CK409" s="144" t="n">
        <v>-148.238016528926</v>
      </c>
      <c r="CM409" s="144" t="n">
        <v>433.05785123967</v>
      </c>
      <c r="CO409" s="319"/>
      <c r="CP409" s="320"/>
      <c r="CQ409" s="321" t="s">
        <v>12</v>
      </c>
      <c r="CR409" s="320"/>
      <c r="CS409" s="322" t="n">
        <v>-92.4578512396694</v>
      </c>
      <c r="CT409" s="322" t="n">
        <v>-154.857851239669</v>
      </c>
      <c r="CU409" s="322" t="n">
        <v>-174.057851239669</v>
      </c>
      <c r="CV409" s="323"/>
      <c r="CW409" s="322" t="n">
        <v>-97.0578512396694</v>
      </c>
      <c r="CX409" s="322" t="n">
        <v>-173.857851239669</v>
      </c>
      <c r="CY409" s="322" t="n">
        <v>-173.857851239669</v>
      </c>
      <c r="CZ409" s="322" t="n">
        <v>-173.857851239669</v>
      </c>
      <c r="DA409" s="322" t="n">
        <v>-173.857851239669</v>
      </c>
    </row>
    <row r="410" customFormat="false" ht="12.75" hidden="false" customHeight="false" outlineLevel="0" collapsed="false">
      <c r="B410" s="305" t="s">
        <v>683</v>
      </c>
      <c r="C410" s="305" t="s">
        <v>685</v>
      </c>
      <c r="D410" s="306" t="n">
        <v>148</v>
      </c>
      <c r="E410" s="306" t="n">
        <v>0</v>
      </c>
      <c r="F410" s="324" t="s">
        <v>670</v>
      </c>
      <c r="G410" s="144" t="n">
        <v>24</v>
      </c>
      <c r="H410" s="325" t="n">
        <v>91.7355371900826</v>
      </c>
      <c r="I410" s="2"/>
      <c r="J410" s="144" t="s">
        <v>12</v>
      </c>
      <c r="K410" s="309" t="s">
        <v>12</v>
      </c>
      <c r="L410" s="310"/>
      <c r="M410" s="311" t="n">
        <v>0</v>
      </c>
      <c r="N410" s="312" t="n">
        <v>3.6</v>
      </c>
      <c r="O410" s="311" t="n">
        <v>0</v>
      </c>
      <c r="P410" s="312" t="n">
        <v>1.1</v>
      </c>
      <c r="Q410" s="310" t="n">
        <v>0</v>
      </c>
      <c r="R410" s="312" t="n">
        <v>0.3</v>
      </c>
      <c r="S410" s="310"/>
      <c r="T410" s="311" t="n">
        <v>0</v>
      </c>
      <c r="U410" s="312" t="n">
        <v>3.6</v>
      </c>
      <c r="V410" s="311" t="n">
        <v>0</v>
      </c>
      <c r="W410" s="312" t="n">
        <v>0.9</v>
      </c>
      <c r="X410" s="311" t="n">
        <v>0</v>
      </c>
      <c r="Y410" s="312" t="n">
        <v>0.9</v>
      </c>
      <c r="Z410" s="313" t="n">
        <v>0</v>
      </c>
      <c r="AA410" s="314" t="n">
        <v>0.8</v>
      </c>
      <c r="AB410" s="313" t="n">
        <v>0</v>
      </c>
      <c r="AC410" s="314" t="n">
        <v>0.8</v>
      </c>
      <c r="AD410" s="315"/>
      <c r="AE410" s="144" t="n">
        <v>56</v>
      </c>
      <c r="AF410" s="315"/>
      <c r="AG410" s="311" t="n">
        <v>0</v>
      </c>
      <c r="AH410" s="309" t="n">
        <v>0</v>
      </c>
      <c r="AI410" s="310"/>
      <c r="AJ410" s="311" t="n">
        <v>62</v>
      </c>
      <c r="AK410" s="309" t="n">
        <v>86.4</v>
      </c>
      <c r="AL410" s="311" t="n">
        <v>122</v>
      </c>
      <c r="AM410" s="309" t="n">
        <v>26.4</v>
      </c>
      <c r="AN410" s="310" t="n">
        <v>141</v>
      </c>
      <c r="AO410" s="309" t="n">
        <v>7.2</v>
      </c>
      <c r="AP410" s="310"/>
      <c r="AQ410" s="311" t="n">
        <v>62</v>
      </c>
      <c r="AR410" s="309" t="n">
        <v>86.4</v>
      </c>
      <c r="AS410" s="311" t="n">
        <v>126</v>
      </c>
      <c r="AT410" s="309" t="n">
        <v>21.6</v>
      </c>
      <c r="AU410" s="310" t="n">
        <v>126</v>
      </c>
      <c r="AV410" s="309" t="n">
        <v>21.6</v>
      </c>
      <c r="AW410" s="310" t="n">
        <v>129</v>
      </c>
      <c r="AX410" s="309" t="n">
        <v>19.2</v>
      </c>
      <c r="AY410" s="310" t="n">
        <v>129</v>
      </c>
      <c r="AZ410" s="309" t="n">
        <v>19.2</v>
      </c>
      <c r="BB410" s="144" t="n">
        <v>0</v>
      </c>
      <c r="BC410" s="315"/>
      <c r="BD410" s="311" t="n">
        <v>0</v>
      </c>
      <c r="BE410" s="316" t="n">
        <v>0</v>
      </c>
      <c r="BF410" s="310"/>
      <c r="BG410" s="317" t="n">
        <v>0</v>
      </c>
      <c r="BH410" s="318" t="n">
        <v>2.6</v>
      </c>
      <c r="BI410" s="317" t="n">
        <v>0</v>
      </c>
      <c r="BJ410" s="318" t="n">
        <v>0.1</v>
      </c>
      <c r="BK410" s="317" t="n">
        <v>0</v>
      </c>
      <c r="BL410" s="318" t="n">
        <v>-0.7</v>
      </c>
      <c r="BM410" s="310"/>
      <c r="BN410" s="317" t="n">
        <v>0</v>
      </c>
      <c r="BO410" s="318" t="n">
        <v>0</v>
      </c>
      <c r="BP410" s="317" t="n">
        <v>0</v>
      </c>
      <c r="BQ410" s="318" t="n">
        <v>0</v>
      </c>
      <c r="BR410" s="317" t="n">
        <v>0</v>
      </c>
      <c r="BS410" s="318" t="n">
        <v>0</v>
      </c>
      <c r="BT410" s="317" t="n">
        <v>0</v>
      </c>
      <c r="BU410" s="318" t="n">
        <v>0.3</v>
      </c>
      <c r="BV410" s="317" t="n">
        <v>0</v>
      </c>
      <c r="BW410" s="318" t="n">
        <v>0.3</v>
      </c>
      <c r="BY410" s="143"/>
      <c r="BZ410" s="315"/>
      <c r="CA410" s="144" t="s">
        <v>12</v>
      </c>
      <c r="CB410" s="315"/>
      <c r="CC410" s="144" t="n">
        <v>-5.33553719008265</v>
      </c>
      <c r="CD410" s="144" t="n">
        <v>-65.3355371900827</v>
      </c>
      <c r="CE410" s="144" t="n">
        <v>-84.5355371900827</v>
      </c>
      <c r="CF410" s="315"/>
      <c r="CG410" s="144" t="n">
        <v>-5.33553719008265</v>
      </c>
      <c r="CH410" s="144" t="n">
        <v>-70.1355371900827</v>
      </c>
      <c r="CI410" s="144" t="n">
        <v>-70.1355371900827</v>
      </c>
      <c r="CJ410" s="144" t="n">
        <v>-72.5355371900826</v>
      </c>
      <c r="CK410" s="144" t="n">
        <v>-72.5355371900826</v>
      </c>
      <c r="CM410" s="144" t="n">
        <v>147.933884297521</v>
      </c>
      <c r="CO410" s="319"/>
      <c r="CP410" s="320"/>
      <c r="CQ410" s="321" t="s">
        <v>12</v>
      </c>
      <c r="CR410" s="320"/>
      <c r="CS410" s="322" t="n">
        <v>-61.5338842975207</v>
      </c>
      <c r="CT410" s="322" t="n">
        <v>-121.533884297521</v>
      </c>
      <c r="CU410" s="322" t="n">
        <v>-140.733884297521</v>
      </c>
      <c r="CV410" s="323"/>
      <c r="CW410" s="322" t="n">
        <v>-61.5338842975207</v>
      </c>
      <c r="CX410" s="322" t="n">
        <v>-126.333884297521</v>
      </c>
      <c r="CY410" s="322" t="n">
        <v>-126.333884297521</v>
      </c>
      <c r="CZ410" s="322" t="n">
        <v>-128.733884297521</v>
      </c>
      <c r="DA410" s="322" t="n">
        <v>-128.733884297521</v>
      </c>
    </row>
    <row r="411" customFormat="false" ht="12.75" hidden="false" customHeight="false" outlineLevel="0" collapsed="false">
      <c r="B411" s="305" t="s">
        <v>683</v>
      </c>
      <c r="C411" s="305" t="s">
        <v>685</v>
      </c>
      <c r="D411" s="306" t="n">
        <v>148</v>
      </c>
      <c r="E411" s="306" t="n">
        <v>0</v>
      </c>
      <c r="F411" s="306" t="s">
        <v>670</v>
      </c>
      <c r="G411" s="307" t="n">
        <v>48</v>
      </c>
      <c r="H411" s="308" t="n">
        <v>91.7355371900826</v>
      </c>
      <c r="I411" s="2"/>
      <c r="J411" s="144" t="s">
        <v>12</v>
      </c>
      <c r="K411" s="309" t="s">
        <v>12</v>
      </c>
      <c r="L411" s="310"/>
      <c r="M411" s="311" t="n">
        <v>0</v>
      </c>
      <c r="N411" s="312" t="n">
        <v>1.8</v>
      </c>
      <c r="O411" s="311" t="n">
        <v>0</v>
      </c>
      <c r="P411" s="312" t="n">
        <v>0.6</v>
      </c>
      <c r="Q411" s="310" t="n">
        <v>0</v>
      </c>
      <c r="R411" s="312" t="n">
        <v>0.2</v>
      </c>
      <c r="S411" s="310"/>
      <c r="T411" s="311" t="n">
        <v>0</v>
      </c>
      <c r="U411" s="312" t="n">
        <v>1.8</v>
      </c>
      <c r="V411" s="311" t="n">
        <v>0</v>
      </c>
      <c r="W411" s="312" t="n">
        <v>0.5</v>
      </c>
      <c r="X411" s="311" t="n">
        <v>0</v>
      </c>
      <c r="Y411" s="312" t="n">
        <v>0.5</v>
      </c>
      <c r="Z411" s="313" t="n">
        <v>0</v>
      </c>
      <c r="AA411" s="314" t="n">
        <v>0.4</v>
      </c>
      <c r="AB411" s="313" t="n">
        <v>0</v>
      </c>
      <c r="AC411" s="314" t="n">
        <v>0.4</v>
      </c>
      <c r="AD411" s="315"/>
      <c r="AE411" s="144" t="n">
        <v>56</v>
      </c>
      <c r="AF411" s="315"/>
      <c r="AG411" s="311" t="n">
        <v>0</v>
      </c>
      <c r="AH411" s="309" t="n">
        <v>0</v>
      </c>
      <c r="AI411" s="310"/>
      <c r="AJ411" s="311" t="n">
        <v>62</v>
      </c>
      <c r="AK411" s="309" t="n">
        <v>86.4</v>
      </c>
      <c r="AL411" s="311" t="n">
        <v>119</v>
      </c>
      <c r="AM411" s="309" t="n">
        <v>28.8</v>
      </c>
      <c r="AN411" s="311" t="n">
        <v>138</v>
      </c>
      <c r="AO411" s="309" t="n">
        <v>9.6</v>
      </c>
      <c r="AP411" s="310"/>
      <c r="AQ411" s="311" t="n">
        <v>62</v>
      </c>
      <c r="AR411" s="309" t="n">
        <v>86.4</v>
      </c>
      <c r="AS411" s="311" t="n">
        <v>124</v>
      </c>
      <c r="AT411" s="309" t="n">
        <v>24</v>
      </c>
      <c r="AU411" s="311" t="n">
        <v>124</v>
      </c>
      <c r="AV411" s="309" t="n">
        <v>24</v>
      </c>
      <c r="AW411" s="311" t="n">
        <v>129</v>
      </c>
      <c r="AX411" s="309" t="n">
        <v>19.2</v>
      </c>
      <c r="AY411" s="311" t="n">
        <v>129</v>
      </c>
      <c r="AZ411" s="309" t="n">
        <v>19.2</v>
      </c>
      <c r="BB411" s="144" t="n">
        <v>0</v>
      </c>
      <c r="BC411" s="315"/>
      <c r="BD411" s="311" t="n">
        <v>0</v>
      </c>
      <c r="BE411" s="316" t="n">
        <v>0</v>
      </c>
      <c r="BF411" s="310"/>
      <c r="BG411" s="317" t="n">
        <v>0</v>
      </c>
      <c r="BH411" s="318" t="n">
        <v>0</v>
      </c>
      <c r="BI411" s="317" t="n">
        <v>0</v>
      </c>
      <c r="BJ411" s="318" t="n">
        <v>0</v>
      </c>
      <c r="BK411" s="317" t="n">
        <v>0</v>
      </c>
      <c r="BL411" s="318" t="n">
        <v>0</v>
      </c>
      <c r="BM411" s="310"/>
      <c r="BN411" s="317" t="n">
        <v>0</v>
      </c>
      <c r="BO411" s="318" t="n">
        <v>0</v>
      </c>
      <c r="BP411" s="317" t="n">
        <v>0</v>
      </c>
      <c r="BQ411" s="318" t="n">
        <v>0</v>
      </c>
      <c r="BR411" s="317" t="n">
        <v>0</v>
      </c>
      <c r="BS411" s="318" t="n">
        <v>0</v>
      </c>
      <c r="BT411" s="317" t="n">
        <v>0</v>
      </c>
      <c r="BU411" s="318" t="n">
        <v>0</v>
      </c>
      <c r="BV411" s="317" t="n">
        <v>0</v>
      </c>
      <c r="BW411" s="318" t="n">
        <v>0</v>
      </c>
      <c r="BY411" s="143"/>
      <c r="BZ411" s="315"/>
      <c r="CA411" s="144" t="s">
        <v>12</v>
      </c>
      <c r="CB411" s="315"/>
      <c r="CC411" s="144" t="n">
        <v>-5.33553719008265</v>
      </c>
      <c r="CD411" s="144" t="n">
        <v>-62.9355371900826</v>
      </c>
      <c r="CE411" s="144" t="n">
        <v>-82.1355371900827</v>
      </c>
      <c r="CF411" s="315"/>
      <c r="CG411" s="144" t="n">
        <v>-5.33553719008265</v>
      </c>
      <c r="CH411" s="144" t="n">
        <v>-67.7355371900827</v>
      </c>
      <c r="CI411" s="144" t="n">
        <v>-67.7355371900827</v>
      </c>
      <c r="CJ411" s="144" t="n">
        <v>-72.5355371900826</v>
      </c>
      <c r="CK411" s="144" t="n">
        <v>-72.5355371900826</v>
      </c>
      <c r="CM411" s="144" t="n">
        <v>147.933884297521</v>
      </c>
      <c r="CO411" s="319"/>
      <c r="CP411" s="320"/>
      <c r="CQ411" s="321" t="s">
        <v>12</v>
      </c>
      <c r="CR411" s="320"/>
      <c r="CS411" s="322" t="n">
        <v>-61.5338842975207</v>
      </c>
      <c r="CT411" s="322" t="n">
        <v>-119.133884297521</v>
      </c>
      <c r="CU411" s="322" t="n">
        <v>-138.333884297521</v>
      </c>
      <c r="CV411" s="323"/>
      <c r="CW411" s="322" t="n">
        <v>-61.5338842975207</v>
      </c>
      <c r="CX411" s="322" t="n">
        <v>-123.933884297521</v>
      </c>
      <c r="CY411" s="322" t="n">
        <v>-123.933884297521</v>
      </c>
      <c r="CZ411" s="322" t="n">
        <v>-128.733884297521</v>
      </c>
      <c r="DA411" s="322" t="n">
        <v>-128.733884297521</v>
      </c>
    </row>
    <row r="412" customFormat="false" ht="12.75" hidden="false" customHeight="false" outlineLevel="0" collapsed="false">
      <c r="B412" s="305" t="s">
        <v>686</v>
      </c>
      <c r="C412" s="327" t="s">
        <v>687</v>
      </c>
      <c r="D412" s="306" t="n">
        <v>364</v>
      </c>
      <c r="E412" s="306" t="n">
        <v>0</v>
      </c>
      <c r="F412" s="324" t="s">
        <v>670</v>
      </c>
      <c r="G412" s="144" t="n">
        <v>24</v>
      </c>
      <c r="H412" s="325" t="n">
        <v>320.661157024793</v>
      </c>
      <c r="I412" s="2"/>
      <c r="J412" s="144" t="s">
        <v>12</v>
      </c>
      <c r="K412" s="309" t="s">
        <v>12</v>
      </c>
      <c r="L412" s="310"/>
      <c r="M412" s="311" t="n">
        <v>99</v>
      </c>
      <c r="N412" s="312" t="n">
        <v>6.7</v>
      </c>
      <c r="O412" s="311" t="n">
        <v>19</v>
      </c>
      <c r="P412" s="312" t="n">
        <v>7.7</v>
      </c>
      <c r="Q412" s="310" t="n">
        <v>19</v>
      </c>
      <c r="R412" s="312" t="n">
        <v>6.9</v>
      </c>
      <c r="S412" s="310"/>
      <c r="T412" s="311" t="n">
        <v>0</v>
      </c>
      <c r="U412" s="312" t="n">
        <v>10.6</v>
      </c>
      <c r="V412" s="311" t="n">
        <v>0</v>
      </c>
      <c r="W412" s="312" t="n">
        <v>8.3</v>
      </c>
      <c r="X412" s="311" t="n">
        <v>0</v>
      </c>
      <c r="Y412" s="312" t="n">
        <v>8.3</v>
      </c>
      <c r="Z412" s="313" t="n">
        <v>0</v>
      </c>
      <c r="AA412" s="314" t="n">
        <v>8.3</v>
      </c>
      <c r="AB412" s="313" t="n">
        <v>0</v>
      </c>
      <c r="AC412" s="314" t="n">
        <v>8.3</v>
      </c>
      <c r="AD412" s="315"/>
      <c r="AE412" s="144" t="n">
        <v>43</v>
      </c>
      <c r="AF412" s="315"/>
      <c r="AG412" s="311" t="n">
        <v>0</v>
      </c>
      <c r="AH412" s="309" t="n">
        <v>0</v>
      </c>
      <c r="AI412" s="310"/>
      <c r="AJ412" s="311" t="n">
        <v>104</v>
      </c>
      <c r="AK412" s="309" t="n">
        <v>160.8</v>
      </c>
      <c r="AL412" s="311" t="n">
        <v>160</v>
      </c>
      <c r="AM412" s="309" t="n">
        <v>184.8</v>
      </c>
      <c r="AN412" s="310" t="n">
        <v>179</v>
      </c>
      <c r="AO412" s="309" t="n">
        <v>165.6</v>
      </c>
      <c r="AP412" s="310"/>
      <c r="AQ412" s="311" t="n">
        <v>110</v>
      </c>
      <c r="AR412" s="309" t="n">
        <v>254.4</v>
      </c>
      <c r="AS412" s="311" t="n">
        <v>165</v>
      </c>
      <c r="AT412" s="309" t="n">
        <v>199.2</v>
      </c>
      <c r="AU412" s="310" t="n">
        <v>165</v>
      </c>
      <c r="AV412" s="309" t="n">
        <v>199.2</v>
      </c>
      <c r="AW412" s="310" t="n">
        <v>165</v>
      </c>
      <c r="AX412" s="309" t="n">
        <v>199.2</v>
      </c>
      <c r="AY412" s="310" t="n">
        <v>165</v>
      </c>
      <c r="AZ412" s="309" t="n">
        <v>199.2</v>
      </c>
      <c r="BB412" s="144" t="n">
        <v>0</v>
      </c>
      <c r="BC412" s="315"/>
      <c r="BD412" s="311" t="n">
        <v>0</v>
      </c>
      <c r="BE412" s="316" t="n">
        <v>0</v>
      </c>
      <c r="BF412" s="310"/>
      <c r="BG412" s="317" t="n">
        <v>0</v>
      </c>
      <c r="BH412" s="318" t="n">
        <v>0</v>
      </c>
      <c r="BI412" s="317" t="n">
        <v>0</v>
      </c>
      <c r="BJ412" s="318" t="n">
        <v>0</v>
      </c>
      <c r="BK412" s="317" t="n">
        <v>0</v>
      </c>
      <c r="BL412" s="318" t="n">
        <v>0</v>
      </c>
      <c r="BM412" s="310"/>
      <c r="BN412" s="317" t="n">
        <v>0</v>
      </c>
      <c r="BO412" s="318" t="n">
        <v>0</v>
      </c>
      <c r="BP412" s="317" t="n">
        <v>0</v>
      </c>
      <c r="BQ412" s="318" t="n">
        <v>0</v>
      </c>
      <c r="BR412" s="317" t="n">
        <v>0</v>
      </c>
      <c r="BS412" s="318" t="n">
        <v>0</v>
      </c>
      <c r="BT412" s="317" t="n">
        <v>0</v>
      </c>
      <c r="BU412" s="318" t="n">
        <v>0</v>
      </c>
      <c r="BV412" s="317" t="n">
        <v>0</v>
      </c>
      <c r="BW412" s="318" t="n">
        <v>0</v>
      </c>
      <c r="BY412" s="143"/>
      <c r="BZ412" s="315"/>
      <c r="CA412" s="144" t="s">
        <v>12</v>
      </c>
      <c r="CB412" s="315"/>
      <c r="CC412" s="144" t="n">
        <v>-60.8611570247934</v>
      </c>
      <c r="CD412" s="144" t="n">
        <v>-116.861157024793</v>
      </c>
      <c r="CE412" s="144" t="n">
        <v>-136.061157024793</v>
      </c>
      <c r="CF412" s="315"/>
      <c r="CG412" s="144" t="n">
        <v>-66.2611570247934</v>
      </c>
      <c r="CH412" s="144" t="n">
        <v>-121.461157024793</v>
      </c>
      <c r="CI412" s="144" t="n">
        <v>-121.461157024793</v>
      </c>
      <c r="CJ412" s="144" t="n">
        <v>-121.461157024793</v>
      </c>
      <c r="CK412" s="144" t="n">
        <v>-121.461157024793</v>
      </c>
      <c r="CM412" s="144" t="n">
        <v>363.628099173554</v>
      </c>
      <c r="CO412" s="319"/>
      <c r="CP412" s="320"/>
      <c r="CQ412" s="321" t="s">
        <v>12</v>
      </c>
      <c r="CR412" s="320"/>
      <c r="CS412" s="322" t="n">
        <v>-103.828099173554</v>
      </c>
      <c r="CT412" s="322" t="n">
        <v>-159.828099173554</v>
      </c>
      <c r="CU412" s="322" t="n">
        <v>-179.028099173554</v>
      </c>
      <c r="CV412" s="323"/>
      <c r="CW412" s="322" t="n">
        <v>-109.228099173554</v>
      </c>
      <c r="CX412" s="322" t="n">
        <v>-164.428099173554</v>
      </c>
      <c r="CY412" s="322" t="n">
        <v>-164.428099173554</v>
      </c>
      <c r="CZ412" s="322" t="n">
        <v>-164.428099173554</v>
      </c>
      <c r="DA412" s="322" t="n">
        <v>-164.428099173554</v>
      </c>
    </row>
    <row r="413" customFormat="false" ht="12.75" hidden="false" customHeight="false" outlineLevel="0" collapsed="false">
      <c r="B413" s="305" t="s">
        <v>686</v>
      </c>
      <c r="C413" s="327" t="s">
        <v>687</v>
      </c>
      <c r="D413" s="306" t="n">
        <v>364</v>
      </c>
      <c r="E413" s="306" t="n">
        <v>0</v>
      </c>
      <c r="F413" s="306" t="s">
        <v>670</v>
      </c>
      <c r="G413" s="307" t="n">
        <v>48</v>
      </c>
      <c r="H413" s="308" t="n">
        <v>320.661157024793</v>
      </c>
      <c r="I413" s="2"/>
      <c r="J413" s="144" t="s">
        <v>12</v>
      </c>
      <c r="K413" s="309" t="s">
        <v>12</v>
      </c>
      <c r="L413" s="310"/>
      <c r="M413" s="311" t="n">
        <v>99</v>
      </c>
      <c r="N413" s="312" t="n">
        <v>3.4</v>
      </c>
      <c r="O413" s="311" t="n">
        <v>19</v>
      </c>
      <c r="P413" s="312" t="n">
        <v>3.9</v>
      </c>
      <c r="Q413" s="310" t="n">
        <v>19</v>
      </c>
      <c r="R413" s="312" t="n">
        <v>3.5</v>
      </c>
      <c r="S413" s="310"/>
      <c r="T413" s="311" t="n">
        <v>0</v>
      </c>
      <c r="U413" s="312" t="n">
        <v>5.3</v>
      </c>
      <c r="V413" s="311" t="n">
        <v>0</v>
      </c>
      <c r="W413" s="312" t="n">
        <v>4.2</v>
      </c>
      <c r="X413" s="311" t="n">
        <v>0</v>
      </c>
      <c r="Y413" s="312" t="n">
        <v>4.2</v>
      </c>
      <c r="Z413" s="313" t="n">
        <v>0</v>
      </c>
      <c r="AA413" s="314" t="n">
        <v>4.2</v>
      </c>
      <c r="AB413" s="313" t="n">
        <v>0</v>
      </c>
      <c r="AC413" s="314" t="n">
        <v>4.2</v>
      </c>
      <c r="AD413" s="315"/>
      <c r="AE413" s="144" t="n">
        <v>43</v>
      </c>
      <c r="AF413" s="315"/>
      <c r="AG413" s="311" t="n">
        <v>0</v>
      </c>
      <c r="AH413" s="309" t="n">
        <v>0</v>
      </c>
      <c r="AI413" s="310"/>
      <c r="AJ413" s="311" t="n">
        <v>102</v>
      </c>
      <c r="AK413" s="309" t="n">
        <v>163.2</v>
      </c>
      <c r="AL413" s="311" t="n">
        <v>158</v>
      </c>
      <c r="AM413" s="309" t="n">
        <v>187.2</v>
      </c>
      <c r="AN413" s="311" t="n">
        <v>177</v>
      </c>
      <c r="AO413" s="309" t="n">
        <v>168</v>
      </c>
      <c r="AP413" s="310"/>
      <c r="AQ413" s="311" t="n">
        <v>110</v>
      </c>
      <c r="AR413" s="309" t="n">
        <v>254.4</v>
      </c>
      <c r="AS413" s="311" t="n">
        <v>162</v>
      </c>
      <c r="AT413" s="309" t="n">
        <v>201.6</v>
      </c>
      <c r="AU413" s="311" t="n">
        <v>162</v>
      </c>
      <c r="AV413" s="309" t="n">
        <v>201.6</v>
      </c>
      <c r="AW413" s="311" t="n">
        <v>162</v>
      </c>
      <c r="AX413" s="309" t="n">
        <v>201.6</v>
      </c>
      <c r="AY413" s="311" t="n">
        <v>162</v>
      </c>
      <c r="AZ413" s="309" t="n">
        <v>201.6</v>
      </c>
      <c r="BB413" s="144" t="n">
        <v>0</v>
      </c>
      <c r="BC413" s="315"/>
      <c r="BD413" s="311" t="n">
        <v>0</v>
      </c>
      <c r="BE413" s="316" t="n">
        <v>0</v>
      </c>
      <c r="BF413" s="310"/>
      <c r="BG413" s="317" t="n">
        <v>0</v>
      </c>
      <c r="BH413" s="318" t="n">
        <v>0</v>
      </c>
      <c r="BI413" s="317" t="n">
        <v>0</v>
      </c>
      <c r="BJ413" s="318" t="n">
        <v>0</v>
      </c>
      <c r="BK413" s="317" t="n">
        <v>0</v>
      </c>
      <c r="BL413" s="318" t="n">
        <v>0</v>
      </c>
      <c r="BM413" s="310"/>
      <c r="BN413" s="317" t="n">
        <v>0</v>
      </c>
      <c r="BO413" s="318" t="n">
        <v>0</v>
      </c>
      <c r="BP413" s="317" t="n">
        <v>0</v>
      </c>
      <c r="BQ413" s="318" t="n">
        <v>0</v>
      </c>
      <c r="BR413" s="317" t="n">
        <v>0</v>
      </c>
      <c r="BS413" s="318" t="n">
        <v>0</v>
      </c>
      <c r="BT413" s="317" t="n">
        <v>0</v>
      </c>
      <c r="BU413" s="318" t="n">
        <v>0</v>
      </c>
      <c r="BV413" s="317" t="n">
        <v>0</v>
      </c>
      <c r="BW413" s="318" t="n">
        <v>0</v>
      </c>
      <c r="BY413" s="143"/>
      <c r="BZ413" s="315"/>
      <c r="CA413" s="144" t="s">
        <v>12</v>
      </c>
      <c r="CB413" s="315"/>
      <c r="CC413" s="144" t="n">
        <v>-58.4611570247934</v>
      </c>
      <c r="CD413" s="144" t="n">
        <v>-114.461157024793</v>
      </c>
      <c r="CE413" s="144" t="n">
        <v>-133.661157024793</v>
      </c>
      <c r="CF413" s="315"/>
      <c r="CG413" s="144" t="n">
        <v>-66.2611570247934</v>
      </c>
      <c r="CH413" s="144" t="n">
        <v>-119.061157024793</v>
      </c>
      <c r="CI413" s="144" t="n">
        <v>-119.061157024793</v>
      </c>
      <c r="CJ413" s="144" t="n">
        <v>-119.061157024793</v>
      </c>
      <c r="CK413" s="144" t="n">
        <v>-119.061157024793</v>
      </c>
      <c r="CM413" s="144" t="n">
        <v>363.628099173554</v>
      </c>
      <c r="CO413" s="319"/>
      <c r="CP413" s="320"/>
      <c r="CQ413" s="321" t="s">
        <v>12</v>
      </c>
      <c r="CR413" s="320"/>
      <c r="CS413" s="322" t="n">
        <v>-101.428099173554</v>
      </c>
      <c r="CT413" s="322" t="n">
        <v>-157.428099173554</v>
      </c>
      <c r="CU413" s="322" t="n">
        <v>-176.628099173554</v>
      </c>
      <c r="CV413" s="323"/>
      <c r="CW413" s="322" t="n">
        <v>-109.228099173554</v>
      </c>
      <c r="CX413" s="322" t="n">
        <v>-162.028099173554</v>
      </c>
      <c r="CY413" s="322" t="n">
        <v>-162.028099173554</v>
      </c>
      <c r="CZ413" s="322" t="n">
        <v>-162.028099173554</v>
      </c>
      <c r="DA413" s="322" t="n">
        <v>-162.028099173554</v>
      </c>
    </row>
    <row r="414" customFormat="false" ht="12.75" hidden="false" customHeight="false" outlineLevel="0" collapsed="false">
      <c r="B414" s="305" t="s">
        <v>497</v>
      </c>
      <c r="C414" s="305" t="s">
        <v>688</v>
      </c>
      <c r="D414" s="306" t="n">
        <v>116</v>
      </c>
      <c r="E414" s="306" t="n">
        <v>0</v>
      </c>
      <c r="F414" s="324" t="s">
        <v>670</v>
      </c>
      <c r="G414" s="144" t="n">
        <v>24</v>
      </c>
      <c r="H414" s="325" t="n">
        <v>85.1239669421488</v>
      </c>
      <c r="I414" s="2"/>
      <c r="J414" s="144" t="s">
        <v>12</v>
      </c>
      <c r="K414" s="309" t="s">
        <v>12</v>
      </c>
      <c r="L414" s="310"/>
      <c r="M414" s="311" t="n">
        <v>0</v>
      </c>
      <c r="N414" s="312" t="n">
        <v>1</v>
      </c>
      <c r="O414" s="311" t="n">
        <v>0</v>
      </c>
      <c r="P414" s="312" t="n">
        <v>1</v>
      </c>
      <c r="Q414" s="310" t="n">
        <v>0</v>
      </c>
      <c r="R414" s="312" t="n">
        <v>0</v>
      </c>
      <c r="S414" s="310"/>
      <c r="T414" s="311" t="n">
        <v>0</v>
      </c>
      <c r="U414" s="312" t="n">
        <v>0.9</v>
      </c>
      <c r="V414" s="311" t="n">
        <v>0</v>
      </c>
      <c r="W414" s="312" t="n">
        <v>0.9</v>
      </c>
      <c r="X414" s="311" t="n">
        <v>0</v>
      </c>
      <c r="Y414" s="312" t="n">
        <v>0.9</v>
      </c>
      <c r="Z414" s="313" t="n">
        <v>0</v>
      </c>
      <c r="AA414" s="314" t="n">
        <v>0.8</v>
      </c>
      <c r="AB414" s="313" t="n">
        <v>0</v>
      </c>
      <c r="AC414" s="314" t="n">
        <v>0.8</v>
      </c>
      <c r="AD414" s="315"/>
      <c r="AE414" s="144" t="n">
        <v>31</v>
      </c>
      <c r="AF414" s="315"/>
      <c r="AG414" s="311" t="n">
        <v>0</v>
      </c>
      <c r="AH414" s="309" t="n">
        <v>0</v>
      </c>
      <c r="AI414" s="310"/>
      <c r="AJ414" s="311" t="n">
        <v>92</v>
      </c>
      <c r="AK414" s="309" t="n">
        <v>24</v>
      </c>
      <c r="AL414" s="311" t="n">
        <v>92</v>
      </c>
      <c r="AM414" s="309" t="n">
        <v>24</v>
      </c>
      <c r="AN414" s="310" t="n">
        <v>116</v>
      </c>
      <c r="AO414" s="309" t="n">
        <v>0</v>
      </c>
      <c r="AP414" s="310"/>
      <c r="AQ414" s="311" t="n">
        <v>94</v>
      </c>
      <c r="AR414" s="309" t="n">
        <v>21.6</v>
      </c>
      <c r="AS414" s="311" t="n">
        <v>94</v>
      </c>
      <c r="AT414" s="309" t="n">
        <v>21.6</v>
      </c>
      <c r="AU414" s="310" t="n">
        <v>94</v>
      </c>
      <c r="AV414" s="309" t="n">
        <v>21.6</v>
      </c>
      <c r="AW414" s="310" t="n">
        <v>97</v>
      </c>
      <c r="AX414" s="309" t="n">
        <v>19.2</v>
      </c>
      <c r="AY414" s="310" t="n">
        <v>97</v>
      </c>
      <c r="AZ414" s="309" t="n">
        <v>19.2</v>
      </c>
      <c r="BB414" s="144" t="n">
        <v>0</v>
      </c>
      <c r="BC414" s="315"/>
      <c r="BD414" s="311" t="n">
        <v>0</v>
      </c>
      <c r="BE414" s="316" t="n">
        <v>0</v>
      </c>
      <c r="BF414" s="310"/>
      <c r="BG414" s="317" t="n">
        <v>0</v>
      </c>
      <c r="BH414" s="318" t="n">
        <v>0</v>
      </c>
      <c r="BI414" s="317" t="n">
        <v>0</v>
      </c>
      <c r="BJ414" s="318" t="n">
        <v>0</v>
      </c>
      <c r="BK414" s="317" t="n">
        <v>0</v>
      </c>
      <c r="BL414" s="318" t="n">
        <v>0</v>
      </c>
      <c r="BM414" s="310"/>
      <c r="BN414" s="317" t="n">
        <v>0</v>
      </c>
      <c r="BO414" s="318" t="n">
        <v>0</v>
      </c>
      <c r="BP414" s="317" t="n">
        <v>0</v>
      </c>
      <c r="BQ414" s="318" t="n">
        <v>0</v>
      </c>
      <c r="BR414" s="317" t="n">
        <v>0</v>
      </c>
      <c r="BS414" s="318" t="n">
        <v>0</v>
      </c>
      <c r="BT414" s="317" t="n">
        <v>0</v>
      </c>
      <c r="BU414" s="318" t="n">
        <v>0</v>
      </c>
      <c r="BV414" s="317" t="n">
        <v>0</v>
      </c>
      <c r="BW414" s="318" t="n">
        <v>0</v>
      </c>
      <c r="BY414" s="143"/>
      <c r="BZ414" s="315"/>
      <c r="CA414" s="144" t="s">
        <v>12</v>
      </c>
      <c r="CB414" s="315"/>
      <c r="CC414" s="144" t="n">
        <v>-61.1239669421488</v>
      </c>
      <c r="CD414" s="144" t="n">
        <v>-61.1239669421488</v>
      </c>
      <c r="CE414" s="144" t="n">
        <v>-85.1239669421488</v>
      </c>
      <c r="CF414" s="315"/>
      <c r="CG414" s="144" t="n">
        <v>-63.5239669421488</v>
      </c>
      <c r="CH414" s="144" t="n">
        <v>-63.5239669421488</v>
      </c>
      <c r="CI414" s="144" t="n">
        <v>-63.5239669421488</v>
      </c>
      <c r="CJ414" s="144" t="n">
        <v>-65.9239669421488</v>
      </c>
      <c r="CK414" s="144" t="n">
        <v>-65.9239669421488</v>
      </c>
      <c r="CM414" s="144" t="n">
        <v>107.429752066116</v>
      </c>
      <c r="CO414" s="319"/>
      <c r="CP414" s="320"/>
      <c r="CQ414" s="321" t="s">
        <v>12</v>
      </c>
      <c r="CR414" s="320"/>
      <c r="CS414" s="322" t="n">
        <v>-83.4297520661157</v>
      </c>
      <c r="CT414" s="322" t="n">
        <v>-83.4297520661157</v>
      </c>
      <c r="CU414" s="322" t="n">
        <v>-107.429752066116</v>
      </c>
      <c r="CV414" s="323"/>
      <c r="CW414" s="322" t="n">
        <v>-85.8297520661157</v>
      </c>
      <c r="CX414" s="322" t="n">
        <v>-85.8297520661157</v>
      </c>
      <c r="CY414" s="322" t="n">
        <v>-85.8297520661157</v>
      </c>
      <c r="CZ414" s="322" t="n">
        <v>-88.2297520661157</v>
      </c>
      <c r="DA414" s="322" t="n">
        <v>-88.2297520661157</v>
      </c>
    </row>
    <row r="415" customFormat="false" ht="12.75" hidden="false" customHeight="false" outlineLevel="0" collapsed="false">
      <c r="B415" s="305" t="s">
        <v>200</v>
      </c>
      <c r="C415" s="305" t="s">
        <v>689</v>
      </c>
      <c r="D415" s="306" t="n">
        <v>215</v>
      </c>
      <c r="E415" s="306" t="n">
        <v>0</v>
      </c>
      <c r="F415" s="306" t="s">
        <v>670</v>
      </c>
      <c r="G415" s="307" t="n">
        <v>24</v>
      </c>
      <c r="H415" s="308" t="n">
        <v>214.04958677686</v>
      </c>
      <c r="I415" s="2"/>
      <c r="J415" s="144" t="s">
        <v>12</v>
      </c>
      <c r="K415" s="309" t="s">
        <v>12</v>
      </c>
      <c r="L415" s="310"/>
      <c r="M415" s="311" t="n">
        <v>39</v>
      </c>
      <c r="N415" s="312" t="n">
        <v>6.5</v>
      </c>
      <c r="O415" s="311" t="n">
        <v>0</v>
      </c>
      <c r="P415" s="312" t="n">
        <v>5.4</v>
      </c>
      <c r="Q415" s="310" t="n">
        <v>0</v>
      </c>
      <c r="R415" s="312" t="n">
        <v>4.6</v>
      </c>
      <c r="S415" s="310"/>
      <c r="T415" s="311" t="n">
        <v>0</v>
      </c>
      <c r="U415" s="312" t="n">
        <v>7.7</v>
      </c>
      <c r="V415" s="311" t="n">
        <v>0</v>
      </c>
      <c r="W415" s="312" t="n">
        <v>4.2</v>
      </c>
      <c r="X415" s="311" t="n">
        <v>0</v>
      </c>
      <c r="Y415" s="312" t="n">
        <v>4.2</v>
      </c>
      <c r="Z415" s="313" t="n">
        <v>0</v>
      </c>
      <c r="AA415" s="314" t="n">
        <v>5</v>
      </c>
      <c r="AB415" s="313" t="n">
        <v>0</v>
      </c>
      <c r="AC415" s="314" t="n">
        <v>5</v>
      </c>
      <c r="AD415" s="315"/>
      <c r="AE415" s="144" t="n">
        <v>1</v>
      </c>
      <c r="AF415" s="315"/>
      <c r="AG415" s="311" t="n">
        <v>0</v>
      </c>
      <c r="AH415" s="309" t="n">
        <v>0</v>
      </c>
      <c r="AI415" s="310"/>
      <c r="AJ415" s="311" t="n">
        <v>20</v>
      </c>
      <c r="AK415" s="309" t="n">
        <v>156</v>
      </c>
      <c r="AL415" s="311" t="n">
        <v>85</v>
      </c>
      <c r="AM415" s="309" t="n">
        <v>129.6</v>
      </c>
      <c r="AN415" s="311" t="n">
        <v>105</v>
      </c>
      <c r="AO415" s="309" t="n">
        <v>110.4</v>
      </c>
      <c r="AP415" s="310"/>
      <c r="AQ415" s="311" t="n">
        <v>30</v>
      </c>
      <c r="AR415" s="309" t="n">
        <v>184.8</v>
      </c>
      <c r="AS415" s="311" t="n">
        <v>114</v>
      </c>
      <c r="AT415" s="309" t="n">
        <v>100.8</v>
      </c>
      <c r="AU415" s="311" t="n">
        <v>114</v>
      </c>
      <c r="AV415" s="309" t="n">
        <v>100.8</v>
      </c>
      <c r="AW415" s="311" t="n">
        <v>95</v>
      </c>
      <c r="AX415" s="309" t="n">
        <v>120</v>
      </c>
      <c r="AY415" s="311" t="n">
        <v>95</v>
      </c>
      <c r="AZ415" s="309" t="n">
        <v>120</v>
      </c>
      <c r="BB415" s="144" t="n">
        <v>0</v>
      </c>
      <c r="BC415" s="315"/>
      <c r="BD415" s="311" t="n">
        <v>0</v>
      </c>
      <c r="BE415" s="316" t="n">
        <v>0</v>
      </c>
      <c r="BF415" s="310"/>
      <c r="BG415" s="317" t="n">
        <v>0</v>
      </c>
      <c r="BH415" s="318" t="n">
        <v>0.3</v>
      </c>
      <c r="BI415" s="317" t="n">
        <v>0</v>
      </c>
      <c r="BJ415" s="318" t="n">
        <v>0.8</v>
      </c>
      <c r="BK415" s="317" t="n">
        <v>0</v>
      </c>
      <c r="BL415" s="318" t="n">
        <v>0.8</v>
      </c>
      <c r="BM415" s="310"/>
      <c r="BN415" s="317" t="n">
        <v>0</v>
      </c>
      <c r="BO415" s="318" t="n">
        <v>-0.2</v>
      </c>
      <c r="BP415" s="317" t="n">
        <v>0</v>
      </c>
      <c r="BQ415" s="318" t="n">
        <v>0</v>
      </c>
      <c r="BR415" s="317" t="n">
        <v>0</v>
      </c>
      <c r="BS415" s="318" t="n">
        <v>0</v>
      </c>
      <c r="BT415" s="317" t="n">
        <v>0</v>
      </c>
      <c r="BU415" s="318" t="n">
        <v>0.9</v>
      </c>
      <c r="BV415" s="317" t="n">
        <v>0</v>
      </c>
      <c r="BW415" s="318" t="n">
        <v>0.9</v>
      </c>
      <c r="BY415" s="143"/>
      <c r="BZ415" s="315"/>
      <c r="CA415" s="144" t="s">
        <v>12</v>
      </c>
      <c r="CB415" s="315"/>
      <c r="CC415" s="144" t="n">
        <v>-19.0495867768595</v>
      </c>
      <c r="CD415" s="144" t="n">
        <v>-84.4495867768595</v>
      </c>
      <c r="CE415" s="144" t="n">
        <v>-103.64958677686</v>
      </c>
      <c r="CF415" s="315"/>
      <c r="CG415" s="144" t="n">
        <v>-29.2495867768595</v>
      </c>
      <c r="CH415" s="144" t="n">
        <v>-113.24958677686</v>
      </c>
      <c r="CI415" s="144" t="n">
        <v>-113.24958677686</v>
      </c>
      <c r="CJ415" s="144" t="n">
        <v>-94.0495867768595</v>
      </c>
      <c r="CK415" s="144" t="n">
        <v>-94.0495867768595</v>
      </c>
      <c r="CM415" s="144" t="n">
        <v>198.338842975207</v>
      </c>
      <c r="CO415" s="319"/>
      <c r="CP415" s="320"/>
      <c r="CQ415" s="321" t="s">
        <v>12</v>
      </c>
      <c r="CR415" s="320"/>
      <c r="CS415" s="322" t="n">
        <v>-3.33884297520663</v>
      </c>
      <c r="CT415" s="322" t="n">
        <v>-68.7388429752066</v>
      </c>
      <c r="CU415" s="322" t="n">
        <v>-87.9388429752066</v>
      </c>
      <c r="CV415" s="323"/>
      <c r="CW415" s="322" t="n">
        <v>-13.5388429752066</v>
      </c>
      <c r="CX415" s="322" t="n">
        <v>-97.5388429752066</v>
      </c>
      <c r="CY415" s="322" t="n">
        <v>-97.5388429752066</v>
      </c>
      <c r="CZ415" s="322" t="n">
        <v>-78.3388429752066</v>
      </c>
      <c r="DA415" s="322" t="n">
        <v>-78.3388429752066</v>
      </c>
    </row>
    <row r="416" customFormat="false" ht="12.75" hidden="false" customHeight="false" outlineLevel="0" collapsed="false">
      <c r="B416" s="305" t="s">
        <v>200</v>
      </c>
      <c r="C416" s="305" t="s">
        <v>689</v>
      </c>
      <c r="D416" s="306" t="n">
        <v>215</v>
      </c>
      <c r="E416" s="306" t="n">
        <v>0</v>
      </c>
      <c r="F416" s="324" t="s">
        <v>670</v>
      </c>
      <c r="G416" s="144" t="n">
        <v>48</v>
      </c>
      <c r="H416" s="325" t="n">
        <v>214.04958677686</v>
      </c>
      <c r="I416" s="2"/>
      <c r="J416" s="144" t="s">
        <v>12</v>
      </c>
      <c r="K416" s="309" t="s">
        <v>12</v>
      </c>
      <c r="L416" s="310"/>
      <c r="M416" s="311" t="n">
        <v>39</v>
      </c>
      <c r="N416" s="312" t="n">
        <v>3.3</v>
      </c>
      <c r="O416" s="311" t="n">
        <v>0</v>
      </c>
      <c r="P416" s="312" t="n">
        <v>2.7</v>
      </c>
      <c r="Q416" s="310" t="n">
        <v>0</v>
      </c>
      <c r="R416" s="312" t="n">
        <v>2.3</v>
      </c>
      <c r="S416" s="310"/>
      <c r="T416" s="311" t="n">
        <v>0</v>
      </c>
      <c r="U416" s="312" t="n">
        <v>3.9</v>
      </c>
      <c r="V416" s="311" t="n">
        <v>0</v>
      </c>
      <c r="W416" s="312" t="n">
        <v>2.1</v>
      </c>
      <c r="X416" s="311" t="n">
        <v>0</v>
      </c>
      <c r="Y416" s="312" t="n">
        <v>2.1</v>
      </c>
      <c r="Z416" s="313" t="n">
        <v>0</v>
      </c>
      <c r="AA416" s="314" t="n">
        <v>2.5</v>
      </c>
      <c r="AB416" s="313" t="n">
        <v>0</v>
      </c>
      <c r="AC416" s="314" t="n">
        <v>2.5</v>
      </c>
      <c r="AD416" s="315"/>
      <c r="AE416" s="144" t="n">
        <v>1</v>
      </c>
      <c r="AF416" s="315"/>
      <c r="AG416" s="311" t="n">
        <v>0</v>
      </c>
      <c r="AH416" s="309" t="n">
        <v>0</v>
      </c>
      <c r="AI416" s="310"/>
      <c r="AJ416" s="311" t="n">
        <v>18</v>
      </c>
      <c r="AK416" s="309" t="n">
        <v>158.4</v>
      </c>
      <c r="AL416" s="311" t="n">
        <v>85</v>
      </c>
      <c r="AM416" s="309" t="n">
        <v>129.6</v>
      </c>
      <c r="AN416" s="310" t="n">
        <v>105</v>
      </c>
      <c r="AO416" s="309" t="n">
        <v>110.4</v>
      </c>
      <c r="AP416" s="310"/>
      <c r="AQ416" s="311" t="n">
        <v>28</v>
      </c>
      <c r="AR416" s="309" t="n">
        <v>187.2</v>
      </c>
      <c r="AS416" s="311" t="n">
        <v>114</v>
      </c>
      <c r="AT416" s="309" t="n">
        <v>100.8</v>
      </c>
      <c r="AU416" s="310" t="n">
        <v>114</v>
      </c>
      <c r="AV416" s="309" t="n">
        <v>100.8</v>
      </c>
      <c r="AW416" s="310" t="n">
        <v>95</v>
      </c>
      <c r="AX416" s="309" t="n">
        <v>120</v>
      </c>
      <c r="AY416" s="310" t="n">
        <v>95</v>
      </c>
      <c r="AZ416" s="309" t="n">
        <v>120</v>
      </c>
      <c r="BB416" s="144" t="n">
        <v>0</v>
      </c>
      <c r="BC416" s="315"/>
      <c r="BD416" s="311" t="n">
        <v>0</v>
      </c>
      <c r="BE416" s="316" t="n">
        <v>0</v>
      </c>
      <c r="BF416" s="310"/>
      <c r="BG416" s="317" t="n">
        <v>0</v>
      </c>
      <c r="BH416" s="318" t="n">
        <v>0</v>
      </c>
      <c r="BI416" s="317" t="n">
        <v>0</v>
      </c>
      <c r="BJ416" s="318" t="n">
        <v>0</v>
      </c>
      <c r="BK416" s="317" t="n">
        <v>0</v>
      </c>
      <c r="BL416" s="318" t="n">
        <v>0</v>
      </c>
      <c r="BM416" s="310"/>
      <c r="BN416" s="317" t="n">
        <v>0</v>
      </c>
      <c r="BO416" s="318" t="n">
        <v>0</v>
      </c>
      <c r="BP416" s="317" t="n">
        <v>0</v>
      </c>
      <c r="BQ416" s="318" t="n">
        <v>0</v>
      </c>
      <c r="BR416" s="317" t="n">
        <v>0</v>
      </c>
      <c r="BS416" s="318" t="n">
        <v>0</v>
      </c>
      <c r="BT416" s="317" t="n">
        <v>0</v>
      </c>
      <c r="BU416" s="318" t="n">
        <v>0</v>
      </c>
      <c r="BV416" s="317" t="n">
        <v>0</v>
      </c>
      <c r="BW416" s="318" t="n">
        <v>0</v>
      </c>
      <c r="BY416" s="143"/>
      <c r="BZ416" s="315"/>
      <c r="CA416" s="144" t="s">
        <v>12</v>
      </c>
      <c r="CB416" s="315"/>
      <c r="CC416" s="144" t="n">
        <v>-16.6495867768595</v>
      </c>
      <c r="CD416" s="144" t="n">
        <v>-84.4495867768595</v>
      </c>
      <c r="CE416" s="144" t="n">
        <v>-103.64958677686</v>
      </c>
      <c r="CF416" s="315"/>
      <c r="CG416" s="144" t="n">
        <v>-26.8495867768595</v>
      </c>
      <c r="CH416" s="144" t="n">
        <v>-113.24958677686</v>
      </c>
      <c r="CI416" s="144" t="n">
        <v>-113.24958677686</v>
      </c>
      <c r="CJ416" s="144" t="n">
        <v>-94.0495867768595</v>
      </c>
      <c r="CK416" s="144" t="n">
        <v>-94.0495867768595</v>
      </c>
      <c r="CM416" s="144" t="n">
        <v>198.338842975207</v>
      </c>
      <c r="CO416" s="319"/>
      <c r="CP416" s="320"/>
      <c r="CQ416" s="321" t="s">
        <v>12</v>
      </c>
      <c r="CR416" s="320"/>
      <c r="CS416" s="322" t="n">
        <v>-0.938842975206626</v>
      </c>
      <c r="CT416" s="322" t="n">
        <v>-68.7388429752066</v>
      </c>
      <c r="CU416" s="322" t="n">
        <v>-87.9388429752066</v>
      </c>
      <c r="CV416" s="323"/>
      <c r="CW416" s="322" t="n">
        <v>-11.1388429752066</v>
      </c>
      <c r="CX416" s="322" t="n">
        <v>-97.5388429752066</v>
      </c>
      <c r="CY416" s="322" t="n">
        <v>-97.5388429752066</v>
      </c>
      <c r="CZ416" s="322" t="n">
        <v>-78.3388429752066</v>
      </c>
      <c r="DA416" s="322" t="n">
        <v>-78.3388429752066</v>
      </c>
    </row>
    <row r="417" customFormat="false" ht="12.75" hidden="false" customHeight="false" outlineLevel="0" collapsed="false">
      <c r="B417" s="305" t="s">
        <v>497</v>
      </c>
      <c r="C417" s="305" t="s">
        <v>690</v>
      </c>
      <c r="D417" s="306" t="n">
        <v>188</v>
      </c>
      <c r="E417" s="306" t="n">
        <v>0</v>
      </c>
      <c r="F417" s="306" t="s">
        <v>670</v>
      </c>
      <c r="G417" s="307" t="n">
        <v>24</v>
      </c>
      <c r="H417" s="308" t="n">
        <v>172.727272727273</v>
      </c>
      <c r="I417" s="2"/>
      <c r="J417" s="144" t="s">
        <v>12</v>
      </c>
      <c r="K417" s="309" t="s">
        <v>12</v>
      </c>
      <c r="L417" s="310"/>
      <c r="M417" s="311" t="n">
        <v>29</v>
      </c>
      <c r="N417" s="312" t="n">
        <v>5</v>
      </c>
      <c r="O417" s="311" t="n">
        <v>0</v>
      </c>
      <c r="P417" s="312" t="n">
        <v>3.6</v>
      </c>
      <c r="Q417" s="310" t="n">
        <v>0</v>
      </c>
      <c r="R417" s="312" t="n">
        <v>2.7</v>
      </c>
      <c r="S417" s="310"/>
      <c r="T417" s="311" t="n">
        <v>0</v>
      </c>
      <c r="U417" s="312" t="n">
        <v>6</v>
      </c>
      <c r="V417" s="311" t="n">
        <v>0</v>
      </c>
      <c r="W417" s="312" t="n">
        <v>3.4</v>
      </c>
      <c r="X417" s="311" t="n">
        <v>0</v>
      </c>
      <c r="Y417" s="312" t="n">
        <v>3.4</v>
      </c>
      <c r="Z417" s="313" t="n">
        <v>0</v>
      </c>
      <c r="AA417" s="314" t="n">
        <v>3.3</v>
      </c>
      <c r="AB417" s="313" t="n">
        <v>0</v>
      </c>
      <c r="AC417" s="314" t="n">
        <v>3.3</v>
      </c>
      <c r="AD417" s="315"/>
      <c r="AE417" s="144" t="n">
        <v>15</v>
      </c>
      <c r="AF417" s="315"/>
      <c r="AG417" s="311" t="n">
        <v>0</v>
      </c>
      <c r="AH417" s="309" t="n">
        <v>0</v>
      </c>
      <c r="AI417" s="310"/>
      <c r="AJ417" s="311" t="n">
        <v>39</v>
      </c>
      <c r="AK417" s="309" t="n">
        <v>120</v>
      </c>
      <c r="AL417" s="311" t="n">
        <v>102</v>
      </c>
      <c r="AM417" s="309" t="n">
        <v>86.4</v>
      </c>
      <c r="AN417" s="311" t="n">
        <v>123</v>
      </c>
      <c r="AO417" s="309" t="n">
        <v>64.8</v>
      </c>
      <c r="AP417" s="310"/>
      <c r="AQ417" s="311" t="n">
        <v>44</v>
      </c>
      <c r="AR417" s="309" t="n">
        <v>144</v>
      </c>
      <c r="AS417" s="311" t="n">
        <v>106</v>
      </c>
      <c r="AT417" s="309" t="n">
        <v>81.6</v>
      </c>
      <c r="AU417" s="311" t="n">
        <v>106</v>
      </c>
      <c r="AV417" s="309" t="n">
        <v>81.6</v>
      </c>
      <c r="AW417" s="311" t="n">
        <v>109</v>
      </c>
      <c r="AX417" s="309" t="n">
        <v>79.2</v>
      </c>
      <c r="AY417" s="311" t="n">
        <v>109</v>
      </c>
      <c r="AZ417" s="309" t="n">
        <v>79.2</v>
      </c>
      <c r="BB417" s="144" t="n">
        <v>0</v>
      </c>
      <c r="BC417" s="315"/>
      <c r="BD417" s="311" t="n">
        <v>0</v>
      </c>
      <c r="BE417" s="316" t="n">
        <v>0</v>
      </c>
      <c r="BF417" s="310"/>
      <c r="BG417" s="317" t="n">
        <v>0</v>
      </c>
      <c r="BH417" s="318" t="n">
        <v>0.199999999999999</v>
      </c>
      <c r="BI417" s="317" t="n">
        <v>0</v>
      </c>
      <c r="BJ417" s="318" t="n">
        <v>0.7</v>
      </c>
      <c r="BK417" s="317" t="n">
        <v>0</v>
      </c>
      <c r="BL417" s="318" t="n">
        <v>0.6</v>
      </c>
      <c r="BM417" s="310"/>
      <c r="BN417" s="317" t="n">
        <v>0</v>
      </c>
      <c r="BO417" s="318" t="n">
        <v>0</v>
      </c>
      <c r="BP417" s="317" t="n">
        <v>0</v>
      </c>
      <c r="BQ417" s="318" t="n">
        <v>1.3</v>
      </c>
      <c r="BR417" s="317" t="n">
        <v>0</v>
      </c>
      <c r="BS417" s="318" t="n">
        <v>1.3</v>
      </c>
      <c r="BT417" s="317" t="n">
        <v>0</v>
      </c>
      <c r="BU417" s="318" t="n">
        <v>1.2</v>
      </c>
      <c r="BV417" s="317" t="n">
        <v>0</v>
      </c>
      <c r="BW417" s="318" t="n">
        <v>1.2</v>
      </c>
      <c r="BY417" s="143"/>
      <c r="BZ417" s="315"/>
      <c r="CA417" s="144" t="s">
        <v>12</v>
      </c>
      <c r="CB417" s="315"/>
      <c r="CC417" s="144" t="n">
        <v>-23.7272727272727</v>
      </c>
      <c r="CD417" s="144" t="n">
        <v>-86.3272727272727</v>
      </c>
      <c r="CE417" s="144" t="n">
        <v>-107.927272727273</v>
      </c>
      <c r="CF417" s="315"/>
      <c r="CG417" s="144" t="n">
        <v>-28.7272727272727</v>
      </c>
      <c r="CH417" s="144" t="n">
        <v>-91.1272727272727</v>
      </c>
      <c r="CI417" s="144" t="n">
        <v>-91.1272727272727</v>
      </c>
      <c r="CJ417" s="144" t="n">
        <v>-93.5272727272727</v>
      </c>
      <c r="CK417" s="144" t="n">
        <v>-93.5272727272727</v>
      </c>
      <c r="CM417" s="144" t="n">
        <v>148.752066115702</v>
      </c>
      <c r="CO417" s="319"/>
      <c r="CP417" s="320"/>
      <c r="CQ417" s="321" t="s">
        <v>12</v>
      </c>
      <c r="CR417" s="320"/>
      <c r="CS417" s="322" t="n">
        <v>0.24793388429751</v>
      </c>
      <c r="CT417" s="322" t="n">
        <v>-62.3520661157025</v>
      </c>
      <c r="CU417" s="322" t="n">
        <v>-83.9520661157025</v>
      </c>
      <c r="CV417" s="323"/>
      <c r="CW417" s="322" t="n">
        <v>-4.75206611570249</v>
      </c>
      <c r="CX417" s="322" t="n">
        <v>-67.1520661157025</v>
      </c>
      <c r="CY417" s="322" t="n">
        <v>-67.1520661157025</v>
      </c>
      <c r="CZ417" s="322" t="n">
        <v>-69.5520661157025</v>
      </c>
      <c r="DA417" s="322" t="n">
        <v>-69.5520661157025</v>
      </c>
    </row>
    <row r="418" customFormat="false" ht="12.75" hidden="false" customHeight="false" outlineLevel="0" collapsed="false">
      <c r="B418" s="305" t="s">
        <v>497</v>
      </c>
      <c r="C418" s="305" t="s">
        <v>690</v>
      </c>
      <c r="D418" s="306" t="n">
        <v>188</v>
      </c>
      <c r="E418" s="306" t="n">
        <v>0</v>
      </c>
      <c r="F418" s="324" t="s">
        <v>670</v>
      </c>
      <c r="G418" s="144" t="n">
        <v>48</v>
      </c>
      <c r="H418" s="325" t="n">
        <v>172.727272727273</v>
      </c>
      <c r="I418" s="2"/>
      <c r="J418" s="144" t="s">
        <v>12</v>
      </c>
      <c r="K418" s="309" t="s">
        <v>12</v>
      </c>
      <c r="L418" s="310"/>
      <c r="M418" s="311" t="n">
        <v>29</v>
      </c>
      <c r="N418" s="312" t="n">
        <v>2.5</v>
      </c>
      <c r="O418" s="311" t="n">
        <v>0</v>
      </c>
      <c r="P418" s="312" t="n">
        <v>1.8</v>
      </c>
      <c r="Q418" s="310" t="n">
        <v>0</v>
      </c>
      <c r="R418" s="312" t="n">
        <v>1.4</v>
      </c>
      <c r="S418" s="310"/>
      <c r="T418" s="311" t="n">
        <v>0</v>
      </c>
      <c r="U418" s="312" t="n">
        <v>3</v>
      </c>
      <c r="V418" s="311" t="n">
        <v>0</v>
      </c>
      <c r="W418" s="312" t="n">
        <v>1.7</v>
      </c>
      <c r="X418" s="311" t="n">
        <v>0</v>
      </c>
      <c r="Y418" s="312" t="n">
        <v>1.7</v>
      </c>
      <c r="Z418" s="313" t="n">
        <v>0</v>
      </c>
      <c r="AA418" s="314" t="n">
        <v>1.7</v>
      </c>
      <c r="AB418" s="313" t="n">
        <v>0</v>
      </c>
      <c r="AC418" s="314" t="n">
        <v>1.7</v>
      </c>
      <c r="AD418" s="315"/>
      <c r="AE418" s="144" t="n">
        <v>15</v>
      </c>
      <c r="AF418" s="315"/>
      <c r="AG418" s="311" t="n">
        <v>0</v>
      </c>
      <c r="AH418" s="309" t="n">
        <v>0</v>
      </c>
      <c r="AI418" s="310"/>
      <c r="AJ418" s="311" t="n">
        <v>39</v>
      </c>
      <c r="AK418" s="309" t="n">
        <v>120</v>
      </c>
      <c r="AL418" s="311" t="n">
        <v>102</v>
      </c>
      <c r="AM418" s="309" t="n">
        <v>86.4</v>
      </c>
      <c r="AN418" s="310" t="n">
        <v>121</v>
      </c>
      <c r="AO418" s="309" t="n">
        <v>67.2</v>
      </c>
      <c r="AP418" s="310"/>
      <c r="AQ418" s="311" t="n">
        <v>44</v>
      </c>
      <c r="AR418" s="309" t="n">
        <v>144</v>
      </c>
      <c r="AS418" s="311" t="n">
        <v>106</v>
      </c>
      <c r="AT418" s="309" t="n">
        <v>81.6</v>
      </c>
      <c r="AU418" s="310" t="n">
        <v>106</v>
      </c>
      <c r="AV418" s="309" t="n">
        <v>81.6</v>
      </c>
      <c r="AW418" s="310" t="n">
        <v>106</v>
      </c>
      <c r="AX418" s="309" t="n">
        <v>81.6</v>
      </c>
      <c r="AY418" s="310" t="n">
        <v>106</v>
      </c>
      <c r="AZ418" s="309" t="n">
        <v>81.6</v>
      </c>
      <c r="BB418" s="144" t="n">
        <v>0</v>
      </c>
      <c r="BC418" s="315"/>
      <c r="BD418" s="311" t="n">
        <v>0</v>
      </c>
      <c r="BE418" s="316" t="n">
        <v>0</v>
      </c>
      <c r="BF418" s="310"/>
      <c r="BG418" s="317" t="n">
        <v>0</v>
      </c>
      <c r="BH418" s="318" t="n">
        <v>0</v>
      </c>
      <c r="BI418" s="317" t="n">
        <v>0</v>
      </c>
      <c r="BJ418" s="318" t="n">
        <v>0</v>
      </c>
      <c r="BK418" s="317" t="n">
        <v>0</v>
      </c>
      <c r="BL418" s="318" t="n">
        <v>0</v>
      </c>
      <c r="BM418" s="310"/>
      <c r="BN418" s="317" t="n">
        <v>0</v>
      </c>
      <c r="BO418" s="318" t="n">
        <v>0</v>
      </c>
      <c r="BP418" s="317" t="n">
        <v>0</v>
      </c>
      <c r="BQ418" s="318" t="n">
        <v>0</v>
      </c>
      <c r="BR418" s="317" t="n">
        <v>0</v>
      </c>
      <c r="BS418" s="318" t="n">
        <v>0</v>
      </c>
      <c r="BT418" s="317" t="n">
        <v>0</v>
      </c>
      <c r="BU418" s="318" t="n">
        <v>0</v>
      </c>
      <c r="BV418" s="317" t="n">
        <v>0</v>
      </c>
      <c r="BW418" s="318" t="n">
        <v>0</v>
      </c>
      <c r="BY418" s="143"/>
      <c r="BZ418" s="315"/>
      <c r="CA418" s="144" t="s">
        <v>12</v>
      </c>
      <c r="CB418" s="315"/>
      <c r="CC418" s="144" t="n">
        <v>-23.7272727272727</v>
      </c>
      <c r="CD418" s="144" t="n">
        <v>-86.3272727272727</v>
      </c>
      <c r="CE418" s="144" t="n">
        <v>-105.527272727273</v>
      </c>
      <c r="CF418" s="315"/>
      <c r="CG418" s="144" t="n">
        <v>-28.7272727272727</v>
      </c>
      <c r="CH418" s="144" t="n">
        <v>-91.1272727272727</v>
      </c>
      <c r="CI418" s="144" t="n">
        <v>-91.1272727272727</v>
      </c>
      <c r="CJ418" s="144" t="n">
        <v>-91.1272727272727</v>
      </c>
      <c r="CK418" s="144" t="n">
        <v>-91.1272727272727</v>
      </c>
      <c r="CM418" s="144" t="n">
        <v>148.752066115702</v>
      </c>
      <c r="CO418" s="319"/>
      <c r="CP418" s="320"/>
      <c r="CQ418" s="321" t="s">
        <v>12</v>
      </c>
      <c r="CR418" s="320"/>
      <c r="CS418" s="322" t="n">
        <v>0.24793388429751</v>
      </c>
      <c r="CT418" s="322" t="n">
        <v>-62.3520661157025</v>
      </c>
      <c r="CU418" s="322" t="n">
        <v>-81.5520661157025</v>
      </c>
      <c r="CV418" s="323"/>
      <c r="CW418" s="322" t="n">
        <v>-4.75206611570249</v>
      </c>
      <c r="CX418" s="322" t="n">
        <v>-67.1520661157025</v>
      </c>
      <c r="CY418" s="322" t="n">
        <v>-67.1520661157025</v>
      </c>
      <c r="CZ418" s="322" t="n">
        <v>-67.1520661157025</v>
      </c>
      <c r="DA418" s="322" t="n">
        <v>-67.1520661157025</v>
      </c>
    </row>
    <row r="419" customFormat="false" ht="12.75" hidden="false" customHeight="false" outlineLevel="0" collapsed="false">
      <c r="B419" s="305" t="s">
        <v>497</v>
      </c>
      <c r="C419" s="305" t="s">
        <v>691</v>
      </c>
      <c r="D419" s="306" t="n">
        <v>374</v>
      </c>
      <c r="E419" s="306" t="n">
        <v>0</v>
      </c>
      <c r="F419" s="306" t="s">
        <v>670</v>
      </c>
      <c r="G419" s="307" t="n">
        <v>24</v>
      </c>
      <c r="H419" s="308" t="n">
        <v>343.801652892562</v>
      </c>
      <c r="I419" s="2"/>
      <c r="J419" s="144" t="s">
        <v>12</v>
      </c>
      <c r="K419" s="309" t="s">
        <v>12</v>
      </c>
      <c r="L419" s="310"/>
      <c r="M419" s="311" t="n">
        <v>109</v>
      </c>
      <c r="N419" s="312" t="n">
        <v>7.3</v>
      </c>
      <c r="O419" s="311" t="n">
        <v>19</v>
      </c>
      <c r="P419" s="312" t="n">
        <v>8.5</v>
      </c>
      <c r="Q419" s="310" t="n">
        <v>19</v>
      </c>
      <c r="R419" s="312" t="n">
        <v>7.7</v>
      </c>
      <c r="S419" s="310"/>
      <c r="T419" s="311" t="n">
        <v>0</v>
      </c>
      <c r="U419" s="312" t="n">
        <v>11.6</v>
      </c>
      <c r="V419" s="311" t="n">
        <v>0</v>
      </c>
      <c r="W419" s="312" t="n">
        <v>8.3</v>
      </c>
      <c r="X419" s="311" t="n">
        <v>0</v>
      </c>
      <c r="Y419" s="312" t="n">
        <v>8.3</v>
      </c>
      <c r="Z419" s="313" t="n">
        <v>0</v>
      </c>
      <c r="AA419" s="314" t="n">
        <v>8.3</v>
      </c>
      <c r="AB419" s="313" t="n">
        <v>0</v>
      </c>
      <c r="AC419" s="314" t="n">
        <v>8.3</v>
      </c>
      <c r="AD419" s="315"/>
      <c r="AE419" s="144" t="n">
        <v>30</v>
      </c>
      <c r="AF419" s="315"/>
      <c r="AG419" s="311" t="n">
        <v>0</v>
      </c>
      <c r="AH419" s="309" t="n">
        <v>0</v>
      </c>
      <c r="AI419" s="310"/>
      <c r="AJ419" s="311" t="n">
        <v>90</v>
      </c>
      <c r="AK419" s="309" t="n">
        <v>175.2</v>
      </c>
      <c r="AL419" s="311" t="n">
        <v>151</v>
      </c>
      <c r="AM419" s="309" t="n">
        <v>204</v>
      </c>
      <c r="AN419" s="311" t="n">
        <v>170</v>
      </c>
      <c r="AO419" s="309" t="n">
        <v>184.8</v>
      </c>
      <c r="AP419" s="310"/>
      <c r="AQ419" s="311" t="n">
        <v>96</v>
      </c>
      <c r="AR419" s="309" t="n">
        <v>278.4</v>
      </c>
      <c r="AS419" s="311" t="n">
        <v>175</v>
      </c>
      <c r="AT419" s="309" t="n">
        <v>199.2</v>
      </c>
      <c r="AU419" s="311" t="n">
        <v>175</v>
      </c>
      <c r="AV419" s="309" t="n">
        <v>199.2</v>
      </c>
      <c r="AW419" s="311" t="n">
        <v>175</v>
      </c>
      <c r="AX419" s="309" t="n">
        <v>199.2</v>
      </c>
      <c r="AY419" s="311" t="n">
        <v>175</v>
      </c>
      <c r="AZ419" s="309" t="n">
        <v>199.2</v>
      </c>
      <c r="BB419" s="144" t="n">
        <v>0</v>
      </c>
      <c r="BC419" s="315"/>
      <c r="BD419" s="311" t="n">
        <v>0</v>
      </c>
      <c r="BE419" s="316" t="n">
        <v>0</v>
      </c>
      <c r="BF419" s="310"/>
      <c r="BG419" s="317" t="n">
        <v>0</v>
      </c>
      <c r="BH419" s="318" t="n">
        <v>0.2</v>
      </c>
      <c r="BI419" s="317" t="n">
        <v>0</v>
      </c>
      <c r="BJ419" s="318" t="n">
        <v>0.6</v>
      </c>
      <c r="BK419" s="317" t="n">
        <v>0</v>
      </c>
      <c r="BL419" s="318" t="n">
        <v>0.6</v>
      </c>
      <c r="BM419" s="310"/>
      <c r="BN419" s="317" t="n">
        <v>0</v>
      </c>
      <c r="BO419" s="318" t="n">
        <v>-0.199999999999999</v>
      </c>
      <c r="BP419" s="317" t="n">
        <v>0</v>
      </c>
      <c r="BQ419" s="318" t="n">
        <v>1</v>
      </c>
      <c r="BR419" s="317" t="n">
        <v>0</v>
      </c>
      <c r="BS419" s="318" t="n">
        <v>1</v>
      </c>
      <c r="BT419" s="317" t="n">
        <v>0</v>
      </c>
      <c r="BU419" s="318" t="n">
        <v>0.300000000000001</v>
      </c>
      <c r="BV419" s="317" t="n">
        <v>0</v>
      </c>
      <c r="BW419" s="318" t="n">
        <v>0.300000000000001</v>
      </c>
      <c r="BY419" s="143"/>
      <c r="BZ419" s="315"/>
      <c r="CA419" s="144" t="s">
        <v>12</v>
      </c>
      <c r="CB419" s="315"/>
      <c r="CC419" s="144" t="n">
        <v>-59.601652892562</v>
      </c>
      <c r="CD419" s="144" t="n">
        <v>-120.801652892562</v>
      </c>
      <c r="CE419" s="144" t="n">
        <v>-140.001652892562</v>
      </c>
      <c r="CF419" s="315"/>
      <c r="CG419" s="144" t="n">
        <v>-65.401652892562</v>
      </c>
      <c r="CH419" s="144" t="n">
        <v>-144.601652892562</v>
      </c>
      <c r="CI419" s="144" t="n">
        <v>-144.601652892562</v>
      </c>
      <c r="CJ419" s="144" t="n">
        <v>-144.601652892562</v>
      </c>
      <c r="CK419" s="144" t="n">
        <v>-144.601652892562</v>
      </c>
      <c r="CM419" s="144" t="n">
        <v>329.752066115702</v>
      </c>
      <c r="CO419" s="319"/>
      <c r="CP419" s="320"/>
      <c r="CQ419" s="321" t="s">
        <v>12</v>
      </c>
      <c r="CR419" s="320"/>
      <c r="CS419" s="322" t="n">
        <v>-45.5520661157024</v>
      </c>
      <c r="CT419" s="322" t="n">
        <v>-106.752066115702</v>
      </c>
      <c r="CU419" s="322" t="n">
        <v>-125.952066115702</v>
      </c>
      <c r="CV419" s="323"/>
      <c r="CW419" s="322" t="n">
        <v>-51.3520661157024</v>
      </c>
      <c r="CX419" s="322" t="n">
        <v>-130.552066115702</v>
      </c>
      <c r="CY419" s="322" t="n">
        <v>-130.552066115702</v>
      </c>
      <c r="CZ419" s="322" t="n">
        <v>-130.552066115702</v>
      </c>
      <c r="DA419" s="322" t="n">
        <v>-130.552066115702</v>
      </c>
    </row>
    <row r="420" customFormat="false" ht="12.75" hidden="false" customHeight="false" outlineLevel="0" collapsed="false">
      <c r="B420" s="305" t="s">
        <v>497</v>
      </c>
      <c r="C420" s="305" t="s">
        <v>691</v>
      </c>
      <c r="D420" s="306" t="n">
        <v>374</v>
      </c>
      <c r="E420" s="306" t="n">
        <v>0</v>
      </c>
      <c r="F420" s="324" t="s">
        <v>670</v>
      </c>
      <c r="G420" s="144" t="n">
        <v>48</v>
      </c>
      <c r="H420" s="325" t="n">
        <v>343.801652892562</v>
      </c>
      <c r="I420" s="2"/>
      <c r="J420" s="144" t="s">
        <v>12</v>
      </c>
      <c r="K420" s="309" t="s">
        <v>12</v>
      </c>
      <c r="L420" s="310"/>
      <c r="M420" s="311" t="n">
        <v>109</v>
      </c>
      <c r="N420" s="312" t="n">
        <v>3.7</v>
      </c>
      <c r="O420" s="311" t="n">
        <v>19</v>
      </c>
      <c r="P420" s="312" t="n">
        <v>4.3</v>
      </c>
      <c r="Q420" s="310" t="n">
        <v>19</v>
      </c>
      <c r="R420" s="312" t="n">
        <v>3.9</v>
      </c>
      <c r="S420" s="310"/>
      <c r="T420" s="311" t="n">
        <v>0</v>
      </c>
      <c r="U420" s="312" t="n">
        <v>5.8</v>
      </c>
      <c r="V420" s="311" t="n">
        <v>0</v>
      </c>
      <c r="W420" s="312" t="n">
        <v>4.2</v>
      </c>
      <c r="X420" s="311" t="n">
        <v>0</v>
      </c>
      <c r="Y420" s="312" t="n">
        <v>4.2</v>
      </c>
      <c r="Z420" s="313" t="n">
        <v>0</v>
      </c>
      <c r="AA420" s="314" t="n">
        <v>4.2</v>
      </c>
      <c r="AB420" s="313" t="n">
        <v>0</v>
      </c>
      <c r="AC420" s="314" t="n">
        <v>4.2</v>
      </c>
      <c r="AD420" s="315"/>
      <c r="AE420" s="144" t="n">
        <v>30</v>
      </c>
      <c r="AF420" s="315"/>
      <c r="AG420" s="311" t="n">
        <v>0</v>
      </c>
      <c r="AH420" s="309" t="n">
        <v>0</v>
      </c>
      <c r="AI420" s="310"/>
      <c r="AJ420" s="311" t="n">
        <v>87</v>
      </c>
      <c r="AK420" s="309" t="n">
        <v>177.6</v>
      </c>
      <c r="AL420" s="311" t="n">
        <v>149</v>
      </c>
      <c r="AM420" s="309" t="n">
        <v>206.4</v>
      </c>
      <c r="AN420" s="310" t="n">
        <v>168</v>
      </c>
      <c r="AO420" s="309" t="n">
        <v>187.2</v>
      </c>
      <c r="AP420" s="310"/>
      <c r="AQ420" s="311" t="n">
        <v>96</v>
      </c>
      <c r="AR420" s="309" t="n">
        <v>278.4</v>
      </c>
      <c r="AS420" s="311" t="n">
        <v>172</v>
      </c>
      <c r="AT420" s="309" t="n">
        <v>201.6</v>
      </c>
      <c r="AU420" s="310" t="n">
        <v>172</v>
      </c>
      <c r="AV420" s="309" t="n">
        <v>201.6</v>
      </c>
      <c r="AW420" s="310" t="n">
        <v>172</v>
      </c>
      <c r="AX420" s="309" t="n">
        <v>201.6</v>
      </c>
      <c r="AY420" s="310" t="n">
        <v>172</v>
      </c>
      <c r="AZ420" s="309" t="n">
        <v>201.6</v>
      </c>
      <c r="BB420" s="144" t="n">
        <v>0</v>
      </c>
      <c r="BC420" s="315"/>
      <c r="BD420" s="311" t="n">
        <v>0</v>
      </c>
      <c r="BE420" s="316" t="n">
        <v>0</v>
      </c>
      <c r="BF420" s="310"/>
      <c r="BG420" s="317" t="n">
        <v>0</v>
      </c>
      <c r="BH420" s="318" t="n">
        <v>0</v>
      </c>
      <c r="BI420" s="317" t="n">
        <v>0</v>
      </c>
      <c r="BJ420" s="318" t="n">
        <v>0</v>
      </c>
      <c r="BK420" s="317" t="n">
        <v>0</v>
      </c>
      <c r="BL420" s="318" t="n">
        <v>0</v>
      </c>
      <c r="BM420" s="310"/>
      <c r="BN420" s="317" t="n">
        <v>0</v>
      </c>
      <c r="BO420" s="318" t="n">
        <v>0</v>
      </c>
      <c r="BP420" s="317" t="n">
        <v>0</v>
      </c>
      <c r="BQ420" s="318" t="n">
        <v>0</v>
      </c>
      <c r="BR420" s="317" t="n">
        <v>0</v>
      </c>
      <c r="BS420" s="318" t="n">
        <v>0</v>
      </c>
      <c r="BT420" s="317" t="n">
        <v>0</v>
      </c>
      <c r="BU420" s="318" t="n">
        <v>0</v>
      </c>
      <c r="BV420" s="317" t="n">
        <v>0</v>
      </c>
      <c r="BW420" s="318" t="n">
        <v>0</v>
      </c>
      <c r="BY420" s="143"/>
      <c r="BZ420" s="315"/>
      <c r="CA420" s="144" t="s">
        <v>12</v>
      </c>
      <c r="CB420" s="315"/>
      <c r="CC420" s="144" t="n">
        <v>-57.201652892562</v>
      </c>
      <c r="CD420" s="144" t="n">
        <v>-118.401652892562</v>
      </c>
      <c r="CE420" s="144" t="n">
        <v>-137.601652892562</v>
      </c>
      <c r="CF420" s="315"/>
      <c r="CG420" s="144" t="n">
        <v>-65.401652892562</v>
      </c>
      <c r="CH420" s="144" t="n">
        <v>-142.201652892562</v>
      </c>
      <c r="CI420" s="144" t="n">
        <v>-142.201652892562</v>
      </c>
      <c r="CJ420" s="144" t="n">
        <v>-142.201652892562</v>
      </c>
      <c r="CK420" s="144" t="n">
        <v>-142.201652892562</v>
      </c>
      <c r="CM420" s="144" t="n">
        <v>329.752066115702</v>
      </c>
      <c r="CO420" s="319"/>
      <c r="CP420" s="320"/>
      <c r="CQ420" s="321" t="s">
        <v>12</v>
      </c>
      <c r="CR420" s="320"/>
      <c r="CS420" s="322" t="n">
        <v>-43.1520661157024</v>
      </c>
      <c r="CT420" s="322" t="n">
        <v>-104.352066115703</v>
      </c>
      <c r="CU420" s="322" t="n">
        <v>-123.552066115702</v>
      </c>
      <c r="CV420" s="323"/>
      <c r="CW420" s="322" t="n">
        <v>-51.3520661157024</v>
      </c>
      <c r="CX420" s="322" t="n">
        <v>-128.152066115702</v>
      </c>
      <c r="CY420" s="322" t="n">
        <v>-128.152066115702</v>
      </c>
      <c r="CZ420" s="322" t="n">
        <v>-128.152066115702</v>
      </c>
      <c r="DA420" s="322" t="n">
        <v>-128.152066115702</v>
      </c>
    </row>
    <row r="421" customFormat="false" ht="12.75" hidden="false" customHeight="false" outlineLevel="0" collapsed="false">
      <c r="B421" s="305" t="s">
        <v>692</v>
      </c>
      <c r="C421" s="327" t="s">
        <v>693</v>
      </c>
      <c r="D421" s="306" t="n">
        <v>324</v>
      </c>
      <c r="E421" s="306" t="n">
        <v>0</v>
      </c>
      <c r="F421" s="306" t="s">
        <v>670</v>
      </c>
      <c r="G421" s="307" t="n">
        <v>24</v>
      </c>
      <c r="H421" s="308" t="n">
        <v>298.347107438017</v>
      </c>
      <c r="I421" s="2"/>
      <c r="J421" s="144" t="s">
        <v>12</v>
      </c>
      <c r="K421" s="309" t="s">
        <v>12</v>
      </c>
      <c r="L421" s="310"/>
      <c r="M421" s="311" t="n">
        <v>99</v>
      </c>
      <c r="N421" s="312" t="n">
        <v>6</v>
      </c>
      <c r="O421" s="311" t="n">
        <v>19</v>
      </c>
      <c r="P421" s="312" t="n">
        <v>6.7</v>
      </c>
      <c r="Q421" s="310" t="n">
        <v>19</v>
      </c>
      <c r="R421" s="312" t="n">
        <v>5.8</v>
      </c>
      <c r="S421" s="310"/>
      <c r="T421" s="311" t="n">
        <v>0</v>
      </c>
      <c r="U421" s="312" t="n">
        <v>9.8</v>
      </c>
      <c r="V421" s="311" t="n">
        <v>0</v>
      </c>
      <c r="W421" s="312" t="n">
        <v>7.5</v>
      </c>
      <c r="X421" s="311" t="n">
        <v>0</v>
      </c>
      <c r="Y421" s="312" t="n">
        <v>7.5</v>
      </c>
      <c r="Z421" s="313" t="n">
        <v>0</v>
      </c>
      <c r="AA421" s="314" t="n">
        <v>7.4</v>
      </c>
      <c r="AB421" s="313" t="n">
        <v>0</v>
      </c>
      <c r="AC421" s="314" t="n">
        <v>7.4</v>
      </c>
      <c r="AD421" s="315"/>
      <c r="AE421" s="144" t="n">
        <v>26</v>
      </c>
      <c r="AF421" s="315"/>
      <c r="AG421" s="311" t="n">
        <v>0</v>
      </c>
      <c r="AH421" s="309" t="n">
        <v>0</v>
      </c>
      <c r="AI421" s="310"/>
      <c r="AJ421" s="311" t="n">
        <v>81</v>
      </c>
      <c r="AK421" s="309" t="n">
        <v>144</v>
      </c>
      <c r="AL421" s="311" t="n">
        <v>144</v>
      </c>
      <c r="AM421" s="309" t="n">
        <v>160.8</v>
      </c>
      <c r="AN421" s="311" t="n">
        <v>166</v>
      </c>
      <c r="AO421" s="309" t="n">
        <v>139.2</v>
      </c>
      <c r="AP421" s="310"/>
      <c r="AQ421" s="311" t="n">
        <v>89</v>
      </c>
      <c r="AR421" s="309" t="n">
        <v>235.2</v>
      </c>
      <c r="AS421" s="311" t="n">
        <v>144</v>
      </c>
      <c r="AT421" s="309" t="n">
        <v>180</v>
      </c>
      <c r="AU421" s="311" t="n">
        <v>144</v>
      </c>
      <c r="AV421" s="309" t="n">
        <v>180</v>
      </c>
      <c r="AW421" s="311" t="n">
        <v>146</v>
      </c>
      <c r="AX421" s="309" t="n">
        <v>177.6</v>
      </c>
      <c r="AY421" s="311" t="n">
        <v>146</v>
      </c>
      <c r="AZ421" s="309" t="n">
        <v>177.6</v>
      </c>
      <c r="BB421" s="144" t="n">
        <v>0</v>
      </c>
      <c r="BC421" s="315"/>
      <c r="BD421" s="311" t="n">
        <v>0</v>
      </c>
      <c r="BE421" s="316" t="n">
        <v>0</v>
      </c>
      <c r="BF421" s="310"/>
      <c r="BG421" s="317" t="n">
        <v>0</v>
      </c>
      <c r="BH421" s="318" t="n">
        <v>0</v>
      </c>
      <c r="BI421" s="317" t="n">
        <v>0</v>
      </c>
      <c r="BJ421" s="318" t="n">
        <v>0</v>
      </c>
      <c r="BK421" s="317" t="n">
        <v>0</v>
      </c>
      <c r="BL421" s="318" t="n">
        <v>0</v>
      </c>
      <c r="BM421" s="310"/>
      <c r="BN421" s="317" t="n">
        <v>0</v>
      </c>
      <c r="BO421" s="318" t="n">
        <v>0</v>
      </c>
      <c r="BP421" s="317" t="n">
        <v>0</v>
      </c>
      <c r="BQ421" s="318" t="n">
        <v>0</v>
      </c>
      <c r="BR421" s="317" t="n">
        <v>0</v>
      </c>
      <c r="BS421" s="318" t="n">
        <v>0</v>
      </c>
      <c r="BT421" s="317" t="n">
        <v>0</v>
      </c>
      <c r="BU421" s="318" t="n">
        <v>0</v>
      </c>
      <c r="BV421" s="317" t="n">
        <v>0</v>
      </c>
      <c r="BW421" s="318" t="n">
        <v>0</v>
      </c>
      <c r="BY421" s="143"/>
      <c r="BZ421" s="315"/>
      <c r="CA421" s="144" t="s">
        <v>12</v>
      </c>
      <c r="CB421" s="315"/>
      <c r="CC421" s="144" t="n">
        <v>-55.3471074380166</v>
      </c>
      <c r="CD421" s="144" t="n">
        <v>-118.547107438017</v>
      </c>
      <c r="CE421" s="144" t="n">
        <v>-140.147107438017</v>
      </c>
      <c r="CF421" s="315"/>
      <c r="CG421" s="144" t="n">
        <v>-63.1471074380166</v>
      </c>
      <c r="CH421" s="144" t="n">
        <v>-118.347107438017</v>
      </c>
      <c r="CI421" s="144" t="n">
        <v>-118.347107438017</v>
      </c>
      <c r="CJ421" s="144" t="n">
        <v>-120.747107438017</v>
      </c>
      <c r="CK421" s="144" t="n">
        <v>-120.747107438017</v>
      </c>
      <c r="CM421" s="144" t="n">
        <v>247.107438016529</v>
      </c>
      <c r="CO421" s="319"/>
      <c r="CP421" s="320"/>
      <c r="CQ421" s="321" t="s">
        <v>12</v>
      </c>
      <c r="CR421" s="320"/>
      <c r="CS421" s="322" t="n">
        <v>-4.10743801652893</v>
      </c>
      <c r="CT421" s="322" t="n">
        <v>-67.3074380165289</v>
      </c>
      <c r="CU421" s="322" t="n">
        <v>-88.9074380165289</v>
      </c>
      <c r="CV421" s="323"/>
      <c r="CW421" s="322" t="n">
        <v>-11.9074380165289</v>
      </c>
      <c r="CX421" s="322" t="n">
        <v>-67.1074380165289</v>
      </c>
      <c r="CY421" s="322" t="n">
        <v>-67.1074380165289</v>
      </c>
      <c r="CZ421" s="322" t="n">
        <v>-69.5074380165289</v>
      </c>
      <c r="DA421" s="322" t="n">
        <v>-69.5074380165289</v>
      </c>
    </row>
    <row r="422" customFormat="false" ht="12.75" hidden="false" customHeight="false" outlineLevel="0" collapsed="false">
      <c r="B422" s="305" t="s">
        <v>692</v>
      </c>
      <c r="C422" s="327" t="s">
        <v>693</v>
      </c>
      <c r="D422" s="306" t="n">
        <v>324</v>
      </c>
      <c r="E422" s="306" t="n">
        <v>0</v>
      </c>
      <c r="F422" s="324" t="s">
        <v>670</v>
      </c>
      <c r="G422" s="144" t="n">
        <v>48</v>
      </c>
      <c r="H422" s="325" t="n">
        <v>298.347107438017</v>
      </c>
      <c r="I422" s="2"/>
      <c r="J422" s="144" t="s">
        <v>12</v>
      </c>
      <c r="K422" s="309" t="s">
        <v>12</v>
      </c>
      <c r="L422" s="310"/>
      <c r="M422" s="311" t="n">
        <v>99</v>
      </c>
      <c r="N422" s="312" t="n">
        <v>3</v>
      </c>
      <c r="O422" s="311" t="n">
        <v>19</v>
      </c>
      <c r="P422" s="312" t="n">
        <v>3.4</v>
      </c>
      <c r="Q422" s="310" t="n">
        <v>19</v>
      </c>
      <c r="R422" s="312" t="n">
        <v>2.9</v>
      </c>
      <c r="S422" s="310"/>
      <c r="T422" s="311" t="n">
        <v>0</v>
      </c>
      <c r="U422" s="312" t="n">
        <v>4.9</v>
      </c>
      <c r="V422" s="311" t="n">
        <v>0</v>
      </c>
      <c r="W422" s="312" t="n">
        <v>3.8</v>
      </c>
      <c r="X422" s="311" t="n">
        <v>0</v>
      </c>
      <c r="Y422" s="312" t="n">
        <v>3.8</v>
      </c>
      <c r="Z422" s="313" t="n">
        <v>0</v>
      </c>
      <c r="AA422" s="314" t="n">
        <v>3.7</v>
      </c>
      <c r="AB422" s="313" t="n">
        <v>0</v>
      </c>
      <c r="AC422" s="314" t="n">
        <v>3.7</v>
      </c>
      <c r="AD422" s="315"/>
      <c r="AE422" s="144" t="n">
        <v>26</v>
      </c>
      <c r="AF422" s="315"/>
      <c r="AG422" s="311" t="n">
        <v>0</v>
      </c>
      <c r="AH422" s="309" t="n">
        <v>0</v>
      </c>
      <c r="AI422" s="310"/>
      <c r="AJ422" s="311" t="n">
        <v>81</v>
      </c>
      <c r="AK422" s="309" t="n">
        <v>144</v>
      </c>
      <c r="AL422" s="311" t="n">
        <v>142</v>
      </c>
      <c r="AM422" s="309" t="n">
        <v>163.2</v>
      </c>
      <c r="AN422" s="310" t="n">
        <v>166</v>
      </c>
      <c r="AO422" s="309" t="n">
        <v>139.2</v>
      </c>
      <c r="AP422" s="310"/>
      <c r="AQ422" s="311" t="n">
        <v>89</v>
      </c>
      <c r="AR422" s="309" t="n">
        <v>235.2</v>
      </c>
      <c r="AS422" s="311" t="n">
        <v>142</v>
      </c>
      <c r="AT422" s="309" t="n">
        <v>182.4</v>
      </c>
      <c r="AU422" s="310" t="n">
        <v>142</v>
      </c>
      <c r="AV422" s="309" t="n">
        <v>182.4</v>
      </c>
      <c r="AW422" s="310" t="n">
        <v>146</v>
      </c>
      <c r="AX422" s="309" t="n">
        <v>177.6</v>
      </c>
      <c r="AY422" s="310" t="n">
        <v>146</v>
      </c>
      <c r="AZ422" s="309" t="n">
        <v>177.6</v>
      </c>
      <c r="BB422" s="144" t="n">
        <v>0</v>
      </c>
      <c r="BC422" s="315"/>
      <c r="BD422" s="311" t="n">
        <v>0</v>
      </c>
      <c r="BE422" s="316" t="n">
        <v>0</v>
      </c>
      <c r="BF422" s="310"/>
      <c r="BG422" s="317" t="n">
        <v>0</v>
      </c>
      <c r="BH422" s="318" t="n">
        <v>0</v>
      </c>
      <c r="BI422" s="317" t="n">
        <v>0</v>
      </c>
      <c r="BJ422" s="318" t="n">
        <v>0</v>
      </c>
      <c r="BK422" s="317" t="n">
        <v>0</v>
      </c>
      <c r="BL422" s="318" t="n">
        <v>0</v>
      </c>
      <c r="BM422" s="310"/>
      <c r="BN422" s="317" t="n">
        <v>0</v>
      </c>
      <c r="BO422" s="318" t="n">
        <v>0</v>
      </c>
      <c r="BP422" s="317" t="n">
        <v>0</v>
      </c>
      <c r="BQ422" s="318" t="n">
        <v>0</v>
      </c>
      <c r="BR422" s="317" t="n">
        <v>0</v>
      </c>
      <c r="BS422" s="318" t="n">
        <v>0</v>
      </c>
      <c r="BT422" s="317" t="n">
        <v>0</v>
      </c>
      <c r="BU422" s="318" t="n">
        <v>0</v>
      </c>
      <c r="BV422" s="317" t="n">
        <v>0</v>
      </c>
      <c r="BW422" s="318" t="n">
        <v>0</v>
      </c>
      <c r="BY422" s="143"/>
      <c r="BZ422" s="315"/>
      <c r="CA422" s="144" t="s">
        <v>12</v>
      </c>
      <c r="CB422" s="315"/>
      <c r="CC422" s="144" t="n">
        <v>-55.3471074380166</v>
      </c>
      <c r="CD422" s="144" t="n">
        <v>-116.147107438017</v>
      </c>
      <c r="CE422" s="144" t="n">
        <v>-140.147107438017</v>
      </c>
      <c r="CF422" s="315"/>
      <c r="CG422" s="144" t="n">
        <v>-63.1471074380166</v>
      </c>
      <c r="CH422" s="144" t="n">
        <v>-115.947107438017</v>
      </c>
      <c r="CI422" s="144" t="n">
        <v>-115.947107438017</v>
      </c>
      <c r="CJ422" s="144" t="n">
        <v>-120.747107438017</v>
      </c>
      <c r="CK422" s="144" t="n">
        <v>-120.747107438017</v>
      </c>
      <c r="CM422" s="144" t="n">
        <v>247.107438016529</v>
      </c>
      <c r="CO422" s="319"/>
      <c r="CP422" s="320"/>
      <c r="CQ422" s="321" t="s">
        <v>12</v>
      </c>
      <c r="CR422" s="320"/>
      <c r="CS422" s="322" t="n">
        <v>-4.10743801652893</v>
      </c>
      <c r="CT422" s="322" t="n">
        <v>-64.9074380165289</v>
      </c>
      <c r="CU422" s="322" t="n">
        <v>-88.9074380165289</v>
      </c>
      <c r="CV422" s="323"/>
      <c r="CW422" s="322" t="n">
        <v>-11.9074380165289</v>
      </c>
      <c r="CX422" s="322" t="n">
        <v>-64.7074380165289</v>
      </c>
      <c r="CY422" s="322" t="n">
        <v>-64.7074380165289</v>
      </c>
      <c r="CZ422" s="322" t="n">
        <v>-69.5074380165289</v>
      </c>
      <c r="DA422" s="322" t="n">
        <v>-69.5074380165289</v>
      </c>
    </row>
    <row r="423" customFormat="false" ht="12.75" hidden="false" customHeight="false" outlineLevel="0" collapsed="false">
      <c r="B423" s="305" t="s">
        <v>694</v>
      </c>
      <c r="C423" s="305" t="s">
        <v>695</v>
      </c>
      <c r="D423" s="306" t="n">
        <v>53</v>
      </c>
      <c r="E423" s="306" t="n">
        <v>5.25</v>
      </c>
      <c r="F423" s="306" t="s">
        <v>696</v>
      </c>
      <c r="G423" s="307" t="n">
        <v>24</v>
      </c>
      <c r="H423" s="308" t="n">
        <v>52.8925619834711</v>
      </c>
      <c r="I423" s="2"/>
      <c r="J423" s="144" t="s">
        <v>12</v>
      </c>
      <c r="K423" s="309" t="s">
        <v>12</v>
      </c>
      <c r="L423" s="310"/>
      <c r="M423" s="311" t="n">
        <v>0</v>
      </c>
      <c r="N423" s="312" t="n">
        <v>0</v>
      </c>
      <c r="O423" s="311" t="n">
        <v>0</v>
      </c>
      <c r="P423" s="312" t="n">
        <v>0</v>
      </c>
      <c r="Q423" s="310" t="n">
        <v>0</v>
      </c>
      <c r="R423" s="312" t="n">
        <v>0</v>
      </c>
      <c r="S423" s="310"/>
      <c r="T423" s="311" t="n">
        <v>0</v>
      </c>
      <c r="U423" s="312" t="n">
        <v>0</v>
      </c>
      <c r="V423" s="311" t="n">
        <v>0</v>
      </c>
      <c r="W423" s="312" t="n">
        <v>0</v>
      </c>
      <c r="X423" s="311" t="n">
        <v>0</v>
      </c>
      <c r="Y423" s="312" t="n">
        <v>0</v>
      </c>
      <c r="Z423" s="313" t="n">
        <v>0</v>
      </c>
      <c r="AA423" s="314" t="n">
        <v>0</v>
      </c>
      <c r="AB423" s="313" t="n">
        <v>0</v>
      </c>
      <c r="AC423" s="314" t="n">
        <v>0</v>
      </c>
      <c r="AD423" s="315"/>
      <c r="AE423" s="144" t="n">
        <v>0</v>
      </c>
      <c r="AF423" s="315"/>
      <c r="AG423" s="311" t="n">
        <v>0</v>
      </c>
      <c r="AH423" s="309" t="n">
        <v>0</v>
      </c>
      <c r="AI423" s="310"/>
      <c r="AJ423" s="311" t="n">
        <v>53</v>
      </c>
      <c r="AK423" s="309" t="n">
        <v>0</v>
      </c>
      <c r="AL423" s="311" t="n">
        <v>53</v>
      </c>
      <c r="AM423" s="309" t="n">
        <v>0</v>
      </c>
      <c r="AN423" s="311" t="n">
        <v>53</v>
      </c>
      <c r="AO423" s="309" t="n">
        <v>0</v>
      </c>
      <c r="AP423" s="310"/>
      <c r="AQ423" s="311" t="n">
        <v>53</v>
      </c>
      <c r="AR423" s="309" t="n">
        <v>0</v>
      </c>
      <c r="AS423" s="311" t="n">
        <v>53</v>
      </c>
      <c r="AT423" s="309" t="n">
        <v>0</v>
      </c>
      <c r="AU423" s="311" t="n">
        <v>53</v>
      </c>
      <c r="AV423" s="309" t="n">
        <v>0</v>
      </c>
      <c r="AW423" s="311" t="n">
        <v>53</v>
      </c>
      <c r="AX423" s="309" t="n">
        <v>0</v>
      </c>
      <c r="AY423" s="311" t="n">
        <v>53</v>
      </c>
      <c r="AZ423" s="309" t="n">
        <v>0</v>
      </c>
      <c r="BB423" s="144" t="n">
        <v>0</v>
      </c>
      <c r="BC423" s="315"/>
      <c r="BD423" s="311" t="n">
        <v>0</v>
      </c>
      <c r="BE423" s="316" t="n">
        <v>0</v>
      </c>
      <c r="BF423" s="310"/>
      <c r="BG423" s="317" t="n">
        <v>0</v>
      </c>
      <c r="BH423" s="318" t="n">
        <v>0</v>
      </c>
      <c r="BI423" s="317" t="n">
        <v>0</v>
      </c>
      <c r="BJ423" s="318" t="n">
        <v>0</v>
      </c>
      <c r="BK423" s="317" t="n">
        <v>0</v>
      </c>
      <c r="BL423" s="318" t="n">
        <v>0</v>
      </c>
      <c r="BM423" s="310"/>
      <c r="BN423" s="317" t="n">
        <v>0</v>
      </c>
      <c r="BO423" s="318" t="n">
        <v>0</v>
      </c>
      <c r="BP423" s="317" t="n">
        <v>0</v>
      </c>
      <c r="BQ423" s="318" t="n">
        <v>0</v>
      </c>
      <c r="BR423" s="317" t="n">
        <v>0</v>
      </c>
      <c r="BS423" s="318" t="n">
        <v>0</v>
      </c>
      <c r="BT423" s="317" t="n">
        <v>0</v>
      </c>
      <c r="BU423" s="318" t="n">
        <v>0</v>
      </c>
      <c r="BV423" s="317" t="n">
        <v>0</v>
      </c>
      <c r="BW423" s="318" t="n">
        <v>0</v>
      </c>
      <c r="BY423" s="143"/>
      <c r="BZ423" s="315"/>
      <c r="CA423" s="144" t="s">
        <v>12</v>
      </c>
      <c r="CB423" s="315"/>
      <c r="CC423" s="144" t="n">
        <v>-52.8925619834711</v>
      </c>
      <c r="CD423" s="144" t="n">
        <v>-52.8925619834711</v>
      </c>
      <c r="CE423" s="144" t="n">
        <v>-52.8925619834711</v>
      </c>
      <c r="CF423" s="315"/>
      <c r="CG423" s="144" t="n">
        <v>-52.8925619834711</v>
      </c>
      <c r="CH423" s="144" t="n">
        <v>-52.8925619834711</v>
      </c>
      <c r="CI423" s="144" t="n">
        <v>-52.8925619834711</v>
      </c>
      <c r="CJ423" s="144" t="n">
        <v>-52.8925619834711</v>
      </c>
      <c r="CK423" s="144" t="n">
        <v>-52.8925619834711</v>
      </c>
      <c r="CM423" s="144" t="n">
        <v>45.4545454545455</v>
      </c>
      <c r="CO423" s="319"/>
      <c r="CP423" s="320"/>
      <c r="CQ423" s="321" t="s">
        <v>12</v>
      </c>
      <c r="CR423" s="320"/>
      <c r="CS423" s="322" t="n">
        <v>-45.4545454545455</v>
      </c>
      <c r="CT423" s="322" t="n">
        <v>-45.4545454545455</v>
      </c>
      <c r="CU423" s="322" t="n">
        <v>-45.4545454545455</v>
      </c>
      <c r="CV423" s="323"/>
      <c r="CW423" s="322" t="n">
        <v>-45.4545454545455</v>
      </c>
      <c r="CX423" s="322" t="n">
        <v>-45.4545454545455</v>
      </c>
      <c r="CY423" s="322" t="n">
        <v>-45.4545454545455</v>
      </c>
      <c r="CZ423" s="322" t="n">
        <v>-45.4545454545455</v>
      </c>
      <c r="DA423" s="322" t="n">
        <v>-45.4545454545455</v>
      </c>
    </row>
    <row r="424" customFormat="false" ht="12.75" hidden="false" customHeight="false" outlineLevel="0" collapsed="false">
      <c r="B424" s="305" t="s">
        <v>694</v>
      </c>
      <c r="C424" s="305" t="s">
        <v>697</v>
      </c>
      <c r="D424" s="306" t="n">
        <v>191</v>
      </c>
      <c r="E424" s="306" t="n">
        <v>5.25</v>
      </c>
      <c r="F424" s="324" t="s">
        <v>696</v>
      </c>
      <c r="G424" s="144" t="n">
        <v>24</v>
      </c>
      <c r="H424" s="325" t="n">
        <v>182.644628099174</v>
      </c>
      <c r="I424" s="2"/>
      <c r="J424" s="144" t="s">
        <v>12</v>
      </c>
      <c r="K424" s="309" t="s">
        <v>12</v>
      </c>
      <c r="L424" s="310"/>
      <c r="M424" s="311" t="n">
        <v>29</v>
      </c>
      <c r="N424" s="312" t="n">
        <v>5.4</v>
      </c>
      <c r="O424" s="311" t="n">
        <v>0</v>
      </c>
      <c r="P424" s="312" t="n">
        <v>4</v>
      </c>
      <c r="Q424" s="310" t="n">
        <v>0</v>
      </c>
      <c r="R424" s="312" t="n">
        <v>3.1</v>
      </c>
      <c r="S424" s="310"/>
      <c r="T424" s="311" t="n">
        <v>0</v>
      </c>
      <c r="U424" s="312" t="n">
        <v>6.5</v>
      </c>
      <c r="V424" s="311" t="n">
        <v>0</v>
      </c>
      <c r="W424" s="312" t="n">
        <v>4.2</v>
      </c>
      <c r="X424" s="311" t="n">
        <v>0</v>
      </c>
      <c r="Y424" s="312" t="n">
        <v>4.2</v>
      </c>
      <c r="Z424" s="313" t="n">
        <v>0</v>
      </c>
      <c r="AA424" s="314" t="n">
        <v>4.1</v>
      </c>
      <c r="AB424" s="313" t="n">
        <v>0</v>
      </c>
      <c r="AC424" s="314" t="n">
        <v>4.1</v>
      </c>
      <c r="AD424" s="315"/>
      <c r="AE424" s="144" t="n">
        <v>8</v>
      </c>
      <c r="AF424" s="315"/>
      <c r="AG424" s="311" t="n">
        <v>0</v>
      </c>
      <c r="AH424" s="309" t="n">
        <v>0</v>
      </c>
      <c r="AI424" s="310"/>
      <c r="AJ424" s="311" t="n">
        <v>32</v>
      </c>
      <c r="AK424" s="309" t="n">
        <v>129.6</v>
      </c>
      <c r="AL424" s="311" t="n">
        <v>95</v>
      </c>
      <c r="AM424" s="309" t="n">
        <v>96</v>
      </c>
      <c r="AN424" s="310" t="n">
        <v>117</v>
      </c>
      <c r="AO424" s="309" t="n">
        <v>74.4</v>
      </c>
      <c r="AP424" s="310"/>
      <c r="AQ424" s="311" t="n">
        <v>35</v>
      </c>
      <c r="AR424" s="309" t="n">
        <v>156</v>
      </c>
      <c r="AS424" s="311" t="n">
        <v>90</v>
      </c>
      <c r="AT424" s="309" t="n">
        <v>100.8</v>
      </c>
      <c r="AU424" s="310" t="n">
        <v>90</v>
      </c>
      <c r="AV424" s="309" t="n">
        <v>100.8</v>
      </c>
      <c r="AW424" s="310" t="n">
        <v>93</v>
      </c>
      <c r="AX424" s="309" t="n">
        <v>98.4</v>
      </c>
      <c r="AY424" s="310" t="n">
        <v>93</v>
      </c>
      <c r="AZ424" s="309" t="n">
        <v>98.4</v>
      </c>
      <c r="BB424" s="144" t="n">
        <v>0</v>
      </c>
      <c r="BC424" s="315"/>
      <c r="BD424" s="311" t="n">
        <v>0</v>
      </c>
      <c r="BE424" s="316" t="n">
        <v>0</v>
      </c>
      <c r="BF424" s="310"/>
      <c r="BG424" s="317" t="n">
        <v>0</v>
      </c>
      <c r="BH424" s="318" t="n">
        <v>0.2</v>
      </c>
      <c r="BI424" s="317" t="n">
        <v>0</v>
      </c>
      <c r="BJ424" s="318" t="n">
        <v>0.9</v>
      </c>
      <c r="BK424" s="317" t="n">
        <v>0</v>
      </c>
      <c r="BL424" s="318" t="n">
        <v>0.8</v>
      </c>
      <c r="BM424" s="310"/>
      <c r="BN424" s="317" t="n">
        <v>0</v>
      </c>
      <c r="BO424" s="318" t="n">
        <v>0</v>
      </c>
      <c r="BP424" s="317" t="n">
        <v>0</v>
      </c>
      <c r="BQ424" s="318" t="n">
        <v>0.8</v>
      </c>
      <c r="BR424" s="317" t="n">
        <v>0</v>
      </c>
      <c r="BS424" s="318" t="n">
        <v>0.8</v>
      </c>
      <c r="BT424" s="317" t="n">
        <v>0</v>
      </c>
      <c r="BU424" s="318" t="n">
        <v>0.8</v>
      </c>
      <c r="BV424" s="317" t="n">
        <v>0</v>
      </c>
      <c r="BW424" s="318" t="n">
        <v>0.8</v>
      </c>
      <c r="BY424" s="143"/>
      <c r="BZ424" s="315"/>
      <c r="CA424" s="144" t="s">
        <v>12</v>
      </c>
      <c r="CB424" s="315"/>
      <c r="CC424" s="144" t="n">
        <v>-24.0446280991735</v>
      </c>
      <c r="CD424" s="144" t="n">
        <v>-86.6446280991736</v>
      </c>
      <c r="CE424" s="144" t="n">
        <v>-108.244628099174</v>
      </c>
      <c r="CF424" s="315"/>
      <c r="CG424" s="144" t="n">
        <v>-26.6446280991736</v>
      </c>
      <c r="CH424" s="144" t="n">
        <v>-81.8446280991735</v>
      </c>
      <c r="CI424" s="144" t="n">
        <v>-81.8446280991735</v>
      </c>
      <c r="CJ424" s="144" t="n">
        <v>-84.2446280991735</v>
      </c>
      <c r="CK424" s="144" t="n">
        <v>-84.2446280991735</v>
      </c>
      <c r="CM424" s="144" t="n">
        <v>190.074380165289</v>
      </c>
      <c r="CO424" s="319"/>
      <c r="CP424" s="320"/>
      <c r="CQ424" s="321" t="s">
        <v>12</v>
      </c>
      <c r="CR424" s="320"/>
      <c r="CS424" s="322" t="n">
        <v>-31.4743801652892</v>
      </c>
      <c r="CT424" s="322" t="n">
        <v>-94.0743801652893</v>
      </c>
      <c r="CU424" s="322" t="n">
        <v>-115.674380165289</v>
      </c>
      <c r="CV424" s="323"/>
      <c r="CW424" s="322" t="n">
        <v>-34.0743801652893</v>
      </c>
      <c r="CX424" s="322" t="n">
        <v>-89.2743801652892</v>
      </c>
      <c r="CY424" s="322" t="n">
        <v>-89.2743801652892</v>
      </c>
      <c r="CZ424" s="322" t="n">
        <v>-91.6743801652892</v>
      </c>
      <c r="DA424" s="322" t="n">
        <v>-91.6743801652892</v>
      </c>
    </row>
    <row r="425" customFormat="false" ht="12.75" hidden="false" customHeight="false" outlineLevel="0" collapsed="false">
      <c r="B425" s="305" t="s">
        <v>694</v>
      </c>
      <c r="C425" s="305" t="s">
        <v>698</v>
      </c>
      <c r="D425" s="306" t="n">
        <v>51</v>
      </c>
      <c r="E425" s="306" t="n">
        <v>5.25</v>
      </c>
      <c r="F425" s="306" t="s">
        <v>696</v>
      </c>
      <c r="G425" s="307" t="n">
        <v>24</v>
      </c>
      <c r="H425" s="308" t="n">
        <v>57.0247933884298</v>
      </c>
      <c r="I425" s="2"/>
      <c r="J425" s="144" t="s">
        <v>12</v>
      </c>
      <c r="K425" s="309" t="s">
        <v>12</v>
      </c>
      <c r="L425" s="310"/>
      <c r="M425" s="311" t="n">
        <v>0</v>
      </c>
      <c r="N425" s="312" t="n">
        <v>1.4</v>
      </c>
      <c r="O425" s="311" t="n">
        <v>0</v>
      </c>
      <c r="P425" s="312" t="n">
        <v>1.4</v>
      </c>
      <c r="Q425" s="310" t="n">
        <v>0</v>
      </c>
      <c r="R425" s="312" t="n">
        <v>1.4</v>
      </c>
      <c r="S425" s="310"/>
      <c r="T425" s="311" t="n">
        <v>0</v>
      </c>
      <c r="U425" s="312" t="n">
        <v>0.9</v>
      </c>
      <c r="V425" s="311" t="n">
        <v>0</v>
      </c>
      <c r="W425" s="312" t="n">
        <v>0</v>
      </c>
      <c r="X425" s="311" t="n">
        <v>0</v>
      </c>
      <c r="Y425" s="312" t="n">
        <v>0</v>
      </c>
      <c r="Z425" s="313" t="n">
        <v>0</v>
      </c>
      <c r="AA425" s="314" t="n">
        <v>0</v>
      </c>
      <c r="AB425" s="313" t="n">
        <v>0</v>
      </c>
      <c r="AC425" s="314" t="n">
        <v>0</v>
      </c>
      <c r="AD425" s="315"/>
      <c r="AE425" s="144" t="n">
        <v>-6</v>
      </c>
      <c r="AF425" s="315"/>
      <c r="AG425" s="311" t="n">
        <v>0</v>
      </c>
      <c r="AH425" s="309" t="n">
        <v>0</v>
      </c>
      <c r="AI425" s="310"/>
      <c r="AJ425" s="311" t="n">
        <v>17</v>
      </c>
      <c r="AK425" s="309" t="n">
        <v>33.6</v>
      </c>
      <c r="AL425" s="311" t="n">
        <v>17</v>
      </c>
      <c r="AM425" s="309" t="n">
        <v>33.6</v>
      </c>
      <c r="AN425" s="311" t="n">
        <v>17</v>
      </c>
      <c r="AO425" s="309" t="n">
        <v>33.6</v>
      </c>
      <c r="AP425" s="310"/>
      <c r="AQ425" s="311" t="n">
        <v>29</v>
      </c>
      <c r="AR425" s="309" t="n">
        <v>21.6</v>
      </c>
      <c r="AS425" s="311" t="n">
        <v>51</v>
      </c>
      <c r="AT425" s="309" t="n">
        <v>0</v>
      </c>
      <c r="AU425" s="311" t="n">
        <v>51</v>
      </c>
      <c r="AV425" s="309" t="n">
        <v>0</v>
      </c>
      <c r="AW425" s="311" t="n">
        <v>51</v>
      </c>
      <c r="AX425" s="309" t="n">
        <v>0</v>
      </c>
      <c r="AY425" s="311" t="n">
        <v>51</v>
      </c>
      <c r="AZ425" s="309" t="n">
        <v>0</v>
      </c>
      <c r="BB425" s="144" t="n">
        <v>0</v>
      </c>
      <c r="BC425" s="315"/>
      <c r="BD425" s="311" t="n">
        <v>0</v>
      </c>
      <c r="BE425" s="316" t="n">
        <v>0</v>
      </c>
      <c r="BF425" s="310"/>
      <c r="BG425" s="317" t="n">
        <v>0</v>
      </c>
      <c r="BH425" s="318" t="n">
        <v>0.2</v>
      </c>
      <c r="BI425" s="317" t="n">
        <v>0</v>
      </c>
      <c r="BJ425" s="318" t="n">
        <v>0.2</v>
      </c>
      <c r="BK425" s="317" t="n">
        <v>0</v>
      </c>
      <c r="BL425" s="318" t="n">
        <v>0.2</v>
      </c>
      <c r="BM425" s="310"/>
      <c r="BN425" s="317" t="n">
        <v>0</v>
      </c>
      <c r="BO425" s="318" t="n">
        <v>0.9</v>
      </c>
      <c r="BP425" s="317" t="n">
        <v>0</v>
      </c>
      <c r="BQ425" s="318" t="n">
        <v>0</v>
      </c>
      <c r="BR425" s="317" t="n">
        <v>0</v>
      </c>
      <c r="BS425" s="318" t="n">
        <v>0</v>
      </c>
      <c r="BT425" s="317" t="n">
        <v>0</v>
      </c>
      <c r="BU425" s="318" t="n">
        <v>0</v>
      </c>
      <c r="BV425" s="317" t="n">
        <v>0</v>
      </c>
      <c r="BW425" s="318" t="n">
        <v>0</v>
      </c>
      <c r="BY425" s="143"/>
      <c r="BZ425" s="315"/>
      <c r="CA425" s="144" t="s">
        <v>12</v>
      </c>
      <c r="CB425" s="315"/>
      <c r="CC425" s="144" t="n">
        <v>-23.4247933884298</v>
      </c>
      <c r="CD425" s="144" t="n">
        <v>-23.4247933884298</v>
      </c>
      <c r="CE425" s="144" t="n">
        <v>-23.4247933884298</v>
      </c>
      <c r="CF425" s="315"/>
      <c r="CG425" s="144" t="n">
        <v>-35.4247933884298</v>
      </c>
      <c r="CH425" s="144" t="n">
        <v>-57.0247933884298</v>
      </c>
      <c r="CI425" s="144" t="n">
        <v>-57.0247933884298</v>
      </c>
      <c r="CJ425" s="144" t="n">
        <v>-57.0247933884298</v>
      </c>
      <c r="CK425" s="144" t="n">
        <v>-57.0247933884298</v>
      </c>
      <c r="CM425" s="144" t="n">
        <v>49.504132231405</v>
      </c>
      <c r="CO425" s="319"/>
      <c r="CP425" s="320"/>
      <c r="CQ425" s="321" t="s">
        <v>12</v>
      </c>
      <c r="CR425" s="320"/>
      <c r="CS425" s="322" t="n">
        <v>-15.904132231405</v>
      </c>
      <c r="CT425" s="322" t="n">
        <v>-15.904132231405</v>
      </c>
      <c r="CU425" s="322" t="n">
        <v>-15.904132231405</v>
      </c>
      <c r="CV425" s="323"/>
      <c r="CW425" s="322" t="n">
        <v>-27.904132231405</v>
      </c>
      <c r="CX425" s="322" t="n">
        <v>-49.504132231405</v>
      </c>
      <c r="CY425" s="322" t="n">
        <v>-49.504132231405</v>
      </c>
      <c r="CZ425" s="322" t="n">
        <v>-49.504132231405</v>
      </c>
      <c r="DA425" s="322" t="n">
        <v>-49.504132231405</v>
      </c>
    </row>
    <row r="426" customFormat="false" ht="12.75" hidden="false" customHeight="false" outlineLevel="0" collapsed="false">
      <c r="B426" s="305" t="s">
        <v>184</v>
      </c>
      <c r="C426" s="305" t="s">
        <v>699</v>
      </c>
      <c r="D426" s="306" t="n">
        <v>140</v>
      </c>
      <c r="E426" s="306" t="n">
        <v>0</v>
      </c>
      <c r="F426" s="324" t="s">
        <v>696</v>
      </c>
      <c r="G426" s="144" t="n">
        <v>24</v>
      </c>
      <c r="H426" s="325" t="n">
        <v>139.669421487603</v>
      </c>
      <c r="I426" s="2"/>
      <c r="J426" s="144" t="s">
        <v>12</v>
      </c>
      <c r="K426" s="309" t="s">
        <v>12</v>
      </c>
      <c r="L426" s="310"/>
      <c r="M426" s="311" t="n">
        <v>29</v>
      </c>
      <c r="N426" s="312" t="n">
        <v>4.2</v>
      </c>
      <c r="O426" s="311" t="n">
        <v>0</v>
      </c>
      <c r="P426" s="312" t="n">
        <v>2.7</v>
      </c>
      <c r="Q426" s="310" t="n">
        <v>0</v>
      </c>
      <c r="R426" s="312" t="n">
        <v>1.9</v>
      </c>
      <c r="S426" s="310"/>
      <c r="T426" s="311" t="n">
        <v>0</v>
      </c>
      <c r="U426" s="312" t="n">
        <v>5</v>
      </c>
      <c r="V426" s="311" t="n">
        <v>0</v>
      </c>
      <c r="W426" s="312" t="n">
        <v>1.7</v>
      </c>
      <c r="X426" s="311" t="n">
        <v>0</v>
      </c>
      <c r="Y426" s="312" t="n">
        <v>1.7</v>
      </c>
      <c r="Z426" s="313" t="n">
        <v>0</v>
      </c>
      <c r="AA426" s="314" t="n">
        <v>1.7</v>
      </c>
      <c r="AB426" s="313" t="n">
        <v>0</v>
      </c>
      <c r="AC426" s="314" t="n">
        <v>1.7</v>
      </c>
      <c r="AD426" s="315"/>
      <c r="AE426" s="144" t="n">
        <v>0</v>
      </c>
      <c r="AF426" s="315"/>
      <c r="AG426" s="311" t="n">
        <v>0</v>
      </c>
      <c r="AH426" s="309" t="n">
        <v>0</v>
      </c>
      <c r="AI426" s="310"/>
      <c r="AJ426" s="311" t="n">
        <v>10</v>
      </c>
      <c r="AK426" s="309" t="n">
        <v>100.8</v>
      </c>
      <c r="AL426" s="311" t="n">
        <v>75</v>
      </c>
      <c r="AM426" s="309" t="n">
        <v>64.8</v>
      </c>
      <c r="AN426" s="310" t="n">
        <v>94</v>
      </c>
      <c r="AO426" s="309" t="n">
        <v>45.6</v>
      </c>
      <c r="AP426" s="310"/>
      <c r="AQ426" s="311" t="n">
        <v>20</v>
      </c>
      <c r="AR426" s="309" t="n">
        <v>120</v>
      </c>
      <c r="AS426" s="311" t="n">
        <v>99</v>
      </c>
      <c r="AT426" s="309" t="n">
        <v>40.8</v>
      </c>
      <c r="AU426" s="310" t="n">
        <v>99</v>
      </c>
      <c r="AV426" s="309" t="n">
        <v>40.8</v>
      </c>
      <c r="AW426" s="310" t="n">
        <v>99</v>
      </c>
      <c r="AX426" s="309" t="n">
        <v>40.8</v>
      </c>
      <c r="AY426" s="310" t="n">
        <v>99</v>
      </c>
      <c r="AZ426" s="309" t="n">
        <v>40.8</v>
      </c>
      <c r="BB426" s="144" t="n">
        <v>0</v>
      </c>
      <c r="BC426" s="315"/>
      <c r="BD426" s="311" t="n">
        <v>0</v>
      </c>
      <c r="BE426" s="316" t="n">
        <v>0</v>
      </c>
      <c r="BF426" s="310"/>
      <c r="BG426" s="317" t="n">
        <v>10</v>
      </c>
      <c r="BH426" s="318" t="n">
        <v>0.4</v>
      </c>
      <c r="BI426" s="317" t="n">
        <v>0</v>
      </c>
      <c r="BJ426" s="318" t="n">
        <v>1.2</v>
      </c>
      <c r="BK426" s="317" t="n">
        <v>0</v>
      </c>
      <c r="BL426" s="318" t="n">
        <v>1.2</v>
      </c>
      <c r="BM426" s="310"/>
      <c r="BN426" s="317" t="n">
        <v>0</v>
      </c>
      <c r="BO426" s="318" t="n">
        <v>0.4</v>
      </c>
      <c r="BP426" s="317" t="n">
        <v>0</v>
      </c>
      <c r="BQ426" s="318" t="n">
        <v>0</v>
      </c>
      <c r="BR426" s="317" t="n">
        <v>0</v>
      </c>
      <c r="BS426" s="318" t="n">
        <v>0</v>
      </c>
      <c r="BT426" s="317" t="n">
        <v>0</v>
      </c>
      <c r="BU426" s="318" t="n">
        <v>0.7</v>
      </c>
      <c r="BV426" s="317" t="n">
        <v>0</v>
      </c>
      <c r="BW426" s="318" t="n">
        <v>0.7</v>
      </c>
      <c r="BY426" s="143"/>
      <c r="BZ426" s="315"/>
      <c r="CA426" s="144" t="s">
        <v>12</v>
      </c>
      <c r="CB426" s="315"/>
      <c r="CC426" s="144" t="n">
        <v>-9.86942148760329</v>
      </c>
      <c r="CD426" s="144" t="n">
        <v>-74.8694214876033</v>
      </c>
      <c r="CE426" s="144" t="n">
        <v>-94.0694214876033</v>
      </c>
      <c r="CF426" s="315"/>
      <c r="CG426" s="144" t="n">
        <v>-19.6694214876033</v>
      </c>
      <c r="CH426" s="144" t="n">
        <v>-98.8694214876033</v>
      </c>
      <c r="CI426" s="144" t="n">
        <v>-98.8694214876033</v>
      </c>
      <c r="CJ426" s="144" t="n">
        <v>-98.8694214876033</v>
      </c>
      <c r="CK426" s="144" t="n">
        <v>-98.8694214876033</v>
      </c>
      <c r="CM426" s="144" t="n">
        <v>123.95867768595</v>
      </c>
      <c r="CO426" s="319"/>
      <c r="CP426" s="320"/>
      <c r="CQ426" s="321" t="s">
        <v>12</v>
      </c>
      <c r="CR426" s="320"/>
      <c r="CS426" s="322" t="n">
        <v>5.84132231404959</v>
      </c>
      <c r="CT426" s="322" t="n">
        <v>-59.1586776859504</v>
      </c>
      <c r="CU426" s="322" t="n">
        <v>-78.3586776859504</v>
      </c>
      <c r="CV426" s="323"/>
      <c r="CW426" s="322" t="n">
        <v>-3.95867768595042</v>
      </c>
      <c r="CX426" s="322" t="n">
        <v>-83.1586776859504</v>
      </c>
      <c r="CY426" s="322" t="n">
        <v>-83.1586776859504</v>
      </c>
      <c r="CZ426" s="322" t="n">
        <v>-83.1586776859504</v>
      </c>
      <c r="DA426" s="322" t="n">
        <v>-83.1586776859504</v>
      </c>
    </row>
    <row r="427" customFormat="false" ht="12.75" hidden="false" customHeight="false" outlineLevel="0" collapsed="false">
      <c r="B427" s="305" t="s">
        <v>497</v>
      </c>
      <c r="C427" s="305" t="s">
        <v>700</v>
      </c>
      <c r="D427" s="306" t="n">
        <v>40</v>
      </c>
      <c r="E427" s="306" t="n">
        <v>0</v>
      </c>
      <c r="F427" s="306" t="s">
        <v>678</v>
      </c>
      <c r="G427" s="307" t="n">
        <v>24</v>
      </c>
      <c r="H427" s="308" t="n">
        <v>39.6694214876033</v>
      </c>
      <c r="I427" s="2"/>
      <c r="J427" s="144" t="s">
        <v>12</v>
      </c>
      <c r="K427" s="309" t="s">
        <v>12</v>
      </c>
      <c r="L427" s="310"/>
      <c r="M427" s="311" t="n">
        <v>0</v>
      </c>
      <c r="N427" s="312" t="n">
        <v>0.9</v>
      </c>
      <c r="O427" s="311" t="n">
        <v>0</v>
      </c>
      <c r="P427" s="312" t="n">
        <v>0.9</v>
      </c>
      <c r="Q427" s="310" t="n">
        <v>0</v>
      </c>
      <c r="R427" s="312" t="n">
        <v>0.9</v>
      </c>
      <c r="S427" s="310"/>
      <c r="T427" s="311" t="n">
        <v>0</v>
      </c>
      <c r="U427" s="312" t="n">
        <v>0</v>
      </c>
      <c r="V427" s="311" t="n">
        <v>0</v>
      </c>
      <c r="W427" s="312" t="n">
        <v>0</v>
      </c>
      <c r="X427" s="311" t="n">
        <v>0</v>
      </c>
      <c r="Y427" s="312" t="n">
        <v>0</v>
      </c>
      <c r="Z427" s="313" t="n">
        <v>0</v>
      </c>
      <c r="AA427" s="314" t="n">
        <v>0</v>
      </c>
      <c r="AB427" s="313" t="n">
        <v>0</v>
      </c>
      <c r="AC427" s="314" t="n">
        <v>0</v>
      </c>
      <c r="AD427" s="315"/>
      <c r="AE427" s="144" t="n">
        <v>0</v>
      </c>
      <c r="AF427" s="315"/>
      <c r="AG427" s="311" t="n">
        <v>0</v>
      </c>
      <c r="AH427" s="309" t="n">
        <v>0</v>
      </c>
      <c r="AI427" s="310"/>
      <c r="AJ427" s="311" t="n">
        <v>18</v>
      </c>
      <c r="AK427" s="309" t="n">
        <v>21.6</v>
      </c>
      <c r="AL427" s="311" t="n">
        <v>18</v>
      </c>
      <c r="AM427" s="309" t="n">
        <v>21.6</v>
      </c>
      <c r="AN427" s="311" t="n">
        <v>18</v>
      </c>
      <c r="AO427" s="309" t="n">
        <v>21.6</v>
      </c>
      <c r="AP427" s="310"/>
      <c r="AQ427" s="311" t="n">
        <v>40</v>
      </c>
      <c r="AR427" s="309" t="n">
        <v>0</v>
      </c>
      <c r="AS427" s="311" t="n">
        <v>40</v>
      </c>
      <c r="AT427" s="309" t="n">
        <v>0</v>
      </c>
      <c r="AU427" s="311" t="n">
        <v>40</v>
      </c>
      <c r="AV427" s="309" t="n">
        <v>0</v>
      </c>
      <c r="AW427" s="311" t="n">
        <v>40</v>
      </c>
      <c r="AX427" s="309" t="n">
        <v>0</v>
      </c>
      <c r="AY427" s="311" t="n">
        <v>40</v>
      </c>
      <c r="AZ427" s="309" t="n">
        <v>0</v>
      </c>
      <c r="BB427" s="144" t="n">
        <v>0</v>
      </c>
      <c r="BC427" s="315"/>
      <c r="BD427" s="311" t="n">
        <v>0</v>
      </c>
      <c r="BE427" s="316" t="n">
        <v>0</v>
      </c>
      <c r="BF427" s="310"/>
      <c r="BG427" s="317" t="n">
        <v>0</v>
      </c>
      <c r="BH427" s="318" t="n">
        <v>0</v>
      </c>
      <c r="BI427" s="317" t="n">
        <v>0</v>
      </c>
      <c r="BJ427" s="318" t="n">
        <v>0</v>
      </c>
      <c r="BK427" s="317" t="n">
        <v>0</v>
      </c>
      <c r="BL427" s="318" t="n">
        <v>0</v>
      </c>
      <c r="BM427" s="310"/>
      <c r="BN427" s="317" t="n">
        <v>0</v>
      </c>
      <c r="BO427" s="318" t="n">
        <v>0</v>
      </c>
      <c r="BP427" s="317" t="n">
        <v>0</v>
      </c>
      <c r="BQ427" s="318" t="n">
        <v>0</v>
      </c>
      <c r="BR427" s="317" t="n">
        <v>0</v>
      </c>
      <c r="BS427" s="318" t="n">
        <v>0</v>
      </c>
      <c r="BT427" s="317" t="n">
        <v>0</v>
      </c>
      <c r="BU427" s="318" t="n">
        <v>0</v>
      </c>
      <c r="BV427" s="317" t="n">
        <v>0</v>
      </c>
      <c r="BW427" s="318" t="n">
        <v>0</v>
      </c>
      <c r="BY427" s="143"/>
      <c r="BZ427" s="315"/>
      <c r="CA427" s="144" t="s">
        <v>12</v>
      </c>
      <c r="CB427" s="315"/>
      <c r="CC427" s="144" t="n">
        <v>-18.0694214876033</v>
      </c>
      <c r="CD427" s="144" t="n">
        <v>-18.0694214876033</v>
      </c>
      <c r="CE427" s="144" t="n">
        <v>-18.0694214876033</v>
      </c>
      <c r="CF427" s="315"/>
      <c r="CG427" s="144" t="n">
        <v>-39.6694214876033</v>
      </c>
      <c r="CH427" s="144" t="n">
        <v>-39.6694214876033</v>
      </c>
      <c r="CI427" s="144" t="n">
        <v>-39.6694214876033</v>
      </c>
      <c r="CJ427" s="144" t="n">
        <v>-39.6694214876033</v>
      </c>
      <c r="CK427" s="144" t="n">
        <v>-39.6694214876033</v>
      </c>
      <c r="CM427" s="144" t="n">
        <v>24.7851239669421</v>
      </c>
      <c r="CO427" s="319"/>
      <c r="CP427" s="320"/>
      <c r="CQ427" s="321" t="s">
        <v>12</v>
      </c>
      <c r="CR427" s="320"/>
      <c r="CS427" s="322" t="n">
        <v>-3.18512396694215</v>
      </c>
      <c r="CT427" s="322" t="n">
        <v>-3.18512396694215</v>
      </c>
      <c r="CU427" s="322" t="n">
        <v>-3.18512396694215</v>
      </c>
      <c r="CV427" s="323"/>
      <c r="CW427" s="322" t="n">
        <v>-24.7851239669421</v>
      </c>
      <c r="CX427" s="322" t="n">
        <v>-24.7851239669421</v>
      </c>
      <c r="CY427" s="322" t="n">
        <v>-24.7851239669421</v>
      </c>
      <c r="CZ427" s="322" t="n">
        <v>-24.7851239669421</v>
      </c>
      <c r="DA427" s="322" t="n">
        <v>-24.7851239669421</v>
      </c>
    </row>
    <row r="428" customFormat="false" ht="12.75" hidden="false" customHeight="false" outlineLevel="0" collapsed="false">
      <c r="B428" s="305" t="s">
        <v>655</v>
      </c>
      <c r="C428" s="327" t="s">
        <v>701</v>
      </c>
      <c r="D428" s="306" t="n">
        <v>249</v>
      </c>
      <c r="E428" s="306" t="n">
        <v>0</v>
      </c>
      <c r="F428" s="324" t="s">
        <v>678</v>
      </c>
      <c r="G428" s="144" t="n">
        <v>24</v>
      </c>
      <c r="H428" s="325" t="n">
        <v>219.834710743802</v>
      </c>
      <c r="I428" s="2"/>
      <c r="J428" s="144" t="s">
        <v>12</v>
      </c>
      <c r="K428" s="309" t="s">
        <v>12</v>
      </c>
      <c r="L428" s="310"/>
      <c r="M428" s="311" t="n">
        <v>39</v>
      </c>
      <c r="N428" s="312" t="n">
        <v>6.7</v>
      </c>
      <c r="O428" s="311" t="n">
        <v>0</v>
      </c>
      <c r="P428" s="312" t="n">
        <v>5.6</v>
      </c>
      <c r="Q428" s="310" t="n">
        <v>0</v>
      </c>
      <c r="R428" s="312" t="n">
        <v>4.8</v>
      </c>
      <c r="S428" s="310"/>
      <c r="T428" s="311" t="n">
        <v>0</v>
      </c>
      <c r="U428" s="312" t="n">
        <v>7.9</v>
      </c>
      <c r="V428" s="311" t="n">
        <v>0</v>
      </c>
      <c r="W428" s="312" t="n">
        <v>7.1</v>
      </c>
      <c r="X428" s="311" t="n">
        <v>0</v>
      </c>
      <c r="Y428" s="312" t="n">
        <v>7.1</v>
      </c>
      <c r="Z428" s="313" t="n">
        <v>0</v>
      </c>
      <c r="AA428" s="314" t="n">
        <v>5.8</v>
      </c>
      <c r="AB428" s="313" t="n">
        <v>0</v>
      </c>
      <c r="AC428" s="314" t="n">
        <v>5.8</v>
      </c>
      <c r="AD428" s="315"/>
      <c r="AE428" s="144" t="n">
        <v>29</v>
      </c>
      <c r="AF428" s="315"/>
      <c r="AG428" s="311" t="n">
        <v>0</v>
      </c>
      <c r="AH428" s="309" t="n">
        <v>0</v>
      </c>
      <c r="AI428" s="310"/>
      <c r="AJ428" s="311" t="n">
        <v>49</v>
      </c>
      <c r="AK428" s="309" t="n">
        <v>160.8</v>
      </c>
      <c r="AL428" s="311" t="n">
        <v>115</v>
      </c>
      <c r="AM428" s="309" t="n">
        <v>134.4</v>
      </c>
      <c r="AN428" s="310" t="n">
        <v>134</v>
      </c>
      <c r="AO428" s="309" t="n">
        <v>115.2</v>
      </c>
      <c r="AP428" s="310"/>
      <c r="AQ428" s="311" t="n">
        <v>59</v>
      </c>
      <c r="AR428" s="309" t="n">
        <v>189.6</v>
      </c>
      <c r="AS428" s="311" t="n">
        <v>79</v>
      </c>
      <c r="AT428" s="309" t="n">
        <v>170.4</v>
      </c>
      <c r="AU428" s="310" t="n">
        <v>79</v>
      </c>
      <c r="AV428" s="309" t="n">
        <v>170.4</v>
      </c>
      <c r="AW428" s="310" t="n">
        <v>110</v>
      </c>
      <c r="AX428" s="309" t="n">
        <v>139.2</v>
      </c>
      <c r="AY428" s="310" t="n">
        <v>110</v>
      </c>
      <c r="AZ428" s="309" t="n">
        <v>139.2</v>
      </c>
      <c r="BB428" s="144" t="n">
        <v>0</v>
      </c>
      <c r="BC428" s="315"/>
      <c r="BD428" s="311" t="n">
        <v>0</v>
      </c>
      <c r="BE428" s="316" t="n">
        <v>0</v>
      </c>
      <c r="BF428" s="310"/>
      <c r="BG428" s="317" t="n">
        <v>0</v>
      </c>
      <c r="BH428" s="318" t="n">
        <v>0</v>
      </c>
      <c r="BI428" s="317" t="n">
        <v>0</v>
      </c>
      <c r="BJ428" s="318" t="n">
        <v>0</v>
      </c>
      <c r="BK428" s="317" t="n">
        <v>0</v>
      </c>
      <c r="BL428" s="318" t="n">
        <v>0</v>
      </c>
      <c r="BM428" s="310"/>
      <c r="BN428" s="317" t="n">
        <v>0</v>
      </c>
      <c r="BO428" s="318" t="n">
        <v>0</v>
      </c>
      <c r="BP428" s="317" t="n">
        <v>0</v>
      </c>
      <c r="BQ428" s="318" t="n">
        <v>0</v>
      </c>
      <c r="BR428" s="317" t="n">
        <v>0</v>
      </c>
      <c r="BS428" s="318" t="n">
        <v>0</v>
      </c>
      <c r="BT428" s="317" t="n">
        <v>0</v>
      </c>
      <c r="BU428" s="318" t="n">
        <v>0</v>
      </c>
      <c r="BV428" s="317" t="n">
        <v>0</v>
      </c>
      <c r="BW428" s="318" t="n">
        <v>0</v>
      </c>
      <c r="BY428" s="143"/>
      <c r="BZ428" s="315"/>
      <c r="CA428" s="144" t="s">
        <v>12</v>
      </c>
      <c r="CB428" s="315"/>
      <c r="CC428" s="144" t="n">
        <v>-20.0347107438016</v>
      </c>
      <c r="CD428" s="144" t="n">
        <v>-85.4347107438016</v>
      </c>
      <c r="CE428" s="144" t="n">
        <v>-104.634710743802</v>
      </c>
      <c r="CF428" s="315"/>
      <c r="CG428" s="144" t="n">
        <v>-30.2347107438016</v>
      </c>
      <c r="CH428" s="144" t="n">
        <v>-49.4347107438017</v>
      </c>
      <c r="CI428" s="144" t="n">
        <v>-49.4347107438017</v>
      </c>
      <c r="CJ428" s="144" t="n">
        <v>-80.6347107438017</v>
      </c>
      <c r="CK428" s="144" t="n">
        <v>-80.6347107438017</v>
      </c>
      <c r="CM428" s="144" t="n">
        <v>222.314049586777</v>
      </c>
      <c r="CO428" s="319"/>
      <c r="CP428" s="320"/>
      <c r="CQ428" s="321" t="s">
        <v>12</v>
      </c>
      <c r="CR428" s="320"/>
      <c r="CS428" s="322" t="n">
        <v>-22.5140495867768</v>
      </c>
      <c r="CT428" s="322" t="n">
        <v>-87.9140495867769</v>
      </c>
      <c r="CU428" s="322" t="n">
        <v>-107.114049586777</v>
      </c>
      <c r="CV428" s="323"/>
      <c r="CW428" s="322" t="n">
        <v>-32.7140495867768</v>
      </c>
      <c r="CX428" s="322" t="n">
        <v>-51.9140495867769</v>
      </c>
      <c r="CY428" s="322" t="n">
        <v>-51.9140495867769</v>
      </c>
      <c r="CZ428" s="322" t="n">
        <v>-83.1140495867769</v>
      </c>
      <c r="DA428" s="322" t="n">
        <v>-83.1140495867769</v>
      </c>
    </row>
    <row r="429" customFormat="false" ht="12.75" hidden="false" customHeight="false" outlineLevel="0" collapsed="false">
      <c r="B429" s="305" t="s">
        <v>655</v>
      </c>
      <c r="C429" s="327" t="s">
        <v>701</v>
      </c>
      <c r="D429" s="306" t="n">
        <v>249</v>
      </c>
      <c r="E429" s="306" t="n">
        <v>0</v>
      </c>
      <c r="F429" s="306" t="s">
        <v>678</v>
      </c>
      <c r="G429" s="307" t="n">
        <v>48</v>
      </c>
      <c r="H429" s="308" t="n">
        <v>219.834710743802</v>
      </c>
      <c r="I429" s="2"/>
      <c r="J429" s="144" t="s">
        <v>12</v>
      </c>
      <c r="K429" s="309" t="s">
        <v>12</v>
      </c>
      <c r="L429" s="310"/>
      <c r="M429" s="311" t="n">
        <v>39</v>
      </c>
      <c r="N429" s="312" t="n">
        <v>3.4</v>
      </c>
      <c r="O429" s="311" t="n">
        <v>0</v>
      </c>
      <c r="P429" s="312" t="n">
        <v>2.8</v>
      </c>
      <c r="Q429" s="310" t="n">
        <v>0</v>
      </c>
      <c r="R429" s="312" t="n">
        <v>2.4</v>
      </c>
      <c r="S429" s="310"/>
      <c r="T429" s="311" t="n">
        <v>0</v>
      </c>
      <c r="U429" s="312" t="n">
        <v>4</v>
      </c>
      <c r="V429" s="311" t="n">
        <v>0</v>
      </c>
      <c r="W429" s="312" t="n">
        <v>3.6</v>
      </c>
      <c r="X429" s="311" t="n">
        <v>0</v>
      </c>
      <c r="Y429" s="312" t="n">
        <v>3.6</v>
      </c>
      <c r="Z429" s="313" t="n">
        <v>0</v>
      </c>
      <c r="AA429" s="314" t="n">
        <v>2.9</v>
      </c>
      <c r="AB429" s="313" t="n">
        <v>0</v>
      </c>
      <c r="AC429" s="314" t="n">
        <v>2.9</v>
      </c>
      <c r="AD429" s="315"/>
      <c r="AE429" s="144" t="n">
        <v>29</v>
      </c>
      <c r="AF429" s="315"/>
      <c r="AG429" s="311" t="n">
        <v>0</v>
      </c>
      <c r="AH429" s="309" t="n">
        <v>0</v>
      </c>
      <c r="AI429" s="310"/>
      <c r="AJ429" s="311" t="n">
        <v>47</v>
      </c>
      <c r="AK429" s="309" t="n">
        <v>163.2</v>
      </c>
      <c r="AL429" s="311" t="n">
        <v>115</v>
      </c>
      <c r="AM429" s="309" t="n">
        <v>134.4</v>
      </c>
      <c r="AN429" s="311" t="n">
        <v>134</v>
      </c>
      <c r="AO429" s="309" t="n">
        <v>115.2</v>
      </c>
      <c r="AP429" s="310"/>
      <c r="AQ429" s="311" t="n">
        <v>57</v>
      </c>
      <c r="AR429" s="309" t="n">
        <v>192</v>
      </c>
      <c r="AS429" s="311" t="n">
        <v>76</v>
      </c>
      <c r="AT429" s="309" t="n">
        <v>172.8</v>
      </c>
      <c r="AU429" s="311" t="n">
        <v>76</v>
      </c>
      <c r="AV429" s="309" t="n">
        <v>172.8</v>
      </c>
      <c r="AW429" s="311" t="n">
        <v>110</v>
      </c>
      <c r="AX429" s="309" t="n">
        <v>139.2</v>
      </c>
      <c r="AY429" s="311" t="n">
        <v>110</v>
      </c>
      <c r="AZ429" s="309" t="n">
        <v>139.2</v>
      </c>
      <c r="BB429" s="144" t="n">
        <v>0</v>
      </c>
      <c r="BC429" s="315"/>
      <c r="BD429" s="311" t="n">
        <v>0</v>
      </c>
      <c r="BE429" s="316" t="n">
        <v>0</v>
      </c>
      <c r="BF429" s="310"/>
      <c r="BG429" s="317" t="n">
        <v>0</v>
      </c>
      <c r="BH429" s="318" t="n">
        <v>0</v>
      </c>
      <c r="BI429" s="317" t="n">
        <v>0</v>
      </c>
      <c r="BJ429" s="318" t="n">
        <v>0</v>
      </c>
      <c r="BK429" s="317" t="n">
        <v>0</v>
      </c>
      <c r="BL429" s="318" t="n">
        <v>0</v>
      </c>
      <c r="BM429" s="310"/>
      <c r="BN429" s="317" t="n">
        <v>0</v>
      </c>
      <c r="BO429" s="318" t="n">
        <v>0</v>
      </c>
      <c r="BP429" s="317" t="n">
        <v>0</v>
      </c>
      <c r="BQ429" s="318" t="n">
        <v>0</v>
      </c>
      <c r="BR429" s="317" t="n">
        <v>0</v>
      </c>
      <c r="BS429" s="318" t="n">
        <v>0</v>
      </c>
      <c r="BT429" s="317" t="n">
        <v>0</v>
      </c>
      <c r="BU429" s="318" t="n">
        <v>0</v>
      </c>
      <c r="BV429" s="317" t="n">
        <v>0</v>
      </c>
      <c r="BW429" s="318" t="n">
        <v>0</v>
      </c>
      <c r="BY429" s="143"/>
      <c r="BZ429" s="315"/>
      <c r="CA429" s="144" t="s">
        <v>12</v>
      </c>
      <c r="CB429" s="315"/>
      <c r="CC429" s="144" t="n">
        <v>-17.6347107438016</v>
      </c>
      <c r="CD429" s="144" t="n">
        <v>-85.4347107438016</v>
      </c>
      <c r="CE429" s="144" t="n">
        <v>-104.634710743802</v>
      </c>
      <c r="CF429" s="315"/>
      <c r="CG429" s="144" t="n">
        <v>-27.8347107438017</v>
      </c>
      <c r="CH429" s="144" t="n">
        <v>-47.0347107438016</v>
      </c>
      <c r="CI429" s="144" t="n">
        <v>-47.0347107438016</v>
      </c>
      <c r="CJ429" s="144" t="n">
        <v>-80.6347107438016</v>
      </c>
      <c r="CK429" s="144" t="n">
        <v>-80.6347107438016</v>
      </c>
      <c r="CM429" s="144" t="n">
        <v>222.314049586777</v>
      </c>
      <c r="CO429" s="319"/>
      <c r="CP429" s="320"/>
      <c r="CQ429" s="321" t="s">
        <v>12</v>
      </c>
      <c r="CR429" s="320"/>
      <c r="CS429" s="322" t="n">
        <v>-20.1140495867768</v>
      </c>
      <c r="CT429" s="322" t="n">
        <v>-87.9140495867769</v>
      </c>
      <c r="CU429" s="322" t="n">
        <v>-107.114049586777</v>
      </c>
      <c r="CV429" s="323"/>
      <c r="CW429" s="322" t="n">
        <v>-30.3140495867769</v>
      </c>
      <c r="CX429" s="322" t="n">
        <v>-49.5140495867769</v>
      </c>
      <c r="CY429" s="322" t="n">
        <v>-49.5140495867769</v>
      </c>
      <c r="CZ429" s="322" t="n">
        <v>-83.1140495867768</v>
      </c>
      <c r="DA429" s="322" t="n">
        <v>-83.1140495867768</v>
      </c>
    </row>
    <row r="430" customFormat="false" ht="12.75" hidden="false" customHeight="false" outlineLevel="0" collapsed="false">
      <c r="B430" s="305" t="s">
        <v>655</v>
      </c>
      <c r="C430" s="327" t="s">
        <v>702</v>
      </c>
      <c r="D430" s="306" t="n">
        <v>515</v>
      </c>
      <c r="E430" s="306" t="n">
        <v>0</v>
      </c>
      <c r="F430" s="324" t="s">
        <v>678</v>
      </c>
      <c r="G430" s="144" t="n">
        <v>24</v>
      </c>
      <c r="H430" s="325" t="n">
        <v>457.02479338843</v>
      </c>
      <c r="I430" s="2"/>
      <c r="J430" s="144" t="s">
        <v>12</v>
      </c>
      <c r="K430" s="309" t="s">
        <v>12</v>
      </c>
      <c r="L430" s="310"/>
      <c r="M430" s="311" t="n">
        <v>149</v>
      </c>
      <c r="N430" s="312" t="n">
        <v>9.8</v>
      </c>
      <c r="O430" s="311" t="n">
        <v>19</v>
      </c>
      <c r="P430" s="312" t="n">
        <v>12.9</v>
      </c>
      <c r="Q430" s="310" t="n">
        <v>19</v>
      </c>
      <c r="R430" s="312" t="n">
        <v>12</v>
      </c>
      <c r="S430" s="310"/>
      <c r="T430" s="311" t="n">
        <v>0</v>
      </c>
      <c r="U430" s="312" t="n">
        <v>16</v>
      </c>
      <c r="V430" s="311" t="n">
        <v>0</v>
      </c>
      <c r="W430" s="312" t="n">
        <v>14.9</v>
      </c>
      <c r="X430" s="311" t="n">
        <v>0</v>
      </c>
      <c r="Y430" s="312" t="n">
        <v>14.9</v>
      </c>
      <c r="Z430" s="313" t="n">
        <v>0</v>
      </c>
      <c r="AA430" s="314" t="n">
        <v>13.7</v>
      </c>
      <c r="AB430" s="313" t="n">
        <v>0</v>
      </c>
      <c r="AC430" s="314" t="n">
        <v>13.7</v>
      </c>
      <c r="AD430" s="315"/>
      <c r="AE430" s="144" t="n">
        <v>58</v>
      </c>
      <c r="AF430" s="315"/>
      <c r="AG430" s="311" t="n">
        <v>0</v>
      </c>
      <c r="AH430" s="309" t="n">
        <v>0</v>
      </c>
      <c r="AI430" s="310"/>
      <c r="AJ430" s="311" t="n">
        <v>131</v>
      </c>
      <c r="AK430" s="309" t="n">
        <v>235.2</v>
      </c>
      <c r="AL430" s="311" t="n">
        <v>186</v>
      </c>
      <c r="AM430" s="309" t="n">
        <v>309.6</v>
      </c>
      <c r="AN430" s="310" t="n">
        <v>208</v>
      </c>
      <c r="AO430" s="309" t="n">
        <v>288</v>
      </c>
      <c r="AP430" s="310"/>
      <c r="AQ430" s="311" t="n">
        <v>131</v>
      </c>
      <c r="AR430" s="309" t="n">
        <v>384</v>
      </c>
      <c r="AS430" s="311" t="n">
        <v>157</v>
      </c>
      <c r="AT430" s="309" t="n">
        <v>357.6</v>
      </c>
      <c r="AU430" s="310" t="n">
        <v>157</v>
      </c>
      <c r="AV430" s="309" t="n">
        <v>357.6</v>
      </c>
      <c r="AW430" s="310" t="n">
        <v>186</v>
      </c>
      <c r="AX430" s="309" t="n">
        <v>328.8</v>
      </c>
      <c r="AY430" s="310" t="n">
        <v>186</v>
      </c>
      <c r="AZ430" s="309" t="n">
        <v>328.8</v>
      </c>
      <c r="BB430" s="144" t="n">
        <v>0</v>
      </c>
      <c r="BC430" s="315"/>
      <c r="BD430" s="311" t="n">
        <v>0</v>
      </c>
      <c r="BE430" s="316" t="n">
        <v>0</v>
      </c>
      <c r="BF430" s="310"/>
      <c r="BG430" s="317" t="n">
        <v>0</v>
      </c>
      <c r="BH430" s="318" t="n">
        <v>0</v>
      </c>
      <c r="BI430" s="317" t="n">
        <v>0</v>
      </c>
      <c r="BJ430" s="318" t="n">
        <v>0</v>
      </c>
      <c r="BK430" s="317" t="n">
        <v>0</v>
      </c>
      <c r="BL430" s="318" t="n">
        <v>0</v>
      </c>
      <c r="BM430" s="310"/>
      <c r="BN430" s="317" t="n">
        <v>0</v>
      </c>
      <c r="BO430" s="318" t="n">
        <v>0</v>
      </c>
      <c r="BP430" s="317" t="n">
        <v>0</v>
      </c>
      <c r="BQ430" s="318" t="n">
        <v>0</v>
      </c>
      <c r="BR430" s="317" t="n">
        <v>0</v>
      </c>
      <c r="BS430" s="318" t="n">
        <v>0</v>
      </c>
      <c r="BT430" s="317" t="n">
        <v>0</v>
      </c>
      <c r="BU430" s="318" t="n">
        <v>0</v>
      </c>
      <c r="BV430" s="317" t="n">
        <v>0</v>
      </c>
      <c r="BW430" s="318" t="n">
        <v>0</v>
      </c>
      <c r="BY430" s="143"/>
      <c r="BZ430" s="315"/>
      <c r="CA430" s="144" t="s">
        <v>12</v>
      </c>
      <c r="CB430" s="315"/>
      <c r="CC430" s="144" t="n">
        <v>-72.8247933884297</v>
      </c>
      <c r="CD430" s="144" t="n">
        <v>-128.42479338843</v>
      </c>
      <c r="CE430" s="144" t="n">
        <v>-150.02479338843</v>
      </c>
      <c r="CF430" s="315"/>
      <c r="CG430" s="144" t="n">
        <v>-73.0247933884298</v>
      </c>
      <c r="CH430" s="144" t="n">
        <v>-99.4247933884298</v>
      </c>
      <c r="CI430" s="144" t="n">
        <v>-99.4247933884298</v>
      </c>
      <c r="CJ430" s="144" t="n">
        <v>-128.22479338843</v>
      </c>
      <c r="CK430" s="144" t="n">
        <v>-128.22479338843</v>
      </c>
      <c r="CM430" s="144" t="n">
        <v>470.247933884298</v>
      </c>
      <c r="CO430" s="319"/>
      <c r="CP430" s="320"/>
      <c r="CQ430" s="321" t="s">
        <v>12</v>
      </c>
      <c r="CR430" s="320"/>
      <c r="CS430" s="322" t="n">
        <v>-86.0479338842975</v>
      </c>
      <c r="CT430" s="322" t="n">
        <v>-141.647933884298</v>
      </c>
      <c r="CU430" s="322" t="n">
        <v>-163.247933884298</v>
      </c>
      <c r="CV430" s="323"/>
      <c r="CW430" s="322" t="n">
        <v>-86.2479338842975</v>
      </c>
      <c r="CX430" s="322" t="n">
        <v>-112.647933884298</v>
      </c>
      <c r="CY430" s="322" t="n">
        <v>-112.647933884298</v>
      </c>
      <c r="CZ430" s="322" t="n">
        <v>-141.447933884298</v>
      </c>
      <c r="DA430" s="322" t="n">
        <v>-141.447933884298</v>
      </c>
    </row>
    <row r="431" customFormat="false" ht="12.75" hidden="false" customHeight="false" outlineLevel="0" collapsed="false">
      <c r="B431" s="305" t="s">
        <v>655</v>
      </c>
      <c r="C431" s="327" t="s">
        <v>702</v>
      </c>
      <c r="D431" s="306" t="n">
        <v>515</v>
      </c>
      <c r="E431" s="306" t="n">
        <v>0</v>
      </c>
      <c r="F431" s="306" t="s">
        <v>678</v>
      </c>
      <c r="G431" s="307" t="n">
        <v>48</v>
      </c>
      <c r="H431" s="308" t="n">
        <v>457.02479338843</v>
      </c>
      <c r="I431" s="2"/>
      <c r="J431" s="144" t="s">
        <v>12</v>
      </c>
      <c r="K431" s="309" t="s">
        <v>12</v>
      </c>
      <c r="L431" s="310"/>
      <c r="M431" s="311" t="n">
        <v>149</v>
      </c>
      <c r="N431" s="312" t="n">
        <v>4.9</v>
      </c>
      <c r="O431" s="311" t="n">
        <v>19</v>
      </c>
      <c r="P431" s="312" t="n">
        <v>6.5</v>
      </c>
      <c r="Q431" s="310" t="n">
        <v>19</v>
      </c>
      <c r="R431" s="312" t="n">
        <v>6</v>
      </c>
      <c r="S431" s="310"/>
      <c r="T431" s="311" t="n">
        <v>0</v>
      </c>
      <c r="U431" s="312" t="n">
        <v>8</v>
      </c>
      <c r="V431" s="311" t="n">
        <v>0</v>
      </c>
      <c r="W431" s="312" t="n">
        <v>7.5</v>
      </c>
      <c r="X431" s="311" t="n">
        <v>0</v>
      </c>
      <c r="Y431" s="312" t="n">
        <v>7.5</v>
      </c>
      <c r="Z431" s="313" t="n">
        <v>0</v>
      </c>
      <c r="AA431" s="314" t="n">
        <v>6.8</v>
      </c>
      <c r="AB431" s="313" t="n">
        <v>0</v>
      </c>
      <c r="AC431" s="314" t="n">
        <v>6.8</v>
      </c>
      <c r="AD431" s="315"/>
      <c r="AE431" s="144" t="n">
        <v>58</v>
      </c>
      <c r="AF431" s="315"/>
      <c r="AG431" s="311" t="n">
        <v>0</v>
      </c>
      <c r="AH431" s="309" t="n">
        <v>0</v>
      </c>
      <c r="AI431" s="310"/>
      <c r="AJ431" s="311" t="n">
        <v>131</v>
      </c>
      <c r="AK431" s="309" t="n">
        <v>235.2</v>
      </c>
      <c r="AL431" s="311" t="n">
        <v>184</v>
      </c>
      <c r="AM431" s="309" t="n">
        <v>312</v>
      </c>
      <c r="AN431" s="311" t="n">
        <v>208</v>
      </c>
      <c r="AO431" s="309" t="n">
        <v>288</v>
      </c>
      <c r="AP431" s="310"/>
      <c r="AQ431" s="311" t="n">
        <v>131</v>
      </c>
      <c r="AR431" s="309" t="n">
        <v>384</v>
      </c>
      <c r="AS431" s="311" t="n">
        <v>155</v>
      </c>
      <c r="AT431" s="309" t="n">
        <v>360</v>
      </c>
      <c r="AU431" s="311" t="n">
        <v>155</v>
      </c>
      <c r="AV431" s="309" t="n">
        <v>360</v>
      </c>
      <c r="AW431" s="311" t="n">
        <v>189</v>
      </c>
      <c r="AX431" s="309" t="n">
        <v>326.4</v>
      </c>
      <c r="AY431" s="311" t="n">
        <v>189</v>
      </c>
      <c r="AZ431" s="309" t="n">
        <v>326.4</v>
      </c>
      <c r="BB431" s="144" t="n">
        <v>0</v>
      </c>
      <c r="BC431" s="315"/>
      <c r="BD431" s="311" t="n">
        <v>0</v>
      </c>
      <c r="BE431" s="316" t="n">
        <v>0</v>
      </c>
      <c r="BF431" s="310"/>
      <c r="BG431" s="317" t="n">
        <v>0</v>
      </c>
      <c r="BH431" s="318" t="n">
        <v>0</v>
      </c>
      <c r="BI431" s="317" t="n">
        <v>0</v>
      </c>
      <c r="BJ431" s="318" t="n">
        <v>0</v>
      </c>
      <c r="BK431" s="317" t="n">
        <v>0</v>
      </c>
      <c r="BL431" s="318" t="n">
        <v>0</v>
      </c>
      <c r="BM431" s="310"/>
      <c r="BN431" s="317" t="n">
        <v>0</v>
      </c>
      <c r="BO431" s="318" t="n">
        <v>0</v>
      </c>
      <c r="BP431" s="317" t="n">
        <v>0</v>
      </c>
      <c r="BQ431" s="318" t="n">
        <v>0</v>
      </c>
      <c r="BR431" s="317" t="n">
        <v>0</v>
      </c>
      <c r="BS431" s="318" t="n">
        <v>0</v>
      </c>
      <c r="BT431" s="317" t="n">
        <v>0</v>
      </c>
      <c r="BU431" s="318" t="n">
        <v>0</v>
      </c>
      <c r="BV431" s="317" t="n">
        <v>0</v>
      </c>
      <c r="BW431" s="318" t="n">
        <v>0</v>
      </c>
      <c r="BY431" s="143"/>
      <c r="BZ431" s="315"/>
      <c r="CA431" s="144" t="s">
        <v>12</v>
      </c>
      <c r="CB431" s="315"/>
      <c r="CC431" s="144" t="n">
        <v>-72.8247933884297</v>
      </c>
      <c r="CD431" s="144" t="n">
        <v>-126.02479338843</v>
      </c>
      <c r="CE431" s="144" t="n">
        <v>-150.02479338843</v>
      </c>
      <c r="CF431" s="315"/>
      <c r="CG431" s="144" t="n">
        <v>-73.0247933884298</v>
      </c>
      <c r="CH431" s="144" t="n">
        <v>-97.0247933884298</v>
      </c>
      <c r="CI431" s="144" t="n">
        <v>-97.0247933884298</v>
      </c>
      <c r="CJ431" s="144" t="n">
        <v>-130.62479338843</v>
      </c>
      <c r="CK431" s="144" t="n">
        <v>-130.62479338843</v>
      </c>
      <c r="CM431" s="144" t="n">
        <v>470.247933884298</v>
      </c>
      <c r="CO431" s="319"/>
      <c r="CP431" s="320"/>
      <c r="CQ431" s="321" t="s">
        <v>12</v>
      </c>
      <c r="CR431" s="320"/>
      <c r="CS431" s="322" t="n">
        <v>-86.0479338842975</v>
      </c>
      <c r="CT431" s="322" t="n">
        <v>-139.247933884298</v>
      </c>
      <c r="CU431" s="322" t="n">
        <v>-163.247933884298</v>
      </c>
      <c r="CV431" s="323"/>
      <c r="CW431" s="322" t="n">
        <v>-86.2479338842975</v>
      </c>
      <c r="CX431" s="322" t="n">
        <v>-110.247933884298</v>
      </c>
      <c r="CY431" s="322" t="n">
        <v>-110.247933884298</v>
      </c>
      <c r="CZ431" s="322" t="n">
        <v>-143.847933884298</v>
      </c>
      <c r="DA431" s="322" t="n">
        <v>-143.847933884298</v>
      </c>
    </row>
    <row r="432" customFormat="false" ht="12.75" hidden="false" customHeight="false" outlineLevel="0" collapsed="false">
      <c r="B432" s="305" t="s">
        <v>655</v>
      </c>
      <c r="C432" s="327" t="s">
        <v>703</v>
      </c>
      <c r="D432" s="306" t="n">
        <v>362</v>
      </c>
      <c r="E432" s="306" t="n">
        <v>0</v>
      </c>
      <c r="F432" s="324" t="s">
        <v>678</v>
      </c>
      <c r="G432" s="144" t="n">
        <v>24</v>
      </c>
      <c r="H432" s="325" t="n">
        <v>289.256198347107</v>
      </c>
      <c r="I432" s="2"/>
      <c r="J432" s="144" t="s">
        <v>12</v>
      </c>
      <c r="K432" s="309" t="s">
        <v>12</v>
      </c>
      <c r="L432" s="310"/>
      <c r="M432" s="311" t="n">
        <v>99</v>
      </c>
      <c r="N432" s="312" t="n">
        <v>5.6</v>
      </c>
      <c r="O432" s="311" t="n">
        <v>19</v>
      </c>
      <c r="P432" s="312" t="n">
        <v>6.2</v>
      </c>
      <c r="Q432" s="310" t="n">
        <v>19</v>
      </c>
      <c r="R432" s="312" t="n">
        <v>5.4</v>
      </c>
      <c r="S432" s="310"/>
      <c r="T432" s="311" t="n">
        <v>0</v>
      </c>
      <c r="U432" s="312" t="n">
        <v>9.3</v>
      </c>
      <c r="V432" s="311" t="n">
        <v>0</v>
      </c>
      <c r="W432" s="312" t="n">
        <v>6.7</v>
      </c>
      <c r="X432" s="311" t="n">
        <v>0</v>
      </c>
      <c r="Y432" s="312" t="n">
        <v>6.7</v>
      </c>
      <c r="Z432" s="313" t="n">
        <v>0</v>
      </c>
      <c r="AA432" s="314" t="n">
        <v>6.7</v>
      </c>
      <c r="AB432" s="313" t="n">
        <v>0</v>
      </c>
      <c r="AC432" s="314" t="n">
        <v>6.7</v>
      </c>
      <c r="AD432" s="315"/>
      <c r="AE432" s="144" t="n">
        <v>73</v>
      </c>
      <c r="AF432" s="315"/>
      <c r="AG432" s="311" t="n">
        <v>0</v>
      </c>
      <c r="AH432" s="309" t="n">
        <v>0</v>
      </c>
      <c r="AI432" s="310"/>
      <c r="AJ432" s="311" t="n">
        <v>129</v>
      </c>
      <c r="AK432" s="309" t="n">
        <v>134.4</v>
      </c>
      <c r="AL432" s="311" t="n">
        <v>194</v>
      </c>
      <c r="AM432" s="309" t="n">
        <v>148.8</v>
      </c>
      <c r="AN432" s="310" t="n">
        <v>213</v>
      </c>
      <c r="AO432" s="309" t="n">
        <v>129.6</v>
      </c>
      <c r="AP432" s="310"/>
      <c r="AQ432" s="311" t="n">
        <v>139</v>
      </c>
      <c r="AR432" s="309" t="n">
        <v>223.2</v>
      </c>
      <c r="AS432" s="311" t="n">
        <v>201</v>
      </c>
      <c r="AT432" s="309" t="n">
        <v>160.8</v>
      </c>
      <c r="AU432" s="310" t="n">
        <v>201</v>
      </c>
      <c r="AV432" s="309" t="n">
        <v>160.8</v>
      </c>
      <c r="AW432" s="310" t="n">
        <v>201</v>
      </c>
      <c r="AX432" s="309" t="n">
        <v>160.8</v>
      </c>
      <c r="AY432" s="310" t="n">
        <v>201</v>
      </c>
      <c r="AZ432" s="309" t="n">
        <v>160.8</v>
      </c>
      <c r="BB432" s="144" t="n">
        <v>0</v>
      </c>
      <c r="BC432" s="315"/>
      <c r="BD432" s="311" t="n">
        <v>0</v>
      </c>
      <c r="BE432" s="316" t="n">
        <v>0</v>
      </c>
      <c r="BF432" s="310"/>
      <c r="BG432" s="317" t="n">
        <v>0</v>
      </c>
      <c r="BH432" s="318" t="n">
        <v>0</v>
      </c>
      <c r="BI432" s="317" t="n">
        <v>0</v>
      </c>
      <c r="BJ432" s="318" t="n">
        <v>0</v>
      </c>
      <c r="BK432" s="317" t="n">
        <v>0</v>
      </c>
      <c r="BL432" s="318" t="n">
        <v>0</v>
      </c>
      <c r="BM432" s="310"/>
      <c r="BN432" s="317" t="n">
        <v>0</v>
      </c>
      <c r="BO432" s="318" t="n">
        <v>0</v>
      </c>
      <c r="BP432" s="317" t="n">
        <v>0</v>
      </c>
      <c r="BQ432" s="318" t="n">
        <v>0</v>
      </c>
      <c r="BR432" s="317" t="n">
        <v>0</v>
      </c>
      <c r="BS432" s="318" t="n">
        <v>0</v>
      </c>
      <c r="BT432" s="317" t="n">
        <v>0</v>
      </c>
      <c r="BU432" s="318" t="n">
        <v>0</v>
      </c>
      <c r="BV432" s="317" t="n">
        <v>0</v>
      </c>
      <c r="BW432" s="318" t="n">
        <v>0</v>
      </c>
      <c r="BY432" s="143"/>
      <c r="BZ432" s="315"/>
      <c r="CA432" s="144" t="s">
        <v>12</v>
      </c>
      <c r="CB432" s="315"/>
      <c r="CC432" s="144" t="n">
        <v>-55.8561983471074</v>
      </c>
      <c r="CD432" s="144" t="n">
        <v>-121.456198347107</v>
      </c>
      <c r="CE432" s="144" t="n">
        <v>-140.656198347107</v>
      </c>
      <c r="CF432" s="315"/>
      <c r="CG432" s="144" t="n">
        <v>-66.0561983471074</v>
      </c>
      <c r="CH432" s="144" t="n">
        <v>-128.456198347107</v>
      </c>
      <c r="CI432" s="144" t="n">
        <v>-128.456198347107</v>
      </c>
      <c r="CJ432" s="144" t="n">
        <v>-128.456198347107</v>
      </c>
      <c r="CK432" s="144" t="n">
        <v>-128.456198347107</v>
      </c>
      <c r="CM432" s="144" t="n">
        <v>329.752066115702</v>
      </c>
      <c r="CO432" s="319"/>
      <c r="CP432" s="320"/>
      <c r="CQ432" s="321" t="s">
        <v>12</v>
      </c>
      <c r="CR432" s="320"/>
      <c r="CS432" s="322" t="n">
        <v>-96.3520661157025</v>
      </c>
      <c r="CT432" s="322" t="n">
        <v>-161.952066115702</v>
      </c>
      <c r="CU432" s="322" t="n">
        <v>-181.152066115702</v>
      </c>
      <c r="CV432" s="323"/>
      <c r="CW432" s="322" t="n">
        <v>-106.552066115702</v>
      </c>
      <c r="CX432" s="322" t="n">
        <v>-168.952066115702</v>
      </c>
      <c r="CY432" s="322" t="n">
        <v>-168.952066115702</v>
      </c>
      <c r="CZ432" s="322" t="n">
        <v>-168.952066115702</v>
      </c>
      <c r="DA432" s="322" t="n">
        <v>-168.952066115702</v>
      </c>
    </row>
    <row r="433" customFormat="false" ht="12.75" hidden="false" customHeight="false" outlineLevel="0" collapsed="false">
      <c r="B433" s="305" t="s">
        <v>655</v>
      </c>
      <c r="C433" s="327" t="s">
        <v>703</v>
      </c>
      <c r="D433" s="306" t="n">
        <v>362</v>
      </c>
      <c r="E433" s="306" t="n">
        <v>0</v>
      </c>
      <c r="F433" s="306" t="s">
        <v>678</v>
      </c>
      <c r="G433" s="307" t="n">
        <v>48</v>
      </c>
      <c r="H433" s="308" t="n">
        <v>289.256198347107</v>
      </c>
      <c r="I433" s="2"/>
      <c r="J433" s="144" t="s">
        <v>12</v>
      </c>
      <c r="K433" s="309" t="s">
        <v>12</v>
      </c>
      <c r="L433" s="310"/>
      <c r="M433" s="311" t="n">
        <v>99</v>
      </c>
      <c r="N433" s="312" t="n">
        <v>2.8</v>
      </c>
      <c r="O433" s="311" t="n">
        <v>19</v>
      </c>
      <c r="P433" s="312" t="n">
        <v>3.1</v>
      </c>
      <c r="Q433" s="310" t="n">
        <v>19</v>
      </c>
      <c r="R433" s="312" t="n">
        <v>2.7</v>
      </c>
      <c r="S433" s="310"/>
      <c r="T433" s="311" t="n">
        <v>0</v>
      </c>
      <c r="U433" s="312" t="n">
        <v>4.7</v>
      </c>
      <c r="V433" s="311" t="n">
        <v>0</v>
      </c>
      <c r="W433" s="312" t="n">
        <v>3.4</v>
      </c>
      <c r="X433" s="311" t="n">
        <v>0</v>
      </c>
      <c r="Y433" s="312" t="n">
        <v>3.4</v>
      </c>
      <c r="Z433" s="313" t="n">
        <v>0</v>
      </c>
      <c r="AA433" s="314" t="n">
        <v>3.4</v>
      </c>
      <c r="AB433" s="313" t="n">
        <v>0</v>
      </c>
      <c r="AC433" s="314" t="n">
        <v>3.4</v>
      </c>
      <c r="AD433" s="315"/>
      <c r="AE433" s="144" t="n">
        <v>73</v>
      </c>
      <c r="AF433" s="315"/>
      <c r="AG433" s="311" t="n">
        <v>0</v>
      </c>
      <c r="AH433" s="309" t="n">
        <v>0</v>
      </c>
      <c r="AI433" s="310"/>
      <c r="AJ433" s="311" t="n">
        <v>129</v>
      </c>
      <c r="AK433" s="309" t="n">
        <v>134.4</v>
      </c>
      <c r="AL433" s="311" t="n">
        <v>194</v>
      </c>
      <c r="AM433" s="309" t="n">
        <v>148.8</v>
      </c>
      <c r="AN433" s="311" t="n">
        <v>213</v>
      </c>
      <c r="AO433" s="309" t="n">
        <v>129.6</v>
      </c>
      <c r="AP433" s="310"/>
      <c r="AQ433" s="311" t="n">
        <v>136</v>
      </c>
      <c r="AR433" s="309" t="n">
        <v>225.6</v>
      </c>
      <c r="AS433" s="311" t="n">
        <v>199</v>
      </c>
      <c r="AT433" s="309" t="n">
        <v>163.2</v>
      </c>
      <c r="AU433" s="311" t="n">
        <v>199</v>
      </c>
      <c r="AV433" s="309" t="n">
        <v>163.2</v>
      </c>
      <c r="AW433" s="311" t="n">
        <v>199</v>
      </c>
      <c r="AX433" s="309" t="n">
        <v>163.2</v>
      </c>
      <c r="AY433" s="311" t="n">
        <v>199</v>
      </c>
      <c r="AZ433" s="309" t="n">
        <v>163.2</v>
      </c>
      <c r="BB433" s="144" t="n">
        <v>0</v>
      </c>
      <c r="BC433" s="315"/>
      <c r="BD433" s="311" t="n">
        <v>0</v>
      </c>
      <c r="BE433" s="316" t="n">
        <v>0</v>
      </c>
      <c r="BF433" s="310"/>
      <c r="BG433" s="317" t="n">
        <v>0</v>
      </c>
      <c r="BH433" s="318" t="n">
        <v>0</v>
      </c>
      <c r="BI433" s="317" t="n">
        <v>0</v>
      </c>
      <c r="BJ433" s="318" t="n">
        <v>0</v>
      </c>
      <c r="BK433" s="317" t="n">
        <v>0</v>
      </c>
      <c r="BL433" s="318" t="n">
        <v>0</v>
      </c>
      <c r="BM433" s="310"/>
      <c r="BN433" s="317" t="n">
        <v>0</v>
      </c>
      <c r="BO433" s="318" t="n">
        <v>0</v>
      </c>
      <c r="BP433" s="317" t="n">
        <v>0</v>
      </c>
      <c r="BQ433" s="318" t="n">
        <v>0</v>
      </c>
      <c r="BR433" s="317" t="n">
        <v>0</v>
      </c>
      <c r="BS433" s="318" t="n">
        <v>0</v>
      </c>
      <c r="BT433" s="317" t="n">
        <v>0</v>
      </c>
      <c r="BU433" s="318" t="n">
        <v>0</v>
      </c>
      <c r="BV433" s="317" t="n">
        <v>0</v>
      </c>
      <c r="BW433" s="318" t="n">
        <v>0</v>
      </c>
      <c r="BY433" s="143"/>
      <c r="BZ433" s="315"/>
      <c r="CA433" s="144" t="s">
        <v>12</v>
      </c>
      <c r="CB433" s="315"/>
      <c r="CC433" s="144" t="n">
        <v>-55.8561983471074</v>
      </c>
      <c r="CD433" s="144" t="n">
        <v>-121.456198347107</v>
      </c>
      <c r="CE433" s="144" t="n">
        <v>-140.656198347107</v>
      </c>
      <c r="CF433" s="315"/>
      <c r="CG433" s="144" t="n">
        <v>-63.6561983471074</v>
      </c>
      <c r="CH433" s="144" t="n">
        <v>-126.056198347107</v>
      </c>
      <c r="CI433" s="144" t="n">
        <v>-126.056198347107</v>
      </c>
      <c r="CJ433" s="144" t="n">
        <v>-126.056198347107</v>
      </c>
      <c r="CK433" s="144" t="n">
        <v>-126.056198347107</v>
      </c>
      <c r="CM433" s="144" t="n">
        <v>329.752066115702</v>
      </c>
      <c r="CO433" s="319"/>
      <c r="CP433" s="320"/>
      <c r="CQ433" s="321" t="s">
        <v>12</v>
      </c>
      <c r="CR433" s="320"/>
      <c r="CS433" s="322" t="n">
        <v>-96.3520661157025</v>
      </c>
      <c r="CT433" s="322" t="n">
        <v>-161.952066115702</v>
      </c>
      <c r="CU433" s="322" t="n">
        <v>-181.152066115702</v>
      </c>
      <c r="CV433" s="323"/>
      <c r="CW433" s="322" t="n">
        <v>-104.152066115702</v>
      </c>
      <c r="CX433" s="322" t="n">
        <v>-166.552066115702</v>
      </c>
      <c r="CY433" s="322" t="n">
        <v>-166.552066115702</v>
      </c>
      <c r="CZ433" s="322" t="n">
        <v>-166.552066115702</v>
      </c>
      <c r="DA433" s="322" t="n">
        <v>-166.552066115702</v>
      </c>
    </row>
    <row r="434" customFormat="false" ht="12.75" hidden="false" customHeight="false" outlineLevel="0" collapsed="false">
      <c r="B434" s="305" t="s">
        <v>450</v>
      </c>
      <c r="C434" s="305" t="s">
        <v>704</v>
      </c>
      <c r="D434" s="306" t="n">
        <v>62</v>
      </c>
      <c r="E434" s="306" t="n">
        <v>0</v>
      </c>
      <c r="F434" s="324" t="s">
        <v>705</v>
      </c>
      <c r="G434" s="144" t="n">
        <v>24</v>
      </c>
      <c r="H434" s="325" t="n">
        <v>45.4545454545455</v>
      </c>
      <c r="I434" s="2"/>
      <c r="J434" s="144" t="s">
        <v>12</v>
      </c>
      <c r="K434" s="309" t="s">
        <v>12</v>
      </c>
      <c r="L434" s="310"/>
      <c r="M434" s="311" t="n">
        <v>0</v>
      </c>
      <c r="N434" s="312" t="n">
        <v>1.1</v>
      </c>
      <c r="O434" s="311" t="n">
        <v>0</v>
      </c>
      <c r="P434" s="312" t="n">
        <v>1.1</v>
      </c>
      <c r="Q434" s="310" t="n">
        <v>0</v>
      </c>
      <c r="R434" s="312" t="n">
        <v>1.1</v>
      </c>
      <c r="S434" s="310"/>
      <c r="T434" s="311" t="n">
        <v>0</v>
      </c>
      <c r="U434" s="312" t="n">
        <v>0</v>
      </c>
      <c r="V434" s="311" t="n">
        <v>0</v>
      </c>
      <c r="W434" s="312" t="n">
        <v>0</v>
      </c>
      <c r="X434" s="311" t="n">
        <v>0</v>
      </c>
      <c r="Y434" s="312" t="n">
        <v>0</v>
      </c>
      <c r="Z434" s="313" t="n">
        <v>0</v>
      </c>
      <c r="AA434" s="314" t="n">
        <v>0</v>
      </c>
      <c r="AB434" s="313" t="n">
        <v>0</v>
      </c>
      <c r="AC434" s="314" t="n">
        <v>0</v>
      </c>
      <c r="AD434" s="315"/>
      <c r="AE434" s="144" t="n">
        <v>17</v>
      </c>
      <c r="AF434" s="315"/>
      <c r="AG434" s="311" t="n">
        <v>0</v>
      </c>
      <c r="AH434" s="309" t="n">
        <v>0</v>
      </c>
      <c r="AI434" s="310"/>
      <c r="AJ434" s="311" t="n">
        <v>36</v>
      </c>
      <c r="AK434" s="309" t="n">
        <v>26.4</v>
      </c>
      <c r="AL434" s="311" t="n">
        <v>36</v>
      </c>
      <c r="AM434" s="309" t="n">
        <v>26.4</v>
      </c>
      <c r="AN434" s="310" t="n">
        <v>36</v>
      </c>
      <c r="AO434" s="309" t="n">
        <v>26.4</v>
      </c>
      <c r="AP434" s="310"/>
      <c r="AQ434" s="311" t="n">
        <v>62</v>
      </c>
      <c r="AR434" s="309" t="n">
        <v>0</v>
      </c>
      <c r="AS434" s="311" t="n">
        <v>62</v>
      </c>
      <c r="AT434" s="309" t="n">
        <v>0</v>
      </c>
      <c r="AU434" s="310" t="n">
        <v>62</v>
      </c>
      <c r="AV434" s="309" t="n">
        <v>0</v>
      </c>
      <c r="AW434" s="310" t="n">
        <v>62</v>
      </c>
      <c r="AX434" s="309" t="n">
        <v>0</v>
      </c>
      <c r="AY434" s="310" t="n">
        <v>62</v>
      </c>
      <c r="AZ434" s="309" t="n">
        <v>0</v>
      </c>
      <c r="BB434" s="144" t="n">
        <v>0</v>
      </c>
      <c r="BC434" s="315"/>
      <c r="BD434" s="311" t="n">
        <v>0</v>
      </c>
      <c r="BE434" s="316" t="n">
        <v>0</v>
      </c>
      <c r="BF434" s="310"/>
      <c r="BG434" s="317" t="n">
        <v>0</v>
      </c>
      <c r="BH434" s="318" t="n">
        <v>-0.1</v>
      </c>
      <c r="BI434" s="317" t="n">
        <v>0</v>
      </c>
      <c r="BJ434" s="318" t="n">
        <v>-0.1</v>
      </c>
      <c r="BK434" s="317" t="n">
        <v>0</v>
      </c>
      <c r="BL434" s="318" t="n">
        <v>-0.1</v>
      </c>
      <c r="BM434" s="310"/>
      <c r="BN434" s="317" t="n">
        <v>0</v>
      </c>
      <c r="BO434" s="318" t="n">
        <v>0</v>
      </c>
      <c r="BP434" s="317" t="n">
        <v>0</v>
      </c>
      <c r="BQ434" s="318" t="n">
        <v>0</v>
      </c>
      <c r="BR434" s="317" t="n">
        <v>0</v>
      </c>
      <c r="BS434" s="318" t="n">
        <v>0</v>
      </c>
      <c r="BT434" s="317" t="n">
        <v>0</v>
      </c>
      <c r="BU434" s="318" t="n">
        <v>0</v>
      </c>
      <c r="BV434" s="317" t="n">
        <v>0</v>
      </c>
      <c r="BW434" s="318" t="n">
        <v>0</v>
      </c>
      <c r="BY434" s="143"/>
      <c r="BZ434" s="315"/>
      <c r="CA434" s="144" t="s">
        <v>12</v>
      </c>
      <c r="CB434" s="315"/>
      <c r="CC434" s="144" t="n">
        <v>-19.0545454545455</v>
      </c>
      <c r="CD434" s="144" t="n">
        <v>-19.0545454545455</v>
      </c>
      <c r="CE434" s="144" t="n">
        <v>-19.0545454545455</v>
      </c>
      <c r="CF434" s="315"/>
      <c r="CG434" s="144" t="n">
        <v>-45.4545454545455</v>
      </c>
      <c r="CH434" s="144" t="n">
        <v>-45.4545454545455</v>
      </c>
      <c r="CI434" s="144" t="n">
        <v>-45.4545454545455</v>
      </c>
      <c r="CJ434" s="144" t="n">
        <v>-45.4545454545455</v>
      </c>
      <c r="CK434" s="144" t="n">
        <v>-45.4545454545455</v>
      </c>
      <c r="CM434" s="144" t="n">
        <v>48.7603305785124</v>
      </c>
      <c r="CO434" s="319"/>
      <c r="CP434" s="320"/>
      <c r="CQ434" s="321" t="s">
        <v>12</v>
      </c>
      <c r="CR434" s="320"/>
      <c r="CS434" s="322" t="n">
        <v>-22.3603305785124</v>
      </c>
      <c r="CT434" s="322" t="n">
        <v>-22.3603305785124</v>
      </c>
      <c r="CU434" s="322" t="n">
        <v>-22.3603305785124</v>
      </c>
      <c r="CV434" s="323"/>
      <c r="CW434" s="322" t="n">
        <v>-48.7603305785124</v>
      </c>
      <c r="CX434" s="322" t="n">
        <v>-48.7603305785124</v>
      </c>
      <c r="CY434" s="322" t="n">
        <v>-48.7603305785124</v>
      </c>
      <c r="CZ434" s="322" t="n">
        <v>-48.7603305785124</v>
      </c>
      <c r="DA434" s="322" t="n">
        <v>-48.7603305785124</v>
      </c>
    </row>
    <row r="435" customFormat="false" ht="12.75" hidden="false" customHeight="false" outlineLevel="0" collapsed="false">
      <c r="B435" s="305" t="s">
        <v>130</v>
      </c>
      <c r="C435" s="305" t="s">
        <v>706</v>
      </c>
      <c r="D435" s="306" t="n">
        <v>58</v>
      </c>
      <c r="E435" s="306" t="n">
        <v>0</v>
      </c>
      <c r="F435" s="306" t="s">
        <v>705</v>
      </c>
      <c r="G435" s="307" t="n">
        <v>24</v>
      </c>
      <c r="H435" s="308" t="n">
        <v>48.7603305785124</v>
      </c>
      <c r="I435" s="2"/>
      <c r="J435" s="144" t="s">
        <v>12</v>
      </c>
      <c r="K435" s="309" t="s">
        <v>12</v>
      </c>
      <c r="L435" s="310"/>
      <c r="M435" s="311" t="n">
        <v>0</v>
      </c>
      <c r="N435" s="312" t="n">
        <v>1.2</v>
      </c>
      <c r="O435" s="311" t="n">
        <v>0</v>
      </c>
      <c r="P435" s="312" t="n">
        <v>1.2</v>
      </c>
      <c r="Q435" s="310" t="n">
        <v>0</v>
      </c>
      <c r="R435" s="312" t="n">
        <v>1.2</v>
      </c>
      <c r="S435" s="310"/>
      <c r="T435" s="311" t="n">
        <v>0</v>
      </c>
      <c r="U435" s="312" t="n">
        <v>0</v>
      </c>
      <c r="V435" s="311" t="n">
        <v>0</v>
      </c>
      <c r="W435" s="312" t="n">
        <v>0</v>
      </c>
      <c r="X435" s="311" t="n">
        <v>0</v>
      </c>
      <c r="Y435" s="312" t="n">
        <v>0</v>
      </c>
      <c r="Z435" s="313" t="n">
        <v>0</v>
      </c>
      <c r="AA435" s="314" t="n">
        <v>0</v>
      </c>
      <c r="AB435" s="313" t="n">
        <v>0</v>
      </c>
      <c r="AC435" s="314" t="n">
        <v>0</v>
      </c>
      <c r="AD435" s="315"/>
      <c r="AE435" s="144" t="n">
        <v>9</v>
      </c>
      <c r="AF435" s="315"/>
      <c r="AG435" s="311" t="n">
        <v>0</v>
      </c>
      <c r="AH435" s="309" t="n">
        <v>0</v>
      </c>
      <c r="AI435" s="310"/>
      <c r="AJ435" s="311" t="n">
        <v>29</v>
      </c>
      <c r="AK435" s="309" t="n">
        <v>28.8</v>
      </c>
      <c r="AL435" s="311" t="n">
        <v>29</v>
      </c>
      <c r="AM435" s="309" t="n">
        <v>28.8</v>
      </c>
      <c r="AN435" s="311" t="n">
        <v>29</v>
      </c>
      <c r="AO435" s="309" t="n">
        <v>28.8</v>
      </c>
      <c r="AP435" s="310"/>
      <c r="AQ435" s="311" t="n">
        <v>58</v>
      </c>
      <c r="AR435" s="309" t="n">
        <v>0</v>
      </c>
      <c r="AS435" s="311" t="n">
        <v>58</v>
      </c>
      <c r="AT435" s="309" t="n">
        <v>0</v>
      </c>
      <c r="AU435" s="311" t="n">
        <v>58</v>
      </c>
      <c r="AV435" s="309" t="n">
        <v>0</v>
      </c>
      <c r="AW435" s="311" t="n">
        <v>58</v>
      </c>
      <c r="AX435" s="309" t="n">
        <v>0</v>
      </c>
      <c r="AY435" s="311" t="n">
        <v>58</v>
      </c>
      <c r="AZ435" s="309" t="n">
        <v>0</v>
      </c>
      <c r="BB435" s="144" t="n">
        <v>0</v>
      </c>
      <c r="BC435" s="315"/>
      <c r="BD435" s="311" t="n">
        <v>0</v>
      </c>
      <c r="BE435" s="316" t="n">
        <v>0</v>
      </c>
      <c r="BF435" s="310"/>
      <c r="BG435" s="317" t="n">
        <v>0</v>
      </c>
      <c r="BH435" s="318" t="n">
        <v>0</v>
      </c>
      <c r="BI435" s="317" t="n">
        <v>0</v>
      </c>
      <c r="BJ435" s="318" t="n">
        <v>0</v>
      </c>
      <c r="BK435" s="317" t="n">
        <v>0</v>
      </c>
      <c r="BL435" s="318" t="n">
        <v>0</v>
      </c>
      <c r="BM435" s="310"/>
      <c r="BN435" s="317" t="n">
        <v>0</v>
      </c>
      <c r="BO435" s="318" t="n">
        <v>0</v>
      </c>
      <c r="BP435" s="317" t="n">
        <v>0</v>
      </c>
      <c r="BQ435" s="318" t="n">
        <v>0</v>
      </c>
      <c r="BR435" s="317" t="n">
        <v>0</v>
      </c>
      <c r="BS435" s="318" t="n">
        <v>0</v>
      </c>
      <c r="BT435" s="317" t="n">
        <v>0</v>
      </c>
      <c r="BU435" s="318" t="n">
        <v>0</v>
      </c>
      <c r="BV435" s="317" t="n">
        <v>0</v>
      </c>
      <c r="BW435" s="318" t="n">
        <v>0</v>
      </c>
      <c r="BY435" s="143"/>
      <c r="BZ435" s="315"/>
      <c r="CA435" s="144" t="s">
        <v>12</v>
      </c>
      <c r="CB435" s="315"/>
      <c r="CC435" s="144" t="n">
        <v>-19.9603305785124</v>
      </c>
      <c r="CD435" s="144" t="n">
        <v>-19.9603305785124</v>
      </c>
      <c r="CE435" s="144" t="n">
        <v>-19.9603305785124</v>
      </c>
      <c r="CF435" s="315"/>
      <c r="CG435" s="144" t="n">
        <v>-48.7603305785124</v>
      </c>
      <c r="CH435" s="144" t="n">
        <v>-48.7603305785124</v>
      </c>
      <c r="CI435" s="144" t="n">
        <v>-48.7603305785124</v>
      </c>
      <c r="CJ435" s="144" t="n">
        <v>-48.7603305785124</v>
      </c>
      <c r="CK435" s="144" t="n">
        <v>-48.7603305785124</v>
      </c>
      <c r="CM435" s="144" t="n">
        <v>48.7603305785124</v>
      </c>
      <c r="CO435" s="319"/>
      <c r="CP435" s="320"/>
      <c r="CQ435" s="321" t="s">
        <v>12</v>
      </c>
      <c r="CR435" s="320"/>
      <c r="CS435" s="322" t="n">
        <v>-19.9603305785124</v>
      </c>
      <c r="CT435" s="322" t="n">
        <v>-19.9603305785124</v>
      </c>
      <c r="CU435" s="322" t="n">
        <v>-19.9603305785124</v>
      </c>
      <c r="CV435" s="323"/>
      <c r="CW435" s="322" t="n">
        <v>-48.7603305785124</v>
      </c>
      <c r="CX435" s="322" t="n">
        <v>-48.7603305785124</v>
      </c>
      <c r="CY435" s="322" t="n">
        <v>-48.7603305785124</v>
      </c>
      <c r="CZ435" s="322" t="n">
        <v>-48.7603305785124</v>
      </c>
      <c r="DA435" s="322" t="n">
        <v>-48.7603305785124</v>
      </c>
    </row>
    <row r="436" customFormat="false" ht="12.75" hidden="false" customHeight="false" outlineLevel="0" collapsed="false">
      <c r="B436" s="305" t="s">
        <v>130</v>
      </c>
      <c r="C436" s="327" t="s">
        <v>707</v>
      </c>
      <c r="D436" s="306" t="n">
        <v>63</v>
      </c>
      <c r="E436" s="306" t="n">
        <v>0</v>
      </c>
      <c r="F436" s="324" t="s">
        <v>705</v>
      </c>
      <c r="G436" s="144" t="n">
        <v>24</v>
      </c>
      <c r="H436" s="325" t="n">
        <v>57.0247933884298</v>
      </c>
      <c r="I436" s="2"/>
      <c r="J436" s="144" t="s">
        <v>12</v>
      </c>
      <c r="K436" s="309" t="s">
        <v>12</v>
      </c>
      <c r="L436" s="310"/>
      <c r="M436" s="311" t="n">
        <v>0</v>
      </c>
      <c r="N436" s="312" t="n">
        <v>1.5</v>
      </c>
      <c r="O436" s="311" t="n">
        <v>0</v>
      </c>
      <c r="P436" s="312" t="n">
        <v>1.5</v>
      </c>
      <c r="Q436" s="310" t="n">
        <v>0</v>
      </c>
      <c r="R436" s="312" t="n">
        <v>1.5</v>
      </c>
      <c r="S436" s="310"/>
      <c r="T436" s="311" t="n">
        <v>0</v>
      </c>
      <c r="U436" s="312" t="n">
        <v>0.5</v>
      </c>
      <c r="V436" s="311" t="n">
        <v>0</v>
      </c>
      <c r="W436" s="312" t="n">
        <v>0</v>
      </c>
      <c r="X436" s="311" t="n">
        <v>0</v>
      </c>
      <c r="Y436" s="312" t="n">
        <v>0</v>
      </c>
      <c r="Z436" s="313" t="n">
        <v>0</v>
      </c>
      <c r="AA436" s="314" t="n">
        <v>0</v>
      </c>
      <c r="AB436" s="313" t="n">
        <v>0</v>
      </c>
      <c r="AC436" s="314" t="n">
        <v>0</v>
      </c>
      <c r="AD436" s="315"/>
      <c r="AE436" s="144" t="n">
        <v>6</v>
      </c>
      <c r="AF436" s="315"/>
      <c r="AG436" s="311" t="n">
        <v>0</v>
      </c>
      <c r="AH436" s="309" t="n">
        <v>0</v>
      </c>
      <c r="AI436" s="310"/>
      <c r="AJ436" s="311" t="n">
        <v>27</v>
      </c>
      <c r="AK436" s="309" t="n">
        <v>36</v>
      </c>
      <c r="AL436" s="311" t="n">
        <v>27</v>
      </c>
      <c r="AM436" s="309" t="n">
        <v>36</v>
      </c>
      <c r="AN436" s="310" t="n">
        <v>27</v>
      </c>
      <c r="AO436" s="309" t="n">
        <v>36</v>
      </c>
      <c r="AP436" s="310"/>
      <c r="AQ436" s="311" t="n">
        <v>51</v>
      </c>
      <c r="AR436" s="309" t="n">
        <v>12</v>
      </c>
      <c r="AS436" s="311" t="n">
        <v>63</v>
      </c>
      <c r="AT436" s="309" t="n">
        <v>0</v>
      </c>
      <c r="AU436" s="310" t="n">
        <v>63</v>
      </c>
      <c r="AV436" s="309" t="n">
        <v>0</v>
      </c>
      <c r="AW436" s="310" t="n">
        <v>63</v>
      </c>
      <c r="AX436" s="309" t="n">
        <v>0</v>
      </c>
      <c r="AY436" s="310" t="n">
        <v>63</v>
      </c>
      <c r="AZ436" s="309" t="n">
        <v>0</v>
      </c>
      <c r="BB436" s="144" t="n">
        <v>0</v>
      </c>
      <c r="BC436" s="315"/>
      <c r="BD436" s="311" t="n">
        <v>0</v>
      </c>
      <c r="BE436" s="316" t="n">
        <v>0</v>
      </c>
      <c r="BF436" s="310"/>
      <c r="BG436" s="317" t="n">
        <v>0</v>
      </c>
      <c r="BH436" s="318" t="n">
        <v>0</v>
      </c>
      <c r="BI436" s="317" t="n">
        <v>0</v>
      </c>
      <c r="BJ436" s="318" t="n">
        <v>0</v>
      </c>
      <c r="BK436" s="317" t="n">
        <v>0</v>
      </c>
      <c r="BL436" s="318" t="n">
        <v>0</v>
      </c>
      <c r="BM436" s="310"/>
      <c r="BN436" s="317" t="n">
        <v>0</v>
      </c>
      <c r="BO436" s="318" t="n">
        <v>0</v>
      </c>
      <c r="BP436" s="317" t="n">
        <v>0</v>
      </c>
      <c r="BQ436" s="318" t="n">
        <v>0</v>
      </c>
      <c r="BR436" s="317" t="n">
        <v>0</v>
      </c>
      <c r="BS436" s="318" t="n">
        <v>0</v>
      </c>
      <c r="BT436" s="317" t="n">
        <v>0</v>
      </c>
      <c r="BU436" s="318" t="n">
        <v>0</v>
      </c>
      <c r="BV436" s="317" t="n">
        <v>0</v>
      </c>
      <c r="BW436" s="318" t="n">
        <v>0</v>
      </c>
      <c r="BY436" s="143"/>
      <c r="BZ436" s="315"/>
      <c r="CA436" s="144" t="s">
        <v>12</v>
      </c>
      <c r="CB436" s="315"/>
      <c r="CC436" s="144" t="n">
        <v>-21.0247933884298</v>
      </c>
      <c r="CD436" s="144" t="n">
        <v>-21.0247933884298</v>
      </c>
      <c r="CE436" s="144" t="n">
        <v>-21.0247933884298</v>
      </c>
      <c r="CF436" s="315"/>
      <c r="CG436" s="144" t="n">
        <v>-45.0247933884298</v>
      </c>
      <c r="CH436" s="144" t="n">
        <v>-57.0247933884298</v>
      </c>
      <c r="CI436" s="144" t="n">
        <v>-57.0247933884298</v>
      </c>
      <c r="CJ436" s="144" t="n">
        <v>-57.0247933884298</v>
      </c>
      <c r="CK436" s="144" t="n">
        <v>-57.0247933884298</v>
      </c>
      <c r="CM436" s="144" t="n">
        <v>48.7603305785124</v>
      </c>
      <c r="CO436" s="319"/>
      <c r="CP436" s="320"/>
      <c r="CQ436" s="321" t="s">
        <v>12</v>
      </c>
      <c r="CR436" s="320"/>
      <c r="CS436" s="322" t="n">
        <v>-12.7603305785124</v>
      </c>
      <c r="CT436" s="322" t="n">
        <v>-12.7603305785124</v>
      </c>
      <c r="CU436" s="322" t="n">
        <v>-12.7603305785124</v>
      </c>
      <c r="CV436" s="323"/>
      <c r="CW436" s="322" t="n">
        <v>-36.7603305785124</v>
      </c>
      <c r="CX436" s="322" t="n">
        <v>-48.7603305785124</v>
      </c>
      <c r="CY436" s="322" t="n">
        <v>-48.7603305785124</v>
      </c>
      <c r="CZ436" s="322" t="n">
        <v>-48.7603305785124</v>
      </c>
      <c r="DA436" s="322" t="n">
        <v>-48.7603305785124</v>
      </c>
    </row>
    <row r="437" customFormat="false" ht="12.75" hidden="false" customHeight="false" outlineLevel="0" collapsed="false">
      <c r="B437" s="305" t="s">
        <v>200</v>
      </c>
      <c r="C437" s="305" t="s">
        <v>708</v>
      </c>
      <c r="D437" s="306" t="n">
        <v>61</v>
      </c>
      <c r="E437" s="306" t="n">
        <v>0</v>
      </c>
      <c r="F437" s="306" t="s">
        <v>705</v>
      </c>
      <c r="G437" s="307" t="n">
        <v>24</v>
      </c>
      <c r="H437" s="308" t="n">
        <v>48.7603305785124</v>
      </c>
      <c r="I437" s="2"/>
      <c r="J437" s="144" t="s">
        <v>12</v>
      </c>
      <c r="K437" s="309" t="s">
        <v>12</v>
      </c>
      <c r="L437" s="310"/>
      <c r="M437" s="311" t="n">
        <v>0</v>
      </c>
      <c r="N437" s="312" t="n">
        <v>1.2</v>
      </c>
      <c r="O437" s="311" t="n">
        <v>0</v>
      </c>
      <c r="P437" s="312" t="n">
        <v>1.2</v>
      </c>
      <c r="Q437" s="310" t="n">
        <v>0</v>
      </c>
      <c r="R437" s="312" t="n">
        <v>1.2</v>
      </c>
      <c r="S437" s="310"/>
      <c r="T437" s="311" t="n">
        <v>0</v>
      </c>
      <c r="U437" s="312" t="n">
        <v>0</v>
      </c>
      <c r="V437" s="311" t="n">
        <v>0</v>
      </c>
      <c r="W437" s="312" t="n">
        <v>0</v>
      </c>
      <c r="X437" s="311" t="n">
        <v>0</v>
      </c>
      <c r="Y437" s="312" t="n">
        <v>0</v>
      </c>
      <c r="Z437" s="313" t="n">
        <v>0</v>
      </c>
      <c r="AA437" s="314" t="n">
        <v>0</v>
      </c>
      <c r="AB437" s="313" t="n">
        <v>0</v>
      </c>
      <c r="AC437" s="314" t="n">
        <v>0</v>
      </c>
      <c r="AD437" s="315"/>
      <c r="AE437" s="144" t="n">
        <v>12</v>
      </c>
      <c r="AF437" s="315"/>
      <c r="AG437" s="311" t="n">
        <v>0</v>
      </c>
      <c r="AH437" s="309" t="n">
        <v>0</v>
      </c>
      <c r="AI437" s="310"/>
      <c r="AJ437" s="311" t="n">
        <v>32</v>
      </c>
      <c r="AK437" s="309" t="n">
        <v>28.8</v>
      </c>
      <c r="AL437" s="311" t="n">
        <v>32</v>
      </c>
      <c r="AM437" s="309" t="n">
        <v>28.8</v>
      </c>
      <c r="AN437" s="311" t="n">
        <v>32</v>
      </c>
      <c r="AO437" s="309" t="n">
        <v>28.8</v>
      </c>
      <c r="AP437" s="310"/>
      <c r="AQ437" s="311" t="n">
        <v>61</v>
      </c>
      <c r="AR437" s="309" t="n">
        <v>0</v>
      </c>
      <c r="AS437" s="311" t="n">
        <v>61</v>
      </c>
      <c r="AT437" s="309" t="n">
        <v>0</v>
      </c>
      <c r="AU437" s="311" t="n">
        <v>61</v>
      </c>
      <c r="AV437" s="309" t="n">
        <v>0</v>
      </c>
      <c r="AW437" s="311" t="n">
        <v>61</v>
      </c>
      <c r="AX437" s="309" t="n">
        <v>0</v>
      </c>
      <c r="AY437" s="311" t="n">
        <v>61</v>
      </c>
      <c r="AZ437" s="309" t="n">
        <v>0</v>
      </c>
      <c r="BB437" s="144" t="n">
        <v>0</v>
      </c>
      <c r="BC437" s="315"/>
      <c r="BD437" s="311" t="n">
        <v>0</v>
      </c>
      <c r="BE437" s="316" t="n">
        <v>0</v>
      </c>
      <c r="BF437" s="310"/>
      <c r="BG437" s="317" t="n">
        <v>0</v>
      </c>
      <c r="BH437" s="318" t="n">
        <v>0</v>
      </c>
      <c r="BI437" s="317" t="n">
        <v>0</v>
      </c>
      <c r="BJ437" s="318" t="n">
        <v>0</v>
      </c>
      <c r="BK437" s="317" t="n">
        <v>0</v>
      </c>
      <c r="BL437" s="318" t="n">
        <v>0</v>
      </c>
      <c r="BM437" s="310"/>
      <c r="BN437" s="317" t="n">
        <v>0</v>
      </c>
      <c r="BO437" s="318" t="n">
        <v>0</v>
      </c>
      <c r="BP437" s="317" t="n">
        <v>0</v>
      </c>
      <c r="BQ437" s="318" t="n">
        <v>0</v>
      </c>
      <c r="BR437" s="317" t="n">
        <v>0</v>
      </c>
      <c r="BS437" s="318" t="n">
        <v>0</v>
      </c>
      <c r="BT437" s="317" t="n">
        <v>0</v>
      </c>
      <c r="BU437" s="318" t="n">
        <v>0</v>
      </c>
      <c r="BV437" s="317" t="n">
        <v>0</v>
      </c>
      <c r="BW437" s="318" t="n">
        <v>0</v>
      </c>
      <c r="BY437" s="143"/>
      <c r="BZ437" s="315"/>
      <c r="CA437" s="144" t="s">
        <v>12</v>
      </c>
      <c r="CB437" s="315"/>
      <c r="CC437" s="144" t="n">
        <v>-19.9603305785124</v>
      </c>
      <c r="CD437" s="144" t="n">
        <v>-19.9603305785124</v>
      </c>
      <c r="CE437" s="144" t="n">
        <v>-19.9603305785124</v>
      </c>
      <c r="CF437" s="315"/>
      <c r="CG437" s="144" t="n">
        <v>-48.7603305785124</v>
      </c>
      <c r="CH437" s="144" t="n">
        <v>-48.7603305785124</v>
      </c>
      <c r="CI437" s="144" t="n">
        <v>-48.7603305785124</v>
      </c>
      <c r="CJ437" s="144" t="n">
        <v>-48.7603305785124</v>
      </c>
      <c r="CK437" s="144" t="n">
        <v>-48.7603305785124</v>
      </c>
      <c r="CM437" s="144" t="n">
        <v>53.6363636363636</v>
      </c>
      <c r="CO437" s="319"/>
      <c r="CP437" s="320"/>
      <c r="CQ437" s="321" t="s">
        <v>12</v>
      </c>
      <c r="CR437" s="320"/>
      <c r="CS437" s="322" t="n">
        <v>-24.8363636363636</v>
      </c>
      <c r="CT437" s="322" t="n">
        <v>-24.8363636363636</v>
      </c>
      <c r="CU437" s="322" t="n">
        <v>-24.8363636363636</v>
      </c>
      <c r="CV437" s="323"/>
      <c r="CW437" s="322" t="n">
        <v>-53.6363636363636</v>
      </c>
      <c r="CX437" s="322" t="n">
        <v>-53.6363636363636</v>
      </c>
      <c r="CY437" s="322" t="n">
        <v>-53.6363636363636</v>
      </c>
      <c r="CZ437" s="322" t="n">
        <v>-53.6363636363636</v>
      </c>
      <c r="DA437" s="322" t="n">
        <v>-53.6363636363636</v>
      </c>
    </row>
    <row r="438" customFormat="false" ht="12.75" hidden="false" customHeight="false" outlineLevel="0" collapsed="false">
      <c r="B438" s="305" t="s">
        <v>112</v>
      </c>
      <c r="C438" s="305" t="s">
        <v>709</v>
      </c>
      <c r="D438" s="306" t="n">
        <v>532</v>
      </c>
      <c r="E438" s="306" t="n">
        <v>2.5</v>
      </c>
      <c r="F438" s="324" t="s">
        <v>710</v>
      </c>
      <c r="G438" s="144" t="n">
        <v>24</v>
      </c>
      <c r="H438" s="325" t="n">
        <v>531.404958677686</v>
      </c>
      <c r="I438" s="2"/>
      <c r="J438" s="144" t="s">
        <v>12</v>
      </c>
      <c r="K438" s="309" t="s">
        <v>12</v>
      </c>
      <c r="L438" s="310"/>
      <c r="M438" s="311" t="n">
        <v>169</v>
      </c>
      <c r="N438" s="312" t="n">
        <v>11</v>
      </c>
      <c r="O438" s="311" t="n">
        <v>0</v>
      </c>
      <c r="P438" s="312" t="n">
        <v>17.2</v>
      </c>
      <c r="Q438" s="310" t="n">
        <v>0</v>
      </c>
      <c r="R438" s="312" t="n">
        <v>17.2</v>
      </c>
      <c r="S438" s="310"/>
      <c r="T438" s="311" t="n">
        <v>0</v>
      </c>
      <c r="U438" s="312" t="n">
        <v>17.2</v>
      </c>
      <c r="V438" s="311" t="n">
        <v>0</v>
      </c>
      <c r="W438" s="312" t="n">
        <v>16.8</v>
      </c>
      <c r="X438" s="311" t="n">
        <v>0</v>
      </c>
      <c r="Y438" s="312" t="n">
        <v>16.8</v>
      </c>
      <c r="Z438" s="313" t="n">
        <v>0</v>
      </c>
      <c r="AA438" s="314" t="n">
        <v>16.7</v>
      </c>
      <c r="AB438" s="313" t="n">
        <v>0</v>
      </c>
      <c r="AC438" s="314" t="n">
        <v>16.7</v>
      </c>
      <c r="AD438" s="315"/>
      <c r="AE438" s="144" t="n">
        <v>1</v>
      </c>
      <c r="AF438" s="315"/>
      <c r="AG438" s="311" t="n">
        <v>0</v>
      </c>
      <c r="AH438" s="309" t="n">
        <v>0</v>
      </c>
      <c r="AI438" s="310"/>
      <c r="AJ438" s="311" t="n">
        <v>99</v>
      </c>
      <c r="AK438" s="309" t="n">
        <v>264</v>
      </c>
      <c r="AL438" s="311" t="n">
        <v>119</v>
      </c>
      <c r="AM438" s="309" t="n">
        <v>412.8</v>
      </c>
      <c r="AN438" s="310" t="n">
        <v>119</v>
      </c>
      <c r="AO438" s="309" t="n">
        <v>412.8</v>
      </c>
      <c r="AP438" s="310"/>
      <c r="AQ438" s="311" t="n">
        <v>119</v>
      </c>
      <c r="AR438" s="309" t="n">
        <v>412.8</v>
      </c>
      <c r="AS438" s="311" t="n">
        <v>129</v>
      </c>
      <c r="AT438" s="309" t="n">
        <v>403.2</v>
      </c>
      <c r="AU438" s="310" t="n">
        <v>129</v>
      </c>
      <c r="AV438" s="309" t="n">
        <v>403.2</v>
      </c>
      <c r="AW438" s="310" t="n">
        <v>131</v>
      </c>
      <c r="AX438" s="309" t="n">
        <v>400.8</v>
      </c>
      <c r="AY438" s="310" t="n">
        <v>131</v>
      </c>
      <c r="AZ438" s="309" t="n">
        <v>400.8</v>
      </c>
      <c r="BB438" s="144" t="n">
        <v>0</v>
      </c>
      <c r="BC438" s="315"/>
      <c r="BD438" s="311" t="n">
        <v>0</v>
      </c>
      <c r="BE438" s="316" t="n">
        <v>0</v>
      </c>
      <c r="BF438" s="310"/>
      <c r="BG438" s="317" t="n">
        <v>0</v>
      </c>
      <c r="BH438" s="318" t="n">
        <v>-0.200000000000001</v>
      </c>
      <c r="BI438" s="317" t="n">
        <v>0</v>
      </c>
      <c r="BJ438" s="318" t="n">
        <v>0.199999999999999</v>
      </c>
      <c r="BK438" s="317" t="n">
        <v>0</v>
      </c>
      <c r="BL438" s="318" t="n">
        <v>0.199999999999999</v>
      </c>
      <c r="BM438" s="310"/>
      <c r="BN438" s="317" t="n">
        <v>0</v>
      </c>
      <c r="BO438" s="318" t="n">
        <v>0.199999999999999</v>
      </c>
      <c r="BP438" s="317" t="n">
        <v>0</v>
      </c>
      <c r="BQ438" s="318" t="n">
        <v>-0.199999999999999</v>
      </c>
      <c r="BR438" s="317" t="n">
        <v>0</v>
      </c>
      <c r="BS438" s="318" t="n">
        <v>-0.199999999999999</v>
      </c>
      <c r="BT438" s="317" t="n">
        <v>0</v>
      </c>
      <c r="BU438" s="318" t="n">
        <v>-0.200000000000003</v>
      </c>
      <c r="BV438" s="317" t="n">
        <v>0</v>
      </c>
      <c r="BW438" s="318" t="n">
        <v>-0.200000000000003</v>
      </c>
      <c r="BY438" s="143"/>
      <c r="BZ438" s="315"/>
      <c r="CA438" s="144" t="s">
        <v>12</v>
      </c>
      <c r="CB438" s="315"/>
      <c r="CC438" s="144" t="n">
        <v>-98.404958677686</v>
      </c>
      <c r="CD438" s="144" t="n">
        <v>-118.604958677686</v>
      </c>
      <c r="CE438" s="144" t="n">
        <v>-118.604958677686</v>
      </c>
      <c r="CF438" s="315"/>
      <c r="CG438" s="144" t="n">
        <v>-118.604958677686</v>
      </c>
      <c r="CH438" s="144" t="n">
        <v>-128.204958677686</v>
      </c>
      <c r="CI438" s="144" t="n">
        <v>-128.204958677686</v>
      </c>
      <c r="CJ438" s="144" t="n">
        <v>-130.604958677686</v>
      </c>
      <c r="CK438" s="144" t="n">
        <v>-130.604958677686</v>
      </c>
      <c r="CM438" s="144" t="n">
        <v>470.247933884298</v>
      </c>
      <c r="CO438" s="319"/>
      <c r="CP438" s="320"/>
      <c r="CQ438" s="321" t="s">
        <v>12</v>
      </c>
      <c r="CR438" s="320"/>
      <c r="CS438" s="322" t="n">
        <v>-37.2479338842975</v>
      </c>
      <c r="CT438" s="322" t="n">
        <v>-57.4479338842976</v>
      </c>
      <c r="CU438" s="322" t="n">
        <v>-57.4479338842976</v>
      </c>
      <c r="CV438" s="323"/>
      <c r="CW438" s="322" t="n">
        <v>-57.4479338842976</v>
      </c>
      <c r="CX438" s="322" t="n">
        <v>-67.0479338842975</v>
      </c>
      <c r="CY438" s="322" t="n">
        <v>-67.0479338842975</v>
      </c>
      <c r="CZ438" s="322" t="n">
        <v>-69.4479338842976</v>
      </c>
      <c r="DA438" s="322" t="n">
        <v>-69.4479338842976</v>
      </c>
    </row>
    <row r="439" customFormat="false" ht="12.75" hidden="false" customHeight="false" outlineLevel="0" collapsed="false">
      <c r="B439" s="305" t="s">
        <v>112</v>
      </c>
      <c r="C439" s="305" t="s">
        <v>709</v>
      </c>
      <c r="D439" s="306" t="n">
        <v>532</v>
      </c>
      <c r="E439" s="306" t="n">
        <v>2.5</v>
      </c>
      <c r="F439" s="306" t="s">
        <v>710</v>
      </c>
      <c r="G439" s="307" t="n">
        <v>48</v>
      </c>
      <c r="H439" s="308" t="n">
        <v>531.404958677686</v>
      </c>
      <c r="I439" s="2"/>
      <c r="J439" s="144" t="s">
        <v>12</v>
      </c>
      <c r="K439" s="309" t="s">
        <v>12</v>
      </c>
      <c r="L439" s="310"/>
      <c r="M439" s="311" t="n">
        <v>169</v>
      </c>
      <c r="N439" s="312" t="n">
        <v>5.5</v>
      </c>
      <c r="O439" s="311" t="n">
        <v>0</v>
      </c>
      <c r="P439" s="312" t="n">
        <v>8.6</v>
      </c>
      <c r="Q439" s="310" t="n">
        <v>0</v>
      </c>
      <c r="R439" s="312" t="n">
        <v>8.6</v>
      </c>
      <c r="S439" s="310"/>
      <c r="T439" s="311" t="n">
        <v>0</v>
      </c>
      <c r="U439" s="312" t="n">
        <v>8.6</v>
      </c>
      <c r="V439" s="311" t="n">
        <v>0</v>
      </c>
      <c r="W439" s="312" t="n">
        <v>8.4</v>
      </c>
      <c r="X439" s="311" t="n">
        <v>0</v>
      </c>
      <c r="Y439" s="312" t="n">
        <v>8.4</v>
      </c>
      <c r="Z439" s="313" t="n">
        <v>0</v>
      </c>
      <c r="AA439" s="314" t="n">
        <v>8.3</v>
      </c>
      <c r="AB439" s="313" t="n">
        <v>0</v>
      </c>
      <c r="AC439" s="314" t="n">
        <v>8.3</v>
      </c>
      <c r="AD439" s="315"/>
      <c r="AE439" s="144" t="n">
        <v>1</v>
      </c>
      <c r="AF439" s="315"/>
      <c r="AG439" s="311" t="n">
        <v>0</v>
      </c>
      <c r="AH439" s="309" t="n">
        <v>0</v>
      </c>
      <c r="AI439" s="310"/>
      <c r="AJ439" s="311" t="n">
        <v>99</v>
      </c>
      <c r="AK439" s="309" t="n">
        <v>264</v>
      </c>
      <c r="AL439" s="311" t="n">
        <v>119</v>
      </c>
      <c r="AM439" s="309" t="n">
        <v>412.8</v>
      </c>
      <c r="AN439" s="311" t="n">
        <v>119</v>
      </c>
      <c r="AO439" s="309" t="n">
        <v>412.8</v>
      </c>
      <c r="AP439" s="310"/>
      <c r="AQ439" s="311" t="n">
        <v>119</v>
      </c>
      <c r="AR439" s="309" t="n">
        <v>412.8</v>
      </c>
      <c r="AS439" s="311" t="n">
        <v>129</v>
      </c>
      <c r="AT439" s="309" t="n">
        <v>403.2</v>
      </c>
      <c r="AU439" s="311" t="n">
        <v>129</v>
      </c>
      <c r="AV439" s="309" t="n">
        <v>403.2</v>
      </c>
      <c r="AW439" s="311" t="n">
        <v>134</v>
      </c>
      <c r="AX439" s="309" t="n">
        <v>398.4</v>
      </c>
      <c r="AY439" s="311" t="n">
        <v>134</v>
      </c>
      <c r="AZ439" s="309" t="n">
        <v>398.4</v>
      </c>
      <c r="BB439" s="144" t="n">
        <v>0</v>
      </c>
      <c r="BC439" s="315"/>
      <c r="BD439" s="311" t="n">
        <v>0</v>
      </c>
      <c r="BE439" s="316" t="n">
        <v>0</v>
      </c>
      <c r="BF439" s="310"/>
      <c r="BG439" s="317" t="n">
        <v>0</v>
      </c>
      <c r="BH439" s="318" t="n">
        <v>0</v>
      </c>
      <c r="BI439" s="317" t="n">
        <v>0</v>
      </c>
      <c r="BJ439" s="318" t="n">
        <v>0</v>
      </c>
      <c r="BK439" s="317" t="n">
        <v>0</v>
      </c>
      <c r="BL439" s="318" t="n">
        <v>0</v>
      </c>
      <c r="BM439" s="310"/>
      <c r="BN439" s="317" t="n">
        <v>0</v>
      </c>
      <c r="BO439" s="318" t="n">
        <v>0</v>
      </c>
      <c r="BP439" s="317" t="n">
        <v>0</v>
      </c>
      <c r="BQ439" s="318" t="n">
        <v>0</v>
      </c>
      <c r="BR439" s="317" t="n">
        <v>0</v>
      </c>
      <c r="BS439" s="318" t="n">
        <v>0</v>
      </c>
      <c r="BT439" s="317" t="n">
        <v>0</v>
      </c>
      <c r="BU439" s="318" t="n">
        <v>0</v>
      </c>
      <c r="BV439" s="317" t="n">
        <v>0</v>
      </c>
      <c r="BW439" s="318" t="n">
        <v>0</v>
      </c>
      <c r="BY439" s="143"/>
      <c r="BZ439" s="315"/>
      <c r="CA439" s="144" t="s">
        <v>12</v>
      </c>
      <c r="CB439" s="315"/>
      <c r="CC439" s="144" t="n">
        <v>-98.404958677686</v>
      </c>
      <c r="CD439" s="144" t="n">
        <v>-118.604958677686</v>
      </c>
      <c r="CE439" s="144" t="n">
        <v>-118.604958677686</v>
      </c>
      <c r="CF439" s="315"/>
      <c r="CG439" s="144" t="n">
        <v>-118.604958677686</v>
      </c>
      <c r="CH439" s="144" t="n">
        <v>-128.204958677686</v>
      </c>
      <c r="CI439" s="144" t="n">
        <v>-128.204958677686</v>
      </c>
      <c r="CJ439" s="144" t="n">
        <v>-133.004958677686</v>
      </c>
      <c r="CK439" s="144" t="n">
        <v>-133.004958677686</v>
      </c>
      <c r="CM439" s="144" t="n">
        <v>470.247933884298</v>
      </c>
      <c r="CO439" s="319"/>
      <c r="CP439" s="320"/>
      <c r="CQ439" s="321" t="s">
        <v>12</v>
      </c>
      <c r="CR439" s="320"/>
      <c r="CS439" s="322" t="n">
        <v>-37.2479338842975</v>
      </c>
      <c r="CT439" s="322" t="n">
        <v>-57.4479338842976</v>
      </c>
      <c r="CU439" s="322" t="n">
        <v>-57.4479338842976</v>
      </c>
      <c r="CV439" s="323"/>
      <c r="CW439" s="322" t="n">
        <v>-57.4479338842976</v>
      </c>
      <c r="CX439" s="322" t="n">
        <v>-67.0479338842975</v>
      </c>
      <c r="CY439" s="322" t="n">
        <v>-67.0479338842975</v>
      </c>
      <c r="CZ439" s="322" t="n">
        <v>-71.8479338842975</v>
      </c>
      <c r="DA439" s="322" t="n">
        <v>-71.8479338842975</v>
      </c>
    </row>
    <row r="440" customFormat="false" ht="12.75" hidden="false" customHeight="false" outlineLevel="0" collapsed="false">
      <c r="B440" s="305" t="s">
        <v>112</v>
      </c>
      <c r="C440" s="305" t="s">
        <v>711</v>
      </c>
      <c r="D440" s="306" t="n">
        <v>555</v>
      </c>
      <c r="E440" s="306" t="n">
        <v>2.5</v>
      </c>
      <c r="F440" s="306" t="s">
        <v>710</v>
      </c>
      <c r="G440" s="307" t="n">
        <v>24</v>
      </c>
      <c r="H440" s="308" t="n">
        <v>554.545454545455</v>
      </c>
      <c r="I440" s="2"/>
      <c r="J440" s="144" t="s">
        <v>12</v>
      </c>
      <c r="K440" s="309" t="s">
        <v>12</v>
      </c>
      <c r="L440" s="310"/>
      <c r="M440" s="311" t="n">
        <v>169</v>
      </c>
      <c r="N440" s="312" t="n">
        <v>12</v>
      </c>
      <c r="O440" s="311" t="n">
        <v>0</v>
      </c>
      <c r="P440" s="312" t="n">
        <v>18.2</v>
      </c>
      <c r="Q440" s="310" t="n">
        <v>0</v>
      </c>
      <c r="R440" s="312" t="n">
        <v>18.2</v>
      </c>
      <c r="S440" s="310"/>
      <c r="T440" s="311" t="n">
        <v>0</v>
      </c>
      <c r="U440" s="312" t="n">
        <v>18.2</v>
      </c>
      <c r="V440" s="311" t="n">
        <v>0</v>
      </c>
      <c r="W440" s="312" t="n">
        <v>17.8</v>
      </c>
      <c r="X440" s="311" t="n">
        <v>0</v>
      </c>
      <c r="Y440" s="312" t="n">
        <v>17.8</v>
      </c>
      <c r="Z440" s="313" t="n">
        <v>0</v>
      </c>
      <c r="AA440" s="314" t="n">
        <v>17.8</v>
      </c>
      <c r="AB440" s="313" t="n">
        <v>0</v>
      </c>
      <c r="AC440" s="314" t="n">
        <v>17.8</v>
      </c>
      <c r="AD440" s="315"/>
      <c r="AE440" s="144" t="n">
        <v>0</v>
      </c>
      <c r="AF440" s="315"/>
      <c r="AG440" s="311" t="n">
        <v>0</v>
      </c>
      <c r="AH440" s="309" t="n">
        <v>0</v>
      </c>
      <c r="AI440" s="310"/>
      <c r="AJ440" s="311" t="n">
        <v>98</v>
      </c>
      <c r="AK440" s="309" t="n">
        <v>288</v>
      </c>
      <c r="AL440" s="311" t="n">
        <v>118</v>
      </c>
      <c r="AM440" s="309" t="n">
        <v>436.8</v>
      </c>
      <c r="AN440" s="311" t="n">
        <v>118</v>
      </c>
      <c r="AO440" s="309" t="n">
        <v>436.8</v>
      </c>
      <c r="AP440" s="310"/>
      <c r="AQ440" s="311" t="n">
        <v>118</v>
      </c>
      <c r="AR440" s="309" t="n">
        <v>436.8</v>
      </c>
      <c r="AS440" s="311" t="n">
        <v>128</v>
      </c>
      <c r="AT440" s="309" t="n">
        <v>427.2</v>
      </c>
      <c r="AU440" s="311" t="n">
        <v>128</v>
      </c>
      <c r="AV440" s="309" t="n">
        <v>427.2</v>
      </c>
      <c r="AW440" s="311" t="n">
        <v>128</v>
      </c>
      <c r="AX440" s="309" t="n">
        <v>427.2</v>
      </c>
      <c r="AY440" s="311" t="n">
        <v>128</v>
      </c>
      <c r="AZ440" s="309" t="n">
        <v>427.2</v>
      </c>
      <c r="BB440" s="144" t="n">
        <v>0</v>
      </c>
      <c r="BC440" s="315"/>
      <c r="BD440" s="311" t="n">
        <v>0</v>
      </c>
      <c r="BE440" s="316" t="n">
        <v>0</v>
      </c>
      <c r="BF440" s="310"/>
      <c r="BG440" s="317" t="n">
        <v>0</v>
      </c>
      <c r="BH440" s="318" t="n">
        <v>0</v>
      </c>
      <c r="BI440" s="317" t="n">
        <v>0</v>
      </c>
      <c r="BJ440" s="318" t="n">
        <v>0.199999999999999</v>
      </c>
      <c r="BK440" s="317" t="n">
        <v>0</v>
      </c>
      <c r="BL440" s="318" t="n">
        <v>0.199999999999999</v>
      </c>
      <c r="BM440" s="310"/>
      <c r="BN440" s="317" t="n">
        <v>0</v>
      </c>
      <c r="BO440" s="318" t="n">
        <v>0.199999999999999</v>
      </c>
      <c r="BP440" s="317" t="n">
        <v>0</v>
      </c>
      <c r="BQ440" s="318" t="n">
        <v>-0.199999999999999</v>
      </c>
      <c r="BR440" s="317" t="n">
        <v>0</v>
      </c>
      <c r="BS440" s="318" t="n">
        <v>-0.199999999999999</v>
      </c>
      <c r="BT440" s="317" t="n">
        <v>0</v>
      </c>
      <c r="BU440" s="318" t="n">
        <v>-0.199999999999999</v>
      </c>
      <c r="BV440" s="317" t="n">
        <v>0</v>
      </c>
      <c r="BW440" s="318" t="n">
        <v>-0.199999999999999</v>
      </c>
      <c r="BY440" s="143"/>
      <c r="BZ440" s="315"/>
      <c r="CA440" s="144" t="s">
        <v>12</v>
      </c>
      <c r="CB440" s="315"/>
      <c r="CC440" s="144" t="n">
        <v>-97.5454545454546</v>
      </c>
      <c r="CD440" s="144" t="n">
        <v>-117.745454545455</v>
      </c>
      <c r="CE440" s="144" t="n">
        <v>-117.745454545455</v>
      </c>
      <c r="CF440" s="315"/>
      <c r="CG440" s="144" t="n">
        <v>-117.745454545455</v>
      </c>
      <c r="CH440" s="144" t="n">
        <v>-127.345454545455</v>
      </c>
      <c r="CI440" s="144" t="n">
        <v>-127.345454545455</v>
      </c>
      <c r="CJ440" s="144" t="n">
        <v>-127.345454545455</v>
      </c>
      <c r="CK440" s="144" t="n">
        <v>-127.345454545455</v>
      </c>
      <c r="CM440" s="144" t="n">
        <v>495.04132231405</v>
      </c>
      <c r="CO440" s="319"/>
      <c r="CP440" s="320"/>
      <c r="CQ440" s="321" t="s">
        <v>12</v>
      </c>
      <c r="CR440" s="320"/>
      <c r="CS440" s="322" t="n">
        <v>-38.0413223140496</v>
      </c>
      <c r="CT440" s="322" t="n">
        <v>-58.2413223140496</v>
      </c>
      <c r="CU440" s="322" t="n">
        <v>-58.2413223140496</v>
      </c>
      <c r="CV440" s="323"/>
      <c r="CW440" s="322" t="n">
        <v>-58.2413223140496</v>
      </c>
      <c r="CX440" s="322" t="n">
        <v>-67.8413223140495</v>
      </c>
      <c r="CY440" s="322" t="n">
        <v>-67.8413223140495</v>
      </c>
      <c r="CZ440" s="322" t="n">
        <v>-67.8413223140495</v>
      </c>
      <c r="DA440" s="322" t="n">
        <v>-67.8413223140495</v>
      </c>
    </row>
    <row r="441" customFormat="false" ht="12.75" hidden="false" customHeight="false" outlineLevel="0" collapsed="false">
      <c r="B441" s="305" t="s">
        <v>112</v>
      </c>
      <c r="C441" s="305" t="s">
        <v>711</v>
      </c>
      <c r="D441" s="306" t="n">
        <v>555</v>
      </c>
      <c r="E441" s="306" t="n">
        <v>2.5</v>
      </c>
      <c r="F441" s="306" t="s">
        <v>710</v>
      </c>
      <c r="G441" s="307" t="n">
        <v>48</v>
      </c>
      <c r="H441" s="308" t="n">
        <v>554.545454545455</v>
      </c>
      <c r="I441" s="2"/>
      <c r="J441" s="144" t="s">
        <v>12</v>
      </c>
      <c r="K441" s="309" t="s">
        <v>12</v>
      </c>
      <c r="L441" s="310"/>
      <c r="M441" s="311" t="n">
        <v>169</v>
      </c>
      <c r="N441" s="312" t="n">
        <v>6</v>
      </c>
      <c r="O441" s="311" t="n">
        <v>0</v>
      </c>
      <c r="P441" s="312" t="n">
        <v>9.1</v>
      </c>
      <c r="Q441" s="310" t="n">
        <v>0</v>
      </c>
      <c r="R441" s="312" t="n">
        <v>9.1</v>
      </c>
      <c r="S441" s="310"/>
      <c r="T441" s="311" t="n">
        <v>0</v>
      </c>
      <c r="U441" s="312" t="n">
        <v>9.1</v>
      </c>
      <c r="V441" s="311" t="n">
        <v>0</v>
      </c>
      <c r="W441" s="312" t="n">
        <v>8.9</v>
      </c>
      <c r="X441" s="311" t="n">
        <v>0</v>
      </c>
      <c r="Y441" s="312" t="n">
        <v>8.9</v>
      </c>
      <c r="Z441" s="313" t="n">
        <v>0</v>
      </c>
      <c r="AA441" s="314" t="n">
        <v>8.9</v>
      </c>
      <c r="AB441" s="313" t="n">
        <v>0</v>
      </c>
      <c r="AC441" s="314" t="n">
        <v>8.9</v>
      </c>
      <c r="AD441" s="315"/>
      <c r="AE441" s="144" t="n">
        <v>0</v>
      </c>
      <c r="AF441" s="315"/>
      <c r="AG441" s="311" t="n">
        <v>0</v>
      </c>
      <c r="AH441" s="309" t="n">
        <v>0</v>
      </c>
      <c r="AI441" s="310"/>
      <c r="AJ441" s="311" t="n">
        <v>98</v>
      </c>
      <c r="AK441" s="309" t="n">
        <v>288</v>
      </c>
      <c r="AL441" s="311" t="n">
        <v>118</v>
      </c>
      <c r="AM441" s="309" t="n">
        <v>436.8</v>
      </c>
      <c r="AN441" s="311" t="n">
        <v>118</v>
      </c>
      <c r="AO441" s="309" t="n">
        <v>436.8</v>
      </c>
      <c r="AP441" s="310"/>
      <c r="AQ441" s="311" t="n">
        <v>118</v>
      </c>
      <c r="AR441" s="309" t="n">
        <v>436.8</v>
      </c>
      <c r="AS441" s="311" t="n">
        <v>128</v>
      </c>
      <c r="AT441" s="309" t="n">
        <v>427.2</v>
      </c>
      <c r="AU441" s="311" t="n">
        <v>128</v>
      </c>
      <c r="AV441" s="309" t="n">
        <v>427.2</v>
      </c>
      <c r="AW441" s="311" t="n">
        <v>128</v>
      </c>
      <c r="AX441" s="309" t="n">
        <v>427.2</v>
      </c>
      <c r="AY441" s="311" t="n">
        <v>128</v>
      </c>
      <c r="AZ441" s="309" t="n">
        <v>427.2</v>
      </c>
      <c r="BB441" s="144" t="n">
        <v>0</v>
      </c>
      <c r="BC441" s="315"/>
      <c r="BD441" s="311" t="n">
        <v>0</v>
      </c>
      <c r="BE441" s="316" t="n">
        <v>0</v>
      </c>
      <c r="BF441" s="310"/>
      <c r="BG441" s="317" t="n">
        <v>0</v>
      </c>
      <c r="BH441" s="318" t="n">
        <v>0</v>
      </c>
      <c r="BI441" s="317" t="n">
        <v>0</v>
      </c>
      <c r="BJ441" s="318" t="n">
        <v>0</v>
      </c>
      <c r="BK441" s="317" t="n">
        <v>0</v>
      </c>
      <c r="BL441" s="318" t="n">
        <v>0</v>
      </c>
      <c r="BM441" s="310"/>
      <c r="BN441" s="317" t="n">
        <v>0</v>
      </c>
      <c r="BO441" s="318" t="n">
        <v>0</v>
      </c>
      <c r="BP441" s="317" t="n">
        <v>0</v>
      </c>
      <c r="BQ441" s="318" t="n">
        <v>0</v>
      </c>
      <c r="BR441" s="317" t="n">
        <v>0</v>
      </c>
      <c r="BS441" s="318" t="n">
        <v>0</v>
      </c>
      <c r="BT441" s="317" t="n">
        <v>0</v>
      </c>
      <c r="BU441" s="318" t="n">
        <v>0</v>
      </c>
      <c r="BV441" s="317" t="n">
        <v>0</v>
      </c>
      <c r="BW441" s="318" t="n">
        <v>0</v>
      </c>
      <c r="BY441" s="143"/>
      <c r="BZ441" s="315"/>
      <c r="CA441" s="144" t="s">
        <v>12</v>
      </c>
      <c r="CB441" s="315"/>
      <c r="CC441" s="144" t="n">
        <v>-97.5454545454546</v>
      </c>
      <c r="CD441" s="144" t="n">
        <v>-117.745454545455</v>
      </c>
      <c r="CE441" s="144" t="n">
        <v>-117.745454545455</v>
      </c>
      <c r="CF441" s="315"/>
      <c r="CG441" s="144" t="n">
        <v>-117.745454545455</v>
      </c>
      <c r="CH441" s="144" t="n">
        <v>-127.345454545455</v>
      </c>
      <c r="CI441" s="144" t="n">
        <v>-127.345454545455</v>
      </c>
      <c r="CJ441" s="144" t="n">
        <v>-127.345454545455</v>
      </c>
      <c r="CK441" s="144" t="n">
        <v>-127.345454545455</v>
      </c>
      <c r="CM441" s="144" t="n">
        <v>495.04132231405</v>
      </c>
      <c r="CO441" s="319"/>
      <c r="CP441" s="320"/>
      <c r="CQ441" s="321" t="s">
        <v>12</v>
      </c>
      <c r="CR441" s="320"/>
      <c r="CS441" s="322" t="n">
        <v>-38.0413223140496</v>
      </c>
      <c r="CT441" s="322" t="n">
        <v>-58.2413223140496</v>
      </c>
      <c r="CU441" s="322" t="n">
        <v>-58.2413223140496</v>
      </c>
      <c r="CV441" s="323"/>
      <c r="CW441" s="322" t="n">
        <v>-58.2413223140496</v>
      </c>
      <c r="CX441" s="322" t="n">
        <v>-67.8413223140495</v>
      </c>
      <c r="CY441" s="322" t="n">
        <v>-67.8413223140495</v>
      </c>
      <c r="CZ441" s="322" t="n">
        <v>-67.8413223140495</v>
      </c>
      <c r="DA441" s="322" t="n">
        <v>-67.8413223140495</v>
      </c>
    </row>
    <row r="442" customFormat="false" ht="12.75" hidden="false" customHeight="false" outlineLevel="0" collapsed="false">
      <c r="B442" s="305" t="s">
        <v>112</v>
      </c>
      <c r="C442" s="305" t="s">
        <v>712</v>
      </c>
      <c r="D442" s="306" t="n">
        <v>423</v>
      </c>
      <c r="E442" s="306" t="n">
        <v>2.5</v>
      </c>
      <c r="F442" s="324" t="s">
        <v>710</v>
      </c>
      <c r="G442" s="144" t="n">
        <v>24</v>
      </c>
      <c r="H442" s="325" t="n">
        <v>422.314049586777</v>
      </c>
      <c r="I442" s="2"/>
      <c r="J442" s="144" t="s">
        <v>12</v>
      </c>
      <c r="K442" s="309" t="s">
        <v>12</v>
      </c>
      <c r="L442" s="310"/>
      <c r="M442" s="311" t="n">
        <v>139</v>
      </c>
      <c r="N442" s="312" t="n">
        <v>8.3</v>
      </c>
      <c r="O442" s="311" t="n">
        <v>0</v>
      </c>
      <c r="P442" s="312" t="n">
        <v>13.5</v>
      </c>
      <c r="Q442" s="310" t="n">
        <v>0</v>
      </c>
      <c r="R442" s="312" t="n">
        <v>13.5</v>
      </c>
      <c r="S442" s="310"/>
      <c r="T442" s="311" t="n">
        <v>0</v>
      </c>
      <c r="U442" s="312" t="n">
        <v>13.5</v>
      </c>
      <c r="V442" s="311" t="n">
        <v>0</v>
      </c>
      <c r="W442" s="312" t="n">
        <v>13.1</v>
      </c>
      <c r="X442" s="311" t="n">
        <v>0</v>
      </c>
      <c r="Y442" s="312" t="n">
        <v>13.1</v>
      </c>
      <c r="Z442" s="313" t="n">
        <v>0</v>
      </c>
      <c r="AA442" s="314" t="n">
        <v>13</v>
      </c>
      <c r="AB442" s="313" t="n">
        <v>0</v>
      </c>
      <c r="AC442" s="314" t="n">
        <v>13</v>
      </c>
      <c r="AD442" s="315"/>
      <c r="AE442" s="144" t="n">
        <v>1</v>
      </c>
      <c r="AF442" s="315"/>
      <c r="AG442" s="311" t="n">
        <v>0</v>
      </c>
      <c r="AH442" s="309" t="n">
        <v>0</v>
      </c>
      <c r="AI442" s="310"/>
      <c r="AJ442" s="311" t="n">
        <v>85</v>
      </c>
      <c r="AK442" s="309" t="n">
        <v>199.2</v>
      </c>
      <c r="AL442" s="311" t="n">
        <v>99</v>
      </c>
      <c r="AM442" s="309" t="n">
        <v>324</v>
      </c>
      <c r="AN442" s="310" t="n">
        <v>99</v>
      </c>
      <c r="AO442" s="309" t="n">
        <v>324</v>
      </c>
      <c r="AP442" s="310"/>
      <c r="AQ442" s="311" t="n">
        <v>99</v>
      </c>
      <c r="AR442" s="309" t="n">
        <v>324</v>
      </c>
      <c r="AS442" s="311" t="n">
        <v>109</v>
      </c>
      <c r="AT442" s="309" t="n">
        <v>314.4</v>
      </c>
      <c r="AU442" s="310" t="n">
        <v>109</v>
      </c>
      <c r="AV442" s="309" t="n">
        <v>314.4</v>
      </c>
      <c r="AW442" s="310" t="n">
        <v>111</v>
      </c>
      <c r="AX442" s="309" t="n">
        <v>312</v>
      </c>
      <c r="AY442" s="310" t="n">
        <v>111</v>
      </c>
      <c r="AZ442" s="309" t="n">
        <v>312</v>
      </c>
      <c r="BB442" s="144" t="n">
        <v>0</v>
      </c>
      <c r="BC442" s="315"/>
      <c r="BD442" s="311" t="n">
        <v>0</v>
      </c>
      <c r="BE442" s="316" t="n">
        <v>0</v>
      </c>
      <c r="BF442" s="310"/>
      <c r="BG442" s="317" t="n">
        <v>0</v>
      </c>
      <c r="BH442" s="318" t="n">
        <v>0</v>
      </c>
      <c r="BI442" s="317" t="n">
        <v>0</v>
      </c>
      <c r="BJ442" s="318" t="n">
        <v>0.199999999999999</v>
      </c>
      <c r="BK442" s="317" t="n">
        <v>0</v>
      </c>
      <c r="BL442" s="318" t="n">
        <v>0.199999999999999</v>
      </c>
      <c r="BM442" s="310"/>
      <c r="BN442" s="317" t="n">
        <v>0</v>
      </c>
      <c r="BO442" s="318" t="n">
        <v>0.199999999999999</v>
      </c>
      <c r="BP442" s="317" t="n">
        <v>0</v>
      </c>
      <c r="BQ442" s="318" t="n">
        <v>-0.199999999999999</v>
      </c>
      <c r="BR442" s="317" t="n">
        <v>0</v>
      </c>
      <c r="BS442" s="318" t="n">
        <v>-0.199999999999999</v>
      </c>
      <c r="BT442" s="317" t="n">
        <v>0</v>
      </c>
      <c r="BU442" s="318" t="n">
        <v>-0.200000000000001</v>
      </c>
      <c r="BV442" s="317" t="n">
        <v>0</v>
      </c>
      <c r="BW442" s="318" t="n">
        <v>-0.200000000000001</v>
      </c>
      <c r="BY442" s="143"/>
      <c r="BZ442" s="315"/>
      <c r="CA442" s="144" t="s">
        <v>12</v>
      </c>
      <c r="CB442" s="315"/>
      <c r="CC442" s="144" t="n">
        <v>-84.1140495867768</v>
      </c>
      <c r="CD442" s="144" t="n">
        <v>-98.3140495867769</v>
      </c>
      <c r="CE442" s="144" t="n">
        <v>-98.3140495867769</v>
      </c>
      <c r="CF442" s="315"/>
      <c r="CG442" s="144" t="n">
        <v>-98.3140495867769</v>
      </c>
      <c r="CH442" s="144" t="n">
        <v>-107.914049586777</v>
      </c>
      <c r="CI442" s="144" t="n">
        <v>-107.914049586777</v>
      </c>
      <c r="CJ442" s="144" t="n">
        <v>-110.314049586777</v>
      </c>
      <c r="CK442" s="144" t="n">
        <v>-110.314049586777</v>
      </c>
      <c r="CM442" s="144" t="n">
        <v>371.074380165289</v>
      </c>
      <c r="CO442" s="319"/>
      <c r="CP442" s="320"/>
      <c r="CQ442" s="321" t="s">
        <v>12</v>
      </c>
      <c r="CR442" s="320"/>
      <c r="CS442" s="322" t="n">
        <v>-32.8743801652892</v>
      </c>
      <c r="CT442" s="322" t="n">
        <v>-47.0743801652893</v>
      </c>
      <c r="CU442" s="322" t="n">
        <v>-47.0743801652893</v>
      </c>
      <c r="CV442" s="323"/>
      <c r="CW442" s="322" t="n">
        <v>-47.0743801652893</v>
      </c>
      <c r="CX442" s="322" t="n">
        <v>-56.6743801652892</v>
      </c>
      <c r="CY442" s="322" t="n">
        <v>-56.6743801652892</v>
      </c>
      <c r="CZ442" s="322" t="n">
        <v>-59.0743801652893</v>
      </c>
      <c r="DA442" s="322" t="n">
        <v>-59.0743801652893</v>
      </c>
    </row>
    <row r="443" customFormat="false" ht="12.75" hidden="false" customHeight="false" outlineLevel="0" collapsed="false">
      <c r="B443" s="305" t="s">
        <v>112</v>
      </c>
      <c r="C443" s="305" t="s">
        <v>712</v>
      </c>
      <c r="D443" s="306" t="n">
        <v>423</v>
      </c>
      <c r="E443" s="306" t="n">
        <v>2.5</v>
      </c>
      <c r="F443" s="306" t="s">
        <v>710</v>
      </c>
      <c r="G443" s="307" t="n">
        <v>48</v>
      </c>
      <c r="H443" s="308" t="n">
        <v>422.314049586777</v>
      </c>
      <c r="I443" s="2"/>
      <c r="J443" s="144" t="s">
        <v>12</v>
      </c>
      <c r="K443" s="309" t="s">
        <v>12</v>
      </c>
      <c r="L443" s="310"/>
      <c r="M443" s="311" t="n">
        <v>139</v>
      </c>
      <c r="N443" s="312" t="n">
        <v>4.2</v>
      </c>
      <c r="O443" s="311" t="n">
        <v>0</v>
      </c>
      <c r="P443" s="312" t="n">
        <v>6.8</v>
      </c>
      <c r="Q443" s="310" t="n">
        <v>0</v>
      </c>
      <c r="R443" s="312" t="n">
        <v>6.8</v>
      </c>
      <c r="S443" s="310"/>
      <c r="T443" s="311" t="n">
        <v>0</v>
      </c>
      <c r="U443" s="312" t="n">
        <v>6.8</v>
      </c>
      <c r="V443" s="311" t="n">
        <v>0</v>
      </c>
      <c r="W443" s="312" t="n">
        <v>6.6</v>
      </c>
      <c r="X443" s="311" t="n">
        <v>0</v>
      </c>
      <c r="Y443" s="312" t="n">
        <v>6.6</v>
      </c>
      <c r="Z443" s="313" t="n">
        <v>0</v>
      </c>
      <c r="AA443" s="314" t="n">
        <v>6.5</v>
      </c>
      <c r="AB443" s="313" t="n">
        <v>0</v>
      </c>
      <c r="AC443" s="314" t="n">
        <v>6.5</v>
      </c>
      <c r="AD443" s="315"/>
      <c r="AE443" s="144" t="n">
        <v>1</v>
      </c>
      <c r="AF443" s="315"/>
      <c r="AG443" s="311" t="n">
        <v>0</v>
      </c>
      <c r="AH443" s="309" t="n">
        <v>0</v>
      </c>
      <c r="AI443" s="310"/>
      <c r="AJ443" s="311" t="n">
        <v>82</v>
      </c>
      <c r="AK443" s="309" t="n">
        <v>201.6</v>
      </c>
      <c r="AL443" s="311" t="n">
        <v>97</v>
      </c>
      <c r="AM443" s="309" t="n">
        <v>326.4</v>
      </c>
      <c r="AN443" s="311" t="n">
        <v>97</v>
      </c>
      <c r="AO443" s="309" t="n">
        <v>326.4</v>
      </c>
      <c r="AP443" s="310"/>
      <c r="AQ443" s="311" t="n">
        <v>97</v>
      </c>
      <c r="AR443" s="309" t="n">
        <v>326.4</v>
      </c>
      <c r="AS443" s="311" t="n">
        <v>106</v>
      </c>
      <c r="AT443" s="309" t="n">
        <v>316.8</v>
      </c>
      <c r="AU443" s="311" t="n">
        <v>106</v>
      </c>
      <c r="AV443" s="309" t="n">
        <v>316.8</v>
      </c>
      <c r="AW443" s="311" t="n">
        <v>111</v>
      </c>
      <c r="AX443" s="309" t="n">
        <v>312</v>
      </c>
      <c r="AY443" s="311" t="n">
        <v>111</v>
      </c>
      <c r="AZ443" s="309" t="n">
        <v>312</v>
      </c>
      <c r="BB443" s="144" t="n">
        <v>0</v>
      </c>
      <c r="BC443" s="315"/>
      <c r="BD443" s="311" t="n">
        <v>0</v>
      </c>
      <c r="BE443" s="316" t="n">
        <v>0</v>
      </c>
      <c r="BF443" s="310"/>
      <c r="BG443" s="317" t="n">
        <v>0</v>
      </c>
      <c r="BH443" s="318" t="n">
        <v>0</v>
      </c>
      <c r="BI443" s="317" t="n">
        <v>0</v>
      </c>
      <c r="BJ443" s="318" t="n">
        <v>0</v>
      </c>
      <c r="BK443" s="317" t="n">
        <v>0</v>
      </c>
      <c r="BL443" s="318" t="n">
        <v>0</v>
      </c>
      <c r="BM443" s="310"/>
      <c r="BN443" s="317" t="n">
        <v>0</v>
      </c>
      <c r="BO443" s="318" t="n">
        <v>0</v>
      </c>
      <c r="BP443" s="317" t="n">
        <v>0</v>
      </c>
      <c r="BQ443" s="318" t="n">
        <v>0</v>
      </c>
      <c r="BR443" s="317" t="n">
        <v>0</v>
      </c>
      <c r="BS443" s="318" t="n">
        <v>0</v>
      </c>
      <c r="BT443" s="317" t="n">
        <v>0</v>
      </c>
      <c r="BU443" s="318" t="n">
        <v>0</v>
      </c>
      <c r="BV443" s="317" t="n">
        <v>0</v>
      </c>
      <c r="BW443" s="318" t="n">
        <v>0</v>
      </c>
      <c r="BY443" s="143"/>
      <c r="BZ443" s="315"/>
      <c r="CA443" s="144" t="s">
        <v>12</v>
      </c>
      <c r="CB443" s="315"/>
      <c r="CC443" s="144" t="n">
        <v>-81.7140495867769</v>
      </c>
      <c r="CD443" s="144" t="n">
        <v>-95.9140495867769</v>
      </c>
      <c r="CE443" s="144" t="n">
        <v>-95.9140495867769</v>
      </c>
      <c r="CF443" s="315"/>
      <c r="CG443" s="144" t="n">
        <v>-95.9140495867769</v>
      </c>
      <c r="CH443" s="144" t="n">
        <v>-105.514049586777</v>
      </c>
      <c r="CI443" s="144" t="n">
        <v>-105.514049586777</v>
      </c>
      <c r="CJ443" s="144" t="n">
        <v>-110.314049586777</v>
      </c>
      <c r="CK443" s="144" t="n">
        <v>-110.314049586777</v>
      </c>
      <c r="CM443" s="144" t="n">
        <v>371.074380165289</v>
      </c>
      <c r="CO443" s="319"/>
      <c r="CP443" s="320"/>
      <c r="CQ443" s="321" t="s">
        <v>12</v>
      </c>
      <c r="CR443" s="320"/>
      <c r="CS443" s="322" t="n">
        <v>-30.4743801652892</v>
      </c>
      <c r="CT443" s="322" t="n">
        <v>-44.6743801652892</v>
      </c>
      <c r="CU443" s="322" t="n">
        <v>-44.6743801652892</v>
      </c>
      <c r="CV443" s="323"/>
      <c r="CW443" s="322" t="n">
        <v>-44.6743801652892</v>
      </c>
      <c r="CX443" s="322" t="n">
        <v>-54.2743801652892</v>
      </c>
      <c r="CY443" s="322" t="n">
        <v>-54.2743801652892</v>
      </c>
      <c r="CZ443" s="322" t="n">
        <v>-59.0743801652893</v>
      </c>
      <c r="DA443" s="322" t="n">
        <v>-59.0743801652893</v>
      </c>
    </row>
    <row r="444" customFormat="false" ht="12.75" hidden="false" customHeight="false" outlineLevel="0" collapsed="false">
      <c r="B444" s="305" t="s">
        <v>112</v>
      </c>
      <c r="C444" s="305" t="s">
        <v>713</v>
      </c>
      <c r="D444" s="306" t="n">
        <v>445</v>
      </c>
      <c r="E444" s="306" t="n">
        <v>2.5</v>
      </c>
      <c r="F444" s="324" t="s">
        <v>710</v>
      </c>
      <c r="G444" s="144" t="n">
        <v>24</v>
      </c>
      <c r="H444" s="325" t="n">
        <v>444.628099173554</v>
      </c>
      <c r="I444" s="2"/>
      <c r="J444" s="144" t="s">
        <v>12</v>
      </c>
      <c r="K444" s="309" t="s">
        <v>12</v>
      </c>
      <c r="L444" s="310"/>
      <c r="M444" s="311" t="n">
        <v>149</v>
      </c>
      <c r="N444" s="312" t="n">
        <v>8.9</v>
      </c>
      <c r="O444" s="311" t="n">
        <v>0</v>
      </c>
      <c r="P444" s="312" t="n">
        <v>14.3</v>
      </c>
      <c r="Q444" s="310" t="n">
        <v>0</v>
      </c>
      <c r="R444" s="312" t="n">
        <v>14.3</v>
      </c>
      <c r="S444" s="310"/>
      <c r="T444" s="311" t="n">
        <v>0</v>
      </c>
      <c r="U444" s="312" t="n">
        <v>14.3</v>
      </c>
      <c r="V444" s="311" t="n">
        <v>0</v>
      </c>
      <c r="W444" s="312" t="n">
        <v>14.1</v>
      </c>
      <c r="X444" s="311" t="n">
        <v>0</v>
      </c>
      <c r="Y444" s="312" t="n">
        <v>14.1</v>
      </c>
      <c r="Z444" s="313" t="n">
        <v>0</v>
      </c>
      <c r="AA444" s="314" t="n">
        <v>14</v>
      </c>
      <c r="AB444" s="313" t="n">
        <v>0</v>
      </c>
      <c r="AC444" s="314" t="n">
        <v>14</v>
      </c>
      <c r="AD444" s="315"/>
      <c r="AE444" s="144" t="n">
        <v>0</v>
      </c>
      <c r="AF444" s="315"/>
      <c r="AG444" s="311" t="n">
        <v>0</v>
      </c>
      <c r="AH444" s="309" t="n">
        <v>0</v>
      </c>
      <c r="AI444" s="310"/>
      <c r="AJ444" s="311" t="n">
        <v>82</v>
      </c>
      <c r="AK444" s="309" t="n">
        <v>213.6</v>
      </c>
      <c r="AL444" s="311" t="n">
        <v>102</v>
      </c>
      <c r="AM444" s="309" t="n">
        <v>343.2</v>
      </c>
      <c r="AN444" s="310" t="n">
        <v>102</v>
      </c>
      <c r="AO444" s="309" t="n">
        <v>343.2</v>
      </c>
      <c r="AP444" s="310"/>
      <c r="AQ444" s="311" t="n">
        <v>102</v>
      </c>
      <c r="AR444" s="309" t="n">
        <v>343.2</v>
      </c>
      <c r="AS444" s="311" t="n">
        <v>107</v>
      </c>
      <c r="AT444" s="309" t="n">
        <v>338.4</v>
      </c>
      <c r="AU444" s="310" t="n">
        <v>107</v>
      </c>
      <c r="AV444" s="309" t="n">
        <v>338.4</v>
      </c>
      <c r="AW444" s="310" t="n">
        <v>109</v>
      </c>
      <c r="AX444" s="309" t="n">
        <v>336</v>
      </c>
      <c r="AY444" s="310" t="n">
        <v>109</v>
      </c>
      <c r="AZ444" s="309" t="n">
        <v>336</v>
      </c>
      <c r="BB444" s="144" t="n">
        <v>0</v>
      </c>
      <c r="BC444" s="315"/>
      <c r="BD444" s="311" t="n">
        <v>0</v>
      </c>
      <c r="BE444" s="316" t="n">
        <v>0</v>
      </c>
      <c r="BF444" s="310"/>
      <c r="BG444" s="317" t="n">
        <v>0</v>
      </c>
      <c r="BH444" s="318" t="n">
        <v>0</v>
      </c>
      <c r="BI444" s="317" t="n">
        <v>0</v>
      </c>
      <c r="BJ444" s="318" t="n">
        <v>0.199999999999999</v>
      </c>
      <c r="BK444" s="317" t="n">
        <v>0</v>
      </c>
      <c r="BL444" s="318" t="n">
        <v>0.199999999999999</v>
      </c>
      <c r="BM444" s="310"/>
      <c r="BN444" s="317" t="n">
        <v>0</v>
      </c>
      <c r="BO444" s="318" t="n">
        <v>0.199999999999999</v>
      </c>
      <c r="BP444" s="317" t="n">
        <v>0</v>
      </c>
      <c r="BQ444" s="318" t="n">
        <v>0</v>
      </c>
      <c r="BR444" s="317" t="n">
        <v>0</v>
      </c>
      <c r="BS444" s="318" t="n">
        <v>0</v>
      </c>
      <c r="BT444" s="317" t="n">
        <v>0</v>
      </c>
      <c r="BU444" s="318" t="n">
        <v>0</v>
      </c>
      <c r="BV444" s="317" t="n">
        <v>0</v>
      </c>
      <c r="BW444" s="318" t="n">
        <v>0</v>
      </c>
      <c r="BY444" s="143"/>
      <c r="BZ444" s="315"/>
      <c r="CA444" s="144" t="s">
        <v>12</v>
      </c>
      <c r="CB444" s="315"/>
      <c r="CC444" s="144" t="n">
        <v>-82.0280991735537</v>
      </c>
      <c r="CD444" s="144" t="n">
        <v>-101.428099173554</v>
      </c>
      <c r="CE444" s="144" t="n">
        <v>-101.428099173554</v>
      </c>
      <c r="CF444" s="315"/>
      <c r="CG444" s="144" t="n">
        <v>-101.428099173554</v>
      </c>
      <c r="CH444" s="144" t="n">
        <v>-106.228099173554</v>
      </c>
      <c r="CI444" s="144" t="n">
        <v>-106.228099173554</v>
      </c>
      <c r="CJ444" s="144" t="n">
        <v>-108.628099173554</v>
      </c>
      <c r="CK444" s="144" t="n">
        <v>-108.628099173554</v>
      </c>
      <c r="CM444" s="144" t="n">
        <v>395.867768595041</v>
      </c>
      <c r="CO444" s="319"/>
      <c r="CP444" s="320"/>
      <c r="CQ444" s="321" t="s">
        <v>12</v>
      </c>
      <c r="CR444" s="320"/>
      <c r="CS444" s="322" t="n">
        <v>-33.2677685950413</v>
      </c>
      <c r="CT444" s="322" t="n">
        <v>-52.6677685950413</v>
      </c>
      <c r="CU444" s="322" t="n">
        <v>-52.6677685950413</v>
      </c>
      <c r="CV444" s="323"/>
      <c r="CW444" s="322" t="n">
        <v>-52.6677685950413</v>
      </c>
      <c r="CX444" s="322" t="n">
        <v>-57.4677685950413</v>
      </c>
      <c r="CY444" s="322" t="n">
        <v>-57.4677685950413</v>
      </c>
      <c r="CZ444" s="322" t="n">
        <v>-59.8677685950414</v>
      </c>
      <c r="DA444" s="322" t="n">
        <v>-59.8677685950414</v>
      </c>
    </row>
    <row r="445" customFormat="false" ht="12.75" hidden="false" customHeight="false" outlineLevel="0" collapsed="false">
      <c r="B445" s="305" t="s">
        <v>112</v>
      </c>
      <c r="C445" s="305" t="s">
        <v>713</v>
      </c>
      <c r="D445" s="306" t="n">
        <v>445</v>
      </c>
      <c r="E445" s="306" t="n">
        <v>2.5</v>
      </c>
      <c r="F445" s="306" t="s">
        <v>710</v>
      </c>
      <c r="G445" s="307" t="n">
        <v>48</v>
      </c>
      <c r="H445" s="308" t="n">
        <v>444.628099173554</v>
      </c>
      <c r="I445" s="2"/>
      <c r="J445" s="144" t="s">
        <v>12</v>
      </c>
      <c r="K445" s="309" t="s">
        <v>12</v>
      </c>
      <c r="L445" s="310"/>
      <c r="M445" s="311" t="n">
        <v>149</v>
      </c>
      <c r="N445" s="312" t="n">
        <v>4.5</v>
      </c>
      <c r="O445" s="311" t="n">
        <v>0</v>
      </c>
      <c r="P445" s="312" t="n">
        <v>7.2</v>
      </c>
      <c r="Q445" s="310" t="n">
        <v>0</v>
      </c>
      <c r="R445" s="312" t="n">
        <v>7.2</v>
      </c>
      <c r="S445" s="310"/>
      <c r="T445" s="311" t="n">
        <v>0</v>
      </c>
      <c r="U445" s="312" t="n">
        <v>7.2</v>
      </c>
      <c r="V445" s="311" t="n">
        <v>0</v>
      </c>
      <c r="W445" s="312" t="n">
        <v>7.1</v>
      </c>
      <c r="X445" s="311" t="n">
        <v>0</v>
      </c>
      <c r="Y445" s="312" t="n">
        <v>7.1</v>
      </c>
      <c r="Z445" s="313" t="n">
        <v>0</v>
      </c>
      <c r="AA445" s="314" t="n">
        <v>7</v>
      </c>
      <c r="AB445" s="313" t="n">
        <v>0</v>
      </c>
      <c r="AC445" s="314" t="n">
        <v>7</v>
      </c>
      <c r="AD445" s="315"/>
      <c r="AE445" s="144" t="n">
        <v>0</v>
      </c>
      <c r="AF445" s="315"/>
      <c r="AG445" s="311" t="n">
        <v>0</v>
      </c>
      <c r="AH445" s="309" t="n">
        <v>0</v>
      </c>
      <c r="AI445" s="310"/>
      <c r="AJ445" s="311" t="n">
        <v>80</v>
      </c>
      <c r="AK445" s="309" t="n">
        <v>216</v>
      </c>
      <c r="AL445" s="311" t="n">
        <v>99</v>
      </c>
      <c r="AM445" s="309" t="n">
        <v>345.6</v>
      </c>
      <c r="AN445" s="311" t="n">
        <v>99</v>
      </c>
      <c r="AO445" s="309" t="n">
        <v>345.6</v>
      </c>
      <c r="AP445" s="310"/>
      <c r="AQ445" s="311" t="n">
        <v>99</v>
      </c>
      <c r="AR445" s="309" t="n">
        <v>345.6</v>
      </c>
      <c r="AS445" s="311" t="n">
        <v>104</v>
      </c>
      <c r="AT445" s="309" t="n">
        <v>340.8</v>
      </c>
      <c r="AU445" s="311" t="n">
        <v>104</v>
      </c>
      <c r="AV445" s="309" t="n">
        <v>340.8</v>
      </c>
      <c r="AW445" s="311" t="n">
        <v>109</v>
      </c>
      <c r="AX445" s="309" t="n">
        <v>336</v>
      </c>
      <c r="AY445" s="311" t="n">
        <v>109</v>
      </c>
      <c r="AZ445" s="309" t="n">
        <v>336</v>
      </c>
      <c r="BB445" s="144" t="n">
        <v>0</v>
      </c>
      <c r="BC445" s="315"/>
      <c r="BD445" s="311" t="n">
        <v>0</v>
      </c>
      <c r="BE445" s="316" t="n">
        <v>0</v>
      </c>
      <c r="BF445" s="310"/>
      <c r="BG445" s="317" t="n">
        <v>0</v>
      </c>
      <c r="BH445" s="318" t="n">
        <v>0</v>
      </c>
      <c r="BI445" s="317" t="n">
        <v>0</v>
      </c>
      <c r="BJ445" s="318" t="n">
        <v>0</v>
      </c>
      <c r="BK445" s="317" t="n">
        <v>0</v>
      </c>
      <c r="BL445" s="318" t="n">
        <v>0</v>
      </c>
      <c r="BM445" s="310"/>
      <c r="BN445" s="317" t="n">
        <v>0</v>
      </c>
      <c r="BO445" s="318" t="n">
        <v>0</v>
      </c>
      <c r="BP445" s="317" t="n">
        <v>0</v>
      </c>
      <c r="BQ445" s="318" t="n">
        <v>0</v>
      </c>
      <c r="BR445" s="317" t="n">
        <v>0</v>
      </c>
      <c r="BS445" s="318" t="n">
        <v>0</v>
      </c>
      <c r="BT445" s="317" t="n">
        <v>0</v>
      </c>
      <c r="BU445" s="318" t="n">
        <v>0</v>
      </c>
      <c r="BV445" s="317" t="n">
        <v>0</v>
      </c>
      <c r="BW445" s="318" t="n">
        <v>0</v>
      </c>
      <c r="BY445" s="143"/>
      <c r="BZ445" s="315"/>
      <c r="CA445" s="144" t="s">
        <v>12</v>
      </c>
      <c r="CB445" s="315"/>
      <c r="CC445" s="144" t="n">
        <v>-79.6280991735537</v>
      </c>
      <c r="CD445" s="144" t="n">
        <v>-99.0280991735537</v>
      </c>
      <c r="CE445" s="144" t="n">
        <v>-99.0280991735537</v>
      </c>
      <c r="CF445" s="315"/>
      <c r="CG445" s="144" t="n">
        <v>-99.0280991735537</v>
      </c>
      <c r="CH445" s="144" t="n">
        <v>-103.828099173554</v>
      </c>
      <c r="CI445" s="144" t="n">
        <v>-103.828099173554</v>
      </c>
      <c r="CJ445" s="144" t="n">
        <v>-108.628099173554</v>
      </c>
      <c r="CK445" s="144" t="n">
        <v>-108.628099173554</v>
      </c>
      <c r="CM445" s="144" t="n">
        <v>395.867768595041</v>
      </c>
      <c r="CO445" s="319"/>
      <c r="CP445" s="320"/>
      <c r="CQ445" s="321" t="s">
        <v>12</v>
      </c>
      <c r="CR445" s="320"/>
      <c r="CS445" s="322" t="n">
        <v>-30.8677685950414</v>
      </c>
      <c r="CT445" s="322" t="n">
        <v>-50.2677685950413</v>
      </c>
      <c r="CU445" s="322" t="n">
        <v>-50.2677685950413</v>
      </c>
      <c r="CV445" s="323"/>
      <c r="CW445" s="322" t="n">
        <v>-50.2677685950413</v>
      </c>
      <c r="CX445" s="322" t="n">
        <v>-55.0677685950413</v>
      </c>
      <c r="CY445" s="322" t="n">
        <v>-55.0677685950413</v>
      </c>
      <c r="CZ445" s="322" t="n">
        <v>-59.8677685950414</v>
      </c>
      <c r="DA445" s="322" t="n">
        <v>-59.8677685950414</v>
      </c>
    </row>
    <row r="446" customFormat="false" ht="12.75" hidden="false" customHeight="false" outlineLevel="0" collapsed="false">
      <c r="B446" s="305" t="s">
        <v>112</v>
      </c>
      <c r="C446" s="305" t="s">
        <v>714</v>
      </c>
      <c r="D446" s="306" t="n">
        <v>555</v>
      </c>
      <c r="E446" s="306" t="n">
        <v>2.5</v>
      </c>
      <c r="F446" s="324" t="s">
        <v>710</v>
      </c>
      <c r="G446" s="144" t="n">
        <v>24</v>
      </c>
      <c r="H446" s="325" t="n">
        <v>554.545454545455</v>
      </c>
      <c r="I446" s="2"/>
      <c r="J446" s="144" t="s">
        <v>12</v>
      </c>
      <c r="K446" s="309" t="s">
        <v>12</v>
      </c>
      <c r="L446" s="310"/>
      <c r="M446" s="311" t="n">
        <v>169</v>
      </c>
      <c r="N446" s="312" t="n">
        <v>12</v>
      </c>
      <c r="O446" s="311" t="n">
        <v>0</v>
      </c>
      <c r="P446" s="312" t="n">
        <v>18.2</v>
      </c>
      <c r="Q446" s="310" t="n">
        <v>0</v>
      </c>
      <c r="R446" s="312" t="n">
        <v>18.2</v>
      </c>
      <c r="S446" s="310"/>
      <c r="T446" s="311" t="n">
        <v>0</v>
      </c>
      <c r="U446" s="312" t="n">
        <v>18.2</v>
      </c>
      <c r="V446" s="311" t="n">
        <v>0</v>
      </c>
      <c r="W446" s="312" t="n">
        <v>17.8</v>
      </c>
      <c r="X446" s="311" t="n">
        <v>0</v>
      </c>
      <c r="Y446" s="312" t="n">
        <v>17.8</v>
      </c>
      <c r="Z446" s="313" t="n">
        <v>0</v>
      </c>
      <c r="AA446" s="314" t="n">
        <v>17.8</v>
      </c>
      <c r="AB446" s="313" t="n">
        <v>0</v>
      </c>
      <c r="AC446" s="314" t="n">
        <v>17.8</v>
      </c>
      <c r="AD446" s="315"/>
      <c r="AE446" s="144" t="n">
        <v>0</v>
      </c>
      <c r="AF446" s="315"/>
      <c r="AG446" s="311" t="n">
        <v>0</v>
      </c>
      <c r="AH446" s="309" t="n">
        <v>0</v>
      </c>
      <c r="AI446" s="310"/>
      <c r="AJ446" s="311" t="n">
        <v>98</v>
      </c>
      <c r="AK446" s="309" t="n">
        <v>288</v>
      </c>
      <c r="AL446" s="311" t="n">
        <v>118</v>
      </c>
      <c r="AM446" s="309" t="n">
        <v>436.8</v>
      </c>
      <c r="AN446" s="310" t="n">
        <v>118</v>
      </c>
      <c r="AO446" s="309" t="n">
        <v>436.8</v>
      </c>
      <c r="AP446" s="310"/>
      <c r="AQ446" s="311" t="n">
        <v>118</v>
      </c>
      <c r="AR446" s="309" t="n">
        <v>436.8</v>
      </c>
      <c r="AS446" s="311" t="n">
        <v>128</v>
      </c>
      <c r="AT446" s="309" t="n">
        <v>427.2</v>
      </c>
      <c r="AU446" s="310" t="n">
        <v>128</v>
      </c>
      <c r="AV446" s="309" t="n">
        <v>427.2</v>
      </c>
      <c r="AW446" s="310" t="n">
        <v>128</v>
      </c>
      <c r="AX446" s="309" t="n">
        <v>427.2</v>
      </c>
      <c r="AY446" s="310" t="n">
        <v>128</v>
      </c>
      <c r="AZ446" s="309" t="n">
        <v>427.2</v>
      </c>
      <c r="BB446" s="144" t="n">
        <v>0</v>
      </c>
      <c r="BC446" s="315"/>
      <c r="BD446" s="311" t="n">
        <v>0</v>
      </c>
      <c r="BE446" s="316" t="n">
        <v>0</v>
      </c>
      <c r="BF446" s="310"/>
      <c r="BG446" s="317" t="n">
        <v>0</v>
      </c>
      <c r="BH446" s="318" t="n">
        <v>0</v>
      </c>
      <c r="BI446" s="317" t="n">
        <v>0</v>
      </c>
      <c r="BJ446" s="318" t="n">
        <v>0.199999999999999</v>
      </c>
      <c r="BK446" s="317" t="n">
        <v>0</v>
      </c>
      <c r="BL446" s="318" t="n">
        <v>0.199999999999999</v>
      </c>
      <c r="BM446" s="310"/>
      <c r="BN446" s="317" t="n">
        <v>0</v>
      </c>
      <c r="BO446" s="318" t="n">
        <v>0</v>
      </c>
      <c r="BP446" s="317" t="n">
        <v>0</v>
      </c>
      <c r="BQ446" s="318" t="n">
        <v>0.399999999999999</v>
      </c>
      <c r="BR446" s="317" t="n">
        <v>0</v>
      </c>
      <c r="BS446" s="318" t="n">
        <v>0.399999999999999</v>
      </c>
      <c r="BT446" s="317" t="n">
        <v>0</v>
      </c>
      <c r="BU446" s="318" t="n">
        <v>0.399999999999999</v>
      </c>
      <c r="BV446" s="317" t="n">
        <v>0</v>
      </c>
      <c r="BW446" s="318" t="n">
        <v>0.399999999999999</v>
      </c>
      <c r="BY446" s="143"/>
      <c r="BZ446" s="315"/>
      <c r="CA446" s="144" t="s">
        <v>12</v>
      </c>
      <c r="CB446" s="315"/>
      <c r="CC446" s="144" t="n">
        <v>-97.5454545454546</v>
      </c>
      <c r="CD446" s="144" t="n">
        <v>-117.745454545455</v>
      </c>
      <c r="CE446" s="144" t="n">
        <v>-117.745454545455</v>
      </c>
      <c r="CF446" s="315"/>
      <c r="CG446" s="144" t="n">
        <v>-117.745454545455</v>
      </c>
      <c r="CH446" s="144" t="n">
        <v>-127.345454545455</v>
      </c>
      <c r="CI446" s="144" t="n">
        <v>-127.345454545455</v>
      </c>
      <c r="CJ446" s="144" t="n">
        <v>-127.345454545455</v>
      </c>
      <c r="CK446" s="144" t="n">
        <v>-127.345454545455</v>
      </c>
      <c r="CM446" s="144" t="n">
        <v>495.04132231405</v>
      </c>
      <c r="CO446" s="319"/>
      <c r="CP446" s="320"/>
      <c r="CQ446" s="321" t="s">
        <v>12</v>
      </c>
      <c r="CR446" s="320"/>
      <c r="CS446" s="322" t="n">
        <v>-38.0413223140496</v>
      </c>
      <c r="CT446" s="322" t="n">
        <v>-58.2413223140496</v>
      </c>
      <c r="CU446" s="322" t="n">
        <v>-58.2413223140496</v>
      </c>
      <c r="CV446" s="323"/>
      <c r="CW446" s="322" t="n">
        <v>-58.2413223140496</v>
      </c>
      <c r="CX446" s="322" t="n">
        <v>-67.8413223140495</v>
      </c>
      <c r="CY446" s="322" t="n">
        <v>-67.8413223140495</v>
      </c>
      <c r="CZ446" s="322" t="n">
        <v>-67.8413223140495</v>
      </c>
      <c r="DA446" s="322" t="n">
        <v>-67.8413223140495</v>
      </c>
    </row>
    <row r="447" customFormat="false" ht="12.75" hidden="false" customHeight="false" outlineLevel="0" collapsed="false">
      <c r="B447" s="305" t="s">
        <v>112</v>
      </c>
      <c r="C447" s="305" t="s">
        <v>714</v>
      </c>
      <c r="D447" s="306" t="n">
        <v>555</v>
      </c>
      <c r="E447" s="306" t="n">
        <v>2.5</v>
      </c>
      <c r="F447" s="306" t="s">
        <v>710</v>
      </c>
      <c r="G447" s="307" t="n">
        <v>48</v>
      </c>
      <c r="H447" s="308" t="n">
        <v>554.545454545455</v>
      </c>
      <c r="I447" s="2"/>
      <c r="J447" s="144" t="s">
        <v>12</v>
      </c>
      <c r="K447" s="309" t="s">
        <v>12</v>
      </c>
      <c r="L447" s="310"/>
      <c r="M447" s="311" t="n">
        <v>169</v>
      </c>
      <c r="N447" s="312" t="n">
        <v>6</v>
      </c>
      <c r="O447" s="311" t="n">
        <v>0</v>
      </c>
      <c r="P447" s="312" t="n">
        <v>9.1</v>
      </c>
      <c r="Q447" s="310" t="n">
        <v>0</v>
      </c>
      <c r="R447" s="312" t="n">
        <v>9.1</v>
      </c>
      <c r="S447" s="310"/>
      <c r="T447" s="311" t="n">
        <v>0</v>
      </c>
      <c r="U447" s="312" t="n">
        <v>9.1</v>
      </c>
      <c r="V447" s="311" t="n">
        <v>0</v>
      </c>
      <c r="W447" s="312" t="n">
        <v>8.9</v>
      </c>
      <c r="X447" s="311" t="n">
        <v>0</v>
      </c>
      <c r="Y447" s="312" t="n">
        <v>8.9</v>
      </c>
      <c r="Z447" s="313" t="n">
        <v>0</v>
      </c>
      <c r="AA447" s="314" t="n">
        <v>8.9</v>
      </c>
      <c r="AB447" s="313" t="n">
        <v>0</v>
      </c>
      <c r="AC447" s="314" t="n">
        <v>8.9</v>
      </c>
      <c r="AD447" s="315"/>
      <c r="AE447" s="144" t="n">
        <v>0</v>
      </c>
      <c r="AF447" s="315"/>
      <c r="AG447" s="311" t="n">
        <v>0</v>
      </c>
      <c r="AH447" s="309" t="n">
        <v>0</v>
      </c>
      <c r="AI447" s="310"/>
      <c r="AJ447" s="311" t="n">
        <v>98</v>
      </c>
      <c r="AK447" s="309" t="n">
        <v>288</v>
      </c>
      <c r="AL447" s="311" t="n">
        <v>118</v>
      </c>
      <c r="AM447" s="309" t="n">
        <v>436.8</v>
      </c>
      <c r="AN447" s="311" t="n">
        <v>118</v>
      </c>
      <c r="AO447" s="309" t="n">
        <v>436.8</v>
      </c>
      <c r="AP447" s="310"/>
      <c r="AQ447" s="311" t="n">
        <v>118</v>
      </c>
      <c r="AR447" s="309" t="n">
        <v>436.8</v>
      </c>
      <c r="AS447" s="311" t="n">
        <v>128</v>
      </c>
      <c r="AT447" s="309" t="n">
        <v>427.2</v>
      </c>
      <c r="AU447" s="311" t="n">
        <v>128</v>
      </c>
      <c r="AV447" s="309" t="n">
        <v>427.2</v>
      </c>
      <c r="AW447" s="311" t="n">
        <v>128</v>
      </c>
      <c r="AX447" s="309" t="n">
        <v>427.2</v>
      </c>
      <c r="AY447" s="311" t="n">
        <v>128</v>
      </c>
      <c r="AZ447" s="309" t="n">
        <v>427.2</v>
      </c>
      <c r="BB447" s="144" t="n">
        <v>0</v>
      </c>
      <c r="BC447" s="315"/>
      <c r="BD447" s="311" t="n">
        <v>0</v>
      </c>
      <c r="BE447" s="316" t="n">
        <v>0</v>
      </c>
      <c r="BF447" s="310"/>
      <c r="BG447" s="317" t="n">
        <v>0</v>
      </c>
      <c r="BH447" s="318" t="n">
        <v>0</v>
      </c>
      <c r="BI447" s="317" t="n">
        <v>0</v>
      </c>
      <c r="BJ447" s="318" t="n">
        <v>0</v>
      </c>
      <c r="BK447" s="317" t="n">
        <v>0</v>
      </c>
      <c r="BL447" s="318" t="n">
        <v>0</v>
      </c>
      <c r="BM447" s="310"/>
      <c r="BN447" s="317" t="n">
        <v>0</v>
      </c>
      <c r="BO447" s="318" t="n">
        <v>0</v>
      </c>
      <c r="BP447" s="317" t="n">
        <v>0</v>
      </c>
      <c r="BQ447" s="318" t="n">
        <v>0</v>
      </c>
      <c r="BR447" s="317" t="n">
        <v>0</v>
      </c>
      <c r="BS447" s="318" t="n">
        <v>0</v>
      </c>
      <c r="BT447" s="317" t="n">
        <v>0</v>
      </c>
      <c r="BU447" s="318" t="n">
        <v>0</v>
      </c>
      <c r="BV447" s="317" t="n">
        <v>0</v>
      </c>
      <c r="BW447" s="318" t="n">
        <v>0</v>
      </c>
      <c r="BY447" s="143"/>
      <c r="BZ447" s="315"/>
      <c r="CA447" s="144" t="s">
        <v>12</v>
      </c>
      <c r="CB447" s="315"/>
      <c r="CC447" s="144" t="n">
        <v>-97.5454545454546</v>
      </c>
      <c r="CD447" s="144" t="n">
        <v>-117.745454545455</v>
      </c>
      <c r="CE447" s="144" t="n">
        <v>-117.745454545455</v>
      </c>
      <c r="CF447" s="315"/>
      <c r="CG447" s="144" t="n">
        <v>-117.745454545455</v>
      </c>
      <c r="CH447" s="144" t="n">
        <v>-127.345454545455</v>
      </c>
      <c r="CI447" s="144" t="n">
        <v>-127.345454545455</v>
      </c>
      <c r="CJ447" s="144" t="n">
        <v>-127.345454545455</v>
      </c>
      <c r="CK447" s="144" t="n">
        <v>-127.345454545455</v>
      </c>
      <c r="CM447" s="144" t="n">
        <v>495.04132231405</v>
      </c>
      <c r="CO447" s="319"/>
      <c r="CP447" s="320"/>
      <c r="CQ447" s="321" t="s">
        <v>12</v>
      </c>
      <c r="CR447" s="320"/>
      <c r="CS447" s="322" t="n">
        <v>-38.0413223140496</v>
      </c>
      <c r="CT447" s="322" t="n">
        <v>-58.2413223140496</v>
      </c>
      <c r="CU447" s="322" t="n">
        <v>-58.2413223140496</v>
      </c>
      <c r="CV447" s="323"/>
      <c r="CW447" s="322" t="n">
        <v>-58.2413223140496</v>
      </c>
      <c r="CX447" s="322" t="n">
        <v>-67.8413223140495</v>
      </c>
      <c r="CY447" s="322" t="n">
        <v>-67.8413223140495</v>
      </c>
      <c r="CZ447" s="322" t="n">
        <v>-67.8413223140495</v>
      </c>
      <c r="DA447" s="322" t="n">
        <v>-67.8413223140495</v>
      </c>
    </row>
    <row r="448" customFormat="false" ht="12.75" hidden="false" customHeight="false" outlineLevel="0" collapsed="false">
      <c r="B448" s="305" t="s">
        <v>112</v>
      </c>
      <c r="C448" s="305" t="s">
        <v>715</v>
      </c>
      <c r="D448" s="306" t="n">
        <v>300</v>
      </c>
      <c r="E448" s="306" t="n">
        <v>2.5</v>
      </c>
      <c r="F448" s="324" t="s">
        <v>710</v>
      </c>
      <c r="G448" s="144" t="n">
        <v>24</v>
      </c>
      <c r="H448" s="325" t="n">
        <v>299.173553719008</v>
      </c>
      <c r="I448" s="2"/>
      <c r="J448" s="144" t="s">
        <v>12</v>
      </c>
      <c r="K448" s="309" t="s">
        <v>12</v>
      </c>
      <c r="L448" s="310"/>
      <c r="M448" s="311" t="n">
        <v>99</v>
      </c>
      <c r="N448" s="312" t="n">
        <v>5.6</v>
      </c>
      <c r="O448" s="311" t="n">
        <v>0</v>
      </c>
      <c r="P448" s="312" t="n">
        <v>8.7</v>
      </c>
      <c r="Q448" s="310" t="n">
        <v>0</v>
      </c>
      <c r="R448" s="312" t="n">
        <v>8.7</v>
      </c>
      <c r="S448" s="310"/>
      <c r="T448" s="311" t="n">
        <v>0</v>
      </c>
      <c r="U448" s="312" t="n">
        <v>8.7</v>
      </c>
      <c r="V448" s="311" t="n">
        <v>0</v>
      </c>
      <c r="W448" s="312" t="n">
        <v>8.5</v>
      </c>
      <c r="X448" s="311" t="n">
        <v>0</v>
      </c>
      <c r="Y448" s="312" t="n">
        <v>8.5</v>
      </c>
      <c r="Z448" s="313" t="n">
        <v>0</v>
      </c>
      <c r="AA448" s="314" t="n">
        <v>8.5</v>
      </c>
      <c r="AB448" s="313" t="n">
        <v>0</v>
      </c>
      <c r="AC448" s="314" t="n">
        <v>8.5</v>
      </c>
      <c r="AD448" s="315"/>
      <c r="AE448" s="144" t="n">
        <v>1</v>
      </c>
      <c r="AF448" s="315"/>
      <c r="AG448" s="311" t="n">
        <v>0</v>
      </c>
      <c r="AH448" s="309" t="n">
        <v>0</v>
      </c>
      <c r="AI448" s="310"/>
      <c r="AJ448" s="311" t="n">
        <v>67</v>
      </c>
      <c r="AK448" s="309" t="n">
        <v>134.4</v>
      </c>
      <c r="AL448" s="311" t="n">
        <v>91</v>
      </c>
      <c r="AM448" s="309" t="n">
        <v>208.8</v>
      </c>
      <c r="AN448" s="310" t="n">
        <v>91</v>
      </c>
      <c r="AO448" s="309" t="n">
        <v>208.8</v>
      </c>
      <c r="AP448" s="310"/>
      <c r="AQ448" s="311" t="n">
        <v>91</v>
      </c>
      <c r="AR448" s="309" t="n">
        <v>208.8</v>
      </c>
      <c r="AS448" s="311" t="n">
        <v>96</v>
      </c>
      <c r="AT448" s="309" t="n">
        <v>204</v>
      </c>
      <c r="AU448" s="310" t="n">
        <v>96</v>
      </c>
      <c r="AV448" s="309" t="n">
        <v>204</v>
      </c>
      <c r="AW448" s="310" t="n">
        <v>96</v>
      </c>
      <c r="AX448" s="309" t="n">
        <v>204</v>
      </c>
      <c r="AY448" s="310" t="n">
        <v>96</v>
      </c>
      <c r="AZ448" s="309" t="n">
        <v>204</v>
      </c>
      <c r="BB448" s="144" t="n">
        <v>0</v>
      </c>
      <c r="BC448" s="315"/>
      <c r="BD448" s="311" t="n">
        <v>0</v>
      </c>
      <c r="BE448" s="316" t="n">
        <v>0</v>
      </c>
      <c r="BF448" s="310"/>
      <c r="BG448" s="317" t="n">
        <v>0</v>
      </c>
      <c r="BH448" s="318" t="n">
        <v>-0.2</v>
      </c>
      <c r="BI448" s="317" t="n">
        <v>0</v>
      </c>
      <c r="BJ448" s="318" t="n">
        <v>0</v>
      </c>
      <c r="BK448" s="317" t="n">
        <v>0</v>
      </c>
      <c r="BL448" s="318" t="n">
        <v>0</v>
      </c>
      <c r="BM448" s="310"/>
      <c r="BN448" s="317" t="n">
        <v>0</v>
      </c>
      <c r="BO448" s="318" t="n">
        <v>0</v>
      </c>
      <c r="BP448" s="317" t="n">
        <v>0</v>
      </c>
      <c r="BQ448" s="318" t="n">
        <v>-0.200000000000001</v>
      </c>
      <c r="BR448" s="317" t="n">
        <v>0</v>
      </c>
      <c r="BS448" s="318" t="n">
        <v>-0.200000000000001</v>
      </c>
      <c r="BT448" s="317" t="n">
        <v>0</v>
      </c>
      <c r="BU448" s="318" t="n">
        <v>-0.200000000000001</v>
      </c>
      <c r="BV448" s="317" t="n">
        <v>0</v>
      </c>
      <c r="BW448" s="318" t="n">
        <v>-0.200000000000001</v>
      </c>
      <c r="BY448" s="143"/>
      <c r="BZ448" s="315"/>
      <c r="CA448" s="144" t="s">
        <v>12</v>
      </c>
      <c r="CB448" s="315"/>
      <c r="CC448" s="144" t="n">
        <v>-65.7735537190083</v>
      </c>
      <c r="CD448" s="144" t="n">
        <v>-90.3735537190083</v>
      </c>
      <c r="CE448" s="144" t="n">
        <v>-90.3735537190083</v>
      </c>
      <c r="CF448" s="315"/>
      <c r="CG448" s="144" t="n">
        <v>-90.3735537190083</v>
      </c>
      <c r="CH448" s="144" t="n">
        <v>-95.1735537190083</v>
      </c>
      <c r="CI448" s="144" t="n">
        <v>-95.1735537190083</v>
      </c>
      <c r="CJ448" s="144" t="n">
        <v>-95.1735537190083</v>
      </c>
      <c r="CK448" s="144" t="n">
        <v>-95.1735537190083</v>
      </c>
      <c r="CM448" s="144" t="n">
        <v>247.107438016529</v>
      </c>
      <c r="CO448" s="319"/>
      <c r="CP448" s="320"/>
      <c r="CQ448" s="321" t="s">
        <v>12</v>
      </c>
      <c r="CR448" s="320"/>
      <c r="CS448" s="322" t="n">
        <v>-13.7074380165289</v>
      </c>
      <c r="CT448" s="322" t="n">
        <v>-38.3074380165289</v>
      </c>
      <c r="CU448" s="322" t="n">
        <v>-38.3074380165289</v>
      </c>
      <c r="CV448" s="323"/>
      <c r="CW448" s="322" t="n">
        <v>-38.3074380165289</v>
      </c>
      <c r="CX448" s="322" t="n">
        <v>-43.1074380165289</v>
      </c>
      <c r="CY448" s="322" t="n">
        <v>-43.1074380165289</v>
      </c>
      <c r="CZ448" s="322" t="n">
        <v>-43.1074380165289</v>
      </c>
      <c r="DA448" s="322" t="n">
        <v>-43.1074380165289</v>
      </c>
    </row>
    <row r="449" customFormat="false" ht="12.75" hidden="false" customHeight="false" outlineLevel="0" collapsed="false">
      <c r="B449" s="305" t="s">
        <v>112</v>
      </c>
      <c r="C449" s="305" t="s">
        <v>715</v>
      </c>
      <c r="D449" s="306" t="n">
        <v>300</v>
      </c>
      <c r="E449" s="306" t="n">
        <v>2.5</v>
      </c>
      <c r="F449" s="306" t="s">
        <v>710</v>
      </c>
      <c r="G449" s="307" t="n">
        <v>48</v>
      </c>
      <c r="H449" s="308" t="n">
        <v>299.173553719008</v>
      </c>
      <c r="I449" s="2"/>
      <c r="J449" s="144" t="s">
        <v>12</v>
      </c>
      <c r="K449" s="309" t="s">
        <v>12</v>
      </c>
      <c r="L449" s="310"/>
      <c r="M449" s="311" t="n">
        <v>99</v>
      </c>
      <c r="N449" s="312" t="n">
        <v>2.8</v>
      </c>
      <c r="O449" s="311" t="n">
        <v>0</v>
      </c>
      <c r="P449" s="312" t="n">
        <v>4.4</v>
      </c>
      <c r="Q449" s="310" t="n">
        <v>0</v>
      </c>
      <c r="R449" s="312" t="n">
        <v>4.4</v>
      </c>
      <c r="S449" s="310"/>
      <c r="T449" s="311" t="n">
        <v>0</v>
      </c>
      <c r="U449" s="312" t="n">
        <v>4.4</v>
      </c>
      <c r="V449" s="311" t="n">
        <v>0</v>
      </c>
      <c r="W449" s="312" t="n">
        <v>4.3</v>
      </c>
      <c r="X449" s="311" t="n">
        <v>0</v>
      </c>
      <c r="Y449" s="312" t="n">
        <v>4.3</v>
      </c>
      <c r="Z449" s="313" t="n">
        <v>0</v>
      </c>
      <c r="AA449" s="314" t="n">
        <v>4.3</v>
      </c>
      <c r="AB449" s="313" t="n">
        <v>0</v>
      </c>
      <c r="AC449" s="314" t="n">
        <v>4.3</v>
      </c>
      <c r="AD449" s="315"/>
      <c r="AE449" s="144" t="n">
        <v>1</v>
      </c>
      <c r="AF449" s="315"/>
      <c r="AG449" s="311" t="n">
        <v>0</v>
      </c>
      <c r="AH449" s="309" t="n">
        <v>0</v>
      </c>
      <c r="AI449" s="310"/>
      <c r="AJ449" s="311" t="n">
        <v>67</v>
      </c>
      <c r="AK449" s="309" t="n">
        <v>134.4</v>
      </c>
      <c r="AL449" s="311" t="n">
        <v>89</v>
      </c>
      <c r="AM449" s="309" t="n">
        <v>211.2</v>
      </c>
      <c r="AN449" s="311" t="n">
        <v>89</v>
      </c>
      <c r="AO449" s="309" t="n">
        <v>211.2</v>
      </c>
      <c r="AP449" s="310"/>
      <c r="AQ449" s="311" t="n">
        <v>89</v>
      </c>
      <c r="AR449" s="309" t="n">
        <v>211.2</v>
      </c>
      <c r="AS449" s="311" t="n">
        <v>94</v>
      </c>
      <c r="AT449" s="309" t="n">
        <v>206.4</v>
      </c>
      <c r="AU449" s="311" t="n">
        <v>94</v>
      </c>
      <c r="AV449" s="309" t="n">
        <v>206.4</v>
      </c>
      <c r="AW449" s="311" t="n">
        <v>94</v>
      </c>
      <c r="AX449" s="309" t="n">
        <v>206.4</v>
      </c>
      <c r="AY449" s="311" t="n">
        <v>94</v>
      </c>
      <c r="AZ449" s="309" t="n">
        <v>206.4</v>
      </c>
      <c r="BB449" s="144" t="n">
        <v>0</v>
      </c>
      <c r="BC449" s="315"/>
      <c r="BD449" s="311" t="n">
        <v>0</v>
      </c>
      <c r="BE449" s="316" t="n">
        <v>0</v>
      </c>
      <c r="BF449" s="310"/>
      <c r="BG449" s="317" t="n">
        <v>0</v>
      </c>
      <c r="BH449" s="318" t="n">
        <v>0</v>
      </c>
      <c r="BI449" s="317" t="n">
        <v>0</v>
      </c>
      <c r="BJ449" s="318" t="n">
        <v>0</v>
      </c>
      <c r="BK449" s="317" t="n">
        <v>0</v>
      </c>
      <c r="BL449" s="318" t="n">
        <v>0</v>
      </c>
      <c r="BM449" s="310"/>
      <c r="BN449" s="317" t="n">
        <v>0</v>
      </c>
      <c r="BO449" s="318" t="n">
        <v>0</v>
      </c>
      <c r="BP449" s="317" t="n">
        <v>0</v>
      </c>
      <c r="BQ449" s="318" t="n">
        <v>0</v>
      </c>
      <c r="BR449" s="317" t="n">
        <v>0</v>
      </c>
      <c r="BS449" s="318" t="n">
        <v>0</v>
      </c>
      <c r="BT449" s="317" t="n">
        <v>0</v>
      </c>
      <c r="BU449" s="318" t="n">
        <v>0</v>
      </c>
      <c r="BV449" s="317" t="n">
        <v>0</v>
      </c>
      <c r="BW449" s="318" t="n">
        <v>0</v>
      </c>
      <c r="BY449" s="143"/>
      <c r="BZ449" s="315"/>
      <c r="CA449" s="144" t="s">
        <v>12</v>
      </c>
      <c r="CB449" s="315"/>
      <c r="CC449" s="144" t="n">
        <v>-65.7735537190083</v>
      </c>
      <c r="CD449" s="144" t="n">
        <v>-87.9735537190083</v>
      </c>
      <c r="CE449" s="144" t="n">
        <v>-87.9735537190083</v>
      </c>
      <c r="CF449" s="315"/>
      <c r="CG449" s="144" t="n">
        <v>-87.9735537190083</v>
      </c>
      <c r="CH449" s="144" t="n">
        <v>-92.7735537190083</v>
      </c>
      <c r="CI449" s="144" t="n">
        <v>-92.7735537190083</v>
      </c>
      <c r="CJ449" s="144" t="n">
        <v>-92.7735537190083</v>
      </c>
      <c r="CK449" s="144" t="n">
        <v>-92.7735537190083</v>
      </c>
      <c r="CM449" s="144" t="n">
        <v>247.107438016529</v>
      </c>
      <c r="CO449" s="319"/>
      <c r="CP449" s="320"/>
      <c r="CQ449" s="321" t="s">
        <v>12</v>
      </c>
      <c r="CR449" s="320"/>
      <c r="CS449" s="322" t="n">
        <v>-13.7074380165289</v>
      </c>
      <c r="CT449" s="322" t="n">
        <v>-35.9074380165289</v>
      </c>
      <c r="CU449" s="322" t="n">
        <v>-35.9074380165289</v>
      </c>
      <c r="CV449" s="323"/>
      <c r="CW449" s="322" t="n">
        <v>-35.9074380165289</v>
      </c>
      <c r="CX449" s="322" t="n">
        <v>-40.707438016529</v>
      </c>
      <c r="CY449" s="322" t="n">
        <v>-40.707438016529</v>
      </c>
      <c r="CZ449" s="322" t="n">
        <v>-40.707438016529</v>
      </c>
      <c r="DA449" s="322" t="n">
        <v>-40.707438016529</v>
      </c>
    </row>
    <row r="450" customFormat="false" ht="12.75" hidden="false" customHeight="false" outlineLevel="0" collapsed="false">
      <c r="B450" s="305" t="s">
        <v>112</v>
      </c>
      <c r="C450" s="305" t="s">
        <v>716</v>
      </c>
      <c r="D450" s="306" t="n">
        <v>322</v>
      </c>
      <c r="E450" s="306" t="n">
        <v>2.5</v>
      </c>
      <c r="F450" s="324" t="s">
        <v>710</v>
      </c>
      <c r="G450" s="144" t="n">
        <v>24</v>
      </c>
      <c r="H450" s="325" t="n">
        <v>321.487603305785</v>
      </c>
      <c r="I450" s="2"/>
      <c r="J450" s="144" t="s">
        <v>12</v>
      </c>
      <c r="K450" s="309" t="s">
        <v>12</v>
      </c>
      <c r="L450" s="310"/>
      <c r="M450" s="311" t="n">
        <v>99</v>
      </c>
      <c r="N450" s="312" t="n">
        <v>6.2</v>
      </c>
      <c r="O450" s="311" t="n">
        <v>0</v>
      </c>
      <c r="P450" s="312" t="n">
        <v>9.8</v>
      </c>
      <c r="Q450" s="310" t="n">
        <v>0</v>
      </c>
      <c r="R450" s="312" t="n">
        <v>9.8</v>
      </c>
      <c r="S450" s="310"/>
      <c r="T450" s="311" t="n">
        <v>0</v>
      </c>
      <c r="U450" s="312" t="n">
        <v>9.8</v>
      </c>
      <c r="V450" s="311" t="n">
        <v>0</v>
      </c>
      <c r="W450" s="312" t="n">
        <v>9.3</v>
      </c>
      <c r="X450" s="311" t="n">
        <v>0</v>
      </c>
      <c r="Y450" s="312" t="n">
        <v>9.3</v>
      </c>
      <c r="Z450" s="313" t="n">
        <v>0</v>
      </c>
      <c r="AA450" s="314" t="n">
        <v>9.3</v>
      </c>
      <c r="AB450" s="313" t="n">
        <v>0</v>
      </c>
      <c r="AC450" s="314" t="n">
        <v>9.3</v>
      </c>
      <c r="AD450" s="315"/>
      <c r="AE450" s="144" t="n">
        <v>1</v>
      </c>
      <c r="AF450" s="315"/>
      <c r="AG450" s="311" t="n">
        <v>0</v>
      </c>
      <c r="AH450" s="309" t="n">
        <v>0</v>
      </c>
      <c r="AI450" s="310"/>
      <c r="AJ450" s="311" t="n">
        <v>74</v>
      </c>
      <c r="AK450" s="309" t="n">
        <v>148.8</v>
      </c>
      <c r="AL450" s="311" t="n">
        <v>87</v>
      </c>
      <c r="AM450" s="309" t="n">
        <v>235.2</v>
      </c>
      <c r="AN450" s="310" t="n">
        <v>87</v>
      </c>
      <c r="AO450" s="309" t="n">
        <v>235.2</v>
      </c>
      <c r="AP450" s="310"/>
      <c r="AQ450" s="311" t="n">
        <v>87</v>
      </c>
      <c r="AR450" s="309" t="n">
        <v>235.2</v>
      </c>
      <c r="AS450" s="311" t="n">
        <v>99</v>
      </c>
      <c r="AT450" s="309" t="n">
        <v>223.2</v>
      </c>
      <c r="AU450" s="310" t="n">
        <v>99</v>
      </c>
      <c r="AV450" s="309" t="n">
        <v>223.2</v>
      </c>
      <c r="AW450" s="310" t="n">
        <v>99</v>
      </c>
      <c r="AX450" s="309" t="n">
        <v>223.2</v>
      </c>
      <c r="AY450" s="310" t="n">
        <v>99</v>
      </c>
      <c r="AZ450" s="309" t="n">
        <v>223.2</v>
      </c>
      <c r="BB450" s="144" t="n">
        <v>0</v>
      </c>
      <c r="BC450" s="315"/>
      <c r="BD450" s="311" t="n">
        <v>0</v>
      </c>
      <c r="BE450" s="316" t="n">
        <v>0</v>
      </c>
      <c r="BF450" s="310"/>
      <c r="BG450" s="317" t="n">
        <v>0</v>
      </c>
      <c r="BH450" s="318" t="n">
        <v>0</v>
      </c>
      <c r="BI450" s="317" t="n">
        <v>0</v>
      </c>
      <c r="BJ450" s="318" t="n">
        <v>0.5</v>
      </c>
      <c r="BK450" s="317" t="n">
        <v>0</v>
      </c>
      <c r="BL450" s="318" t="n">
        <v>0.5</v>
      </c>
      <c r="BM450" s="310"/>
      <c r="BN450" s="317" t="n">
        <v>0</v>
      </c>
      <c r="BO450" s="318" t="n">
        <v>0.5</v>
      </c>
      <c r="BP450" s="317" t="n">
        <v>0</v>
      </c>
      <c r="BQ450" s="318" t="n">
        <v>0</v>
      </c>
      <c r="BR450" s="317" t="n">
        <v>0</v>
      </c>
      <c r="BS450" s="318" t="n">
        <v>0</v>
      </c>
      <c r="BT450" s="317" t="n">
        <v>0</v>
      </c>
      <c r="BU450" s="318" t="n">
        <v>0</v>
      </c>
      <c r="BV450" s="317" t="n">
        <v>0</v>
      </c>
      <c r="BW450" s="318" t="n">
        <v>0</v>
      </c>
      <c r="BY450" s="143"/>
      <c r="BZ450" s="315"/>
      <c r="CA450" s="144" t="s">
        <v>12</v>
      </c>
      <c r="CB450" s="315"/>
      <c r="CC450" s="144" t="n">
        <v>-73.6876033057851</v>
      </c>
      <c r="CD450" s="144" t="n">
        <v>-86.2876033057851</v>
      </c>
      <c r="CE450" s="144" t="n">
        <v>-86.2876033057851</v>
      </c>
      <c r="CF450" s="315"/>
      <c r="CG450" s="144" t="n">
        <v>-86.2876033057851</v>
      </c>
      <c r="CH450" s="144" t="n">
        <v>-98.2876033057851</v>
      </c>
      <c r="CI450" s="144" t="n">
        <v>-98.2876033057851</v>
      </c>
      <c r="CJ450" s="144" t="n">
        <v>-98.2876033057851</v>
      </c>
      <c r="CK450" s="144" t="n">
        <v>-98.2876033057851</v>
      </c>
      <c r="CM450" s="144" t="n">
        <v>271.900826446281</v>
      </c>
      <c r="CO450" s="319"/>
      <c r="CP450" s="320"/>
      <c r="CQ450" s="321" t="s">
        <v>12</v>
      </c>
      <c r="CR450" s="320"/>
      <c r="CS450" s="322" t="n">
        <v>-24.100826446281</v>
      </c>
      <c r="CT450" s="322" t="n">
        <v>-36.700826446281</v>
      </c>
      <c r="CU450" s="322" t="n">
        <v>-36.700826446281</v>
      </c>
      <c r="CV450" s="323"/>
      <c r="CW450" s="322" t="n">
        <v>-36.700826446281</v>
      </c>
      <c r="CX450" s="322" t="n">
        <v>-48.700826446281</v>
      </c>
      <c r="CY450" s="322" t="n">
        <v>-48.700826446281</v>
      </c>
      <c r="CZ450" s="322" t="n">
        <v>-48.700826446281</v>
      </c>
      <c r="DA450" s="322" t="n">
        <v>-48.700826446281</v>
      </c>
    </row>
    <row r="451" customFormat="false" ht="12.75" hidden="false" customHeight="false" outlineLevel="0" collapsed="false">
      <c r="B451" s="305" t="s">
        <v>112</v>
      </c>
      <c r="C451" s="305" t="s">
        <v>716</v>
      </c>
      <c r="D451" s="306" t="n">
        <v>322</v>
      </c>
      <c r="E451" s="306" t="n">
        <v>2.5</v>
      </c>
      <c r="F451" s="306" t="s">
        <v>710</v>
      </c>
      <c r="G451" s="307" t="n">
        <v>48</v>
      </c>
      <c r="H451" s="308" t="n">
        <v>321.487603305785</v>
      </c>
      <c r="I451" s="2"/>
      <c r="J451" s="144" t="s">
        <v>12</v>
      </c>
      <c r="K451" s="309" t="s">
        <v>12</v>
      </c>
      <c r="L451" s="310"/>
      <c r="M451" s="311" t="n">
        <v>99</v>
      </c>
      <c r="N451" s="312" t="n">
        <v>3.1</v>
      </c>
      <c r="O451" s="311" t="n">
        <v>0</v>
      </c>
      <c r="P451" s="312" t="n">
        <v>4.9</v>
      </c>
      <c r="Q451" s="310" t="n">
        <v>0</v>
      </c>
      <c r="R451" s="312" t="n">
        <v>4.9</v>
      </c>
      <c r="S451" s="310"/>
      <c r="T451" s="311" t="n">
        <v>0</v>
      </c>
      <c r="U451" s="312" t="n">
        <v>4.9</v>
      </c>
      <c r="V451" s="311" t="n">
        <v>0</v>
      </c>
      <c r="W451" s="312" t="n">
        <v>4.7</v>
      </c>
      <c r="X451" s="311" t="n">
        <v>0</v>
      </c>
      <c r="Y451" s="312" t="n">
        <v>4.7</v>
      </c>
      <c r="Z451" s="313" t="n">
        <v>0</v>
      </c>
      <c r="AA451" s="314" t="n">
        <v>4.7</v>
      </c>
      <c r="AB451" s="313" t="n">
        <v>0</v>
      </c>
      <c r="AC451" s="314" t="n">
        <v>4.7</v>
      </c>
      <c r="AD451" s="315"/>
      <c r="AE451" s="144" t="n">
        <v>1</v>
      </c>
      <c r="AF451" s="315"/>
      <c r="AG451" s="311" t="n">
        <v>0</v>
      </c>
      <c r="AH451" s="309" t="n">
        <v>0</v>
      </c>
      <c r="AI451" s="310"/>
      <c r="AJ451" s="311" t="n">
        <v>74</v>
      </c>
      <c r="AK451" s="309" t="n">
        <v>148.8</v>
      </c>
      <c r="AL451" s="311" t="n">
        <v>87</v>
      </c>
      <c r="AM451" s="309" t="n">
        <v>235.2</v>
      </c>
      <c r="AN451" s="311" t="n">
        <v>87</v>
      </c>
      <c r="AO451" s="309" t="n">
        <v>235.2</v>
      </c>
      <c r="AP451" s="310"/>
      <c r="AQ451" s="311" t="n">
        <v>87</v>
      </c>
      <c r="AR451" s="309" t="n">
        <v>235.2</v>
      </c>
      <c r="AS451" s="311" t="n">
        <v>96</v>
      </c>
      <c r="AT451" s="309" t="n">
        <v>225.6</v>
      </c>
      <c r="AU451" s="311" t="n">
        <v>96</v>
      </c>
      <c r="AV451" s="309" t="n">
        <v>225.6</v>
      </c>
      <c r="AW451" s="311" t="n">
        <v>96</v>
      </c>
      <c r="AX451" s="309" t="n">
        <v>225.6</v>
      </c>
      <c r="AY451" s="311" t="n">
        <v>96</v>
      </c>
      <c r="AZ451" s="309" t="n">
        <v>225.6</v>
      </c>
      <c r="BB451" s="144" t="n">
        <v>0</v>
      </c>
      <c r="BC451" s="315"/>
      <c r="BD451" s="311" t="n">
        <v>0</v>
      </c>
      <c r="BE451" s="316" t="n">
        <v>0</v>
      </c>
      <c r="BF451" s="310"/>
      <c r="BG451" s="317" t="n">
        <v>0</v>
      </c>
      <c r="BH451" s="318" t="n">
        <v>0</v>
      </c>
      <c r="BI451" s="317" t="n">
        <v>0</v>
      </c>
      <c r="BJ451" s="318" t="n">
        <v>0</v>
      </c>
      <c r="BK451" s="317" t="n">
        <v>0</v>
      </c>
      <c r="BL451" s="318" t="n">
        <v>0</v>
      </c>
      <c r="BM451" s="310"/>
      <c r="BN451" s="317" t="n">
        <v>0</v>
      </c>
      <c r="BO451" s="318" t="n">
        <v>0</v>
      </c>
      <c r="BP451" s="317" t="n">
        <v>0</v>
      </c>
      <c r="BQ451" s="318" t="n">
        <v>0</v>
      </c>
      <c r="BR451" s="317" t="n">
        <v>0</v>
      </c>
      <c r="BS451" s="318" t="n">
        <v>0</v>
      </c>
      <c r="BT451" s="317" t="n">
        <v>0</v>
      </c>
      <c r="BU451" s="318" t="n">
        <v>0</v>
      </c>
      <c r="BV451" s="317" t="n">
        <v>0</v>
      </c>
      <c r="BW451" s="318" t="n">
        <v>0</v>
      </c>
      <c r="BY451" s="143"/>
      <c r="BZ451" s="315"/>
      <c r="CA451" s="144" t="s">
        <v>12</v>
      </c>
      <c r="CB451" s="315"/>
      <c r="CC451" s="144" t="n">
        <v>-73.6876033057851</v>
      </c>
      <c r="CD451" s="144" t="n">
        <v>-86.2876033057851</v>
      </c>
      <c r="CE451" s="144" t="n">
        <v>-86.2876033057851</v>
      </c>
      <c r="CF451" s="315"/>
      <c r="CG451" s="144" t="n">
        <v>-86.2876033057851</v>
      </c>
      <c r="CH451" s="144" t="n">
        <v>-95.8876033057851</v>
      </c>
      <c r="CI451" s="144" t="n">
        <v>-95.8876033057851</v>
      </c>
      <c r="CJ451" s="144" t="n">
        <v>-95.8876033057851</v>
      </c>
      <c r="CK451" s="144" t="n">
        <v>-95.8876033057851</v>
      </c>
      <c r="CM451" s="144" t="n">
        <v>271.900826446281</v>
      </c>
      <c r="CO451" s="319"/>
      <c r="CP451" s="320"/>
      <c r="CQ451" s="321" t="s">
        <v>12</v>
      </c>
      <c r="CR451" s="320"/>
      <c r="CS451" s="322" t="n">
        <v>-24.100826446281</v>
      </c>
      <c r="CT451" s="322" t="n">
        <v>-36.700826446281</v>
      </c>
      <c r="CU451" s="322" t="n">
        <v>-36.700826446281</v>
      </c>
      <c r="CV451" s="323"/>
      <c r="CW451" s="322" t="n">
        <v>-36.700826446281</v>
      </c>
      <c r="CX451" s="322" t="n">
        <v>-46.300826446281</v>
      </c>
      <c r="CY451" s="322" t="n">
        <v>-46.300826446281</v>
      </c>
      <c r="CZ451" s="322" t="n">
        <v>-46.300826446281</v>
      </c>
      <c r="DA451" s="322" t="n">
        <v>-46.300826446281</v>
      </c>
    </row>
    <row r="452" customFormat="false" ht="12.75" hidden="false" customHeight="false" outlineLevel="0" collapsed="false">
      <c r="B452" s="305" t="s">
        <v>112</v>
      </c>
      <c r="C452" s="305" t="s">
        <v>717</v>
      </c>
      <c r="D452" s="306" t="n">
        <v>782</v>
      </c>
      <c r="E452" s="306" t="n">
        <v>2.5</v>
      </c>
      <c r="F452" s="324" t="s">
        <v>710</v>
      </c>
      <c r="G452" s="144" t="n">
        <v>24</v>
      </c>
      <c r="H452" s="325" t="n">
        <v>781.818181818182</v>
      </c>
      <c r="I452" s="2"/>
      <c r="J452" s="144" t="s">
        <v>12</v>
      </c>
      <c r="K452" s="309" t="s">
        <v>12</v>
      </c>
      <c r="L452" s="310"/>
      <c r="M452" s="311" t="n">
        <v>169</v>
      </c>
      <c r="N452" s="312" t="n">
        <v>19.9</v>
      </c>
      <c r="O452" s="311" t="n">
        <v>0</v>
      </c>
      <c r="P452" s="312" t="n">
        <v>25.9</v>
      </c>
      <c r="Q452" s="310" t="n">
        <v>0</v>
      </c>
      <c r="R452" s="312" t="n">
        <v>25.9</v>
      </c>
      <c r="S452" s="310"/>
      <c r="T452" s="311" t="n">
        <v>0</v>
      </c>
      <c r="U452" s="312" t="n">
        <v>25.9</v>
      </c>
      <c r="V452" s="311" t="n">
        <v>0</v>
      </c>
      <c r="W452" s="312" t="n">
        <v>25.7</v>
      </c>
      <c r="X452" s="311" t="n">
        <v>0</v>
      </c>
      <c r="Y452" s="312" t="n">
        <v>25.7</v>
      </c>
      <c r="Z452" s="313" t="n">
        <v>0</v>
      </c>
      <c r="AA452" s="314" t="n">
        <v>25.6</v>
      </c>
      <c r="AB452" s="313" t="n">
        <v>0</v>
      </c>
      <c r="AC452" s="314" t="n">
        <v>25.6</v>
      </c>
      <c r="AD452" s="315"/>
      <c r="AE452" s="144" t="n">
        <v>0</v>
      </c>
      <c r="AF452" s="315"/>
      <c r="AG452" s="311" t="n">
        <v>0</v>
      </c>
      <c r="AH452" s="309" t="n">
        <v>0</v>
      </c>
      <c r="AI452" s="310"/>
      <c r="AJ452" s="311" t="n">
        <v>135</v>
      </c>
      <c r="AK452" s="309" t="n">
        <v>477.6</v>
      </c>
      <c r="AL452" s="311" t="n">
        <v>160</v>
      </c>
      <c r="AM452" s="309" t="n">
        <v>621.6</v>
      </c>
      <c r="AN452" s="310" t="n">
        <v>160</v>
      </c>
      <c r="AO452" s="309" t="n">
        <v>621.6</v>
      </c>
      <c r="AP452" s="310"/>
      <c r="AQ452" s="311" t="n">
        <v>160</v>
      </c>
      <c r="AR452" s="309" t="n">
        <v>621.6</v>
      </c>
      <c r="AS452" s="311" t="n">
        <v>165</v>
      </c>
      <c r="AT452" s="309" t="n">
        <v>616.8</v>
      </c>
      <c r="AU452" s="310" t="n">
        <v>165</v>
      </c>
      <c r="AV452" s="309" t="n">
        <v>616.8</v>
      </c>
      <c r="AW452" s="310" t="n">
        <v>168</v>
      </c>
      <c r="AX452" s="309" t="n">
        <v>614.4</v>
      </c>
      <c r="AY452" s="310" t="n">
        <v>168</v>
      </c>
      <c r="AZ452" s="309" t="n">
        <v>614.4</v>
      </c>
      <c r="BB452" s="144" t="n">
        <v>0</v>
      </c>
      <c r="BC452" s="315"/>
      <c r="BD452" s="311" t="n">
        <v>0</v>
      </c>
      <c r="BE452" s="316" t="n">
        <v>0</v>
      </c>
      <c r="BF452" s="310"/>
      <c r="BG452" s="317" t="n">
        <v>0</v>
      </c>
      <c r="BH452" s="318" t="n">
        <v>-0.199999999999999</v>
      </c>
      <c r="BI452" s="317" t="n">
        <v>0</v>
      </c>
      <c r="BJ452" s="318" t="n">
        <v>0.199999999999999</v>
      </c>
      <c r="BK452" s="317" t="n">
        <v>0</v>
      </c>
      <c r="BL452" s="318" t="n">
        <v>0.199999999999999</v>
      </c>
      <c r="BM452" s="310"/>
      <c r="BN452" s="317" t="n">
        <v>0</v>
      </c>
      <c r="BO452" s="318" t="n">
        <v>0</v>
      </c>
      <c r="BP452" s="317" t="n">
        <v>0</v>
      </c>
      <c r="BQ452" s="318" t="n">
        <v>0.400000000000002</v>
      </c>
      <c r="BR452" s="317" t="n">
        <v>0</v>
      </c>
      <c r="BS452" s="318" t="n">
        <v>0.400000000000002</v>
      </c>
      <c r="BT452" s="317" t="n">
        <v>0</v>
      </c>
      <c r="BU452" s="318" t="n">
        <v>0.399999999999999</v>
      </c>
      <c r="BV452" s="317" t="n">
        <v>0</v>
      </c>
      <c r="BW452" s="318" t="n">
        <v>0.399999999999999</v>
      </c>
      <c r="BY452" s="143"/>
      <c r="BZ452" s="315"/>
      <c r="CA452" s="144" t="s">
        <v>12</v>
      </c>
      <c r="CB452" s="315"/>
      <c r="CC452" s="144" t="n">
        <v>-135.218181818182</v>
      </c>
      <c r="CD452" s="144" t="n">
        <v>-160.218181818182</v>
      </c>
      <c r="CE452" s="144" t="n">
        <v>-160.218181818182</v>
      </c>
      <c r="CF452" s="315"/>
      <c r="CG452" s="144" t="n">
        <v>-160.218181818182</v>
      </c>
      <c r="CH452" s="144" t="n">
        <v>-165.018181818182</v>
      </c>
      <c r="CI452" s="144" t="n">
        <v>-165.018181818182</v>
      </c>
      <c r="CJ452" s="144" t="n">
        <v>-167.418181818182</v>
      </c>
      <c r="CK452" s="144" t="n">
        <v>-167.418181818182</v>
      </c>
      <c r="CM452" s="144" t="n">
        <v>742.97520661157</v>
      </c>
      <c r="CO452" s="319"/>
      <c r="CP452" s="320"/>
      <c r="CQ452" s="321" t="s">
        <v>12</v>
      </c>
      <c r="CR452" s="320"/>
      <c r="CS452" s="322" t="n">
        <v>-96.3752066115702</v>
      </c>
      <c r="CT452" s="322" t="n">
        <v>-121.37520661157</v>
      </c>
      <c r="CU452" s="322" t="n">
        <v>-121.37520661157</v>
      </c>
      <c r="CV452" s="323"/>
      <c r="CW452" s="322" t="n">
        <v>-121.37520661157</v>
      </c>
      <c r="CX452" s="322" t="n">
        <v>-126.17520661157</v>
      </c>
      <c r="CY452" s="322" t="n">
        <v>-126.17520661157</v>
      </c>
      <c r="CZ452" s="322" t="n">
        <v>-128.57520661157</v>
      </c>
      <c r="DA452" s="322" t="n">
        <v>-128.57520661157</v>
      </c>
    </row>
    <row r="453" customFormat="false" ht="12.75" hidden="false" customHeight="false" outlineLevel="0" collapsed="false">
      <c r="B453" s="305" t="s">
        <v>112</v>
      </c>
      <c r="C453" s="326" t="s">
        <v>717</v>
      </c>
      <c r="D453" s="306" t="n">
        <v>782</v>
      </c>
      <c r="E453" s="306" t="n">
        <v>2.5</v>
      </c>
      <c r="F453" s="306" t="s">
        <v>710</v>
      </c>
      <c r="G453" s="307" t="n">
        <v>48</v>
      </c>
      <c r="H453" s="308" t="n">
        <v>781.818181818182</v>
      </c>
      <c r="I453" s="2"/>
      <c r="J453" s="144" t="s">
        <v>12</v>
      </c>
      <c r="K453" s="309" t="s">
        <v>12</v>
      </c>
      <c r="L453" s="310"/>
      <c r="M453" s="311" t="n">
        <v>169</v>
      </c>
      <c r="N453" s="312" t="n">
        <v>10</v>
      </c>
      <c r="O453" s="311" t="n">
        <v>0</v>
      </c>
      <c r="P453" s="312" t="n">
        <v>13</v>
      </c>
      <c r="Q453" s="310" t="n">
        <v>0</v>
      </c>
      <c r="R453" s="312" t="n">
        <v>13</v>
      </c>
      <c r="S453" s="310"/>
      <c r="T453" s="311" t="n">
        <v>0</v>
      </c>
      <c r="U453" s="312" t="n">
        <v>13</v>
      </c>
      <c r="V453" s="311" t="n">
        <v>0</v>
      </c>
      <c r="W453" s="312" t="n">
        <v>12.9</v>
      </c>
      <c r="X453" s="311" t="n">
        <v>0</v>
      </c>
      <c r="Y453" s="312" t="n">
        <v>12.9</v>
      </c>
      <c r="Z453" s="313" t="n">
        <v>0</v>
      </c>
      <c r="AA453" s="314" t="n">
        <v>12.8</v>
      </c>
      <c r="AB453" s="313" t="n">
        <v>0</v>
      </c>
      <c r="AC453" s="314" t="n">
        <v>12.8</v>
      </c>
      <c r="AD453" s="315"/>
      <c r="AE453" s="144" t="n">
        <v>0</v>
      </c>
      <c r="AF453" s="315"/>
      <c r="AG453" s="311" t="n">
        <v>0</v>
      </c>
      <c r="AH453" s="309" t="n">
        <v>0</v>
      </c>
      <c r="AI453" s="310"/>
      <c r="AJ453" s="311" t="n">
        <v>133</v>
      </c>
      <c r="AK453" s="309" t="n">
        <v>480</v>
      </c>
      <c r="AL453" s="311" t="n">
        <v>158</v>
      </c>
      <c r="AM453" s="309" t="n">
        <v>624</v>
      </c>
      <c r="AN453" s="311" t="n">
        <v>158</v>
      </c>
      <c r="AO453" s="309" t="n">
        <v>624</v>
      </c>
      <c r="AP453" s="310"/>
      <c r="AQ453" s="311" t="n">
        <v>158</v>
      </c>
      <c r="AR453" s="309" t="n">
        <v>624</v>
      </c>
      <c r="AS453" s="311" t="n">
        <v>163</v>
      </c>
      <c r="AT453" s="309" t="n">
        <v>619.2</v>
      </c>
      <c r="AU453" s="311" t="n">
        <v>163</v>
      </c>
      <c r="AV453" s="309" t="n">
        <v>619.2</v>
      </c>
      <c r="AW453" s="311" t="n">
        <v>168</v>
      </c>
      <c r="AX453" s="309" t="n">
        <v>614.4</v>
      </c>
      <c r="AY453" s="311" t="n">
        <v>168</v>
      </c>
      <c r="AZ453" s="309" t="n">
        <v>614.4</v>
      </c>
      <c r="BB453" s="144" t="n">
        <v>0</v>
      </c>
      <c r="BC453" s="315"/>
      <c r="BD453" s="311" t="n">
        <v>0</v>
      </c>
      <c r="BE453" s="316" t="n">
        <v>0</v>
      </c>
      <c r="BF453" s="310"/>
      <c r="BG453" s="317" t="n">
        <v>0</v>
      </c>
      <c r="BH453" s="318" t="n">
        <v>0</v>
      </c>
      <c r="BI453" s="317" t="n">
        <v>0</v>
      </c>
      <c r="BJ453" s="318" t="n">
        <v>0</v>
      </c>
      <c r="BK453" s="317" t="n">
        <v>0</v>
      </c>
      <c r="BL453" s="318" t="n">
        <v>0</v>
      </c>
      <c r="BM453" s="310"/>
      <c r="BN453" s="317" t="n">
        <v>0</v>
      </c>
      <c r="BO453" s="318" t="n">
        <v>0</v>
      </c>
      <c r="BP453" s="317" t="n">
        <v>0</v>
      </c>
      <c r="BQ453" s="318" t="n">
        <v>0</v>
      </c>
      <c r="BR453" s="317" t="n">
        <v>0</v>
      </c>
      <c r="BS453" s="318" t="n">
        <v>0</v>
      </c>
      <c r="BT453" s="317" t="n">
        <v>0</v>
      </c>
      <c r="BU453" s="318" t="n">
        <v>0</v>
      </c>
      <c r="BV453" s="317" t="n">
        <v>0</v>
      </c>
      <c r="BW453" s="318" t="n">
        <v>0</v>
      </c>
      <c r="BY453" s="143"/>
      <c r="BZ453" s="315"/>
      <c r="CA453" s="144" t="s">
        <v>12</v>
      </c>
      <c r="CB453" s="315"/>
      <c r="CC453" s="144" t="n">
        <v>-132.818181818182</v>
      </c>
      <c r="CD453" s="144" t="n">
        <v>-157.818181818182</v>
      </c>
      <c r="CE453" s="144" t="n">
        <v>-157.818181818182</v>
      </c>
      <c r="CF453" s="315"/>
      <c r="CG453" s="144" t="n">
        <v>-157.818181818182</v>
      </c>
      <c r="CH453" s="144" t="n">
        <v>-162.618181818182</v>
      </c>
      <c r="CI453" s="144" t="n">
        <v>-162.618181818182</v>
      </c>
      <c r="CJ453" s="144" t="n">
        <v>-167.418181818182</v>
      </c>
      <c r="CK453" s="144" t="n">
        <v>-167.418181818182</v>
      </c>
      <c r="CM453" s="144" t="n">
        <v>742.97520661157</v>
      </c>
      <c r="CO453" s="319"/>
      <c r="CP453" s="320"/>
      <c r="CQ453" s="321" t="s">
        <v>12</v>
      </c>
      <c r="CR453" s="320"/>
      <c r="CS453" s="322" t="n">
        <v>-93.9752066115702</v>
      </c>
      <c r="CT453" s="322" t="n">
        <v>-118.97520661157</v>
      </c>
      <c r="CU453" s="322" t="n">
        <v>-118.97520661157</v>
      </c>
      <c r="CV453" s="323"/>
      <c r="CW453" s="322" t="n">
        <v>-118.97520661157</v>
      </c>
      <c r="CX453" s="322" t="n">
        <v>-123.77520661157</v>
      </c>
      <c r="CY453" s="322" t="n">
        <v>-123.77520661157</v>
      </c>
      <c r="CZ453" s="322" t="n">
        <v>-128.57520661157</v>
      </c>
      <c r="DA453" s="322" t="n">
        <v>-128.57520661157</v>
      </c>
    </row>
    <row r="454" customFormat="false" ht="12.75" hidden="false" customHeight="false" outlineLevel="0" collapsed="false">
      <c r="B454" s="305" t="s">
        <v>124</v>
      </c>
      <c r="C454" s="326" t="s">
        <v>718</v>
      </c>
      <c r="D454" s="306" t="n">
        <v>413</v>
      </c>
      <c r="E454" s="306" t="n">
        <v>2.5</v>
      </c>
      <c r="F454" s="324" t="s">
        <v>710</v>
      </c>
      <c r="G454" s="144" t="n">
        <v>24</v>
      </c>
      <c r="H454" s="325" t="n">
        <v>305.785123966942</v>
      </c>
      <c r="I454" s="2"/>
      <c r="J454" s="144" t="s">
        <v>12</v>
      </c>
      <c r="K454" s="309" t="s">
        <v>12</v>
      </c>
      <c r="L454" s="310"/>
      <c r="M454" s="311" t="n">
        <v>99</v>
      </c>
      <c r="N454" s="312" t="n">
        <v>6</v>
      </c>
      <c r="O454" s="311" t="n">
        <v>19</v>
      </c>
      <c r="P454" s="312" t="n">
        <v>7.1</v>
      </c>
      <c r="Q454" s="310" t="n">
        <v>19</v>
      </c>
      <c r="R454" s="312" t="n">
        <v>6.2</v>
      </c>
      <c r="S454" s="310"/>
      <c r="T454" s="311" t="n">
        <v>0</v>
      </c>
      <c r="U454" s="312" t="n">
        <v>10</v>
      </c>
      <c r="V454" s="311" t="n">
        <v>0</v>
      </c>
      <c r="W454" s="312" t="n">
        <v>6.7</v>
      </c>
      <c r="X454" s="311" t="n">
        <v>0</v>
      </c>
      <c r="Y454" s="312" t="n">
        <v>6.7</v>
      </c>
      <c r="Z454" s="313" t="n">
        <v>0</v>
      </c>
      <c r="AA454" s="314" t="n">
        <v>6.6</v>
      </c>
      <c r="AB454" s="313" t="n">
        <v>0</v>
      </c>
      <c r="AC454" s="314" t="n">
        <v>6.6</v>
      </c>
      <c r="AD454" s="315"/>
      <c r="AE454" s="144" t="n">
        <v>107</v>
      </c>
      <c r="AF454" s="315"/>
      <c r="AG454" s="311" t="n">
        <v>0</v>
      </c>
      <c r="AH454" s="309" t="n">
        <v>0</v>
      </c>
      <c r="AI454" s="310"/>
      <c r="AJ454" s="311" t="n">
        <v>170</v>
      </c>
      <c r="AK454" s="309" t="n">
        <v>144</v>
      </c>
      <c r="AL454" s="311" t="n">
        <v>224</v>
      </c>
      <c r="AM454" s="309" t="n">
        <v>170.4</v>
      </c>
      <c r="AN454" s="310" t="n">
        <v>245</v>
      </c>
      <c r="AO454" s="309" t="n">
        <v>148.8</v>
      </c>
      <c r="AP454" s="310"/>
      <c r="AQ454" s="311" t="n">
        <v>173</v>
      </c>
      <c r="AR454" s="309" t="n">
        <v>240</v>
      </c>
      <c r="AS454" s="311" t="n">
        <v>252</v>
      </c>
      <c r="AT454" s="309" t="n">
        <v>160.8</v>
      </c>
      <c r="AU454" s="310" t="n">
        <v>252</v>
      </c>
      <c r="AV454" s="309" t="n">
        <v>160.8</v>
      </c>
      <c r="AW454" s="310" t="n">
        <v>255</v>
      </c>
      <c r="AX454" s="309" t="n">
        <v>158.4</v>
      </c>
      <c r="AY454" s="310" t="n">
        <v>255</v>
      </c>
      <c r="AZ454" s="309" t="n">
        <v>158.4</v>
      </c>
      <c r="BB454" s="144" t="n">
        <v>0</v>
      </c>
      <c r="BC454" s="315"/>
      <c r="BD454" s="311" t="n">
        <v>0</v>
      </c>
      <c r="BE454" s="316" t="n">
        <v>0</v>
      </c>
      <c r="BF454" s="310"/>
      <c r="BG454" s="317" t="n">
        <v>0</v>
      </c>
      <c r="BH454" s="318" t="n">
        <v>0.199999999999999</v>
      </c>
      <c r="BI454" s="317" t="n">
        <v>0</v>
      </c>
      <c r="BJ454" s="318" t="n">
        <v>0.9</v>
      </c>
      <c r="BK454" s="317" t="n">
        <v>0</v>
      </c>
      <c r="BL454" s="318" t="n">
        <v>0.6</v>
      </c>
      <c r="BM454" s="310"/>
      <c r="BN454" s="317" t="n">
        <v>0</v>
      </c>
      <c r="BO454" s="318" t="n">
        <v>-0.200000000000001</v>
      </c>
      <c r="BP454" s="317" t="n">
        <v>0</v>
      </c>
      <c r="BQ454" s="318" t="n">
        <v>0.5</v>
      </c>
      <c r="BR454" s="317" t="n">
        <v>0</v>
      </c>
      <c r="BS454" s="318" t="n">
        <v>0.5</v>
      </c>
      <c r="BT454" s="317" t="n">
        <v>0</v>
      </c>
      <c r="BU454" s="318" t="n">
        <v>0.4</v>
      </c>
      <c r="BV454" s="317" t="n">
        <v>0</v>
      </c>
      <c r="BW454" s="318" t="n">
        <v>0.4</v>
      </c>
      <c r="BY454" s="143"/>
      <c r="BZ454" s="315"/>
      <c r="CA454" s="144" t="s">
        <v>12</v>
      </c>
      <c r="CB454" s="315"/>
      <c r="CC454" s="144" t="n">
        <v>-62.7851239669421</v>
      </c>
      <c r="CD454" s="144" t="n">
        <v>-116.385123966942</v>
      </c>
      <c r="CE454" s="144" t="n">
        <v>-137.985123966942</v>
      </c>
      <c r="CF454" s="315"/>
      <c r="CG454" s="144" t="n">
        <v>-65.7851239669421</v>
      </c>
      <c r="CH454" s="144" t="n">
        <v>-144.985123966942</v>
      </c>
      <c r="CI454" s="144" t="n">
        <v>-144.985123966942</v>
      </c>
      <c r="CJ454" s="144" t="n">
        <v>-147.385123966942</v>
      </c>
      <c r="CK454" s="144" t="n">
        <v>-147.385123966942</v>
      </c>
      <c r="CM454" s="144" t="n">
        <v>412.396694214876</v>
      </c>
      <c r="CO454" s="319"/>
      <c r="CP454" s="320"/>
      <c r="CQ454" s="321" t="s">
        <v>12</v>
      </c>
      <c r="CR454" s="320"/>
      <c r="CS454" s="322" t="n">
        <v>-169.396694214876</v>
      </c>
      <c r="CT454" s="322" t="n">
        <v>-222.996694214876</v>
      </c>
      <c r="CU454" s="322" t="n">
        <v>-244.596694214876</v>
      </c>
      <c r="CV454" s="323"/>
      <c r="CW454" s="322" t="n">
        <v>-172.396694214876</v>
      </c>
      <c r="CX454" s="322" t="n">
        <v>-251.596694214876</v>
      </c>
      <c r="CY454" s="322" t="n">
        <v>-251.596694214876</v>
      </c>
      <c r="CZ454" s="322" t="n">
        <v>-253.996694214876</v>
      </c>
      <c r="DA454" s="322" t="n">
        <v>-253.996694214876</v>
      </c>
    </row>
    <row r="455" customFormat="false" ht="12.75" hidden="false" customHeight="false" outlineLevel="0" collapsed="false">
      <c r="B455" s="305" t="s">
        <v>124</v>
      </c>
      <c r="C455" s="326" t="s">
        <v>718</v>
      </c>
      <c r="D455" s="306" t="n">
        <v>413</v>
      </c>
      <c r="E455" s="306" t="n">
        <v>2.5</v>
      </c>
      <c r="F455" s="306" t="s">
        <v>710</v>
      </c>
      <c r="G455" s="307" t="n">
        <v>48</v>
      </c>
      <c r="H455" s="308" t="n">
        <v>305.785123966942</v>
      </c>
      <c r="I455" s="2"/>
      <c r="J455" s="144" t="s">
        <v>12</v>
      </c>
      <c r="K455" s="309" t="s">
        <v>12</v>
      </c>
      <c r="L455" s="310"/>
      <c r="M455" s="311" t="n">
        <v>99</v>
      </c>
      <c r="N455" s="312" t="n">
        <v>3</v>
      </c>
      <c r="O455" s="311" t="n">
        <v>19</v>
      </c>
      <c r="P455" s="312" t="n">
        <v>3.6</v>
      </c>
      <c r="Q455" s="310" t="n">
        <v>19</v>
      </c>
      <c r="R455" s="312" t="n">
        <v>3.1</v>
      </c>
      <c r="S455" s="310"/>
      <c r="T455" s="311" t="n">
        <v>0</v>
      </c>
      <c r="U455" s="312" t="n">
        <v>5</v>
      </c>
      <c r="V455" s="311" t="n">
        <v>0</v>
      </c>
      <c r="W455" s="312" t="n">
        <v>3.4</v>
      </c>
      <c r="X455" s="311" t="n">
        <v>0</v>
      </c>
      <c r="Y455" s="312" t="n">
        <v>3.4</v>
      </c>
      <c r="Z455" s="313" t="n">
        <v>0</v>
      </c>
      <c r="AA455" s="314" t="n">
        <v>3.3</v>
      </c>
      <c r="AB455" s="313" t="n">
        <v>0</v>
      </c>
      <c r="AC455" s="314" t="n">
        <v>3.3</v>
      </c>
      <c r="AD455" s="315"/>
      <c r="AE455" s="144" t="n">
        <v>107</v>
      </c>
      <c r="AF455" s="315"/>
      <c r="AG455" s="311" t="n">
        <v>0</v>
      </c>
      <c r="AH455" s="309" t="n">
        <v>0</v>
      </c>
      <c r="AI455" s="310"/>
      <c r="AJ455" s="311" t="n">
        <v>170</v>
      </c>
      <c r="AK455" s="309" t="n">
        <v>144</v>
      </c>
      <c r="AL455" s="311" t="n">
        <v>221</v>
      </c>
      <c r="AM455" s="309" t="n">
        <v>172.8</v>
      </c>
      <c r="AN455" s="311" t="n">
        <v>245</v>
      </c>
      <c r="AO455" s="309" t="n">
        <v>148.8</v>
      </c>
      <c r="AP455" s="310"/>
      <c r="AQ455" s="311" t="n">
        <v>173</v>
      </c>
      <c r="AR455" s="309" t="n">
        <v>240</v>
      </c>
      <c r="AS455" s="311" t="n">
        <v>250</v>
      </c>
      <c r="AT455" s="309" t="n">
        <v>163.2</v>
      </c>
      <c r="AU455" s="311" t="n">
        <v>250</v>
      </c>
      <c r="AV455" s="309" t="n">
        <v>163.2</v>
      </c>
      <c r="AW455" s="311" t="n">
        <v>255</v>
      </c>
      <c r="AX455" s="309" t="n">
        <v>158.4</v>
      </c>
      <c r="AY455" s="311" t="n">
        <v>255</v>
      </c>
      <c r="AZ455" s="309" t="n">
        <v>158.4</v>
      </c>
      <c r="BB455" s="144" t="n">
        <v>0</v>
      </c>
      <c r="BC455" s="315"/>
      <c r="BD455" s="311" t="n">
        <v>0</v>
      </c>
      <c r="BE455" s="316" t="n">
        <v>0</v>
      </c>
      <c r="BF455" s="310"/>
      <c r="BG455" s="317" t="n">
        <v>0</v>
      </c>
      <c r="BH455" s="318" t="n">
        <v>0</v>
      </c>
      <c r="BI455" s="317" t="n">
        <v>0</v>
      </c>
      <c r="BJ455" s="318" t="n">
        <v>0</v>
      </c>
      <c r="BK455" s="317" t="n">
        <v>0</v>
      </c>
      <c r="BL455" s="318" t="n">
        <v>0</v>
      </c>
      <c r="BM455" s="310"/>
      <c r="BN455" s="317" t="n">
        <v>0</v>
      </c>
      <c r="BO455" s="318" t="n">
        <v>0</v>
      </c>
      <c r="BP455" s="317" t="n">
        <v>0</v>
      </c>
      <c r="BQ455" s="318" t="n">
        <v>0</v>
      </c>
      <c r="BR455" s="317" t="n">
        <v>0</v>
      </c>
      <c r="BS455" s="318" t="n">
        <v>0</v>
      </c>
      <c r="BT455" s="317" t="n">
        <v>0</v>
      </c>
      <c r="BU455" s="318" t="n">
        <v>0</v>
      </c>
      <c r="BV455" s="317" t="n">
        <v>0</v>
      </c>
      <c r="BW455" s="318" t="n">
        <v>0</v>
      </c>
      <c r="BY455" s="143"/>
      <c r="BZ455" s="315"/>
      <c r="CA455" s="144" t="s">
        <v>12</v>
      </c>
      <c r="CB455" s="315"/>
      <c r="CC455" s="144" t="n">
        <v>-62.7851239669421</v>
      </c>
      <c r="CD455" s="144" t="n">
        <v>-113.985123966942</v>
      </c>
      <c r="CE455" s="144" t="n">
        <v>-137.985123966942</v>
      </c>
      <c r="CF455" s="315"/>
      <c r="CG455" s="144" t="n">
        <v>-65.7851239669421</v>
      </c>
      <c r="CH455" s="144" t="n">
        <v>-142.585123966942</v>
      </c>
      <c r="CI455" s="144" t="n">
        <v>-142.585123966942</v>
      </c>
      <c r="CJ455" s="144" t="n">
        <v>-147.385123966942</v>
      </c>
      <c r="CK455" s="144" t="n">
        <v>-147.385123966942</v>
      </c>
      <c r="CM455" s="144" t="n">
        <v>412.396694214876</v>
      </c>
      <c r="CO455" s="319"/>
      <c r="CP455" s="320"/>
      <c r="CQ455" s="321" t="s">
        <v>12</v>
      </c>
      <c r="CR455" s="320"/>
      <c r="CS455" s="322" t="n">
        <v>-169.396694214876</v>
      </c>
      <c r="CT455" s="322" t="n">
        <v>-220.596694214876</v>
      </c>
      <c r="CU455" s="322" t="n">
        <v>-244.596694214876</v>
      </c>
      <c r="CV455" s="323"/>
      <c r="CW455" s="322" t="n">
        <v>-172.396694214876</v>
      </c>
      <c r="CX455" s="322" t="n">
        <v>-249.196694214876</v>
      </c>
      <c r="CY455" s="322" t="n">
        <v>-249.196694214876</v>
      </c>
      <c r="CZ455" s="322" t="n">
        <v>-253.996694214876</v>
      </c>
      <c r="DA455" s="322" t="n">
        <v>-253.996694214876</v>
      </c>
    </row>
    <row r="456" customFormat="false" ht="12.75" hidden="false" customHeight="false" outlineLevel="0" collapsed="false">
      <c r="B456" s="305" t="s">
        <v>130</v>
      </c>
      <c r="C456" s="326" t="s">
        <v>719</v>
      </c>
      <c r="D456" s="306" t="n">
        <v>161</v>
      </c>
      <c r="E456" s="306" t="n">
        <v>2.5</v>
      </c>
      <c r="F456" s="324" t="s">
        <v>710</v>
      </c>
      <c r="G456" s="144" t="n">
        <v>24</v>
      </c>
      <c r="H456" s="325" t="n">
        <v>100</v>
      </c>
      <c r="I456" s="2"/>
      <c r="J456" s="144" t="s">
        <v>12</v>
      </c>
      <c r="K456" s="309" t="s">
        <v>12</v>
      </c>
      <c r="L456" s="310"/>
      <c r="M456" s="311" t="n">
        <v>0</v>
      </c>
      <c r="N456" s="312" t="n">
        <v>4</v>
      </c>
      <c r="O456" s="311" t="n">
        <v>0</v>
      </c>
      <c r="P456" s="312" t="n">
        <v>1.5</v>
      </c>
      <c r="Q456" s="310" t="n">
        <v>0</v>
      </c>
      <c r="R456" s="312" t="n">
        <v>0.7</v>
      </c>
      <c r="S456" s="310"/>
      <c r="T456" s="311" t="n">
        <v>0</v>
      </c>
      <c r="U456" s="312" t="n">
        <v>1.7</v>
      </c>
      <c r="V456" s="311" t="n">
        <v>0</v>
      </c>
      <c r="W456" s="312" t="n">
        <v>1.7</v>
      </c>
      <c r="X456" s="311" t="n">
        <v>0</v>
      </c>
      <c r="Y456" s="312" t="n">
        <v>1.7</v>
      </c>
      <c r="Z456" s="313" t="n">
        <v>0</v>
      </c>
      <c r="AA456" s="314" t="n">
        <v>1.7</v>
      </c>
      <c r="AB456" s="313" t="n">
        <v>0</v>
      </c>
      <c r="AC456" s="314" t="n">
        <v>1.7</v>
      </c>
      <c r="AD456" s="315"/>
      <c r="AE456" s="144" t="n">
        <v>61</v>
      </c>
      <c r="AF456" s="315"/>
      <c r="AG456" s="311" t="n">
        <v>0</v>
      </c>
      <c r="AH456" s="309" t="n">
        <v>0</v>
      </c>
      <c r="AI456" s="310"/>
      <c r="AJ456" s="311" t="n">
        <v>65</v>
      </c>
      <c r="AK456" s="309" t="n">
        <v>96</v>
      </c>
      <c r="AL456" s="311" t="n">
        <v>125</v>
      </c>
      <c r="AM456" s="309" t="n">
        <v>36</v>
      </c>
      <c r="AN456" s="310" t="n">
        <v>144</v>
      </c>
      <c r="AO456" s="309" t="n">
        <v>16.8</v>
      </c>
      <c r="AP456" s="310"/>
      <c r="AQ456" s="311" t="n">
        <v>120</v>
      </c>
      <c r="AR456" s="309" t="n">
        <v>40.8</v>
      </c>
      <c r="AS456" s="311" t="n">
        <v>120</v>
      </c>
      <c r="AT456" s="309" t="n">
        <v>40.8</v>
      </c>
      <c r="AU456" s="310" t="n">
        <v>120</v>
      </c>
      <c r="AV456" s="309" t="n">
        <v>40.8</v>
      </c>
      <c r="AW456" s="310" t="n">
        <v>120</v>
      </c>
      <c r="AX456" s="309" t="n">
        <v>40.8</v>
      </c>
      <c r="AY456" s="310" t="n">
        <v>120</v>
      </c>
      <c r="AZ456" s="309" t="n">
        <v>40.8</v>
      </c>
      <c r="BB456" s="144" t="n">
        <v>0</v>
      </c>
      <c r="BC456" s="315"/>
      <c r="BD456" s="311" t="n">
        <v>0</v>
      </c>
      <c r="BE456" s="316" t="n">
        <v>0</v>
      </c>
      <c r="BF456" s="310"/>
      <c r="BG456" s="317" t="n">
        <v>0</v>
      </c>
      <c r="BH456" s="318" t="n">
        <v>0.4</v>
      </c>
      <c r="BI456" s="317" t="n">
        <v>0</v>
      </c>
      <c r="BJ456" s="318" t="n">
        <v>0.8</v>
      </c>
      <c r="BK456" s="317" t="n">
        <v>0</v>
      </c>
      <c r="BL456" s="318" t="n">
        <v>0.4</v>
      </c>
      <c r="BM456" s="310"/>
      <c r="BN456" s="317" t="n">
        <v>0</v>
      </c>
      <c r="BO456" s="318" t="n">
        <v>0</v>
      </c>
      <c r="BP456" s="317" t="n">
        <v>0</v>
      </c>
      <c r="BQ456" s="318" t="n">
        <v>0.8</v>
      </c>
      <c r="BR456" s="317" t="n">
        <v>0</v>
      </c>
      <c r="BS456" s="318" t="n">
        <v>0.8</v>
      </c>
      <c r="BT456" s="317" t="n">
        <v>0</v>
      </c>
      <c r="BU456" s="318" t="n">
        <v>0.9</v>
      </c>
      <c r="BV456" s="317" t="n">
        <v>0</v>
      </c>
      <c r="BW456" s="318" t="n">
        <v>0.9</v>
      </c>
      <c r="BY456" s="143"/>
      <c r="BZ456" s="315"/>
      <c r="CA456" s="144" t="s">
        <v>12</v>
      </c>
      <c r="CB456" s="315"/>
      <c r="CC456" s="144" t="n">
        <v>-4</v>
      </c>
      <c r="CD456" s="144" t="n">
        <v>-64</v>
      </c>
      <c r="CE456" s="144" t="n">
        <v>-83.2</v>
      </c>
      <c r="CF456" s="315"/>
      <c r="CG456" s="144" t="n">
        <v>-59.2</v>
      </c>
      <c r="CH456" s="144" t="n">
        <v>-59.2</v>
      </c>
      <c r="CI456" s="144" t="n">
        <v>-59.2</v>
      </c>
      <c r="CJ456" s="144" t="n">
        <v>-59.2</v>
      </c>
      <c r="CK456" s="144" t="n">
        <v>-59.2</v>
      </c>
      <c r="CM456" s="144" t="n">
        <v>131.404958677686</v>
      </c>
      <c r="CO456" s="319"/>
      <c r="CP456" s="320"/>
      <c r="CQ456" s="321" t="s">
        <v>12</v>
      </c>
      <c r="CR456" s="320"/>
      <c r="CS456" s="322" t="n">
        <v>-35.404958677686</v>
      </c>
      <c r="CT456" s="322" t="n">
        <v>-95.404958677686</v>
      </c>
      <c r="CU456" s="322" t="n">
        <v>-114.604958677686</v>
      </c>
      <c r="CV456" s="323"/>
      <c r="CW456" s="322" t="n">
        <v>-90.6049586776859</v>
      </c>
      <c r="CX456" s="322" t="n">
        <v>-90.6049586776859</v>
      </c>
      <c r="CY456" s="322" t="n">
        <v>-90.6049586776859</v>
      </c>
      <c r="CZ456" s="322" t="n">
        <v>-90.6049586776859</v>
      </c>
      <c r="DA456" s="322" t="n">
        <v>-90.6049586776859</v>
      </c>
    </row>
    <row r="457" customFormat="false" ht="12.75" hidden="false" customHeight="false" outlineLevel="0" collapsed="false">
      <c r="B457" s="305" t="s">
        <v>130</v>
      </c>
      <c r="C457" s="326" t="s">
        <v>720</v>
      </c>
      <c r="D457" s="306" t="n">
        <v>288</v>
      </c>
      <c r="E457" s="306" t="n">
        <v>2.5</v>
      </c>
      <c r="F457" s="306" t="s">
        <v>710</v>
      </c>
      <c r="G457" s="307" t="n">
        <v>24</v>
      </c>
      <c r="H457" s="308" t="n">
        <v>205.785123966942</v>
      </c>
      <c r="I457" s="2"/>
      <c r="J457" s="144" t="s">
        <v>12</v>
      </c>
      <c r="K457" s="309" t="s">
        <v>12</v>
      </c>
      <c r="L457" s="310"/>
      <c r="M457" s="311" t="n">
        <v>39</v>
      </c>
      <c r="N457" s="312" t="n">
        <v>6</v>
      </c>
      <c r="O457" s="311" t="n">
        <v>0</v>
      </c>
      <c r="P457" s="312" t="n">
        <v>5</v>
      </c>
      <c r="Q457" s="310" t="n">
        <v>0</v>
      </c>
      <c r="R457" s="312" t="n">
        <v>4.2</v>
      </c>
      <c r="S457" s="310"/>
      <c r="T457" s="311" t="n">
        <v>0</v>
      </c>
      <c r="U457" s="312" t="n">
        <v>7.3</v>
      </c>
      <c r="V457" s="311" t="n">
        <v>0</v>
      </c>
      <c r="W457" s="312" t="n">
        <v>4.2</v>
      </c>
      <c r="X457" s="311" t="n">
        <v>0</v>
      </c>
      <c r="Y457" s="312" t="n">
        <v>4.2</v>
      </c>
      <c r="Z457" s="313" t="n">
        <v>0</v>
      </c>
      <c r="AA457" s="314" t="n">
        <v>4.1</v>
      </c>
      <c r="AB457" s="313" t="n">
        <v>0</v>
      </c>
      <c r="AC457" s="314" t="n">
        <v>4.1</v>
      </c>
      <c r="AD457" s="315"/>
      <c r="AE457" s="144" t="n">
        <v>82</v>
      </c>
      <c r="AF457" s="315"/>
      <c r="AG457" s="311" t="n">
        <v>0</v>
      </c>
      <c r="AH457" s="309" t="n">
        <v>0</v>
      </c>
      <c r="AI457" s="310"/>
      <c r="AJ457" s="311" t="n">
        <v>105</v>
      </c>
      <c r="AK457" s="309" t="n">
        <v>144</v>
      </c>
      <c r="AL457" s="311" t="n">
        <v>168</v>
      </c>
      <c r="AM457" s="309" t="n">
        <v>120</v>
      </c>
      <c r="AN457" s="311" t="n">
        <v>187</v>
      </c>
      <c r="AO457" s="309" t="n">
        <v>100.8</v>
      </c>
      <c r="AP457" s="310"/>
      <c r="AQ457" s="311" t="n">
        <v>113</v>
      </c>
      <c r="AR457" s="309" t="n">
        <v>175.2</v>
      </c>
      <c r="AS457" s="311" t="n">
        <v>187</v>
      </c>
      <c r="AT457" s="309" t="n">
        <v>100.8</v>
      </c>
      <c r="AU457" s="311" t="n">
        <v>187</v>
      </c>
      <c r="AV457" s="309" t="n">
        <v>100.8</v>
      </c>
      <c r="AW457" s="311" t="n">
        <v>190</v>
      </c>
      <c r="AX457" s="309" t="n">
        <v>98.4</v>
      </c>
      <c r="AY457" s="311" t="n">
        <v>190</v>
      </c>
      <c r="AZ457" s="309" t="n">
        <v>98.4</v>
      </c>
      <c r="BB457" s="144" t="n">
        <v>0</v>
      </c>
      <c r="BC457" s="315"/>
      <c r="BD457" s="311" t="n">
        <v>0</v>
      </c>
      <c r="BE457" s="316" t="n">
        <v>0</v>
      </c>
      <c r="BF457" s="310"/>
      <c r="BG457" s="317" t="n">
        <v>0</v>
      </c>
      <c r="BH457" s="318" t="n">
        <v>0.199999999999999</v>
      </c>
      <c r="BI457" s="317" t="n">
        <v>0</v>
      </c>
      <c r="BJ457" s="318" t="n">
        <v>0.8</v>
      </c>
      <c r="BK457" s="317" t="n">
        <v>0</v>
      </c>
      <c r="BL457" s="318" t="n">
        <v>0.8</v>
      </c>
      <c r="BM457" s="310"/>
      <c r="BN457" s="317" t="n">
        <v>0</v>
      </c>
      <c r="BO457" s="318" t="n">
        <v>0</v>
      </c>
      <c r="BP457" s="317" t="n">
        <v>0</v>
      </c>
      <c r="BQ457" s="318" t="n">
        <v>0</v>
      </c>
      <c r="BR457" s="317" t="n">
        <v>0</v>
      </c>
      <c r="BS457" s="318" t="n">
        <v>0</v>
      </c>
      <c r="BT457" s="317" t="n">
        <v>0</v>
      </c>
      <c r="BU457" s="318" t="n">
        <v>0</v>
      </c>
      <c r="BV457" s="317" t="n">
        <v>0</v>
      </c>
      <c r="BW457" s="318" t="n">
        <v>0</v>
      </c>
      <c r="BY457" s="143"/>
      <c r="BZ457" s="315"/>
      <c r="CA457" s="144" t="s">
        <v>12</v>
      </c>
      <c r="CB457" s="315"/>
      <c r="CC457" s="144" t="n">
        <v>-22.7851239669422</v>
      </c>
      <c r="CD457" s="144" t="n">
        <v>-85.7851239669422</v>
      </c>
      <c r="CE457" s="144" t="n">
        <v>-104.985123966942</v>
      </c>
      <c r="CF457" s="315"/>
      <c r="CG457" s="144" t="n">
        <v>-30.5851239669421</v>
      </c>
      <c r="CH457" s="144" t="n">
        <v>-104.985123966942</v>
      </c>
      <c r="CI457" s="144" t="n">
        <v>-104.985123966942</v>
      </c>
      <c r="CJ457" s="144" t="n">
        <v>-107.385123966942</v>
      </c>
      <c r="CK457" s="144" t="n">
        <v>-107.385123966942</v>
      </c>
      <c r="CM457" s="144" t="n">
        <v>189.256198347107</v>
      </c>
      <c r="CO457" s="319"/>
      <c r="CP457" s="320"/>
      <c r="CQ457" s="321" t="s">
        <v>12</v>
      </c>
      <c r="CR457" s="320"/>
      <c r="CS457" s="322" t="n">
        <v>-6.25619834710744</v>
      </c>
      <c r="CT457" s="322" t="n">
        <v>-69.2561983471074</v>
      </c>
      <c r="CU457" s="322" t="n">
        <v>-88.4561983471074</v>
      </c>
      <c r="CV457" s="323"/>
      <c r="CW457" s="322" t="n">
        <v>-14.0561983471074</v>
      </c>
      <c r="CX457" s="322" t="n">
        <v>-88.4561983471074</v>
      </c>
      <c r="CY457" s="322" t="n">
        <v>-88.4561983471074</v>
      </c>
      <c r="CZ457" s="322" t="n">
        <v>-90.8561983471074</v>
      </c>
      <c r="DA457" s="322" t="n">
        <v>-90.8561983471074</v>
      </c>
    </row>
    <row r="458" customFormat="false" ht="12.75" hidden="false" customHeight="false" outlineLevel="0" collapsed="false">
      <c r="B458" s="305" t="s">
        <v>130</v>
      </c>
      <c r="C458" s="326" t="s">
        <v>721</v>
      </c>
      <c r="D458" s="306" t="n">
        <v>245</v>
      </c>
      <c r="E458" s="306" t="n">
        <v>2.5</v>
      </c>
      <c r="F458" s="324" t="s">
        <v>710</v>
      </c>
      <c r="G458" s="144" t="n">
        <v>24</v>
      </c>
      <c r="H458" s="325" t="n">
        <v>203.305785123967</v>
      </c>
      <c r="I458" s="2"/>
      <c r="J458" s="144" t="s">
        <v>12</v>
      </c>
      <c r="K458" s="309" t="s">
        <v>12</v>
      </c>
      <c r="L458" s="310"/>
      <c r="M458" s="311" t="n">
        <v>29</v>
      </c>
      <c r="N458" s="312" t="n">
        <v>6.2</v>
      </c>
      <c r="O458" s="311" t="n">
        <v>0</v>
      </c>
      <c r="P458" s="312" t="n">
        <v>5</v>
      </c>
      <c r="Q458" s="310" t="n">
        <v>0</v>
      </c>
      <c r="R458" s="312" t="n">
        <v>4.2</v>
      </c>
      <c r="S458" s="310"/>
      <c r="T458" s="311" t="n">
        <v>0</v>
      </c>
      <c r="U458" s="312" t="n">
        <v>7.3</v>
      </c>
      <c r="V458" s="311" t="n">
        <v>0</v>
      </c>
      <c r="W458" s="312" t="n">
        <v>4.2</v>
      </c>
      <c r="X458" s="311" t="n">
        <v>0</v>
      </c>
      <c r="Y458" s="312" t="n">
        <v>4.2</v>
      </c>
      <c r="Z458" s="313" t="n">
        <v>0</v>
      </c>
      <c r="AA458" s="314" t="n">
        <v>4.1</v>
      </c>
      <c r="AB458" s="313" t="n">
        <v>0</v>
      </c>
      <c r="AC458" s="314" t="n">
        <v>4.1</v>
      </c>
      <c r="AD458" s="315"/>
      <c r="AE458" s="144" t="n">
        <v>42</v>
      </c>
      <c r="AF458" s="315"/>
      <c r="AG458" s="311" t="n">
        <v>0</v>
      </c>
      <c r="AH458" s="309" t="n">
        <v>0</v>
      </c>
      <c r="AI458" s="310"/>
      <c r="AJ458" s="311" t="n">
        <v>67</v>
      </c>
      <c r="AK458" s="309" t="n">
        <v>148.8</v>
      </c>
      <c r="AL458" s="311" t="n">
        <v>125</v>
      </c>
      <c r="AM458" s="309" t="n">
        <v>120</v>
      </c>
      <c r="AN458" s="310" t="n">
        <v>144</v>
      </c>
      <c r="AO458" s="309" t="n">
        <v>100.8</v>
      </c>
      <c r="AP458" s="310"/>
      <c r="AQ458" s="311" t="n">
        <v>70</v>
      </c>
      <c r="AR458" s="309" t="n">
        <v>175.2</v>
      </c>
      <c r="AS458" s="311" t="n">
        <v>144</v>
      </c>
      <c r="AT458" s="309" t="n">
        <v>100.8</v>
      </c>
      <c r="AU458" s="310" t="n">
        <v>144</v>
      </c>
      <c r="AV458" s="309" t="n">
        <v>100.8</v>
      </c>
      <c r="AW458" s="310" t="n">
        <v>147</v>
      </c>
      <c r="AX458" s="309" t="n">
        <v>98.4</v>
      </c>
      <c r="AY458" s="310" t="n">
        <v>147</v>
      </c>
      <c r="AZ458" s="309" t="n">
        <v>98.4</v>
      </c>
      <c r="BB458" s="144" t="n">
        <v>0</v>
      </c>
      <c r="BC458" s="315"/>
      <c r="BD458" s="311" t="n">
        <v>0</v>
      </c>
      <c r="BE458" s="316" t="n">
        <v>0</v>
      </c>
      <c r="BF458" s="310"/>
      <c r="BG458" s="317" t="n">
        <v>0</v>
      </c>
      <c r="BH458" s="318" t="n">
        <v>0.2</v>
      </c>
      <c r="BI458" s="317" t="n">
        <v>0</v>
      </c>
      <c r="BJ458" s="318" t="n">
        <v>0.8</v>
      </c>
      <c r="BK458" s="317" t="n">
        <v>0</v>
      </c>
      <c r="BL458" s="318" t="n">
        <v>0.8</v>
      </c>
      <c r="BM458" s="310"/>
      <c r="BN458" s="317" t="n">
        <v>0</v>
      </c>
      <c r="BO458" s="318" t="n">
        <v>0</v>
      </c>
      <c r="BP458" s="317" t="n">
        <v>0</v>
      </c>
      <c r="BQ458" s="318" t="n">
        <v>0</v>
      </c>
      <c r="BR458" s="317" t="n">
        <v>0</v>
      </c>
      <c r="BS458" s="318" t="n">
        <v>0</v>
      </c>
      <c r="BT458" s="317" t="n">
        <v>0</v>
      </c>
      <c r="BU458" s="318" t="n">
        <v>0</v>
      </c>
      <c r="BV458" s="317" t="n">
        <v>0</v>
      </c>
      <c r="BW458" s="318" t="n">
        <v>0</v>
      </c>
      <c r="BY458" s="143"/>
      <c r="BZ458" s="315"/>
      <c r="CA458" s="144" t="s">
        <v>12</v>
      </c>
      <c r="CB458" s="315"/>
      <c r="CC458" s="144" t="n">
        <v>-25.5057851239669</v>
      </c>
      <c r="CD458" s="144" t="n">
        <v>-83.305785123967</v>
      </c>
      <c r="CE458" s="144" t="n">
        <v>-102.505785123967</v>
      </c>
      <c r="CF458" s="315"/>
      <c r="CG458" s="144" t="n">
        <v>-28.1057851239669</v>
      </c>
      <c r="CH458" s="144" t="n">
        <v>-102.505785123967</v>
      </c>
      <c r="CI458" s="144" t="n">
        <v>-102.505785123967</v>
      </c>
      <c r="CJ458" s="144" t="n">
        <v>-104.905785123967</v>
      </c>
      <c r="CK458" s="144" t="n">
        <v>-104.905785123967</v>
      </c>
      <c r="CM458" s="144" t="n">
        <v>205.785123966942</v>
      </c>
      <c r="CO458" s="319"/>
      <c r="CP458" s="320"/>
      <c r="CQ458" s="321" t="s">
        <v>12</v>
      </c>
      <c r="CR458" s="320"/>
      <c r="CS458" s="322" t="n">
        <v>-27.9851239669422</v>
      </c>
      <c r="CT458" s="322" t="n">
        <v>-85.7851239669422</v>
      </c>
      <c r="CU458" s="322" t="n">
        <v>-104.985123966942</v>
      </c>
      <c r="CV458" s="323"/>
      <c r="CW458" s="322" t="n">
        <v>-30.5851239669421</v>
      </c>
      <c r="CX458" s="322" t="n">
        <v>-104.985123966942</v>
      </c>
      <c r="CY458" s="322" t="n">
        <v>-104.985123966942</v>
      </c>
      <c r="CZ458" s="322" t="n">
        <v>-107.385123966942</v>
      </c>
      <c r="DA458" s="322" t="n">
        <v>-107.385123966942</v>
      </c>
    </row>
    <row r="459" customFormat="false" ht="12.75" hidden="false" customHeight="false" outlineLevel="0" collapsed="false">
      <c r="B459" s="305" t="s">
        <v>130</v>
      </c>
      <c r="C459" s="326" t="s">
        <v>722</v>
      </c>
      <c r="D459" s="306" t="n">
        <v>468</v>
      </c>
      <c r="E459" s="306" t="n">
        <v>2.5</v>
      </c>
      <c r="F459" s="306" t="s">
        <v>710</v>
      </c>
      <c r="G459" s="307" t="n">
        <v>24</v>
      </c>
      <c r="H459" s="308" t="n">
        <v>311.570247933884</v>
      </c>
      <c r="I459" s="2"/>
      <c r="J459" s="144" t="s">
        <v>12</v>
      </c>
      <c r="K459" s="309" t="s">
        <v>12</v>
      </c>
      <c r="L459" s="310"/>
      <c r="M459" s="311" t="n">
        <v>99</v>
      </c>
      <c r="N459" s="312" t="n">
        <v>6.2</v>
      </c>
      <c r="O459" s="311" t="n">
        <v>19</v>
      </c>
      <c r="P459" s="312" t="n">
        <v>7.3</v>
      </c>
      <c r="Q459" s="310" t="n">
        <v>19</v>
      </c>
      <c r="R459" s="312" t="n">
        <v>6.5</v>
      </c>
      <c r="S459" s="310"/>
      <c r="T459" s="311" t="n">
        <v>0</v>
      </c>
      <c r="U459" s="312" t="n">
        <v>10.2</v>
      </c>
      <c r="V459" s="311" t="n">
        <v>0</v>
      </c>
      <c r="W459" s="312" t="n">
        <v>7.5</v>
      </c>
      <c r="X459" s="311" t="n">
        <v>0</v>
      </c>
      <c r="Y459" s="312" t="n">
        <v>7.5</v>
      </c>
      <c r="Z459" s="313" t="n">
        <v>0</v>
      </c>
      <c r="AA459" s="314" t="n">
        <v>7.4</v>
      </c>
      <c r="AB459" s="313" t="n">
        <v>0</v>
      </c>
      <c r="AC459" s="314" t="n">
        <v>7.4</v>
      </c>
      <c r="AD459" s="315"/>
      <c r="AE459" s="144" t="n">
        <v>156</v>
      </c>
      <c r="AF459" s="315"/>
      <c r="AG459" s="311" t="n">
        <v>0</v>
      </c>
      <c r="AH459" s="309" t="n">
        <v>0</v>
      </c>
      <c r="AI459" s="310"/>
      <c r="AJ459" s="311" t="n">
        <v>220</v>
      </c>
      <c r="AK459" s="309" t="n">
        <v>148.8</v>
      </c>
      <c r="AL459" s="311" t="n">
        <v>274</v>
      </c>
      <c r="AM459" s="309" t="n">
        <v>175.2</v>
      </c>
      <c r="AN459" s="311" t="n">
        <v>293</v>
      </c>
      <c r="AO459" s="309" t="n">
        <v>156</v>
      </c>
      <c r="AP459" s="310"/>
      <c r="AQ459" s="311" t="n">
        <v>223</v>
      </c>
      <c r="AR459" s="309" t="n">
        <v>244.8</v>
      </c>
      <c r="AS459" s="311" t="n">
        <v>288</v>
      </c>
      <c r="AT459" s="309" t="n">
        <v>180</v>
      </c>
      <c r="AU459" s="311" t="n">
        <v>288</v>
      </c>
      <c r="AV459" s="309" t="n">
        <v>180</v>
      </c>
      <c r="AW459" s="311" t="n">
        <v>290</v>
      </c>
      <c r="AX459" s="309" t="n">
        <v>177.6</v>
      </c>
      <c r="AY459" s="311" t="n">
        <v>290</v>
      </c>
      <c r="AZ459" s="309" t="n">
        <v>177.6</v>
      </c>
      <c r="BB459" s="144" t="n">
        <v>0</v>
      </c>
      <c r="BC459" s="315"/>
      <c r="BD459" s="311" t="n">
        <v>0</v>
      </c>
      <c r="BE459" s="316" t="n">
        <v>0</v>
      </c>
      <c r="BF459" s="310"/>
      <c r="BG459" s="317" t="n">
        <v>0</v>
      </c>
      <c r="BH459" s="318" t="n">
        <v>0.4</v>
      </c>
      <c r="BI459" s="317" t="n">
        <v>0</v>
      </c>
      <c r="BJ459" s="318" t="n">
        <v>0.800000000000001</v>
      </c>
      <c r="BK459" s="317" t="n">
        <v>0</v>
      </c>
      <c r="BL459" s="318" t="n">
        <v>0.9</v>
      </c>
      <c r="BM459" s="310"/>
      <c r="BN459" s="317" t="n">
        <v>0</v>
      </c>
      <c r="BO459" s="318" t="n">
        <v>0</v>
      </c>
      <c r="BP459" s="317" t="n">
        <v>0</v>
      </c>
      <c r="BQ459" s="318" t="n">
        <v>0.8</v>
      </c>
      <c r="BR459" s="317" t="n">
        <v>0</v>
      </c>
      <c r="BS459" s="318" t="n">
        <v>0.8</v>
      </c>
      <c r="BT459" s="317" t="n">
        <v>0</v>
      </c>
      <c r="BU459" s="318" t="n">
        <v>0.8</v>
      </c>
      <c r="BV459" s="317" t="n">
        <v>0</v>
      </c>
      <c r="BW459" s="318" t="n">
        <v>0.8</v>
      </c>
      <c r="BY459" s="143"/>
      <c r="BZ459" s="315"/>
      <c r="CA459" s="144" t="s">
        <v>12</v>
      </c>
      <c r="CB459" s="315"/>
      <c r="CC459" s="144" t="n">
        <v>-63.7702479338843</v>
      </c>
      <c r="CD459" s="144" t="n">
        <v>-117.370247933884</v>
      </c>
      <c r="CE459" s="144" t="n">
        <v>-136.570247933884</v>
      </c>
      <c r="CF459" s="315"/>
      <c r="CG459" s="144" t="n">
        <v>-66.7702479338843</v>
      </c>
      <c r="CH459" s="144" t="n">
        <v>-131.570247933884</v>
      </c>
      <c r="CI459" s="144" t="n">
        <v>-131.570247933884</v>
      </c>
      <c r="CJ459" s="144" t="n">
        <v>-133.970247933884</v>
      </c>
      <c r="CK459" s="144" t="n">
        <v>-133.970247933884</v>
      </c>
      <c r="CM459" s="144" t="n">
        <v>412.396694214876</v>
      </c>
      <c r="CO459" s="319"/>
      <c r="CP459" s="320"/>
      <c r="CQ459" s="321" t="s">
        <v>12</v>
      </c>
      <c r="CR459" s="320"/>
      <c r="CS459" s="322" t="n">
        <v>-164.596694214876</v>
      </c>
      <c r="CT459" s="322" t="n">
        <v>-218.196694214876</v>
      </c>
      <c r="CU459" s="322" t="n">
        <v>-237.396694214876</v>
      </c>
      <c r="CV459" s="323"/>
      <c r="CW459" s="322" t="n">
        <v>-167.596694214876</v>
      </c>
      <c r="CX459" s="322" t="n">
        <v>-232.396694214876</v>
      </c>
      <c r="CY459" s="322" t="n">
        <v>-232.396694214876</v>
      </c>
      <c r="CZ459" s="322" t="n">
        <v>-234.796694214876</v>
      </c>
      <c r="DA459" s="322" t="n">
        <v>-234.796694214876</v>
      </c>
    </row>
    <row r="460" customFormat="false" ht="12.75" hidden="false" customHeight="false" outlineLevel="0" collapsed="false">
      <c r="B460" s="305" t="s">
        <v>130</v>
      </c>
      <c r="C460" s="326" t="s">
        <v>722</v>
      </c>
      <c r="D460" s="306" t="n">
        <v>468</v>
      </c>
      <c r="E460" s="306" t="n">
        <v>2.5</v>
      </c>
      <c r="F460" s="324" t="s">
        <v>710</v>
      </c>
      <c r="G460" s="144" t="n">
        <v>48</v>
      </c>
      <c r="H460" s="325" t="n">
        <v>311.570247933884</v>
      </c>
      <c r="I460" s="2"/>
      <c r="J460" s="144" t="s">
        <v>12</v>
      </c>
      <c r="K460" s="309" t="s">
        <v>12</v>
      </c>
      <c r="L460" s="310"/>
      <c r="M460" s="311" t="n">
        <v>99</v>
      </c>
      <c r="N460" s="312" t="n">
        <v>3.1</v>
      </c>
      <c r="O460" s="311" t="n">
        <v>19</v>
      </c>
      <c r="P460" s="312" t="n">
        <v>3.7</v>
      </c>
      <c r="Q460" s="310" t="n">
        <v>19</v>
      </c>
      <c r="R460" s="312" t="n">
        <v>3.3</v>
      </c>
      <c r="S460" s="310"/>
      <c r="T460" s="311" t="n">
        <v>0</v>
      </c>
      <c r="U460" s="312" t="n">
        <v>5.1</v>
      </c>
      <c r="V460" s="311" t="n">
        <v>0</v>
      </c>
      <c r="W460" s="312" t="n">
        <v>3.8</v>
      </c>
      <c r="X460" s="311" t="n">
        <v>0</v>
      </c>
      <c r="Y460" s="312" t="n">
        <v>3.8</v>
      </c>
      <c r="Z460" s="313" t="n">
        <v>0</v>
      </c>
      <c r="AA460" s="314" t="n">
        <v>3.7</v>
      </c>
      <c r="AB460" s="313" t="n">
        <v>0</v>
      </c>
      <c r="AC460" s="314" t="n">
        <v>3.7</v>
      </c>
      <c r="AD460" s="315"/>
      <c r="AE460" s="144" t="n">
        <v>156</v>
      </c>
      <c r="AF460" s="315"/>
      <c r="AG460" s="311" t="n">
        <v>0</v>
      </c>
      <c r="AH460" s="309" t="n">
        <v>0</v>
      </c>
      <c r="AI460" s="310"/>
      <c r="AJ460" s="311" t="n">
        <v>220</v>
      </c>
      <c r="AK460" s="309" t="n">
        <v>148.8</v>
      </c>
      <c r="AL460" s="311" t="n">
        <v>271</v>
      </c>
      <c r="AM460" s="309" t="n">
        <v>177.6</v>
      </c>
      <c r="AN460" s="310" t="n">
        <v>291</v>
      </c>
      <c r="AO460" s="309" t="n">
        <v>158.4</v>
      </c>
      <c r="AP460" s="310"/>
      <c r="AQ460" s="311" t="n">
        <v>223</v>
      </c>
      <c r="AR460" s="309" t="n">
        <v>244.8</v>
      </c>
      <c r="AS460" s="311" t="n">
        <v>286</v>
      </c>
      <c r="AT460" s="309" t="n">
        <v>182.4</v>
      </c>
      <c r="AU460" s="310" t="n">
        <v>286</v>
      </c>
      <c r="AV460" s="309" t="n">
        <v>182.4</v>
      </c>
      <c r="AW460" s="310" t="n">
        <v>290</v>
      </c>
      <c r="AX460" s="309" t="n">
        <v>177.6</v>
      </c>
      <c r="AY460" s="310" t="n">
        <v>290</v>
      </c>
      <c r="AZ460" s="309" t="n">
        <v>177.6</v>
      </c>
      <c r="BB460" s="144" t="n">
        <v>0</v>
      </c>
      <c r="BC460" s="315"/>
      <c r="BD460" s="311" t="n">
        <v>0</v>
      </c>
      <c r="BE460" s="316" t="n">
        <v>0</v>
      </c>
      <c r="BF460" s="310"/>
      <c r="BG460" s="317" t="n">
        <v>0</v>
      </c>
      <c r="BH460" s="318" t="n">
        <v>0</v>
      </c>
      <c r="BI460" s="317" t="n">
        <v>0</v>
      </c>
      <c r="BJ460" s="318" t="n">
        <v>0</v>
      </c>
      <c r="BK460" s="317" t="n">
        <v>0</v>
      </c>
      <c r="BL460" s="318" t="n">
        <v>0</v>
      </c>
      <c r="BM460" s="310"/>
      <c r="BN460" s="317" t="n">
        <v>0</v>
      </c>
      <c r="BO460" s="318" t="n">
        <v>0</v>
      </c>
      <c r="BP460" s="317" t="n">
        <v>0</v>
      </c>
      <c r="BQ460" s="318" t="n">
        <v>0</v>
      </c>
      <c r="BR460" s="317" t="n">
        <v>0</v>
      </c>
      <c r="BS460" s="318" t="n">
        <v>0</v>
      </c>
      <c r="BT460" s="317" t="n">
        <v>0</v>
      </c>
      <c r="BU460" s="318" t="n">
        <v>0</v>
      </c>
      <c r="BV460" s="317" t="n">
        <v>0</v>
      </c>
      <c r="BW460" s="318" t="n">
        <v>0</v>
      </c>
      <c r="BY460" s="143"/>
      <c r="BZ460" s="315"/>
      <c r="CA460" s="144" t="s">
        <v>12</v>
      </c>
      <c r="CB460" s="315"/>
      <c r="CC460" s="144" t="n">
        <v>-63.7702479338843</v>
      </c>
      <c r="CD460" s="144" t="n">
        <v>-114.970247933884</v>
      </c>
      <c r="CE460" s="144" t="n">
        <v>-134.170247933884</v>
      </c>
      <c r="CF460" s="315"/>
      <c r="CG460" s="144" t="n">
        <v>-66.7702479338843</v>
      </c>
      <c r="CH460" s="144" t="n">
        <v>-129.170247933884</v>
      </c>
      <c r="CI460" s="144" t="n">
        <v>-129.170247933884</v>
      </c>
      <c r="CJ460" s="144" t="n">
        <v>-133.970247933884</v>
      </c>
      <c r="CK460" s="144" t="n">
        <v>-133.970247933884</v>
      </c>
      <c r="CM460" s="144" t="n">
        <v>412.396694214876</v>
      </c>
      <c r="CO460" s="319"/>
      <c r="CP460" s="320"/>
      <c r="CQ460" s="321" t="s">
        <v>12</v>
      </c>
      <c r="CR460" s="320"/>
      <c r="CS460" s="322" t="n">
        <v>-164.596694214876</v>
      </c>
      <c r="CT460" s="322" t="n">
        <v>-215.796694214876</v>
      </c>
      <c r="CU460" s="322" t="n">
        <v>-234.996694214876</v>
      </c>
      <c r="CV460" s="323"/>
      <c r="CW460" s="322" t="n">
        <v>-167.596694214876</v>
      </c>
      <c r="CX460" s="322" t="n">
        <v>-229.996694214876</v>
      </c>
      <c r="CY460" s="322" t="n">
        <v>-229.996694214876</v>
      </c>
      <c r="CZ460" s="322" t="n">
        <v>-234.796694214876</v>
      </c>
      <c r="DA460" s="322" t="n">
        <v>-234.796694214876</v>
      </c>
    </row>
    <row r="461" customFormat="false" ht="12.75" hidden="false" customHeight="false" outlineLevel="0" collapsed="false">
      <c r="B461" s="305" t="s">
        <v>130</v>
      </c>
      <c r="C461" s="326" t="s">
        <v>723</v>
      </c>
      <c r="D461" s="306" t="n">
        <v>377</v>
      </c>
      <c r="E461" s="306" t="n">
        <v>2.5</v>
      </c>
      <c r="F461" s="306" t="s">
        <v>710</v>
      </c>
      <c r="G461" s="307" t="n">
        <v>24</v>
      </c>
      <c r="H461" s="308" t="n">
        <v>237.190082644628</v>
      </c>
      <c r="I461" s="2"/>
      <c r="J461" s="144" t="s">
        <v>12</v>
      </c>
      <c r="K461" s="309" t="s">
        <v>12</v>
      </c>
      <c r="L461" s="310"/>
      <c r="M461" s="311" t="n">
        <v>39</v>
      </c>
      <c r="N461" s="312" t="n">
        <v>6.7</v>
      </c>
      <c r="O461" s="311" t="n">
        <v>0</v>
      </c>
      <c r="P461" s="312" t="n">
        <v>5.6</v>
      </c>
      <c r="Q461" s="310" t="n">
        <v>0</v>
      </c>
      <c r="R461" s="312" t="n">
        <v>4.8</v>
      </c>
      <c r="S461" s="310"/>
      <c r="T461" s="311" t="n">
        <v>0</v>
      </c>
      <c r="U461" s="312" t="n">
        <v>7.9</v>
      </c>
      <c r="V461" s="311" t="n">
        <v>0</v>
      </c>
      <c r="W461" s="312" t="n">
        <v>5</v>
      </c>
      <c r="X461" s="311" t="n">
        <v>0</v>
      </c>
      <c r="Y461" s="312" t="n">
        <v>5</v>
      </c>
      <c r="Z461" s="313" t="n">
        <v>0</v>
      </c>
      <c r="AA461" s="314" t="n">
        <v>5</v>
      </c>
      <c r="AB461" s="313" t="n">
        <v>0</v>
      </c>
      <c r="AC461" s="314" t="n">
        <v>5</v>
      </c>
      <c r="AD461" s="315"/>
      <c r="AE461" s="144" t="n">
        <v>140</v>
      </c>
      <c r="AF461" s="315"/>
      <c r="AG461" s="311" t="n">
        <v>0</v>
      </c>
      <c r="AH461" s="309" t="n">
        <v>0</v>
      </c>
      <c r="AI461" s="310"/>
      <c r="AJ461" s="311" t="n">
        <v>177</v>
      </c>
      <c r="AK461" s="309" t="n">
        <v>160.8</v>
      </c>
      <c r="AL461" s="311" t="n">
        <v>243</v>
      </c>
      <c r="AM461" s="309" t="n">
        <v>134.4</v>
      </c>
      <c r="AN461" s="311" t="n">
        <v>262</v>
      </c>
      <c r="AO461" s="309" t="n">
        <v>115.2</v>
      </c>
      <c r="AP461" s="310"/>
      <c r="AQ461" s="311" t="n">
        <v>187</v>
      </c>
      <c r="AR461" s="309" t="n">
        <v>189.6</v>
      </c>
      <c r="AS461" s="311" t="n">
        <v>257</v>
      </c>
      <c r="AT461" s="309" t="n">
        <v>120</v>
      </c>
      <c r="AU461" s="311" t="n">
        <v>257</v>
      </c>
      <c r="AV461" s="309" t="n">
        <v>120</v>
      </c>
      <c r="AW461" s="311" t="n">
        <v>257</v>
      </c>
      <c r="AX461" s="309" t="n">
        <v>120</v>
      </c>
      <c r="AY461" s="311" t="n">
        <v>257</v>
      </c>
      <c r="AZ461" s="309" t="n">
        <v>120</v>
      </c>
      <c r="BB461" s="144" t="n">
        <v>0</v>
      </c>
      <c r="BC461" s="315"/>
      <c r="BD461" s="311" t="n">
        <v>0</v>
      </c>
      <c r="BE461" s="316" t="n">
        <v>0</v>
      </c>
      <c r="BF461" s="310"/>
      <c r="BG461" s="317" t="n">
        <v>0</v>
      </c>
      <c r="BH461" s="318" t="n">
        <v>0.2</v>
      </c>
      <c r="BI461" s="317" t="n">
        <v>0</v>
      </c>
      <c r="BJ461" s="318" t="n">
        <v>0.8</v>
      </c>
      <c r="BK461" s="317" t="n">
        <v>0</v>
      </c>
      <c r="BL461" s="318" t="n">
        <v>0.800000000000001</v>
      </c>
      <c r="BM461" s="310"/>
      <c r="BN461" s="317" t="n">
        <v>0</v>
      </c>
      <c r="BO461" s="318" t="n">
        <v>0</v>
      </c>
      <c r="BP461" s="317" t="n">
        <v>0</v>
      </c>
      <c r="BQ461" s="318" t="n">
        <v>0.8</v>
      </c>
      <c r="BR461" s="317" t="n">
        <v>0</v>
      </c>
      <c r="BS461" s="318" t="n">
        <v>0.8</v>
      </c>
      <c r="BT461" s="317" t="n">
        <v>0</v>
      </c>
      <c r="BU461" s="318" t="n">
        <v>0.9</v>
      </c>
      <c r="BV461" s="317" t="n">
        <v>0</v>
      </c>
      <c r="BW461" s="318" t="n">
        <v>0.9</v>
      </c>
      <c r="BY461" s="143"/>
      <c r="BZ461" s="315"/>
      <c r="CA461" s="144" t="s">
        <v>12</v>
      </c>
      <c r="CB461" s="315"/>
      <c r="CC461" s="144" t="n">
        <v>-37.3900826446281</v>
      </c>
      <c r="CD461" s="144" t="n">
        <v>-102.790082644628</v>
      </c>
      <c r="CE461" s="144" t="n">
        <v>-121.990082644628</v>
      </c>
      <c r="CF461" s="315"/>
      <c r="CG461" s="144" t="n">
        <v>-47.5900826446281</v>
      </c>
      <c r="CH461" s="144" t="n">
        <v>-117.190082644628</v>
      </c>
      <c r="CI461" s="144" t="n">
        <v>-117.190082644628</v>
      </c>
      <c r="CJ461" s="144" t="n">
        <v>-117.190082644628</v>
      </c>
      <c r="CK461" s="144" t="n">
        <v>-117.190082644628</v>
      </c>
      <c r="CM461" s="144" t="n">
        <v>313.223140495868</v>
      </c>
      <c r="CO461" s="319"/>
      <c r="CP461" s="320"/>
      <c r="CQ461" s="321" t="s">
        <v>12</v>
      </c>
      <c r="CR461" s="320"/>
      <c r="CS461" s="322" t="n">
        <v>-113.423140495868</v>
      </c>
      <c r="CT461" s="322" t="n">
        <v>-178.823140495868</v>
      </c>
      <c r="CU461" s="322" t="n">
        <v>-198.023140495868</v>
      </c>
      <c r="CV461" s="323"/>
      <c r="CW461" s="322" t="n">
        <v>-123.623140495868</v>
      </c>
      <c r="CX461" s="322" t="n">
        <v>-193.223140495868</v>
      </c>
      <c r="CY461" s="322" t="n">
        <v>-193.223140495868</v>
      </c>
      <c r="CZ461" s="322" t="n">
        <v>-193.223140495868</v>
      </c>
      <c r="DA461" s="322" t="n">
        <v>-193.223140495868</v>
      </c>
    </row>
    <row r="462" customFormat="false" ht="12.75" hidden="false" customHeight="false" outlineLevel="0" collapsed="false">
      <c r="B462" s="305" t="s">
        <v>130</v>
      </c>
      <c r="C462" s="326" t="s">
        <v>723</v>
      </c>
      <c r="D462" s="306" t="n">
        <v>377</v>
      </c>
      <c r="E462" s="306" t="n">
        <v>2.5</v>
      </c>
      <c r="F462" s="324" t="s">
        <v>710</v>
      </c>
      <c r="G462" s="144" t="n">
        <v>48</v>
      </c>
      <c r="H462" s="325" t="n">
        <v>237.190082644628</v>
      </c>
      <c r="I462" s="2"/>
      <c r="J462" s="144" t="s">
        <v>12</v>
      </c>
      <c r="K462" s="309" t="s">
        <v>12</v>
      </c>
      <c r="L462" s="310"/>
      <c r="M462" s="311" t="n">
        <v>39</v>
      </c>
      <c r="N462" s="312" t="n">
        <v>3.4</v>
      </c>
      <c r="O462" s="311" t="n">
        <v>0</v>
      </c>
      <c r="P462" s="312" t="n">
        <v>2.8</v>
      </c>
      <c r="Q462" s="310" t="n">
        <v>0</v>
      </c>
      <c r="R462" s="312" t="n">
        <v>2.4</v>
      </c>
      <c r="S462" s="310"/>
      <c r="T462" s="311" t="n">
        <v>0</v>
      </c>
      <c r="U462" s="312" t="n">
        <v>4</v>
      </c>
      <c r="V462" s="311" t="n">
        <v>0</v>
      </c>
      <c r="W462" s="312" t="n">
        <v>2.5</v>
      </c>
      <c r="X462" s="311" t="n">
        <v>0</v>
      </c>
      <c r="Y462" s="312" t="n">
        <v>2.5</v>
      </c>
      <c r="Z462" s="313" t="n">
        <v>0</v>
      </c>
      <c r="AA462" s="314" t="n">
        <v>2.5</v>
      </c>
      <c r="AB462" s="313" t="n">
        <v>0</v>
      </c>
      <c r="AC462" s="314" t="n">
        <v>2.5</v>
      </c>
      <c r="AD462" s="315"/>
      <c r="AE462" s="144" t="n">
        <v>140</v>
      </c>
      <c r="AF462" s="315"/>
      <c r="AG462" s="311" t="n">
        <v>0</v>
      </c>
      <c r="AH462" s="309" t="n">
        <v>0</v>
      </c>
      <c r="AI462" s="310"/>
      <c r="AJ462" s="311" t="n">
        <v>175</v>
      </c>
      <c r="AK462" s="309" t="n">
        <v>163.2</v>
      </c>
      <c r="AL462" s="311" t="n">
        <v>243</v>
      </c>
      <c r="AM462" s="309" t="n">
        <v>134.4</v>
      </c>
      <c r="AN462" s="310" t="n">
        <v>262</v>
      </c>
      <c r="AO462" s="309" t="n">
        <v>115.2</v>
      </c>
      <c r="AP462" s="310"/>
      <c r="AQ462" s="311" t="n">
        <v>185</v>
      </c>
      <c r="AR462" s="309" t="n">
        <v>192</v>
      </c>
      <c r="AS462" s="311" t="n">
        <v>257</v>
      </c>
      <c r="AT462" s="309" t="n">
        <v>120</v>
      </c>
      <c r="AU462" s="310" t="n">
        <v>257</v>
      </c>
      <c r="AV462" s="309" t="n">
        <v>120</v>
      </c>
      <c r="AW462" s="310" t="n">
        <v>257</v>
      </c>
      <c r="AX462" s="309" t="n">
        <v>120</v>
      </c>
      <c r="AY462" s="310" t="n">
        <v>257</v>
      </c>
      <c r="AZ462" s="309" t="n">
        <v>120</v>
      </c>
      <c r="BB462" s="144" t="n">
        <v>0</v>
      </c>
      <c r="BC462" s="315"/>
      <c r="BD462" s="311" t="n">
        <v>0</v>
      </c>
      <c r="BE462" s="316" t="n">
        <v>0</v>
      </c>
      <c r="BF462" s="310"/>
      <c r="BG462" s="317" t="n">
        <v>0</v>
      </c>
      <c r="BH462" s="318" t="n">
        <v>0</v>
      </c>
      <c r="BI462" s="317" t="n">
        <v>0</v>
      </c>
      <c r="BJ462" s="318" t="n">
        <v>0</v>
      </c>
      <c r="BK462" s="317" t="n">
        <v>0</v>
      </c>
      <c r="BL462" s="318" t="n">
        <v>0</v>
      </c>
      <c r="BM462" s="310"/>
      <c r="BN462" s="317" t="n">
        <v>0</v>
      </c>
      <c r="BO462" s="318" t="n">
        <v>0</v>
      </c>
      <c r="BP462" s="317" t="n">
        <v>0</v>
      </c>
      <c r="BQ462" s="318" t="n">
        <v>0</v>
      </c>
      <c r="BR462" s="317" t="n">
        <v>0</v>
      </c>
      <c r="BS462" s="318" t="n">
        <v>0</v>
      </c>
      <c r="BT462" s="317" t="n">
        <v>0</v>
      </c>
      <c r="BU462" s="318" t="n">
        <v>0</v>
      </c>
      <c r="BV462" s="317" t="n">
        <v>0</v>
      </c>
      <c r="BW462" s="318" t="n">
        <v>0</v>
      </c>
      <c r="BY462" s="143"/>
      <c r="BZ462" s="315"/>
      <c r="CA462" s="144" t="s">
        <v>12</v>
      </c>
      <c r="CB462" s="315"/>
      <c r="CC462" s="144" t="n">
        <v>-34.9900826446281</v>
      </c>
      <c r="CD462" s="144" t="n">
        <v>-102.790082644628</v>
      </c>
      <c r="CE462" s="144" t="n">
        <v>-121.990082644628</v>
      </c>
      <c r="CF462" s="315"/>
      <c r="CG462" s="144" t="n">
        <v>-45.1900826446281</v>
      </c>
      <c r="CH462" s="144" t="n">
        <v>-117.190082644628</v>
      </c>
      <c r="CI462" s="144" t="n">
        <v>-117.190082644628</v>
      </c>
      <c r="CJ462" s="144" t="n">
        <v>-117.190082644628</v>
      </c>
      <c r="CK462" s="144" t="n">
        <v>-117.190082644628</v>
      </c>
      <c r="CM462" s="144" t="n">
        <v>313.223140495868</v>
      </c>
      <c r="CO462" s="319"/>
      <c r="CP462" s="320"/>
      <c r="CQ462" s="321" t="s">
        <v>12</v>
      </c>
      <c r="CR462" s="320"/>
      <c r="CS462" s="322" t="n">
        <v>-111.023140495868</v>
      </c>
      <c r="CT462" s="322" t="n">
        <v>-178.823140495868</v>
      </c>
      <c r="CU462" s="322" t="n">
        <v>-198.023140495868</v>
      </c>
      <c r="CV462" s="323"/>
      <c r="CW462" s="322" t="n">
        <v>-121.223140495868</v>
      </c>
      <c r="CX462" s="322" t="n">
        <v>-193.223140495868</v>
      </c>
      <c r="CY462" s="322" t="n">
        <v>-193.223140495868</v>
      </c>
      <c r="CZ462" s="322" t="n">
        <v>-193.223140495868</v>
      </c>
      <c r="DA462" s="322" t="n">
        <v>-193.223140495868</v>
      </c>
    </row>
    <row r="463" customFormat="false" ht="12.75" hidden="false" customHeight="false" outlineLevel="0" collapsed="false">
      <c r="B463" s="305" t="s">
        <v>130</v>
      </c>
      <c r="C463" s="326" t="s">
        <v>724</v>
      </c>
      <c r="D463" s="306" t="n">
        <v>748</v>
      </c>
      <c r="E463" s="306" t="n">
        <v>2.5</v>
      </c>
      <c r="F463" s="306" t="s">
        <v>710</v>
      </c>
      <c r="G463" s="307" t="n">
        <v>24</v>
      </c>
      <c r="H463" s="308" t="n">
        <v>376.859504132231</v>
      </c>
      <c r="I463" s="2"/>
      <c r="J463" s="144" t="s">
        <v>12</v>
      </c>
      <c r="K463" s="309" t="s">
        <v>12</v>
      </c>
      <c r="L463" s="310"/>
      <c r="M463" s="311" t="n">
        <v>129</v>
      </c>
      <c r="N463" s="312" t="n">
        <v>7.9</v>
      </c>
      <c r="O463" s="311" t="n">
        <v>19</v>
      </c>
      <c r="P463" s="312" t="n">
        <v>10</v>
      </c>
      <c r="Q463" s="310" t="n">
        <v>19</v>
      </c>
      <c r="R463" s="312" t="n">
        <v>9.1</v>
      </c>
      <c r="S463" s="310"/>
      <c r="T463" s="311" t="n">
        <v>0</v>
      </c>
      <c r="U463" s="312" t="n">
        <v>13.1</v>
      </c>
      <c r="V463" s="311" t="n">
        <v>0</v>
      </c>
      <c r="W463" s="312" t="n">
        <v>10</v>
      </c>
      <c r="X463" s="311" t="n">
        <v>0</v>
      </c>
      <c r="Y463" s="312" t="n">
        <v>10</v>
      </c>
      <c r="Z463" s="313" t="n">
        <v>0</v>
      </c>
      <c r="AA463" s="314" t="n">
        <v>9.9</v>
      </c>
      <c r="AB463" s="313" t="n">
        <v>0</v>
      </c>
      <c r="AC463" s="314" t="n">
        <v>9.9</v>
      </c>
      <c r="AD463" s="315"/>
      <c r="AE463" s="144" t="n">
        <v>371</v>
      </c>
      <c r="AF463" s="315"/>
      <c r="AG463" s="311" t="n">
        <v>0</v>
      </c>
      <c r="AH463" s="309" t="n">
        <v>0</v>
      </c>
      <c r="AI463" s="310"/>
      <c r="AJ463" s="311" t="n">
        <v>429</v>
      </c>
      <c r="AK463" s="309" t="n">
        <v>189.6</v>
      </c>
      <c r="AL463" s="311" t="n">
        <v>489</v>
      </c>
      <c r="AM463" s="309" t="n">
        <v>240</v>
      </c>
      <c r="AN463" s="311" t="n">
        <v>511</v>
      </c>
      <c r="AO463" s="309" t="n">
        <v>218.4</v>
      </c>
      <c r="AP463" s="310"/>
      <c r="AQ463" s="311" t="n">
        <v>434</v>
      </c>
      <c r="AR463" s="309" t="n">
        <v>314.4</v>
      </c>
      <c r="AS463" s="311" t="n">
        <v>508</v>
      </c>
      <c r="AT463" s="309" t="n">
        <v>240</v>
      </c>
      <c r="AU463" s="311" t="n">
        <v>508</v>
      </c>
      <c r="AV463" s="309" t="n">
        <v>240</v>
      </c>
      <c r="AW463" s="311" t="n">
        <v>510</v>
      </c>
      <c r="AX463" s="309" t="n">
        <v>237.6</v>
      </c>
      <c r="AY463" s="311" t="n">
        <v>510</v>
      </c>
      <c r="AZ463" s="309" t="n">
        <v>237.6</v>
      </c>
      <c r="BB463" s="144" t="n">
        <v>0</v>
      </c>
      <c r="BC463" s="315"/>
      <c r="BD463" s="311" t="n">
        <v>0</v>
      </c>
      <c r="BE463" s="316" t="n">
        <v>0</v>
      </c>
      <c r="BF463" s="310"/>
      <c r="BG463" s="317" t="n">
        <v>0</v>
      </c>
      <c r="BH463" s="318" t="n">
        <v>0.2</v>
      </c>
      <c r="BI463" s="317" t="n">
        <v>0</v>
      </c>
      <c r="BJ463" s="318" t="n">
        <v>0.9</v>
      </c>
      <c r="BK463" s="317" t="n">
        <v>0</v>
      </c>
      <c r="BL463" s="318" t="n">
        <v>0.799999999999999</v>
      </c>
      <c r="BM463" s="310"/>
      <c r="BN463" s="317" t="n">
        <v>0</v>
      </c>
      <c r="BO463" s="318" t="n">
        <v>0</v>
      </c>
      <c r="BP463" s="317" t="n">
        <v>0</v>
      </c>
      <c r="BQ463" s="318" t="n">
        <v>0.699999999999999</v>
      </c>
      <c r="BR463" s="317" t="n">
        <v>0</v>
      </c>
      <c r="BS463" s="318" t="n">
        <v>0.699999999999999</v>
      </c>
      <c r="BT463" s="317" t="n">
        <v>0</v>
      </c>
      <c r="BU463" s="318" t="n">
        <v>0.6</v>
      </c>
      <c r="BV463" s="317" t="n">
        <v>0</v>
      </c>
      <c r="BW463" s="318" t="n">
        <v>0.6</v>
      </c>
      <c r="BY463" s="143"/>
      <c r="BZ463" s="315"/>
      <c r="CA463" s="144" t="s">
        <v>12</v>
      </c>
      <c r="CB463" s="315"/>
      <c r="CC463" s="144" t="n">
        <v>-58.2595041322314</v>
      </c>
      <c r="CD463" s="144" t="n">
        <v>-117.859504132231</v>
      </c>
      <c r="CE463" s="144" t="n">
        <v>-139.459504132231</v>
      </c>
      <c r="CF463" s="315"/>
      <c r="CG463" s="144" t="n">
        <v>-62.4595041322314</v>
      </c>
      <c r="CH463" s="144" t="n">
        <v>-136.859504132231</v>
      </c>
      <c r="CI463" s="144" t="n">
        <v>-136.859504132231</v>
      </c>
      <c r="CJ463" s="144" t="n">
        <v>-139.259504132231</v>
      </c>
      <c r="CK463" s="144" t="n">
        <v>-139.259504132231</v>
      </c>
      <c r="CM463" s="144" t="n">
        <v>660.330578512397</v>
      </c>
      <c r="CO463" s="319"/>
      <c r="CP463" s="320"/>
      <c r="CQ463" s="321" t="s">
        <v>12</v>
      </c>
      <c r="CR463" s="320"/>
      <c r="CS463" s="322" t="n">
        <v>-341.730578512397</v>
      </c>
      <c r="CT463" s="322" t="n">
        <v>-401.330578512397</v>
      </c>
      <c r="CU463" s="322" t="n">
        <v>-422.930578512397</v>
      </c>
      <c r="CV463" s="323"/>
      <c r="CW463" s="322" t="n">
        <v>-345.930578512397</v>
      </c>
      <c r="CX463" s="322" t="n">
        <v>-420.330578512397</v>
      </c>
      <c r="CY463" s="322" t="n">
        <v>-420.330578512397</v>
      </c>
      <c r="CZ463" s="322" t="n">
        <v>-422.730578512397</v>
      </c>
      <c r="DA463" s="322" t="n">
        <v>-422.730578512397</v>
      </c>
    </row>
    <row r="464" customFormat="false" ht="12.75" hidden="false" customHeight="false" outlineLevel="0" collapsed="false">
      <c r="B464" s="305" t="s">
        <v>130</v>
      </c>
      <c r="C464" s="326" t="s">
        <v>724</v>
      </c>
      <c r="D464" s="306" t="n">
        <v>748</v>
      </c>
      <c r="E464" s="306" t="n">
        <v>2.5</v>
      </c>
      <c r="F464" s="324" t="s">
        <v>710</v>
      </c>
      <c r="G464" s="144" t="n">
        <v>48</v>
      </c>
      <c r="H464" s="325" t="n">
        <v>376.859504132231</v>
      </c>
      <c r="I464" s="2"/>
      <c r="J464" s="144" t="s">
        <v>12</v>
      </c>
      <c r="K464" s="309" t="s">
        <v>12</v>
      </c>
      <c r="L464" s="310"/>
      <c r="M464" s="311" t="n">
        <v>129</v>
      </c>
      <c r="N464" s="312" t="n">
        <v>4</v>
      </c>
      <c r="O464" s="311" t="n">
        <v>19</v>
      </c>
      <c r="P464" s="312" t="n">
        <v>5</v>
      </c>
      <c r="Q464" s="310" t="n">
        <v>19</v>
      </c>
      <c r="R464" s="312" t="n">
        <v>4.6</v>
      </c>
      <c r="S464" s="310"/>
      <c r="T464" s="311" t="n">
        <v>0</v>
      </c>
      <c r="U464" s="312" t="n">
        <v>6.6</v>
      </c>
      <c r="V464" s="311" t="n">
        <v>0</v>
      </c>
      <c r="W464" s="312" t="n">
        <v>5</v>
      </c>
      <c r="X464" s="311" t="n">
        <v>0</v>
      </c>
      <c r="Y464" s="312" t="n">
        <v>5</v>
      </c>
      <c r="Z464" s="313" t="n">
        <v>0</v>
      </c>
      <c r="AA464" s="314" t="n">
        <v>5</v>
      </c>
      <c r="AB464" s="313" t="n">
        <v>0</v>
      </c>
      <c r="AC464" s="314" t="n">
        <v>5</v>
      </c>
      <c r="AD464" s="315"/>
      <c r="AE464" s="144" t="n">
        <v>371</v>
      </c>
      <c r="AF464" s="315"/>
      <c r="AG464" s="311" t="n">
        <v>0</v>
      </c>
      <c r="AH464" s="309" t="n">
        <v>0</v>
      </c>
      <c r="AI464" s="310"/>
      <c r="AJ464" s="311" t="n">
        <v>427</v>
      </c>
      <c r="AK464" s="309" t="n">
        <v>192</v>
      </c>
      <c r="AL464" s="311" t="n">
        <v>489</v>
      </c>
      <c r="AM464" s="309" t="n">
        <v>240</v>
      </c>
      <c r="AN464" s="310" t="n">
        <v>508</v>
      </c>
      <c r="AO464" s="309" t="n">
        <v>220.8</v>
      </c>
      <c r="AP464" s="310"/>
      <c r="AQ464" s="311" t="n">
        <v>431</v>
      </c>
      <c r="AR464" s="309" t="n">
        <v>316.8</v>
      </c>
      <c r="AS464" s="311" t="n">
        <v>508</v>
      </c>
      <c r="AT464" s="309" t="n">
        <v>240</v>
      </c>
      <c r="AU464" s="310" t="n">
        <v>508</v>
      </c>
      <c r="AV464" s="309" t="n">
        <v>240</v>
      </c>
      <c r="AW464" s="310" t="n">
        <v>508</v>
      </c>
      <c r="AX464" s="309" t="n">
        <v>240</v>
      </c>
      <c r="AY464" s="310" t="n">
        <v>508</v>
      </c>
      <c r="AZ464" s="309" t="n">
        <v>240</v>
      </c>
      <c r="BB464" s="144" t="n">
        <v>0</v>
      </c>
      <c r="BC464" s="315"/>
      <c r="BD464" s="311" t="n">
        <v>0</v>
      </c>
      <c r="BE464" s="316" t="n">
        <v>0</v>
      </c>
      <c r="BF464" s="310"/>
      <c r="BG464" s="317" t="n">
        <v>0</v>
      </c>
      <c r="BH464" s="318" t="n">
        <v>0</v>
      </c>
      <c r="BI464" s="317" t="n">
        <v>0</v>
      </c>
      <c r="BJ464" s="318" t="n">
        <v>0</v>
      </c>
      <c r="BK464" s="317" t="n">
        <v>0</v>
      </c>
      <c r="BL464" s="318" t="n">
        <v>0</v>
      </c>
      <c r="BM464" s="310"/>
      <c r="BN464" s="317" t="n">
        <v>0</v>
      </c>
      <c r="BO464" s="318" t="n">
        <v>0</v>
      </c>
      <c r="BP464" s="317" t="n">
        <v>0</v>
      </c>
      <c r="BQ464" s="318" t="n">
        <v>0</v>
      </c>
      <c r="BR464" s="317" t="n">
        <v>0</v>
      </c>
      <c r="BS464" s="318" t="n">
        <v>0</v>
      </c>
      <c r="BT464" s="317" t="n">
        <v>0</v>
      </c>
      <c r="BU464" s="318" t="n">
        <v>0</v>
      </c>
      <c r="BV464" s="317" t="n">
        <v>0</v>
      </c>
      <c r="BW464" s="318" t="n">
        <v>0</v>
      </c>
      <c r="BY464" s="143"/>
      <c r="BZ464" s="315"/>
      <c r="CA464" s="144" t="s">
        <v>12</v>
      </c>
      <c r="CB464" s="315"/>
      <c r="CC464" s="144" t="n">
        <v>-55.8595041322314</v>
      </c>
      <c r="CD464" s="144" t="n">
        <v>-117.859504132231</v>
      </c>
      <c r="CE464" s="144" t="n">
        <v>-137.059504132231</v>
      </c>
      <c r="CF464" s="315"/>
      <c r="CG464" s="144" t="n">
        <v>-60.0595041322314</v>
      </c>
      <c r="CH464" s="144" t="n">
        <v>-136.859504132231</v>
      </c>
      <c r="CI464" s="144" t="n">
        <v>-136.859504132231</v>
      </c>
      <c r="CJ464" s="144" t="n">
        <v>-136.859504132231</v>
      </c>
      <c r="CK464" s="144" t="n">
        <v>-136.859504132231</v>
      </c>
      <c r="CM464" s="144" t="n">
        <v>660.330578512397</v>
      </c>
      <c r="CO464" s="319"/>
      <c r="CP464" s="320"/>
      <c r="CQ464" s="321" t="s">
        <v>12</v>
      </c>
      <c r="CR464" s="320"/>
      <c r="CS464" s="322" t="n">
        <v>-339.330578512397</v>
      </c>
      <c r="CT464" s="322" t="n">
        <v>-401.330578512397</v>
      </c>
      <c r="CU464" s="322" t="n">
        <v>-420.530578512397</v>
      </c>
      <c r="CV464" s="323"/>
      <c r="CW464" s="322" t="n">
        <v>-343.530578512397</v>
      </c>
      <c r="CX464" s="322" t="n">
        <v>-420.330578512397</v>
      </c>
      <c r="CY464" s="322" t="n">
        <v>-420.330578512397</v>
      </c>
      <c r="CZ464" s="322" t="n">
        <v>-420.330578512397</v>
      </c>
      <c r="DA464" s="322" t="n">
        <v>-420.330578512397</v>
      </c>
    </row>
    <row r="465" customFormat="false" ht="12.75" hidden="false" customHeight="false" outlineLevel="0" collapsed="false">
      <c r="B465" s="305" t="s">
        <v>130</v>
      </c>
      <c r="C465" s="334" t="s">
        <v>725</v>
      </c>
      <c r="D465" s="306" t="n">
        <v>404</v>
      </c>
      <c r="E465" s="306" t="n">
        <v>2.5</v>
      </c>
      <c r="F465" s="306" t="s">
        <v>710</v>
      </c>
      <c r="G465" s="307" t="n">
        <v>24</v>
      </c>
      <c r="H465" s="308" t="n">
        <v>313.223140495868</v>
      </c>
      <c r="I465" s="2"/>
      <c r="J465" s="144" t="s">
        <v>12</v>
      </c>
      <c r="K465" s="309" t="s">
        <v>12</v>
      </c>
      <c r="L465" s="310"/>
      <c r="M465" s="311" t="n">
        <v>99</v>
      </c>
      <c r="N465" s="312" t="n">
        <v>6.2</v>
      </c>
      <c r="O465" s="311" t="n">
        <v>19</v>
      </c>
      <c r="P465" s="312" t="n">
        <v>7.3</v>
      </c>
      <c r="Q465" s="310" t="n">
        <v>19</v>
      </c>
      <c r="R465" s="312" t="n">
        <v>6.5</v>
      </c>
      <c r="S465" s="310"/>
      <c r="T465" s="311" t="n">
        <v>0</v>
      </c>
      <c r="U465" s="312" t="n">
        <v>10.4</v>
      </c>
      <c r="V465" s="311" t="n">
        <v>0</v>
      </c>
      <c r="W465" s="312" t="n">
        <v>7.9</v>
      </c>
      <c r="X465" s="311" t="n">
        <v>0</v>
      </c>
      <c r="Y465" s="312" t="n">
        <v>7.9</v>
      </c>
      <c r="Z465" s="313" t="n">
        <v>0</v>
      </c>
      <c r="AA465" s="314" t="n">
        <v>7.9</v>
      </c>
      <c r="AB465" s="313" t="n">
        <v>0</v>
      </c>
      <c r="AC465" s="314" t="n">
        <v>7.9</v>
      </c>
      <c r="AD465" s="315"/>
      <c r="AE465" s="144" t="n">
        <v>91</v>
      </c>
      <c r="AF465" s="315"/>
      <c r="AG465" s="311" t="n">
        <v>0</v>
      </c>
      <c r="AH465" s="309" t="n">
        <v>0</v>
      </c>
      <c r="AI465" s="310"/>
      <c r="AJ465" s="311" t="n">
        <v>156</v>
      </c>
      <c r="AK465" s="309" t="n">
        <v>148.8</v>
      </c>
      <c r="AL465" s="311" t="n">
        <v>210</v>
      </c>
      <c r="AM465" s="309" t="n">
        <v>175.2</v>
      </c>
      <c r="AN465" s="311" t="n">
        <v>229</v>
      </c>
      <c r="AO465" s="309" t="n">
        <v>156</v>
      </c>
      <c r="AP465" s="310"/>
      <c r="AQ465" s="311" t="n">
        <v>154</v>
      </c>
      <c r="AR465" s="309" t="n">
        <v>249.6</v>
      </c>
      <c r="AS465" s="311" t="n">
        <v>214</v>
      </c>
      <c r="AT465" s="309" t="n">
        <v>189.6</v>
      </c>
      <c r="AU465" s="311" t="n">
        <v>214</v>
      </c>
      <c r="AV465" s="309" t="n">
        <v>189.6</v>
      </c>
      <c r="AW465" s="311" t="n">
        <v>214</v>
      </c>
      <c r="AX465" s="309" t="n">
        <v>189.6</v>
      </c>
      <c r="AY465" s="311" t="n">
        <v>214</v>
      </c>
      <c r="AZ465" s="309" t="n">
        <v>189.6</v>
      </c>
      <c r="BB465" s="144" t="n">
        <v>0</v>
      </c>
      <c r="BC465" s="315"/>
      <c r="BD465" s="311" t="n">
        <v>0</v>
      </c>
      <c r="BE465" s="316" t="n">
        <v>0</v>
      </c>
      <c r="BF465" s="310"/>
      <c r="BG465" s="317" t="n">
        <v>0</v>
      </c>
      <c r="BH465" s="318" t="n">
        <v>0</v>
      </c>
      <c r="BI465" s="317" t="n">
        <v>0</v>
      </c>
      <c r="BJ465" s="318" t="n">
        <v>0</v>
      </c>
      <c r="BK465" s="317" t="n">
        <v>0</v>
      </c>
      <c r="BL465" s="318" t="n">
        <v>0</v>
      </c>
      <c r="BM465" s="310"/>
      <c r="BN465" s="317" t="n">
        <v>0</v>
      </c>
      <c r="BO465" s="318" t="n">
        <v>0</v>
      </c>
      <c r="BP465" s="317" t="n">
        <v>0</v>
      </c>
      <c r="BQ465" s="318" t="n">
        <v>0</v>
      </c>
      <c r="BR465" s="317" t="n">
        <v>0</v>
      </c>
      <c r="BS465" s="318" t="n">
        <v>0</v>
      </c>
      <c r="BT465" s="317" t="n">
        <v>0</v>
      </c>
      <c r="BU465" s="318" t="n">
        <v>0</v>
      </c>
      <c r="BV465" s="317" t="n">
        <v>0</v>
      </c>
      <c r="BW465" s="318" t="n">
        <v>0</v>
      </c>
      <c r="BY465" s="143"/>
      <c r="BZ465" s="315"/>
      <c r="CA465" s="144" t="s">
        <v>12</v>
      </c>
      <c r="CB465" s="315"/>
      <c r="CC465" s="144" t="n">
        <v>-65.4231404958678</v>
      </c>
      <c r="CD465" s="144" t="n">
        <v>-119.023140495868</v>
      </c>
      <c r="CE465" s="144" t="n">
        <v>-138.223140495868</v>
      </c>
      <c r="CF465" s="315"/>
      <c r="CG465" s="144" t="n">
        <v>-63.6231404958677</v>
      </c>
      <c r="CH465" s="144" t="n">
        <v>-123.623140495868</v>
      </c>
      <c r="CI465" s="144" t="n">
        <v>-123.623140495868</v>
      </c>
      <c r="CJ465" s="144" t="n">
        <v>-123.623140495868</v>
      </c>
      <c r="CK465" s="144" t="n">
        <v>-123.623140495868</v>
      </c>
      <c r="CM465" s="144" t="n">
        <v>329.752066115702</v>
      </c>
      <c r="CO465" s="319"/>
      <c r="CP465" s="320"/>
      <c r="CQ465" s="321" t="s">
        <v>12</v>
      </c>
      <c r="CR465" s="320"/>
      <c r="CS465" s="322" t="n">
        <v>-81.9520661157025</v>
      </c>
      <c r="CT465" s="322" t="n">
        <v>-135.552066115702</v>
      </c>
      <c r="CU465" s="322" t="n">
        <v>-154.752066115702</v>
      </c>
      <c r="CV465" s="323"/>
      <c r="CW465" s="322" t="n">
        <v>-80.1520661157024</v>
      </c>
      <c r="CX465" s="322" t="n">
        <v>-140.152066115702</v>
      </c>
      <c r="CY465" s="322" t="n">
        <v>-140.152066115702</v>
      </c>
      <c r="CZ465" s="322" t="n">
        <v>-140.152066115702</v>
      </c>
      <c r="DA465" s="322" t="n">
        <v>-140.152066115702</v>
      </c>
    </row>
    <row r="466" customFormat="false" ht="12.75" hidden="false" customHeight="false" outlineLevel="0" collapsed="false">
      <c r="B466" s="305" t="s">
        <v>130</v>
      </c>
      <c r="C466" s="334" t="s">
        <v>725</v>
      </c>
      <c r="D466" s="306" t="n">
        <v>404</v>
      </c>
      <c r="E466" s="306" t="n">
        <v>2.5</v>
      </c>
      <c r="F466" s="324" t="s">
        <v>710</v>
      </c>
      <c r="G466" s="144" t="n">
        <v>48</v>
      </c>
      <c r="H466" s="325" t="n">
        <v>113.22</v>
      </c>
      <c r="I466" s="2"/>
      <c r="J466" s="144" t="s">
        <v>12</v>
      </c>
      <c r="K466" s="309" t="s">
        <v>12</v>
      </c>
      <c r="L466" s="310"/>
      <c r="M466" s="311" t="n">
        <v>99</v>
      </c>
      <c r="N466" s="312" t="n">
        <v>3.1</v>
      </c>
      <c r="O466" s="311" t="n">
        <v>19</v>
      </c>
      <c r="P466" s="312" t="n">
        <v>3.7</v>
      </c>
      <c r="Q466" s="310" t="n">
        <v>19</v>
      </c>
      <c r="R466" s="312" t="n">
        <v>3.3</v>
      </c>
      <c r="S466" s="310"/>
      <c r="T466" s="311" t="n">
        <v>0</v>
      </c>
      <c r="U466" s="312" t="n">
        <v>5.2</v>
      </c>
      <c r="V466" s="311" t="n">
        <v>0</v>
      </c>
      <c r="W466" s="312" t="n">
        <v>4</v>
      </c>
      <c r="X466" s="311" t="n">
        <v>0</v>
      </c>
      <c r="Y466" s="312" t="n">
        <v>4</v>
      </c>
      <c r="Z466" s="313" t="n">
        <v>0</v>
      </c>
      <c r="AA466" s="314" t="n">
        <v>4</v>
      </c>
      <c r="AB466" s="313" t="n">
        <v>0</v>
      </c>
      <c r="AC466" s="314" t="n">
        <v>4</v>
      </c>
      <c r="AD466" s="315"/>
      <c r="AE466" s="144" t="n">
        <v>291</v>
      </c>
      <c r="AF466" s="315"/>
      <c r="AG466" s="311" t="n">
        <v>0</v>
      </c>
      <c r="AH466" s="309" t="n">
        <v>0</v>
      </c>
      <c r="AI466" s="310"/>
      <c r="AJ466" s="311" t="n">
        <v>156</v>
      </c>
      <c r="AK466" s="309" t="n">
        <v>148.8</v>
      </c>
      <c r="AL466" s="311" t="n">
        <v>207</v>
      </c>
      <c r="AM466" s="309" t="n">
        <v>177.6</v>
      </c>
      <c r="AN466" s="310" t="n">
        <v>227</v>
      </c>
      <c r="AO466" s="309" t="n">
        <v>158.4</v>
      </c>
      <c r="AP466" s="310"/>
      <c r="AQ466" s="311" t="n">
        <v>154</v>
      </c>
      <c r="AR466" s="309" t="n">
        <v>249.6</v>
      </c>
      <c r="AS466" s="311" t="n">
        <v>212</v>
      </c>
      <c r="AT466" s="309" t="n">
        <v>192</v>
      </c>
      <c r="AU466" s="310" t="n">
        <v>212</v>
      </c>
      <c r="AV466" s="309" t="n">
        <v>192</v>
      </c>
      <c r="AW466" s="310" t="n">
        <v>212</v>
      </c>
      <c r="AX466" s="309" t="n">
        <v>192</v>
      </c>
      <c r="AY466" s="310" t="n">
        <v>212</v>
      </c>
      <c r="AZ466" s="309" t="n">
        <v>192</v>
      </c>
      <c r="BB466" s="144" t="n">
        <v>0</v>
      </c>
      <c r="BC466" s="315"/>
      <c r="BD466" s="311" t="n">
        <v>0</v>
      </c>
      <c r="BE466" s="316" t="n">
        <v>0</v>
      </c>
      <c r="BF466" s="310"/>
      <c r="BG466" s="317" t="n">
        <v>0</v>
      </c>
      <c r="BH466" s="318" t="n">
        <v>0</v>
      </c>
      <c r="BI466" s="317" t="n">
        <v>0</v>
      </c>
      <c r="BJ466" s="318" t="n">
        <v>0</v>
      </c>
      <c r="BK466" s="317" t="n">
        <v>0</v>
      </c>
      <c r="BL466" s="318" t="n">
        <v>0</v>
      </c>
      <c r="BM466" s="310"/>
      <c r="BN466" s="317" t="n">
        <v>0</v>
      </c>
      <c r="BO466" s="318" t="n">
        <v>0</v>
      </c>
      <c r="BP466" s="317" t="n">
        <v>0</v>
      </c>
      <c r="BQ466" s="318" t="n">
        <v>0</v>
      </c>
      <c r="BR466" s="317" t="n">
        <v>0</v>
      </c>
      <c r="BS466" s="318" t="n">
        <v>0</v>
      </c>
      <c r="BT466" s="317" t="n">
        <v>0</v>
      </c>
      <c r="BU466" s="318" t="n">
        <v>0</v>
      </c>
      <c r="BV466" s="317" t="n">
        <v>0</v>
      </c>
      <c r="BW466" s="318" t="n">
        <v>0</v>
      </c>
      <c r="BY466" s="143"/>
      <c r="BZ466" s="315"/>
      <c r="CA466" s="144" t="s">
        <v>12</v>
      </c>
      <c r="CB466" s="315"/>
      <c r="CC466" s="144" t="n">
        <v>134.58</v>
      </c>
      <c r="CD466" s="144" t="n">
        <v>83.38</v>
      </c>
      <c r="CE466" s="144" t="n">
        <v>64.18</v>
      </c>
      <c r="CF466" s="315"/>
      <c r="CG466" s="144" t="n">
        <v>136.38</v>
      </c>
      <c r="CH466" s="144" t="n">
        <v>78.78</v>
      </c>
      <c r="CI466" s="144" t="n">
        <v>78.78</v>
      </c>
      <c r="CJ466" s="144" t="n">
        <v>78.78</v>
      </c>
      <c r="CK466" s="144" t="n">
        <v>78.78</v>
      </c>
      <c r="CM466" s="144" t="n">
        <v>329.752066115702</v>
      </c>
      <c r="CO466" s="319"/>
      <c r="CP466" s="320"/>
      <c r="CQ466" s="321" t="s">
        <v>12</v>
      </c>
      <c r="CR466" s="320"/>
      <c r="CS466" s="322" t="n">
        <v>-81.9520661157025</v>
      </c>
      <c r="CT466" s="322" t="n">
        <v>-133.152066115702</v>
      </c>
      <c r="CU466" s="322" t="n">
        <v>-152.352066115702</v>
      </c>
      <c r="CV466" s="323"/>
      <c r="CW466" s="322" t="n">
        <v>-80.1520661157024</v>
      </c>
      <c r="CX466" s="322" t="n">
        <v>-137.752066115702</v>
      </c>
      <c r="CY466" s="322" t="n">
        <v>-137.752066115702</v>
      </c>
      <c r="CZ466" s="322" t="n">
        <v>-137.752066115702</v>
      </c>
      <c r="DA466" s="322" t="n">
        <v>-137.752066115702</v>
      </c>
    </row>
    <row r="467" customFormat="false" ht="12.75" hidden="false" customHeight="false" outlineLevel="0" collapsed="false">
      <c r="B467" s="305" t="s">
        <v>465</v>
      </c>
      <c r="C467" s="326" t="s">
        <v>726</v>
      </c>
      <c r="D467" s="306" t="n">
        <v>288</v>
      </c>
      <c r="E467" s="306" t="n">
        <v>2.5</v>
      </c>
      <c r="F467" s="306" t="s">
        <v>710</v>
      </c>
      <c r="G467" s="307" t="n">
        <v>24</v>
      </c>
      <c r="H467" s="308" t="n">
        <v>448</v>
      </c>
      <c r="I467" s="2"/>
      <c r="J467" s="144" t="s">
        <v>12</v>
      </c>
      <c r="K467" s="309" t="s">
        <v>12</v>
      </c>
      <c r="L467" s="310"/>
      <c r="M467" s="311" t="n">
        <v>29</v>
      </c>
      <c r="N467" s="312" t="n">
        <v>5.6</v>
      </c>
      <c r="O467" s="311" t="n">
        <v>0</v>
      </c>
      <c r="P467" s="312" t="n">
        <v>4.2</v>
      </c>
      <c r="Q467" s="310" t="n">
        <v>0</v>
      </c>
      <c r="R467" s="312" t="n">
        <v>3.4</v>
      </c>
      <c r="S467" s="310"/>
      <c r="T467" s="311" t="n">
        <v>0</v>
      </c>
      <c r="U467" s="312" t="n">
        <v>6.7</v>
      </c>
      <c r="V467" s="311" t="n">
        <v>0</v>
      </c>
      <c r="W467" s="312" t="n">
        <v>3.4</v>
      </c>
      <c r="X467" s="311" t="n">
        <v>0</v>
      </c>
      <c r="Y467" s="312" t="n">
        <v>3.4</v>
      </c>
      <c r="Z467" s="313" t="n">
        <v>0</v>
      </c>
      <c r="AA467" s="314" t="n">
        <v>3.3</v>
      </c>
      <c r="AB467" s="313" t="n">
        <v>0</v>
      </c>
      <c r="AC467" s="314" t="n">
        <v>3.3</v>
      </c>
      <c r="AD467" s="315"/>
      <c r="AE467" s="144" t="n">
        <v>-160</v>
      </c>
      <c r="AF467" s="315"/>
      <c r="AG467" s="311" t="n">
        <v>0</v>
      </c>
      <c r="AH467" s="309" t="n">
        <v>0</v>
      </c>
      <c r="AI467" s="310"/>
      <c r="AJ467" s="311" t="n">
        <v>125</v>
      </c>
      <c r="AK467" s="309" t="n">
        <v>134.4</v>
      </c>
      <c r="AL467" s="311" t="n">
        <v>187</v>
      </c>
      <c r="AM467" s="309" t="n">
        <v>100.8</v>
      </c>
      <c r="AN467" s="311" t="n">
        <v>206</v>
      </c>
      <c r="AO467" s="309" t="n">
        <v>81.6</v>
      </c>
      <c r="AP467" s="310"/>
      <c r="AQ467" s="311" t="n">
        <v>127</v>
      </c>
      <c r="AR467" s="309" t="n">
        <v>160.8</v>
      </c>
      <c r="AS467" s="311" t="n">
        <v>206</v>
      </c>
      <c r="AT467" s="309" t="n">
        <v>81.6</v>
      </c>
      <c r="AU467" s="311" t="n">
        <v>206</v>
      </c>
      <c r="AV467" s="309" t="n">
        <v>81.6</v>
      </c>
      <c r="AW467" s="311" t="n">
        <v>209</v>
      </c>
      <c r="AX467" s="309" t="n">
        <v>79.2</v>
      </c>
      <c r="AY467" s="311" t="n">
        <v>209</v>
      </c>
      <c r="AZ467" s="309" t="n">
        <v>79.2</v>
      </c>
      <c r="BB467" s="144" t="n">
        <v>0</v>
      </c>
      <c r="BC467" s="315"/>
      <c r="BD467" s="311" t="n">
        <v>0</v>
      </c>
      <c r="BE467" s="316" t="n">
        <v>0</v>
      </c>
      <c r="BF467" s="310"/>
      <c r="BG467" s="317" t="n">
        <v>0</v>
      </c>
      <c r="BH467" s="318" t="n">
        <v>0.4</v>
      </c>
      <c r="BI467" s="317" t="n">
        <v>0</v>
      </c>
      <c r="BJ467" s="318" t="n">
        <v>0.8</v>
      </c>
      <c r="BK467" s="317" t="n">
        <v>0</v>
      </c>
      <c r="BL467" s="318" t="n">
        <v>0.9</v>
      </c>
      <c r="BM467" s="310"/>
      <c r="BN467" s="317" t="n">
        <v>0</v>
      </c>
      <c r="BO467" s="318" t="n">
        <v>0</v>
      </c>
      <c r="BP467" s="317" t="n">
        <v>0</v>
      </c>
      <c r="BQ467" s="318" t="n">
        <v>0.9</v>
      </c>
      <c r="BR467" s="317" t="n">
        <v>0</v>
      </c>
      <c r="BS467" s="318" t="n">
        <v>0.9</v>
      </c>
      <c r="BT467" s="317" t="n">
        <v>0</v>
      </c>
      <c r="BU467" s="318" t="n">
        <v>0.8</v>
      </c>
      <c r="BV467" s="317" t="n">
        <v>0</v>
      </c>
      <c r="BW467" s="318" t="n">
        <v>0.8</v>
      </c>
      <c r="BY467" s="143"/>
      <c r="BZ467" s="315"/>
      <c r="CA467" s="144"/>
      <c r="CB467" s="315"/>
      <c r="CC467" s="144" t="n">
        <v>-284.6</v>
      </c>
      <c r="CD467" s="144" t="n">
        <v>-347.2</v>
      </c>
      <c r="CE467" s="144" t="n">
        <v>-366.4</v>
      </c>
      <c r="CF467" s="315"/>
      <c r="CG467" s="144" t="n">
        <v>-287.2</v>
      </c>
      <c r="CH467" s="144" t="n">
        <v>-366.4</v>
      </c>
      <c r="CI467" s="144" t="n">
        <v>-366.4</v>
      </c>
      <c r="CJ467" s="144" t="n">
        <v>-368.8</v>
      </c>
      <c r="CK467" s="144" t="n">
        <v>-368.8</v>
      </c>
      <c r="CM467" s="144" t="n">
        <v>247.107438016529</v>
      </c>
      <c r="CO467" s="319"/>
      <c r="CP467" s="320"/>
      <c r="CQ467" s="321"/>
      <c r="CR467" s="320"/>
      <c r="CS467" s="322" t="n">
        <v>-83.7074380165289</v>
      </c>
      <c r="CT467" s="322" t="n">
        <v>-146.307438016529</v>
      </c>
      <c r="CU467" s="322" t="n">
        <v>-165.507438016529</v>
      </c>
      <c r="CV467" s="323"/>
      <c r="CW467" s="322" t="n">
        <v>-86.3074380165289</v>
      </c>
      <c r="CX467" s="322" t="n">
        <v>-165.507438016529</v>
      </c>
      <c r="CY467" s="322" t="n">
        <v>-165.507438016529</v>
      </c>
      <c r="CZ467" s="322" t="n">
        <v>-167.907438016529</v>
      </c>
      <c r="DA467" s="322" t="n">
        <v>-167.907438016529</v>
      </c>
    </row>
    <row r="468" customFormat="false" ht="12.75" hidden="false" customHeight="false" outlineLevel="0" collapsed="false">
      <c r="B468" s="305" t="s">
        <v>465</v>
      </c>
      <c r="C468" s="326" t="s">
        <v>726</v>
      </c>
      <c r="D468" s="306" t="n">
        <v>288</v>
      </c>
      <c r="E468" s="306" t="n">
        <v>2.5</v>
      </c>
      <c r="F468" s="324" t="s">
        <v>710</v>
      </c>
      <c r="G468" s="144" t="n">
        <v>48</v>
      </c>
      <c r="H468" s="308" t="n">
        <v>448</v>
      </c>
      <c r="I468" s="2"/>
      <c r="J468" s="144" t="s">
        <v>12</v>
      </c>
      <c r="K468" s="309" t="s">
        <v>12</v>
      </c>
      <c r="L468" s="310"/>
      <c r="M468" s="311" t="n">
        <v>29</v>
      </c>
      <c r="N468" s="312" t="n">
        <v>2.8</v>
      </c>
      <c r="O468" s="311" t="n">
        <v>0</v>
      </c>
      <c r="P468" s="312" t="n">
        <v>2.1</v>
      </c>
      <c r="Q468" s="310" t="n">
        <v>0</v>
      </c>
      <c r="R468" s="312" t="n">
        <v>1.7</v>
      </c>
      <c r="S468" s="310"/>
      <c r="T468" s="311" t="n">
        <v>0</v>
      </c>
      <c r="U468" s="312" t="n">
        <v>3.4</v>
      </c>
      <c r="V468" s="311" t="n">
        <v>0</v>
      </c>
      <c r="W468" s="312" t="n">
        <v>1.7</v>
      </c>
      <c r="X468" s="311" t="n">
        <v>0</v>
      </c>
      <c r="Y468" s="312" t="n">
        <v>1.7</v>
      </c>
      <c r="Z468" s="313" t="n">
        <v>0</v>
      </c>
      <c r="AA468" s="314" t="n">
        <v>1.7</v>
      </c>
      <c r="AB468" s="313" t="n">
        <v>0</v>
      </c>
      <c r="AC468" s="314" t="n">
        <v>1.7</v>
      </c>
      <c r="AD468" s="315"/>
      <c r="AE468" s="144" t="n">
        <v>-160</v>
      </c>
      <c r="AF468" s="315"/>
      <c r="AG468" s="311" t="n">
        <v>0</v>
      </c>
      <c r="AH468" s="309" t="n">
        <v>0</v>
      </c>
      <c r="AI468" s="310"/>
      <c r="AJ468" s="311" t="n">
        <v>125</v>
      </c>
      <c r="AK468" s="309" t="n">
        <v>134.4</v>
      </c>
      <c r="AL468" s="311" t="n">
        <v>187</v>
      </c>
      <c r="AM468" s="309" t="n">
        <v>100.8</v>
      </c>
      <c r="AN468" s="310" t="n">
        <v>206</v>
      </c>
      <c r="AO468" s="309" t="n">
        <v>81.6</v>
      </c>
      <c r="AP468" s="310"/>
      <c r="AQ468" s="311" t="n">
        <v>125</v>
      </c>
      <c r="AR468" s="309" t="n">
        <v>163.2</v>
      </c>
      <c r="AS468" s="311" t="n">
        <v>206</v>
      </c>
      <c r="AT468" s="309" t="n">
        <v>81.6</v>
      </c>
      <c r="AU468" s="310" t="n">
        <v>206</v>
      </c>
      <c r="AV468" s="309" t="n">
        <v>81.6</v>
      </c>
      <c r="AW468" s="310" t="n">
        <v>206</v>
      </c>
      <c r="AX468" s="309" t="n">
        <v>81.6</v>
      </c>
      <c r="AY468" s="310" t="n">
        <v>206</v>
      </c>
      <c r="AZ468" s="309" t="n">
        <v>81.6</v>
      </c>
      <c r="BB468" s="144" t="n">
        <v>0</v>
      </c>
      <c r="BC468" s="315"/>
      <c r="BD468" s="311" t="n">
        <v>0</v>
      </c>
      <c r="BE468" s="316" t="n">
        <v>0</v>
      </c>
      <c r="BF468" s="310"/>
      <c r="BG468" s="317" t="n">
        <v>0</v>
      </c>
      <c r="BH468" s="318" t="n">
        <v>0</v>
      </c>
      <c r="BI468" s="317" t="n">
        <v>0</v>
      </c>
      <c r="BJ468" s="318" t="n">
        <v>0</v>
      </c>
      <c r="BK468" s="317" t="n">
        <v>0</v>
      </c>
      <c r="BL468" s="318" t="n">
        <v>0</v>
      </c>
      <c r="BM468" s="310"/>
      <c r="BN468" s="317" t="n">
        <v>0</v>
      </c>
      <c r="BO468" s="318" t="n">
        <v>0</v>
      </c>
      <c r="BP468" s="317" t="n">
        <v>0</v>
      </c>
      <c r="BQ468" s="318" t="n">
        <v>0</v>
      </c>
      <c r="BR468" s="317" t="n">
        <v>0</v>
      </c>
      <c r="BS468" s="318" t="n">
        <v>0</v>
      </c>
      <c r="BT468" s="317" t="n">
        <v>0</v>
      </c>
      <c r="BU468" s="318" t="n">
        <v>0</v>
      </c>
      <c r="BV468" s="317" t="n">
        <v>0</v>
      </c>
      <c r="BW468" s="318" t="n">
        <v>0</v>
      </c>
      <c r="BY468" s="143"/>
      <c r="BZ468" s="315"/>
      <c r="CA468" s="144"/>
      <c r="CB468" s="315"/>
      <c r="CC468" s="144" t="n">
        <v>-284.6</v>
      </c>
      <c r="CD468" s="144" t="n">
        <v>-347.2</v>
      </c>
      <c r="CE468" s="144" t="n">
        <v>-366.4</v>
      </c>
      <c r="CF468" s="315"/>
      <c r="CG468" s="144" t="n">
        <v>-284.8</v>
      </c>
      <c r="CH468" s="144" t="n">
        <v>-366.4</v>
      </c>
      <c r="CI468" s="144" t="n">
        <v>-366.4</v>
      </c>
      <c r="CJ468" s="144" t="n">
        <v>-366.4</v>
      </c>
      <c r="CK468" s="144" t="n">
        <v>-366.4</v>
      </c>
      <c r="CM468" s="144" t="n">
        <v>247.107438016529</v>
      </c>
      <c r="CO468" s="319"/>
      <c r="CP468" s="320"/>
      <c r="CQ468" s="321"/>
      <c r="CR468" s="320"/>
      <c r="CS468" s="322" t="n">
        <v>-83.7074380165289</v>
      </c>
      <c r="CT468" s="322" t="n">
        <v>-146.307438016529</v>
      </c>
      <c r="CU468" s="322" t="n">
        <v>-165.507438016529</v>
      </c>
      <c r="CV468" s="323"/>
      <c r="CW468" s="322" t="n">
        <v>-83.9074380165289</v>
      </c>
      <c r="CX468" s="322" t="n">
        <v>-165.507438016529</v>
      </c>
      <c r="CY468" s="322" t="n">
        <v>-165.507438016529</v>
      </c>
      <c r="CZ468" s="322" t="n">
        <v>-165.507438016529</v>
      </c>
      <c r="DA468" s="322" t="n">
        <v>-165.507438016529</v>
      </c>
    </row>
    <row r="469" customFormat="false" ht="12.75" hidden="false" customHeight="false" outlineLevel="0" collapsed="false">
      <c r="B469" s="305" t="s">
        <v>200</v>
      </c>
      <c r="C469" s="326" t="s">
        <v>727</v>
      </c>
      <c r="D469" s="306" t="n">
        <v>421</v>
      </c>
      <c r="E469" s="306" t="n">
        <v>2.5</v>
      </c>
      <c r="F469" s="306" t="s">
        <v>710</v>
      </c>
      <c r="G469" s="307" t="n">
        <v>24</v>
      </c>
      <c r="H469" s="308" t="n">
        <v>420.661157024793</v>
      </c>
      <c r="I469" s="2"/>
      <c r="J469" s="144" t="s">
        <v>12</v>
      </c>
      <c r="K469" s="309" t="s">
        <v>12</v>
      </c>
      <c r="L469" s="310"/>
      <c r="M469" s="311" t="n">
        <v>139</v>
      </c>
      <c r="N469" s="312" t="n">
        <v>8.5</v>
      </c>
      <c r="O469" s="311" t="n">
        <v>19</v>
      </c>
      <c r="P469" s="312" t="n">
        <v>11.4</v>
      </c>
      <c r="Q469" s="310" t="n">
        <v>19</v>
      </c>
      <c r="R469" s="312" t="n">
        <v>10.6</v>
      </c>
      <c r="S469" s="310"/>
      <c r="T469" s="311" t="n">
        <v>0</v>
      </c>
      <c r="U469" s="312" t="n">
        <v>14.3</v>
      </c>
      <c r="V469" s="311" t="n">
        <v>0</v>
      </c>
      <c r="W469" s="312" t="n">
        <v>10.8</v>
      </c>
      <c r="X469" s="311" t="n">
        <v>0</v>
      </c>
      <c r="Y469" s="312" t="n">
        <v>10.8</v>
      </c>
      <c r="Z469" s="313" t="n">
        <v>0</v>
      </c>
      <c r="AA469" s="314" t="n">
        <v>10.7</v>
      </c>
      <c r="AB469" s="313" t="n">
        <v>0</v>
      </c>
      <c r="AC469" s="314" t="n">
        <v>10.7</v>
      </c>
      <c r="AD469" s="315"/>
      <c r="AE469" s="144" t="n">
        <v>0</v>
      </c>
      <c r="AF469" s="315"/>
      <c r="AG469" s="311" t="n">
        <v>0</v>
      </c>
      <c r="AH469" s="309" t="n">
        <v>0</v>
      </c>
      <c r="AI469" s="310"/>
      <c r="AJ469" s="311" t="n">
        <v>78</v>
      </c>
      <c r="AK469" s="309" t="n">
        <v>204</v>
      </c>
      <c r="AL469" s="311" t="n">
        <v>128</v>
      </c>
      <c r="AM469" s="309" t="n">
        <v>273.6</v>
      </c>
      <c r="AN469" s="311" t="n">
        <v>148</v>
      </c>
      <c r="AO469" s="309" t="n">
        <v>254.4</v>
      </c>
      <c r="AP469" s="310"/>
      <c r="AQ469" s="311" t="n">
        <v>78</v>
      </c>
      <c r="AR469" s="309" t="n">
        <v>343.2</v>
      </c>
      <c r="AS469" s="311" t="n">
        <v>162</v>
      </c>
      <c r="AT469" s="309" t="n">
        <v>259.2</v>
      </c>
      <c r="AU469" s="311" t="n">
        <v>162</v>
      </c>
      <c r="AV469" s="309" t="n">
        <v>259.2</v>
      </c>
      <c r="AW469" s="311" t="n">
        <v>164</v>
      </c>
      <c r="AX469" s="309" t="n">
        <v>256.8</v>
      </c>
      <c r="AY469" s="311" t="n">
        <v>164</v>
      </c>
      <c r="AZ469" s="309" t="n">
        <v>256.8</v>
      </c>
      <c r="BB469" s="144" t="n">
        <v>0</v>
      </c>
      <c r="BC469" s="315"/>
      <c r="BD469" s="311" t="n">
        <v>0</v>
      </c>
      <c r="BE469" s="316" t="n">
        <v>0</v>
      </c>
      <c r="BF469" s="310"/>
      <c r="BG469" s="317" t="n">
        <v>0</v>
      </c>
      <c r="BH469" s="318" t="n">
        <v>0.199999999999999</v>
      </c>
      <c r="BI469" s="317" t="n">
        <v>0</v>
      </c>
      <c r="BJ469" s="318" t="n">
        <v>0.6</v>
      </c>
      <c r="BK469" s="317" t="n">
        <v>0</v>
      </c>
      <c r="BL469" s="318" t="n">
        <v>0.800000000000001</v>
      </c>
      <c r="BM469" s="310"/>
      <c r="BN469" s="317" t="n">
        <v>0</v>
      </c>
      <c r="BO469" s="318" t="n">
        <v>0</v>
      </c>
      <c r="BP469" s="317" t="n">
        <v>0</v>
      </c>
      <c r="BQ469" s="318" t="n">
        <v>0.4</v>
      </c>
      <c r="BR469" s="317" t="n">
        <v>0</v>
      </c>
      <c r="BS469" s="318" t="n">
        <v>0.4</v>
      </c>
      <c r="BT469" s="317" t="n">
        <v>0</v>
      </c>
      <c r="BU469" s="318" t="n">
        <v>0.4</v>
      </c>
      <c r="BV469" s="317" t="n">
        <v>0</v>
      </c>
      <c r="BW469" s="318" t="n">
        <v>0.4</v>
      </c>
      <c r="BY469" s="143"/>
      <c r="BZ469" s="315"/>
      <c r="CA469" s="144"/>
      <c r="CB469" s="315"/>
      <c r="CC469" s="144" t="n">
        <v>-77.6611570247934</v>
      </c>
      <c r="CD469" s="144" t="n">
        <v>-128.061157024793</v>
      </c>
      <c r="CE469" s="144" t="n">
        <v>-147.261157024793</v>
      </c>
      <c r="CF469" s="315"/>
      <c r="CG469" s="144" t="n">
        <v>-77.4611570247934</v>
      </c>
      <c r="CH469" s="144" t="n">
        <v>-161.461157024793</v>
      </c>
      <c r="CI469" s="144" t="n">
        <v>-161.461157024793</v>
      </c>
      <c r="CJ469" s="144" t="n">
        <v>-163.861157024793</v>
      </c>
      <c r="CK469" s="144" t="n">
        <v>-163.861157024793</v>
      </c>
      <c r="CM469" s="144" t="n">
        <v>368.578512396694</v>
      </c>
      <c r="CO469" s="319"/>
      <c r="CP469" s="320"/>
      <c r="CQ469" s="321"/>
      <c r="CR469" s="320"/>
      <c r="CS469" s="322" t="n">
        <v>-25.5785123966942</v>
      </c>
      <c r="CT469" s="322" t="n">
        <v>-75.9785123966942</v>
      </c>
      <c r="CU469" s="322" t="n">
        <v>-95.1785123966942</v>
      </c>
      <c r="CV469" s="323"/>
      <c r="CW469" s="322" t="n">
        <v>-25.3785123966942</v>
      </c>
      <c r="CX469" s="322" t="n">
        <v>-109.378512396694</v>
      </c>
      <c r="CY469" s="322" t="n">
        <v>-109.378512396694</v>
      </c>
      <c r="CZ469" s="322" t="n">
        <v>-111.778512396694</v>
      </c>
      <c r="DA469" s="322" t="n">
        <v>-111.778512396694</v>
      </c>
    </row>
    <row r="470" customFormat="false" ht="12.75" hidden="false" customHeight="false" outlineLevel="0" collapsed="false">
      <c r="B470" s="305" t="s">
        <v>200</v>
      </c>
      <c r="C470" s="326" t="s">
        <v>727</v>
      </c>
      <c r="D470" s="306" t="n">
        <v>421</v>
      </c>
      <c r="E470" s="306" t="n">
        <v>2.5</v>
      </c>
      <c r="F470" s="324" t="s">
        <v>710</v>
      </c>
      <c r="G470" s="144" t="n">
        <v>48</v>
      </c>
      <c r="H470" s="325" t="n">
        <v>420.661157024793</v>
      </c>
      <c r="I470" s="2"/>
      <c r="J470" s="144" t="s">
        <v>12</v>
      </c>
      <c r="K470" s="309" t="s">
        <v>12</v>
      </c>
      <c r="L470" s="310"/>
      <c r="M470" s="311" t="n">
        <v>139</v>
      </c>
      <c r="N470" s="312" t="n">
        <v>4.3</v>
      </c>
      <c r="O470" s="311" t="n">
        <v>19</v>
      </c>
      <c r="P470" s="312" t="n">
        <v>5.7</v>
      </c>
      <c r="Q470" s="310" t="n">
        <v>19</v>
      </c>
      <c r="R470" s="312" t="n">
        <v>5.3</v>
      </c>
      <c r="S470" s="310"/>
      <c r="T470" s="311" t="n">
        <v>0</v>
      </c>
      <c r="U470" s="312" t="n">
        <v>7.2</v>
      </c>
      <c r="V470" s="311" t="n">
        <v>0</v>
      </c>
      <c r="W470" s="312" t="n">
        <v>5.4</v>
      </c>
      <c r="X470" s="311" t="n">
        <v>0</v>
      </c>
      <c r="Y470" s="312" t="n">
        <v>5.4</v>
      </c>
      <c r="Z470" s="313" t="n">
        <v>0</v>
      </c>
      <c r="AA470" s="314" t="n">
        <v>5.4</v>
      </c>
      <c r="AB470" s="313" t="n">
        <v>0</v>
      </c>
      <c r="AC470" s="314" t="n">
        <v>5.4</v>
      </c>
      <c r="AD470" s="315"/>
      <c r="AE470" s="144" t="n">
        <v>0</v>
      </c>
      <c r="AF470" s="315"/>
      <c r="AG470" s="311" t="n">
        <v>0</v>
      </c>
      <c r="AH470" s="309" t="n">
        <v>0</v>
      </c>
      <c r="AI470" s="310"/>
      <c r="AJ470" s="311" t="n">
        <v>76</v>
      </c>
      <c r="AK470" s="309" t="n">
        <v>206.4</v>
      </c>
      <c r="AL470" s="311" t="n">
        <v>128</v>
      </c>
      <c r="AM470" s="309" t="n">
        <v>273.6</v>
      </c>
      <c r="AN470" s="310" t="n">
        <v>148</v>
      </c>
      <c r="AO470" s="309" t="n">
        <v>254.4</v>
      </c>
      <c r="AP470" s="310"/>
      <c r="AQ470" s="311" t="n">
        <v>75</v>
      </c>
      <c r="AR470" s="309" t="n">
        <v>345.6</v>
      </c>
      <c r="AS470" s="311" t="n">
        <v>162</v>
      </c>
      <c r="AT470" s="309" t="n">
        <v>259.2</v>
      </c>
      <c r="AU470" s="310" t="n">
        <v>162</v>
      </c>
      <c r="AV470" s="309" t="n">
        <v>259.2</v>
      </c>
      <c r="AW470" s="310" t="n">
        <v>162</v>
      </c>
      <c r="AX470" s="309" t="n">
        <v>259.2</v>
      </c>
      <c r="AY470" s="310" t="n">
        <v>162</v>
      </c>
      <c r="AZ470" s="309" t="n">
        <v>259.2</v>
      </c>
      <c r="BB470" s="144" t="n">
        <v>0</v>
      </c>
      <c r="BC470" s="315"/>
      <c r="BD470" s="311" t="n">
        <v>0</v>
      </c>
      <c r="BE470" s="316" t="n">
        <v>0</v>
      </c>
      <c r="BF470" s="310"/>
      <c r="BG470" s="317" t="n">
        <v>0</v>
      </c>
      <c r="BH470" s="318" t="n">
        <v>0</v>
      </c>
      <c r="BI470" s="317" t="n">
        <v>0</v>
      </c>
      <c r="BJ470" s="318" t="n">
        <v>0</v>
      </c>
      <c r="BK470" s="317" t="n">
        <v>0</v>
      </c>
      <c r="BL470" s="318" t="n">
        <v>0</v>
      </c>
      <c r="BM470" s="310"/>
      <c r="BN470" s="317" t="n">
        <v>0</v>
      </c>
      <c r="BO470" s="318" t="n">
        <v>0</v>
      </c>
      <c r="BP470" s="317" t="n">
        <v>0</v>
      </c>
      <c r="BQ470" s="318" t="n">
        <v>0</v>
      </c>
      <c r="BR470" s="317" t="n">
        <v>0</v>
      </c>
      <c r="BS470" s="318" t="n">
        <v>0</v>
      </c>
      <c r="BT470" s="317" t="n">
        <v>0</v>
      </c>
      <c r="BU470" s="318" t="n">
        <v>0</v>
      </c>
      <c r="BV470" s="317" t="n">
        <v>0</v>
      </c>
      <c r="BW470" s="318" t="n">
        <v>0</v>
      </c>
      <c r="BY470" s="143"/>
      <c r="BZ470" s="315"/>
      <c r="CA470" s="144"/>
      <c r="CB470" s="315"/>
      <c r="CC470" s="144" t="n">
        <v>-75.2611570247934</v>
      </c>
      <c r="CD470" s="144" t="n">
        <v>-128.061157024793</v>
      </c>
      <c r="CE470" s="144" t="n">
        <v>-147.261157024793</v>
      </c>
      <c r="CF470" s="315"/>
      <c r="CG470" s="144" t="n">
        <v>-75.0611570247934</v>
      </c>
      <c r="CH470" s="144" t="n">
        <v>-161.461157024793</v>
      </c>
      <c r="CI470" s="144" t="n">
        <v>-161.461157024793</v>
      </c>
      <c r="CJ470" s="144" t="n">
        <v>-161.461157024793</v>
      </c>
      <c r="CK470" s="144" t="n">
        <v>-161.461157024793</v>
      </c>
      <c r="CM470" s="144" t="n">
        <v>368.578512396694</v>
      </c>
      <c r="CO470" s="319"/>
      <c r="CP470" s="320"/>
      <c r="CQ470" s="321"/>
      <c r="CR470" s="320"/>
      <c r="CS470" s="322" t="n">
        <v>-23.1785123966943</v>
      </c>
      <c r="CT470" s="322" t="n">
        <v>-75.9785123966942</v>
      </c>
      <c r="CU470" s="322" t="n">
        <v>-95.1785123966942</v>
      </c>
      <c r="CV470" s="323"/>
      <c r="CW470" s="322" t="n">
        <v>-22.9785123966942</v>
      </c>
      <c r="CX470" s="322" t="n">
        <v>-109.378512396694</v>
      </c>
      <c r="CY470" s="322" t="n">
        <v>-109.378512396694</v>
      </c>
      <c r="CZ470" s="322" t="n">
        <v>-109.378512396694</v>
      </c>
      <c r="DA470" s="322" t="n">
        <v>-109.378512396694</v>
      </c>
    </row>
    <row r="471" customFormat="false" ht="12.75" hidden="false" customHeight="false" outlineLevel="0" collapsed="false">
      <c r="B471" s="305" t="s">
        <v>200</v>
      </c>
      <c r="C471" s="326" t="s">
        <v>728</v>
      </c>
      <c r="D471" s="306" t="n">
        <v>315</v>
      </c>
      <c r="E471" s="306" t="n">
        <v>2.5</v>
      </c>
      <c r="F471" s="306" t="s">
        <v>710</v>
      </c>
      <c r="G471" s="307" t="n">
        <v>24</v>
      </c>
      <c r="H471" s="308" t="n">
        <v>253.719008264463</v>
      </c>
      <c r="I471" s="2"/>
      <c r="J471" s="144" t="s">
        <v>12</v>
      </c>
      <c r="K471" s="309" t="s">
        <v>12</v>
      </c>
      <c r="L471" s="310"/>
      <c r="M471" s="311" t="n">
        <v>39</v>
      </c>
      <c r="N471" s="312" t="n">
        <v>7.5</v>
      </c>
      <c r="O471" s="311" t="n">
        <v>0</v>
      </c>
      <c r="P471" s="312" t="n">
        <v>6.2</v>
      </c>
      <c r="Q471" s="310" t="n">
        <v>0</v>
      </c>
      <c r="R471" s="312" t="n">
        <v>5.4</v>
      </c>
      <c r="S471" s="310"/>
      <c r="T471" s="311" t="n">
        <v>0</v>
      </c>
      <c r="U471" s="312" t="n">
        <v>8.7</v>
      </c>
      <c r="V471" s="311" t="n">
        <v>0</v>
      </c>
      <c r="W471" s="312" t="n">
        <v>5.8</v>
      </c>
      <c r="X471" s="311" t="n">
        <v>0</v>
      </c>
      <c r="Y471" s="312" t="n">
        <v>5.8</v>
      </c>
      <c r="Z471" s="313" t="n">
        <v>0</v>
      </c>
      <c r="AA471" s="314" t="n">
        <v>5.8</v>
      </c>
      <c r="AB471" s="313" t="n">
        <v>0</v>
      </c>
      <c r="AC471" s="314" t="n">
        <v>5.8</v>
      </c>
      <c r="AD471" s="315"/>
      <c r="AE471" s="144" t="n">
        <v>61</v>
      </c>
      <c r="AF471" s="315"/>
      <c r="AG471" s="311" t="n">
        <v>0</v>
      </c>
      <c r="AH471" s="309" t="n">
        <v>0</v>
      </c>
      <c r="AI471" s="310"/>
      <c r="AJ471" s="311" t="n">
        <v>96</v>
      </c>
      <c r="AK471" s="309" t="n">
        <v>180</v>
      </c>
      <c r="AL471" s="311" t="n">
        <v>166</v>
      </c>
      <c r="AM471" s="309" t="n">
        <v>148.8</v>
      </c>
      <c r="AN471" s="311" t="n">
        <v>185</v>
      </c>
      <c r="AO471" s="309" t="n">
        <v>129.6</v>
      </c>
      <c r="AP471" s="310"/>
      <c r="AQ471" s="311" t="n">
        <v>106</v>
      </c>
      <c r="AR471" s="309" t="n">
        <v>208.8</v>
      </c>
      <c r="AS471" s="311" t="n">
        <v>176</v>
      </c>
      <c r="AT471" s="309" t="n">
        <v>139.2</v>
      </c>
      <c r="AU471" s="311" t="n">
        <v>176</v>
      </c>
      <c r="AV471" s="309" t="n">
        <v>139.2</v>
      </c>
      <c r="AW471" s="311" t="n">
        <v>176</v>
      </c>
      <c r="AX471" s="309" t="n">
        <v>139.2</v>
      </c>
      <c r="AY471" s="311" t="n">
        <v>176</v>
      </c>
      <c r="AZ471" s="309" t="n">
        <v>139.2</v>
      </c>
      <c r="BB471" s="144" t="n">
        <v>0</v>
      </c>
      <c r="BC471" s="315"/>
      <c r="BD471" s="311" t="n">
        <v>0</v>
      </c>
      <c r="BE471" s="316" t="n">
        <v>0</v>
      </c>
      <c r="BF471" s="310"/>
      <c r="BG471" s="317" t="n">
        <v>0</v>
      </c>
      <c r="BH471" s="318" t="n">
        <v>0.4</v>
      </c>
      <c r="BI471" s="317" t="n">
        <v>0</v>
      </c>
      <c r="BJ471" s="318" t="n">
        <v>0.8</v>
      </c>
      <c r="BK471" s="317" t="n">
        <v>0</v>
      </c>
      <c r="BL471" s="318" t="n">
        <v>0.8</v>
      </c>
      <c r="BM471" s="310"/>
      <c r="BN471" s="317" t="n">
        <v>0</v>
      </c>
      <c r="BO471" s="318" t="n">
        <v>0</v>
      </c>
      <c r="BP471" s="317" t="n">
        <v>0</v>
      </c>
      <c r="BQ471" s="318" t="n">
        <v>0</v>
      </c>
      <c r="BR471" s="317" t="n">
        <v>0</v>
      </c>
      <c r="BS471" s="318" t="n">
        <v>0</v>
      </c>
      <c r="BT471" s="317" t="n">
        <v>0</v>
      </c>
      <c r="BU471" s="318" t="n">
        <v>0</v>
      </c>
      <c r="BV471" s="317" t="n">
        <v>0</v>
      </c>
      <c r="BW471" s="318" t="n">
        <v>0</v>
      </c>
      <c r="BY471" s="143"/>
      <c r="BZ471" s="315"/>
      <c r="CA471" s="144"/>
      <c r="CB471" s="315"/>
      <c r="CC471" s="144" t="n">
        <v>-34.7190082644628</v>
      </c>
      <c r="CD471" s="144" t="n">
        <v>-104.919008264463</v>
      </c>
      <c r="CE471" s="144" t="n">
        <v>-124.119008264463</v>
      </c>
      <c r="CF471" s="315"/>
      <c r="CG471" s="144" t="n">
        <v>-44.9190082644628</v>
      </c>
      <c r="CH471" s="144" t="n">
        <v>-114.519008264463</v>
      </c>
      <c r="CI471" s="144" t="n">
        <v>-114.519008264463</v>
      </c>
      <c r="CJ471" s="144" t="n">
        <v>-114.519008264463</v>
      </c>
      <c r="CK471" s="144" t="n">
        <v>-114.519008264463</v>
      </c>
      <c r="CM471" s="144" t="n">
        <v>261.140495867769</v>
      </c>
      <c r="CO471" s="319"/>
      <c r="CP471" s="320"/>
      <c r="CQ471" s="321"/>
      <c r="CR471" s="320"/>
      <c r="CS471" s="322" t="n">
        <v>-42.1404958677686</v>
      </c>
      <c r="CT471" s="322" t="n">
        <v>-112.340495867769</v>
      </c>
      <c r="CU471" s="322" t="n">
        <v>-131.540495867769</v>
      </c>
      <c r="CV471" s="323"/>
      <c r="CW471" s="322" t="n">
        <v>-52.3404958677686</v>
      </c>
      <c r="CX471" s="322" t="n">
        <v>-121.940495867769</v>
      </c>
      <c r="CY471" s="322" t="n">
        <v>-121.940495867769</v>
      </c>
      <c r="CZ471" s="322" t="n">
        <v>-121.940495867769</v>
      </c>
      <c r="DA471" s="322" t="n">
        <v>-121.940495867769</v>
      </c>
    </row>
    <row r="472" customFormat="false" ht="12.75" hidden="false" customHeight="false" outlineLevel="0" collapsed="false">
      <c r="B472" s="305" t="s">
        <v>200</v>
      </c>
      <c r="C472" s="326" t="s">
        <v>728</v>
      </c>
      <c r="D472" s="306" t="n">
        <v>315</v>
      </c>
      <c r="E472" s="306" t="n">
        <v>2.5</v>
      </c>
      <c r="F472" s="324" t="s">
        <v>710</v>
      </c>
      <c r="G472" s="144" t="n">
        <v>48</v>
      </c>
      <c r="H472" s="325" t="n">
        <v>253.719008264463</v>
      </c>
      <c r="I472" s="2"/>
      <c r="J472" s="144" t="s">
        <v>12</v>
      </c>
      <c r="K472" s="309" t="s">
        <v>12</v>
      </c>
      <c r="L472" s="310"/>
      <c r="M472" s="311" t="n">
        <v>39</v>
      </c>
      <c r="N472" s="312" t="n">
        <v>3.8</v>
      </c>
      <c r="O472" s="311" t="n">
        <v>0</v>
      </c>
      <c r="P472" s="312" t="n">
        <v>3.1</v>
      </c>
      <c r="Q472" s="310" t="n">
        <v>0</v>
      </c>
      <c r="R472" s="312" t="n">
        <v>2.7</v>
      </c>
      <c r="S472" s="310"/>
      <c r="T472" s="311" t="n">
        <v>0</v>
      </c>
      <c r="U472" s="312" t="n">
        <v>4.4</v>
      </c>
      <c r="V472" s="311" t="n">
        <v>0</v>
      </c>
      <c r="W472" s="312" t="n">
        <v>2.9</v>
      </c>
      <c r="X472" s="311" t="n">
        <v>0</v>
      </c>
      <c r="Y472" s="312" t="n">
        <v>2.9</v>
      </c>
      <c r="Z472" s="313" t="n">
        <v>0</v>
      </c>
      <c r="AA472" s="314" t="n">
        <v>2.9</v>
      </c>
      <c r="AB472" s="313" t="n">
        <v>0</v>
      </c>
      <c r="AC472" s="314" t="n">
        <v>2.9</v>
      </c>
      <c r="AD472" s="315"/>
      <c r="AE472" s="144" t="n">
        <v>61</v>
      </c>
      <c r="AF472" s="315"/>
      <c r="AG472" s="311" t="n">
        <v>0</v>
      </c>
      <c r="AH472" s="309" t="n">
        <v>0</v>
      </c>
      <c r="AI472" s="310"/>
      <c r="AJ472" s="311" t="n">
        <v>94</v>
      </c>
      <c r="AK472" s="309" t="n">
        <v>182.4</v>
      </c>
      <c r="AL472" s="311" t="n">
        <v>166</v>
      </c>
      <c r="AM472" s="309" t="n">
        <v>148.8</v>
      </c>
      <c r="AN472" s="310" t="n">
        <v>185</v>
      </c>
      <c r="AO472" s="309" t="n">
        <v>129.6</v>
      </c>
      <c r="AP472" s="310"/>
      <c r="AQ472" s="311" t="n">
        <v>104</v>
      </c>
      <c r="AR472" s="309" t="n">
        <v>211.2</v>
      </c>
      <c r="AS472" s="311" t="n">
        <v>176</v>
      </c>
      <c r="AT472" s="309" t="n">
        <v>139.2</v>
      </c>
      <c r="AU472" s="310" t="n">
        <v>176</v>
      </c>
      <c r="AV472" s="309" t="n">
        <v>139.2</v>
      </c>
      <c r="AW472" s="310" t="n">
        <v>176</v>
      </c>
      <c r="AX472" s="309" t="n">
        <v>139.2</v>
      </c>
      <c r="AY472" s="310" t="n">
        <v>176</v>
      </c>
      <c r="AZ472" s="309" t="n">
        <v>139.2</v>
      </c>
      <c r="BB472" s="144" t="n">
        <v>0</v>
      </c>
      <c r="BC472" s="315"/>
      <c r="BD472" s="311" t="n">
        <v>0</v>
      </c>
      <c r="BE472" s="316" t="n">
        <v>0</v>
      </c>
      <c r="BF472" s="310"/>
      <c r="BG472" s="317" t="n">
        <v>0</v>
      </c>
      <c r="BH472" s="318" t="n">
        <v>0</v>
      </c>
      <c r="BI472" s="317" t="n">
        <v>0</v>
      </c>
      <c r="BJ472" s="318" t="n">
        <v>0</v>
      </c>
      <c r="BK472" s="317" t="n">
        <v>0</v>
      </c>
      <c r="BL472" s="318" t="n">
        <v>0</v>
      </c>
      <c r="BM472" s="310"/>
      <c r="BN472" s="317" t="n">
        <v>0</v>
      </c>
      <c r="BO472" s="318" t="n">
        <v>0</v>
      </c>
      <c r="BP472" s="317" t="n">
        <v>0</v>
      </c>
      <c r="BQ472" s="318" t="n">
        <v>0</v>
      </c>
      <c r="BR472" s="317" t="n">
        <v>0</v>
      </c>
      <c r="BS472" s="318" t="n">
        <v>0</v>
      </c>
      <c r="BT472" s="317" t="n">
        <v>0</v>
      </c>
      <c r="BU472" s="318" t="n">
        <v>0</v>
      </c>
      <c r="BV472" s="317" t="n">
        <v>0</v>
      </c>
      <c r="BW472" s="318" t="n">
        <v>0</v>
      </c>
      <c r="BY472" s="143"/>
      <c r="BZ472" s="315"/>
      <c r="CA472" s="144"/>
      <c r="CB472" s="315"/>
      <c r="CC472" s="144" t="n">
        <v>-32.3190082644628</v>
      </c>
      <c r="CD472" s="144" t="n">
        <v>-104.919008264463</v>
      </c>
      <c r="CE472" s="144" t="n">
        <v>-124.119008264463</v>
      </c>
      <c r="CF472" s="315"/>
      <c r="CG472" s="144" t="n">
        <v>-42.5190082644628</v>
      </c>
      <c r="CH472" s="144" t="n">
        <v>-114.519008264463</v>
      </c>
      <c r="CI472" s="144" t="n">
        <v>-114.519008264463</v>
      </c>
      <c r="CJ472" s="144" t="n">
        <v>-114.519008264463</v>
      </c>
      <c r="CK472" s="144" t="n">
        <v>-114.519008264463</v>
      </c>
      <c r="CM472" s="144" t="n">
        <v>261.140495867769</v>
      </c>
      <c r="CO472" s="319"/>
      <c r="CP472" s="320"/>
      <c r="CQ472" s="321"/>
      <c r="CR472" s="320"/>
      <c r="CS472" s="322" t="n">
        <v>-39.7404958677686</v>
      </c>
      <c r="CT472" s="322" t="n">
        <v>-112.340495867769</v>
      </c>
      <c r="CU472" s="322" t="n">
        <v>-131.540495867769</v>
      </c>
      <c r="CV472" s="323"/>
      <c r="CW472" s="322" t="n">
        <v>-49.9404958677686</v>
      </c>
      <c r="CX472" s="322" t="n">
        <v>-121.940495867769</v>
      </c>
      <c r="CY472" s="322" t="n">
        <v>-121.940495867769</v>
      </c>
      <c r="CZ472" s="322" t="n">
        <v>-121.940495867769</v>
      </c>
      <c r="DA472" s="322" t="n">
        <v>-121.940495867769</v>
      </c>
    </row>
    <row r="473" customFormat="false" ht="12.75" hidden="false" customHeight="false" outlineLevel="0" collapsed="false">
      <c r="B473" s="305" t="s">
        <v>200</v>
      </c>
      <c r="C473" s="326" t="s">
        <v>729</v>
      </c>
      <c r="D473" s="306" t="n">
        <v>373</v>
      </c>
      <c r="E473" s="306" t="n">
        <v>2.5</v>
      </c>
      <c r="F473" s="306" t="s">
        <v>710</v>
      </c>
      <c r="G473" s="307" t="n">
        <v>24</v>
      </c>
      <c r="H473" s="308" t="n">
        <v>333.057851239669</v>
      </c>
      <c r="I473" s="2"/>
      <c r="J473" s="144" t="s">
        <v>12</v>
      </c>
      <c r="K473" s="309" t="s">
        <v>12</v>
      </c>
      <c r="L473" s="310"/>
      <c r="M473" s="311" t="n">
        <v>109</v>
      </c>
      <c r="N473" s="312" t="n">
        <v>6.9</v>
      </c>
      <c r="O473" s="311" t="n">
        <v>19</v>
      </c>
      <c r="P473" s="312" t="n">
        <v>8.1</v>
      </c>
      <c r="Q473" s="310" t="n">
        <v>19</v>
      </c>
      <c r="R473" s="312" t="n">
        <v>7.3</v>
      </c>
      <c r="S473" s="310"/>
      <c r="T473" s="311" t="n">
        <v>0</v>
      </c>
      <c r="U473" s="312" t="n">
        <v>11.2</v>
      </c>
      <c r="V473" s="311" t="n">
        <v>0</v>
      </c>
      <c r="W473" s="312" t="n">
        <v>8.3</v>
      </c>
      <c r="X473" s="311" t="n">
        <v>0</v>
      </c>
      <c r="Y473" s="312" t="n">
        <v>8.3</v>
      </c>
      <c r="Z473" s="313" t="n">
        <v>0</v>
      </c>
      <c r="AA473" s="314" t="n">
        <v>8.3</v>
      </c>
      <c r="AB473" s="313" t="n">
        <v>0</v>
      </c>
      <c r="AC473" s="314" t="n">
        <v>8.3</v>
      </c>
      <c r="AD473" s="315"/>
      <c r="AE473" s="144" t="n">
        <v>40</v>
      </c>
      <c r="AF473" s="315"/>
      <c r="AG473" s="311" t="n">
        <v>0</v>
      </c>
      <c r="AH473" s="309" t="n">
        <v>0</v>
      </c>
      <c r="AI473" s="310"/>
      <c r="AJ473" s="311" t="n">
        <v>98</v>
      </c>
      <c r="AK473" s="309" t="n">
        <v>165.6</v>
      </c>
      <c r="AL473" s="311" t="n">
        <v>160</v>
      </c>
      <c r="AM473" s="309" t="n">
        <v>194.4</v>
      </c>
      <c r="AN473" s="311" t="n">
        <v>179</v>
      </c>
      <c r="AO473" s="309" t="n">
        <v>175.2</v>
      </c>
      <c r="AP473" s="310"/>
      <c r="AQ473" s="311" t="n">
        <v>104</v>
      </c>
      <c r="AR473" s="309" t="n">
        <v>268.8</v>
      </c>
      <c r="AS473" s="311" t="n">
        <v>174</v>
      </c>
      <c r="AT473" s="309" t="n">
        <v>199.2</v>
      </c>
      <c r="AU473" s="311" t="n">
        <v>174</v>
      </c>
      <c r="AV473" s="309" t="n">
        <v>199.2</v>
      </c>
      <c r="AW473" s="311" t="n">
        <v>174</v>
      </c>
      <c r="AX473" s="309" t="n">
        <v>199.2</v>
      </c>
      <c r="AY473" s="311" t="n">
        <v>174</v>
      </c>
      <c r="AZ473" s="309" t="n">
        <v>199.2</v>
      </c>
      <c r="BB473" s="144" t="n">
        <v>0</v>
      </c>
      <c r="BC473" s="315"/>
      <c r="BD473" s="311" t="n">
        <v>0</v>
      </c>
      <c r="BE473" s="316" t="n">
        <v>0</v>
      </c>
      <c r="BF473" s="310"/>
      <c r="BG473" s="317" t="n">
        <v>0</v>
      </c>
      <c r="BH473" s="318" t="n">
        <v>0.4</v>
      </c>
      <c r="BI473" s="317" t="n">
        <v>0</v>
      </c>
      <c r="BJ473" s="318" t="n">
        <v>0.799999999999999</v>
      </c>
      <c r="BK473" s="317" t="n">
        <v>0</v>
      </c>
      <c r="BL473" s="318" t="n">
        <v>0.800000000000001</v>
      </c>
      <c r="BM473" s="310"/>
      <c r="BN473" s="317" t="n">
        <v>0</v>
      </c>
      <c r="BO473" s="318" t="n">
        <v>0</v>
      </c>
      <c r="BP473" s="317" t="n">
        <v>0</v>
      </c>
      <c r="BQ473" s="318" t="n">
        <v>0</v>
      </c>
      <c r="BR473" s="317" t="n">
        <v>0</v>
      </c>
      <c r="BS473" s="318" t="n">
        <v>0</v>
      </c>
      <c r="BT473" s="317" t="n">
        <v>0</v>
      </c>
      <c r="BU473" s="318" t="n">
        <v>0</v>
      </c>
      <c r="BV473" s="317" t="n">
        <v>0</v>
      </c>
      <c r="BW473" s="318" t="n">
        <v>0</v>
      </c>
      <c r="BY473" s="143"/>
      <c r="BZ473" s="315"/>
      <c r="CA473" s="144"/>
      <c r="CB473" s="315"/>
      <c r="CC473" s="144" t="n">
        <v>-58.4578512396694</v>
      </c>
      <c r="CD473" s="144" t="n">
        <v>-119.657851239669</v>
      </c>
      <c r="CE473" s="144" t="n">
        <v>-138.857851239669</v>
      </c>
      <c r="CF473" s="315"/>
      <c r="CG473" s="144" t="n">
        <v>-64.2578512396694</v>
      </c>
      <c r="CH473" s="144" t="n">
        <v>-133.857851239669</v>
      </c>
      <c r="CI473" s="144" t="n">
        <v>-133.857851239669</v>
      </c>
      <c r="CJ473" s="144" t="n">
        <v>-133.857851239669</v>
      </c>
      <c r="CK473" s="144" t="n">
        <v>-133.857851239669</v>
      </c>
      <c r="CM473" s="144" t="n">
        <v>327.256198347107</v>
      </c>
      <c r="CO473" s="319"/>
      <c r="CP473" s="320"/>
      <c r="CQ473" s="321"/>
      <c r="CR473" s="320"/>
      <c r="CS473" s="322" t="n">
        <v>-52.6561983471074</v>
      </c>
      <c r="CT473" s="322" t="n">
        <v>-113.856198347107</v>
      </c>
      <c r="CU473" s="322" t="n">
        <v>-133.056198347107</v>
      </c>
      <c r="CV473" s="323"/>
      <c r="CW473" s="322" t="n">
        <v>-58.4561983471074</v>
      </c>
      <c r="CX473" s="322" t="n">
        <v>-128.056198347107</v>
      </c>
      <c r="CY473" s="322" t="n">
        <v>-128.056198347107</v>
      </c>
      <c r="CZ473" s="322" t="n">
        <v>-128.056198347107</v>
      </c>
      <c r="DA473" s="322" t="n">
        <v>-128.056198347107</v>
      </c>
    </row>
    <row r="474" customFormat="false" ht="12.75" hidden="false" customHeight="false" outlineLevel="0" collapsed="false">
      <c r="B474" s="305" t="s">
        <v>200</v>
      </c>
      <c r="C474" s="326" t="s">
        <v>729</v>
      </c>
      <c r="D474" s="306" t="n">
        <v>373</v>
      </c>
      <c r="E474" s="306" t="n">
        <v>2.5</v>
      </c>
      <c r="F474" s="324" t="s">
        <v>710</v>
      </c>
      <c r="G474" s="144" t="n">
        <v>48</v>
      </c>
      <c r="H474" s="325" t="n">
        <v>333.057851239669</v>
      </c>
      <c r="I474" s="2"/>
      <c r="J474" s="144" t="s">
        <v>12</v>
      </c>
      <c r="K474" s="309" t="s">
        <v>12</v>
      </c>
      <c r="L474" s="310"/>
      <c r="M474" s="311" t="n">
        <v>109</v>
      </c>
      <c r="N474" s="312" t="n">
        <v>3.5</v>
      </c>
      <c r="O474" s="311" t="n">
        <v>19</v>
      </c>
      <c r="P474" s="312" t="n">
        <v>4.1</v>
      </c>
      <c r="Q474" s="310" t="n">
        <v>19</v>
      </c>
      <c r="R474" s="312" t="n">
        <v>3.7</v>
      </c>
      <c r="S474" s="310"/>
      <c r="T474" s="311" t="n">
        <v>0</v>
      </c>
      <c r="U474" s="312" t="n">
        <v>5.6</v>
      </c>
      <c r="V474" s="311" t="n">
        <v>0</v>
      </c>
      <c r="W474" s="312" t="n">
        <v>4.2</v>
      </c>
      <c r="X474" s="311" t="n">
        <v>0</v>
      </c>
      <c r="Y474" s="312" t="n">
        <v>4.2</v>
      </c>
      <c r="Z474" s="313" t="n">
        <v>0</v>
      </c>
      <c r="AA474" s="314" t="n">
        <v>4.2</v>
      </c>
      <c r="AB474" s="313" t="n">
        <v>0</v>
      </c>
      <c r="AC474" s="314" t="n">
        <v>4.2</v>
      </c>
      <c r="AD474" s="315"/>
      <c r="AE474" s="144" t="n">
        <v>40</v>
      </c>
      <c r="AF474" s="315"/>
      <c r="AG474" s="311" t="n">
        <v>0</v>
      </c>
      <c r="AH474" s="309" t="n">
        <v>0</v>
      </c>
      <c r="AI474" s="310"/>
      <c r="AJ474" s="311" t="n">
        <v>96</v>
      </c>
      <c r="AK474" s="309" t="n">
        <v>168</v>
      </c>
      <c r="AL474" s="311" t="n">
        <v>157</v>
      </c>
      <c r="AM474" s="309" t="n">
        <v>196.8</v>
      </c>
      <c r="AN474" s="310" t="n">
        <v>176</v>
      </c>
      <c r="AO474" s="309" t="n">
        <v>177.6</v>
      </c>
      <c r="AP474" s="310"/>
      <c r="AQ474" s="311" t="n">
        <v>104</v>
      </c>
      <c r="AR474" s="309" t="n">
        <v>268.8</v>
      </c>
      <c r="AS474" s="311" t="n">
        <v>171</v>
      </c>
      <c r="AT474" s="309" t="n">
        <v>201.6</v>
      </c>
      <c r="AU474" s="310" t="n">
        <v>171</v>
      </c>
      <c r="AV474" s="309" t="n">
        <v>201.6</v>
      </c>
      <c r="AW474" s="310" t="n">
        <v>171</v>
      </c>
      <c r="AX474" s="309" t="n">
        <v>201.6</v>
      </c>
      <c r="AY474" s="310" t="n">
        <v>171</v>
      </c>
      <c r="AZ474" s="309" t="n">
        <v>201.6</v>
      </c>
      <c r="BB474" s="144" t="n">
        <v>0</v>
      </c>
      <c r="BC474" s="315"/>
      <c r="BD474" s="311" t="n">
        <v>0</v>
      </c>
      <c r="BE474" s="316" t="n">
        <v>0</v>
      </c>
      <c r="BF474" s="310"/>
      <c r="BG474" s="317" t="n">
        <v>0</v>
      </c>
      <c r="BH474" s="318" t="n">
        <v>0</v>
      </c>
      <c r="BI474" s="317" t="n">
        <v>0</v>
      </c>
      <c r="BJ474" s="318" t="n">
        <v>0</v>
      </c>
      <c r="BK474" s="317" t="n">
        <v>0</v>
      </c>
      <c r="BL474" s="318" t="n">
        <v>0</v>
      </c>
      <c r="BM474" s="310"/>
      <c r="BN474" s="317" t="n">
        <v>0</v>
      </c>
      <c r="BO474" s="318" t="n">
        <v>0</v>
      </c>
      <c r="BP474" s="317" t="n">
        <v>0</v>
      </c>
      <c r="BQ474" s="318" t="n">
        <v>0</v>
      </c>
      <c r="BR474" s="317" t="n">
        <v>0</v>
      </c>
      <c r="BS474" s="318" t="n">
        <v>0</v>
      </c>
      <c r="BT474" s="317" t="n">
        <v>0</v>
      </c>
      <c r="BU474" s="318" t="n">
        <v>0</v>
      </c>
      <c r="BV474" s="317" t="n">
        <v>0</v>
      </c>
      <c r="BW474" s="318" t="n">
        <v>0</v>
      </c>
      <c r="BY474" s="143"/>
      <c r="BZ474" s="315"/>
      <c r="CA474" s="144"/>
      <c r="CB474" s="315"/>
      <c r="CC474" s="144" t="n">
        <v>-56.0578512396694</v>
      </c>
      <c r="CD474" s="144" t="n">
        <v>-117.257851239669</v>
      </c>
      <c r="CE474" s="144" t="n">
        <v>-136.457851239669</v>
      </c>
      <c r="CF474" s="315"/>
      <c r="CG474" s="144" t="n">
        <v>-64.2578512396694</v>
      </c>
      <c r="CH474" s="144" t="n">
        <v>-131.457851239669</v>
      </c>
      <c r="CI474" s="144" t="n">
        <v>-131.457851239669</v>
      </c>
      <c r="CJ474" s="144" t="n">
        <v>-131.457851239669</v>
      </c>
      <c r="CK474" s="144" t="n">
        <v>-131.457851239669</v>
      </c>
      <c r="CM474" s="144" t="n">
        <v>327.256198347107</v>
      </c>
      <c r="CO474" s="319"/>
      <c r="CP474" s="320"/>
      <c r="CQ474" s="321"/>
      <c r="CR474" s="320"/>
      <c r="CS474" s="322" t="n">
        <v>-50.2561983471074</v>
      </c>
      <c r="CT474" s="322" t="n">
        <v>-111.456198347107</v>
      </c>
      <c r="CU474" s="322" t="n">
        <v>-130.656198347107</v>
      </c>
      <c r="CV474" s="323"/>
      <c r="CW474" s="322" t="n">
        <v>-58.4561983471074</v>
      </c>
      <c r="CX474" s="322" t="n">
        <v>-125.656198347107</v>
      </c>
      <c r="CY474" s="322" t="n">
        <v>-125.656198347107</v>
      </c>
      <c r="CZ474" s="322" t="n">
        <v>-125.656198347107</v>
      </c>
      <c r="DA474" s="322" t="n">
        <v>-125.656198347107</v>
      </c>
    </row>
    <row r="475" customFormat="false" ht="12.75" hidden="false" customHeight="false" outlineLevel="0" collapsed="false">
      <c r="B475" s="305" t="s">
        <v>200</v>
      </c>
      <c r="C475" s="326" t="s">
        <v>730</v>
      </c>
      <c r="D475" s="306" t="n">
        <v>338</v>
      </c>
      <c r="E475" s="306" t="n">
        <v>2.5</v>
      </c>
      <c r="F475" s="306" t="s">
        <v>710</v>
      </c>
      <c r="G475" s="307" t="n">
        <v>24</v>
      </c>
      <c r="H475" s="308" t="n">
        <v>296.694214876033</v>
      </c>
      <c r="I475" s="2"/>
      <c r="J475" s="144" t="s">
        <v>12</v>
      </c>
      <c r="K475" s="309" t="s">
        <v>12</v>
      </c>
      <c r="L475" s="310"/>
      <c r="M475" s="311" t="n">
        <v>99</v>
      </c>
      <c r="N475" s="312" t="n">
        <v>6</v>
      </c>
      <c r="O475" s="311" t="n">
        <v>19</v>
      </c>
      <c r="P475" s="312" t="n">
        <v>6.7</v>
      </c>
      <c r="Q475" s="310" t="n">
        <v>19</v>
      </c>
      <c r="R475" s="312" t="n">
        <v>5.8</v>
      </c>
      <c r="S475" s="310"/>
      <c r="T475" s="311" t="n">
        <v>0</v>
      </c>
      <c r="U475" s="312" t="n">
        <v>9.6</v>
      </c>
      <c r="V475" s="311" t="n">
        <v>0</v>
      </c>
      <c r="W475" s="312" t="n">
        <v>6.7</v>
      </c>
      <c r="X475" s="311" t="n">
        <v>0</v>
      </c>
      <c r="Y475" s="312" t="n">
        <v>6.7</v>
      </c>
      <c r="Z475" s="313" t="n">
        <v>0</v>
      </c>
      <c r="AA475" s="314" t="n">
        <v>6.6</v>
      </c>
      <c r="AB475" s="313" t="n">
        <v>0</v>
      </c>
      <c r="AC475" s="314" t="n">
        <v>6.6</v>
      </c>
      <c r="AD475" s="315"/>
      <c r="AE475" s="144" t="n">
        <v>41</v>
      </c>
      <c r="AF475" s="315"/>
      <c r="AG475" s="311" t="n">
        <v>0</v>
      </c>
      <c r="AH475" s="309" t="n">
        <v>0</v>
      </c>
      <c r="AI475" s="310"/>
      <c r="AJ475" s="311" t="n">
        <v>95</v>
      </c>
      <c r="AK475" s="309" t="n">
        <v>144</v>
      </c>
      <c r="AL475" s="311" t="n">
        <v>158</v>
      </c>
      <c r="AM475" s="309" t="n">
        <v>160.8</v>
      </c>
      <c r="AN475" s="311" t="n">
        <v>180</v>
      </c>
      <c r="AO475" s="309" t="n">
        <v>139.2</v>
      </c>
      <c r="AP475" s="310"/>
      <c r="AQ475" s="311" t="n">
        <v>108</v>
      </c>
      <c r="AR475" s="309" t="n">
        <v>230.4</v>
      </c>
      <c r="AS475" s="311" t="n">
        <v>177</v>
      </c>
      <c r="AT475" s="309" t="n">
        <v>160.8</v>
      </c>
      <c r="AU475" s="311" t="n">
        <v>177</v>
      </c>
      <c r="AV475" s="309" t="n">
        <v>160.8</v>
      </c>
      <c r="AW475" s="311" t="n">
        <v>180</v>
      </c>
      <c r="AX475" s="309" t="n">
        <v>158.4</v>
      </c>
      <c r="AY475" s="311" t="n">
        <v>180</v>
      </c>
      <c r="AZ475" s="309" t="n">
        <v>158.4</v>
      </c>
      <c r="BB475" s="144" t="n">
        <v>0</v>
      </c>
      <c r="BC475" s="315"/>
      <c r="BD475" s="311" t="n">
        <v>0</v>
      </c>
      <c r="BE475" s="316" t="n">
        <v>0</v>
      </c>
      <c r="BF475" s="310"/>
      <c r="BG475" s="317" t="n">
        <v>0</v>
      </c>
      <c r="BH475" s="318" t="n">
        <v>0.4</v>
      </c>
      <c r="BI475" s="317" t="n">
        <v>0</v>
      </c>
      <c r="BJ475" s="318" t="n">
        <v>0.9</v>
      </c>
      <c r="BK475" s="317" t="n">
        <v>0</v>
      </c>
      <c r="BL475" s="318" t="n">
        <v>0.800000000000001</v>
      </c>
      <c r="BM475" s="310"/>
      <c r="BN475" s="317" t="n">
        <v>0</v>
      </c>
      <c r="BO475" s="318" t="n">
        <v>0</v>
      </c>
      <c r="BP475" s="317" t="n">
        <v>0</v>
      </c>
      <c r="BQ475" s="318" t="n">
        <v>0</v>
      </c>
      <c r="BR475" s="317" t="n">
        <v>0</v>
      </c>
      <c r="BS475" s="318" t="n">
        <v>0</v>
      </c>
      <c r="BT475" s="317" t="n">
        <v>0</v>
      </c>
      <c r="BU475" s="318" t="n">
        <v>0</v>
      </c>
      <c r="BV475" s="317" t="n">
        <v>0</v>
      </c>
      <c r="BW475" s="318" t="n">
        <v>0</v>
      </c>
      <c r="BY475" s="143"/>
      <c r="BZ475" s="315"/>
      <c r="CA475" s="144"/>
      <c r="CB475" s="315"/>
      <c r="CC475" s="144" t="n">
        <v>-53.6942148760331</v>
      </c>
      <c r="CD475" s="144" t="n">
        <v>-116.894214876033</v>
      </c>
      <c r="CE475" s="144" t="n">
        <v>-138.494214876033</v>
      </c>
      <c r="CF475" s="315"/>
      <c r="CG475" s="144" t="n">
        <v>-66.294214876033</v>
      </c>
      <c r="CH475" s="144" t="n">
        <v>-135.894214876033</v>
      </c>
      <c r="CI475" s="144" t="n">
        <v>-135.894214876033</v>
      </c>
      <c r="CJ475" s="144" t="n">
        <v>-138.294214876033</v>
      </c>
      <c r="CK475" s="144" t="n">
        <v>-138.294214876033</v>
      </c>
      <c r="CM475" s="144" t="n">
        <v>285.785123966942</v>
      </c>
      <c r="CO475" s="319"/>
      <c r="CP475" s="320"/>
      <c r="CQ475" s="321"/>
      <c r="CR475" s="320"/>
      <c r="CS475" s="322" t="n">
        <v>-42.7851239669422</v>
      </c>
      <c r="CT475" s="322" t="n">
        <v>-105.985123966942</v>
      </c>
      <c r="CU475" s="322" t="n">
        <v>-127.585123966942</v>
      </c>
      <c r="CV475" s="323"/>
      <c r="CW475" s="322" t="n">
        <v>-55.3851239669422</v>
      </c>
      <c r="CX475" s="322" t="n">
        <v>-124.985123966942</v>
      </c>
      <c r="CY475" s="322" t="n">
        <v>-124.985123966942</v>
      </c>
      <c r="CZ475" s="322" t="n">
        <v>-127.385123966942</v>
      </c>
      <c r="DA475" s="322" t="n">
        <v>-127.385123966942</v>
      </c>
    </row>
    <row r="476" customFormat="false" ht="12.75" hidden="false" customHeight="false" outlineLevel="0" collapsed="false">
      <c r="B476" s="305" t="s">
        <v>200</v>
      </c>
      <c r="C476" s="326" t="s">
        <v>730</v>
      </c>
      <c r="D476" s="306" t="n">
        <v>338</v>
      </c>
      <c r="E476" s="306" t="n">
        <v>2.5</v>
      </c>
      <c r="F476" s="324" t="s">
        <v>710</v>
      </c>
      <c r="G476" s="144" t="n">
        <v>48</v>
      </c>
      <c r="H476" s="325" t="n">
        <v>296.694214876033</v>
      </c>
      <c r="I476" s="2"/>
      <c r="J476" s="144" t="s">
        <v>12</v>
      </c>
      <c r="K476" s="309" t="s">
        <v>12</v>
      </c>
      <c r="L476" s="310"/>
      <c r="M476" s="311" t="n">
        <v>99</v>
      </c>
      <c r="N476" s="312" t="n">
        <v>3</v>
      </c>
      <c r="O476" s="311" t="n">
        <v>19</v>
      </c>
      <c r="P476" s="312" t="n">
        <v>3.4</v>
      </c>
      <c r="Q476" s="310" t="n">
        <v>19</v>
      </c>
      <c r="R476" s="312" t="n">
        <v>2.9</v>
      </c>
      <c r="S476" s="310"/>
      <c r="T476" s="311" t="n">
        <v>0</v>
      </c>
      <c r="U476" s="312" t="n">
        <v>4.8</v>
      </c>
      <c r="V476" s="311" t="n">
        <v>0</v>
      </c>
      <c r="W476" s="312" t="n">
        <v>3.4</v>
      </c>
      <c r="X476" s="311" t="n">
        <v>0</v>
      </c>
      <c r="Y476" s="312" t="n">
        <v>3.4</v>
      </c>
      <c r="Z476" s="313" t="n">
        <v>0</v>
      </c>
      <c r="AA476" s="314" t="n">
        <v>3.3</v>
      </c>
      <c r="AB476" s="313" t="n">
        <v>0</v>
      </c>
      <c r="AC476" s="314" t="n">
        <v>3.3</v>
      </c>
      <c r="AD476" s="315"/>
      <c r="AE476" s="144" t="n">
        <v>41</v>
      </c>
      <c r="AF476" s="315"/>
      <c r="AG476" s="311" t="n">
        <v>0</v>
      </c>
      <c r="AH476" s="309" t="n">
        <v>0</v>
      </c>
      <c r="AI476" s="310"/>
      <c r="AJ476" s="311" t="n">
        <v>95</v>
      </c>
      <c r="AK476" s="309" t="n">
        <v>144</v>
      </c>
      <c r="AL476" s="311" t="n">
        <v>156</v>
      </c>
      <c r="AM476" s="309" t="n">
        <v>163.2</v>
      </c>
      <c r="AN476" s="310" t="n">
        <v>180</v>
      </c>
      <c r="AO476" s="309" t="n">
        <v>139.2</v>
      </c>
      <c r="AP476" s="310"/>
      <c r="AQ476" s="311" t="n">
        <v>108</v>
      </c>
      <c r="AR476" s="309" t="n">
        <v>230.4</v>
      </c>
      <c r="AS476" s="311" t="n">
        <v>175</v>
      </c>
      <c r="AT476" s="309" t="n">
        <v>163.2</v>
      </c>
      <c r="AU476" s="310" t="n">
        <v>175</v>
      </c>
      <c r="AV476" s="309" t="n">
        <v>163.2</v>
      </c>
      <c r="AW476" s="310" t="n">
        <v>180</v>
      </c>
      <c r="AX476" s="309" t="n">
        <v>158.4</v>
      </c>
      <c r="AY476" s="310" t="n">
        <v>180</v>
      </c>
      <c r="AZ476" s="309" t="n">
        <v>158.4</v>
      </c>
      <c r="BB476" s="144" t="n">
        <v>0</v>
      </c>
      <c r="BC476" s="315"/>
      <c r="BD476" s="311" t="n">
        <v>0</v>
      </c>
      <c r="BE476" s="316" t="n">
        <v>0</v>
      </c>
      <c r="BF476" s="310"/>
      <c r="BG476" s="317" t="n">
        <v>0</v>
      </c>
      <c r="BH476" s="318" t="n">
        <v>0</v>
      </c>
      <c r="BI476" s="317" t="n">
        <v>0</v>
      </c>
      <c r="BJ476" s="318" t="n">
        <v>0</v>
      </c>
      <c r="BK476" s="317" t="n">
        <v>0</v>
      </c>
      <c r="BL476" s="318" t="n">
        <v>0</v>
      </c>
      <c r="BM476" s="310"/>
      <c r="BN476" s="317" t="n">
        <v>0</v>
      </c>
      <c r="BO476" s="318" t="n">
        <v>0</v>
      </c>
      <c r="BP476" s="317" t="n">
        <v>0</v>
      </c>
      <c r="BQ476" s="318" t="n">
        <v>0</v>
      </c>
      <c r="BR476" s="317" t="n">
        <v>0</v>
      </c>
      <c r="BS476" s="318" t="n">
        <v>0</v>
      </c>
      <c r="BT476" s="317" t="n">
        <v>0</v>
      </c>
      <c r="BU476" s="318" t="n">
        <v>0</v>
      </c>
      <c r="BV476" s="317" t="n">
        <v>0</v>
      </c>
      <c r="BW476" s="318" t="n">
        <v>0</v>
      </c>
      <c r="BY476" s="143"/>
      <c r="BZ476" s="315"/>
      <c r="CA476" s="144"/>
      <c r="CB476" s="315"/>
      <c r="CC476" s="144" t="n">
        <v>-53.6942148760331</v>
      </c>
      <c r="CD476" s="144" t="n">
        <v>-114.494214876033</v>
      </c>
      <c r="CE476" s="144" t="n">
        <v>-138.494214876033</v>
      </c>
      <c r="CF476" s="315"/>
      <c r="CG476" s="144" t="n">
        <v>-66.294214876033</v>
      </c>
      <c r="CH476" s="144" t="n">
        <v>-133.494214876033</v>
      </c>
      <c r="CI476" s="144" t="n">
        <v>-133.494214876033</v>
      </c>
      <c r="CJ476" s="144" t="n">
        <v>-138.294214876033</v>
      </c>
      <c r="CK476" s="144" t="n">
        <v>-138.294214876033</v>
      </c>
      <c r="CM476" s="144" t="n">
        <v>285.785123966942</v>
      </c>
      <c r="CO476" s="319"/>
      <c r="CP476" s="320"/>
      <c r="CQ476" s="321"/>
      <c r="CR476" s="320"/>
      <c r="CS476" s="322" t="n">
        <v>-42.7851239669422</v>
      </c>
      <c r="CT476" s="322" t="n">
        <v>-103.585123966942</v>
      </c>
      <c r="CU476" s="322" t="n">
        <v>-127.585123966942</v>
      </c>
      <c r="CV476" s="323"/>
      <c r="CW476" s="322" t="n">
        <v>-55.3851239669422</v>
      </c>
      <c r="CX476" s="322" t="n">
        <v>-122.585123966942</v>
      </c>
      <c r="CY476" s="322" t="n">
        <v>-122.585123966942</v>
      </c>
      <c r="CZ476" s="322" t="n">
        <v>-127.385123966942</v>
      </c>
      <c r="DA476" s="322" t="n">
        <v>-127.385123966942</v>
      </c>
    </row>
    <row r="477" customFormat="false" ht="12.75" hidden="false" customHeight="false" outlineLevel="0" collapsed="false">
      <c r="B477" s="305" t="s">
        <v>200</v>
      </c>
      <c r="C477" s="326" t="s">
        <v>731</v>
      </c>
      <c r="D477" s="306" t="n">
        <v>626</v>
      </c>
      <c r="E477" s="306" t="n">
        <v>2.5</v>
      </c>
      <c r="F477" s="306" t="s">
        <v>710</v>
      </c>
      <c r="G477" s="307" t="n">
        <v>24</v>
      </c>
      <c r="H477" s="308" t="n">
        <v>525.619834710744</v>
      </c>
      <c r="I477" s="2"/>
      <c r="J477" s="144" t="s">
        <v>12</v>
      </c>
      <c r="K477" s="309" t="s">
        <v>12</v>
      </c>
      <c r="L477" s="310"/>
      <c r="M477" s="311" t="n">
        <v>219</v>
      </c>
      <c r="N477" s="312" t="n">
        <v>9.1</v>
      </c>
      <c r="O477" s="311" t="n">
        <v>139</v>
      </c>
      <c r="P477" s="312" t="n">
        <v>10.2</v>
      </c>
      <c r="Q477" s="310" t="n">
        <v>139</v>
      </c>
      <c r="R477" s="312" t="n">
        <v>9.1</v>
      </c>
      <c r="S477" s="310"/>
      <c r="T477" s="311" t="n">
        <v>0</v>
      </c>
      <c r="U477" s="312" t="n">
        <v>17.8</v>
      </c>
      <c r="V477" s="311" t="n">
        <v>0</v>
      </c>
      <c r="W477" s="312" t="n">
        <v>14.5</v>
      </c>
      <c r="X477" s="311" t="n">
        <v>0</v>
      </c>
      <c r="Y477" s="312" t="n">
        <v>14.5</v>
      </c>
      <c r="Z477" s="313" t="n">
        <v>0</v>
      </c>
      <c r="AA477" s="314" t="n">
        <v>14.5</v>
      </c>
      <c r="AB477" s="313" t="n">
        <v>0</v>
      </c>
      <c r="AC477" s="314" t="n">
        <v>14.5</v>
      </c>
      <c r="AD477" s="315"/>
      <c r="AE477" s="144" t="n">
        <v>100</v>
      </c>
      <c r="AF477" s="315"/>
      <c r="AG477" s="311" t="n">
        <v>0</v>
      </c>
      <c r="AH477" s="309" t="n">
        <v>0</v>
      </c>
      <c r="AI477" s="310"/>
      <c r="AJ477" s="311" t="n">
        <v>189</v>
      </c>
      <c r="AK477" s="309" t="n">
        <v>218.4</v>
      </c>
      <c r="AL477" s="311" t="n">
        <v>242</v>
      </c>
      <c r="AM477" s="309" t="n">
        <v>244.8</v>
      </c>
      <c r="AN477" s="311" t="n">
        <v>269</v>
      </c>
      <c r="AO477" s="309" t="n">
        <v>218.4</v>
      </c>
      <c r="AP477" s="310"/>
      <c r="AQ477" s="311" t="n">
        <v>199</v>
      </c>
      <c r="AR477" s="309" t="n">
        <v>427.2</v>
      </c>
      <c r="AS477" s="311" t="n">
        <v>278</v>
      </c>
      <c r="AT477" s="309" t="n">
        <v>348</v>
      </c>
      <c r="AU477" s="311" t="n">
        <v>278</v>
      </c>
      <c r="AV477" s="309" t="n">
        <v>348</v>
      </c>
      <c r="AW477" s="311" t="n">
        <v>278</v>
      </c>
      <c r="AX477" s="309" t="n">
        <v>348</v>
      </c>
      <c r="AY477" s="311" t="n">
        <v>278</v>
      </c>
      <c r="AZ477" s="309" t="n">
        <v>348</v>
      </c>
      <c r="BB477" s="144" t="n">
        <v>0</v>
      </c>
      <c r="BC477" s="315"/>
      <c r="BD477" s="311" t="n">
        <v>0</v>
      </c>
      <c r="BE477" s="316" t="n">
        <v>0</v>
      </c>
      <c r="BF477" s="310"/>
      <c r="BG477" s="317" t="n">
        <v>0</v>
      </c>
      <c r="BH477" s="318" t="n">
        <v>0.399999999999999</v>
      </c>
      <c r="BI477" s="317" t="n">
        <v>0</v>
      </c>
      <c r="BJ477" s="318" t="n">
        <v>1.1</v>
      </c>
      <c r="BK477" s="317" t="n">
        <v>0</v>
      </c>
      <c r="BL477" s="318" t="n">
        <v>0.799999999999999</v>
      </c>
      <c r="BM477" s="310"/>
      <c r="BN477" s="317" t="n">
        <v>0</v>
      </c>
      <c r="BO477" s="318" t="n">
        <v>0</v>
      </c>
      <c r="BP477" s="317" t="n">
        <v>0</v>
      </c>
      <c r="BQ477" s="318" t="n">
        <v>1.2</v>
      </c>
      <c r="BR477" s="317" t="n">
        <v>0</v>
      </c>
      <c r="BS477" s="318" t="n">
        <v>1.2</v>
      </c>
      <c r="BT477" s="317" t="n">
        <v>0</v>
      </c>
      <c r="BU477" s="318" t="n">
        <v>1.3</v>
      </c>
      <c r="BV477" s="317" t="n">
        <v>0</v>
      </c>
      <c r="BW477" s="318" t="n">
        <v>1.3</v>
      </c>
      <c r="BY477" s="143"/>
      <c r="BZ477" s="315"/>
      <c r="CA477" s="144"/>
      <c r="CB477" s="315"/>
      <c r="CC477" s="144" t="n">
        <v>-88.2198347107438</v>
      </c>
      <c r="CD477" s="144" t="n">
        <v>-141.819834710744</v>
      </c>
      <c r="CE477" s="144" t="n">
        <v>-168.219834710744</v>
      </c>
      <c r="CF477" s="315"/>
      <c r="CG477" s="144" t="n">
        <v>-98.4198347107438</v>
      </c>
      <c r="CH477" s="144" t="n">
        <v>-177.619834710744</v>
      </c>
      <c r="CI477" s="144" t="n">
        <v>-177.619834710744</v>
      </c>
      <c r="CJ477" s="144" t="n">
        <v>-177.619834710744</v>
      </c>
      <c r="CK477" s="144" t="n">
        <v>-177.619834710744</v>
      </c>
      <c r="CM477" s="144" t="n">
        <v>575.190082644628</v>
      </c>
      <c r="CO477" s="319"/>
      <c r="CP477" s="320"/>
      <c r="CQ477" s="321"/>
      <c r="CR477" s="320"/>
      <c r="CS477" s="322" t="n">
        <v>-137.790082644628</v>
      </c>
      <c r="CT477" s="322" t="n">
        <v>-191.390082644628</v>
      </c>
      <c r="CU477" s="322" t="n">
        <v>-217.790082644628</v>
      </c>
      <c r="CV477" s="323"/>
      <c r="CW477" s="322" t="n">
        <v>-147.990082644628</v>
      </c>
      <c r="CX477" s="322" t="n">
        <v>-227.190082644628</v>
      </c>
      <c r="CY477" s="322" t="n">
        <v>-227.190082644628</v>
      </c>
      <c r="CZ477" s="322" t="n">
        <v>-227.190082644628</v>
      </c>
      <c r="DA477" s="322" t="n">
        <v>-227.190082644628</v>
      </c>
    </row>
    <row r="478" customFormat="false" ht="12.75" hidden="false" customHeight="false" outlineLevel="0" collapsed="false">
      <c r="B478" s="305" t="s">
        <v>200</v>
      </c>
      <c r="C478" s="326" t="s">
        <v>731</v>
      </c>
      <c r="D478" s="306" t="n">
        <v>626</v>
      </c>
      <c r="E478" s="306" t="n">
        <v>2.5</v>
      </c>
      <c r="F478" s="324" t="s">
        <v>710</v>
      </c>
      <c r="G478" s="144" t="n">
        <v>48</v>
      </c>
      <c r="H478" s="325" t="n">
        <v>525.619834710744</v>
      </c>
      <c r="I478" s="2"/>
      <c r="J478" s="144" t="s">
        <v>12</v>
      </c>
      <c r="K478" s="309" t="s">
        <v>12</v>
      </c>
      <c r="L478" s="310"/>
      <c r="M478" s="311" t="n">
        <v>219</v>
      </c>
      <c r="N478" s="312" t="n">
        <v>4.6</v>
      </c>
      <c r="O478" s="311" t="n">
        <v>139</v>
      </c>
      <c r="P478" s="312" t="n">
        <v>5.1</v>
      </c>
      <c r="Q478" s="310" t="n">
        <v>139</v>
      </c>
      <c r="R478" s="312" t="n">
        <v>4.6</v>
      </c>
      <c r="S478" s="310"/>
      <c r="T478" s="311" t="n">
        <v>0</v>
      </c>
      <c r="U478" s="312" t="n">
        <v>8.9</v>
      </c>
      <c r="V478" s="311" t="n">
        <v>0</v>
      </c>
      <c r="W478" s="312" t="n">
        <v>7.3</v>
      </c>
      <c r="X478" s="311" t="n">
        <v>0</v>
      </c>
      <c r="Y478" s="312" t="n">
        <v>7.3</v>
      </c>
      <c r="Z478" s="313" t="n">
        <v>0</v>
      </c>
      <c r="AA478" s="314" t="n">
        <v>7.3</v>
      </c>
      <c r="AB478" s="313" t="n">
        <v>0</v>
      </c>
      <c r="AC478" s="314" t="n">
        <v>7.3</v>
      </c>
      <c r="AD478" s="315"/>
      <c r="AE478" s="144" t="n">
        <v>100</v>
      </c>
      <c r="AF478" s="315"/>
      <c r="AG478" s="311" t="n">
        <v>0</v>
      </c>
      <c r="AH478" s="309" t="n">
        <v>0</v>
      </c>
      <c r="AI478" s="310"/>
      <c r="AJ478" s="311" t="n">
        <v>186</v>
      </c>
      <c r="AK478" s="309" t="n">
        <v>220.8</v>
      </c>
      <c r="AL478" s="311" t="n">
        <v>242</v>
      </c>
      <c r="AM478" s="309" t="n">
        <v>244.8</v>
      </c>
      <c r="AN478" s="310" t="n">
        <v>266</v>
      </c>
      <c r="AO478" s="309" t="n">
        <v>220.8</v>
      </c>
      <c r="AP478" s="310"/>
      <c r="AQ478" s="311" t="n">
        <v>199</v>
      </c>
      <c r="AR478" s="309" t="n">
        <v>427.2</v>
      </c>
      <c r="AS478" s="311" t="n">
        <v>276</v>
      </c>
      <c r="AT478" s="309" t="n">
        <v>350.4</v>
      </c>
      <c r="AU478" s="310" t="n">
        <v>276</v>
      </c>
      <c r="AV478" s="309" t="n">
        <v>350.4</v>
      </c>
      <c r="AW478" s="310" t="n">
        <v>276</v>
      </c>
      <c r="AX478" s="309" t="n">
        <v>350.4</v>
      </c>
      <c r="AY478" s="310" t="n">
        <v>276</v>
      </c>
      <c r="AZ478" s="309" t="n">
        <v>350.4</v>
      </c>
      <c r="BB478" s="144" t="n">
        <v>0</v>
      </c>
      <c r="BC478" s="315"/>
      <c r="BD478" s="311" t="n">
        <v>0</v>
      </c>
      <c r="BE478" s="316" t="n">
        <v>0</v>
      </c>
      <c r="BF478" s="310"/>
      <c r="BG478" s="317" t="n">
        <v>0</v>
      </c>
      <c r="BH478" s="318" t="n">
        <v>0</v>
      </c>
      <c r="BI478" s="317" t="n">
        <v>0</v>
      </c>
      <c r="BJ478" s="318" t="n">
        <v>0</v>
      </c>
      <c r="BK478" s="317" t="n">
        <v>0</v>
      </c>
      <c r="BL478" s="318" t="n">
        <v>0</v>
      </c>
      <c r="BM478" s="310"/>
      <c r="BN478" s="317" t="n">
        <v>0</v>
      </c>
      <c r="BO478" s="318" t="n">
        <v>0</v>
      </c>
      <c r="BP478" s="317" t="n">
        <v>0</v>
      </c>
      <c r="BQ478" s="318" t="n">
        <v>0</v>
      </c>
      <c r="BR478" s="317" t="n">
        <v>0</v>
      </c>
      <c r="BS478" s="318" t="n">
        <v>0</v>
      </c>
      <c r="BT478" s="317" t="n">
        <v>0</v>
      </c>
      <c r="BU478" s="318" t="n">
        <v>0</v>
      </c>
      <c r="BV478" s="317" t="n">
        <v>0</v>
      </c>
      <c r="BW478" s="318" t="n">
        <v>0</v>
      </c>
      <c r="BY478" s="143"/>
      <c r="BZ478" s="315"/>
      <c r="CA478" s="144"/>
      <c r="CB478" s="315"/>
      <c r="CC478" s="144" t="n">
        <v>-85.8198347107438</v>
      </c>
      <c r="CD478" s="144" t="n">
        <v>-141.819834710744</v>
      </c>
      <c r="CE478" s="144" t="n">
        <v>-165.819834710744</v>
      </c>
      <c r="CF478" s="315"/>
      <c r="CG478" s="144" t="n">
        <v>-98.4198347107438</v>
      </c>
      <c r="CH478" s="144" t="n">
        <v>-175.219834710744</v>
      </c>
      <c r="CI478" s="144" t="n">
        <v>-175.219834710744</v>
      </c>
      <c r="CJ478" s="144" t="n">
        <v>-175.219834710744</v>
      </c>
      <c r="CK478" s="144" t="n">
        <v>-175.219834710744</v>
      </c>
      <c r="CM478" s="144" t="n">
        <v>575.190082644628</v>
      </c>
      <c r="CO478" s="319"/>
      <c r="CP478" s="320"/>
      <c r="CQ478" s="321"/>
      <c r="CR478" s="320"/>
      <c r="CS478" s="322" t="n">
        <v>-135.390082644628</v>
      </c>
      <c r="CT478" s="322" t="n">
        <v>-191.390082644628</v>
      </c>
      <c r="CU478" s="322" t="n">
        <v>-215.390082644628</v>
      </c>
      <c r="CV478" s="323"/>
      <c r="CW478" s="322" t="n">
        <v>-147.990082644628</v>
      </c>
      <c r="CX478" s="322" t="n">
        <v>-224.790082644628</v>
      </c>
      <c r="CY478" s="322" t="n">
        <v>-224.790082644628</v>
      </c>
      <c r="CZ478" s="322" t="n">
        <v>-224.790082644628</v>
      </c>
      <c r="DA478" s="322" t="n">
        <v>-224.790082644628</v>
      </c>
    </row>
    <row r="479" customFormat="false" ht="12.75" hidden="false" customHeight="false" outlineLevel="0" collapsed="false">
      <c r="B479" s="305" t="s">
        <v>497</v>
      </c>
      <c r="C479" s="326" t="s">
        <v>732</v>
      </c>
      <c r="D479" s="306" t="n">
        <v>110</v>
      </c>
      <c r="E479" s="306" t="n">
        <v>2.5</v>
      </c>
      <c r="F479" s="306" t="s">
        <v>710</v>
      </c>
      <c r="G479" s="307" t="n">
        <v>24</v>
      </c>
      <c r="H479" s="308" t="n">
        <v>89.2561983471074</v>
      </c>
      <c r="I479" s="2"/>
      <c r="J479" s="144" t="s">
        <v>12</v>
      </c>
      <c r="K479" s="309" t="s">
        <v>12</v>
      </c>
      <c r="L479" s="310"/>
      <c r="M479" s="311" t="n">
        <v>0</v>
      </c>
      <c r="N479" s="312" t="n">
        <v>3.4</v>
      </c>
      <c r="O479" s="311" t="n">
        <v>0</v>
      </c>
      <c r="P479" s="312" t="n">
        <v>1.1</v>
      </c>
      <c r="Q479" s="310" t="n">
        <v>0</v>
      </c>
      <c r="R479" s="312" t="n">
        <v>0.3</v>
      </c>
      <c r="S479" s="310"/>
      <c r="T479" s="311" t="n">
        <v>0</v>
      </c>
      <c r="U479" s="312" t="n">
        <v>1.7</v>
      </c>
      <c r="V479" s="311" t="n">
        <v>0</v>
      </c>
      <c r="W479" s="312" t="n">
        <v>1.7</v>
      </c>
      <c r="X479" s="311" t="n">
        <v>0</v>
      </c>
      <c r="Y479" s="312" t="n">
        <v>1.7</v>
      </c>
      <c r="Z479" s="313" t="n">
        <v>0</v>
      </c>
      <c r="AA479" s="314" t="n">
        <v>1.7</v>
      </c>
      <c r="AB479" s="313" t="n">
        <v>0</v>
      </c>
      <c r="AC479" s="314" t="n">
        <v>1.7</v>
      </c>
      <c r="AD479" s="315"/>
      <c r="AE479" s="144" t="n">
        <v>21</v>
      </c>
      <c r="AF479" s="315"/>
      <c r="AG479" s="311" t="n">
        <v>0</v>
      </c>
      <c r="AH479" s="309" t="n">
        <v>0</v>
      </c>
      <c r="AI479" s="310"/>
      <c r="AJ479" s="311" t="n">
        <v>28</v>
      </c>
      <c r="AK479" s="309" t="n">
        <v>81.6</v>
      </c>
      <c r="AL479" s="311" t="n">
        <v>84</v>
      </c>
      <c r="AM479" s="309" t="n">
        <v>26.4</v>
      </c>
      <c r="AN479" s="311" t="n">
        <v>103</v>
      </c>
      <c r="AO479" s="309" t="n">
        <v>7.2</v>
      </c>
      <c r="AP479" s="310"/>
      <c r="AQ479" s="311" t="n">
        <v>69</v>
      </c>
      <c r="AR479" s="309" t="n">
        <v>40.8</v>
      </c>
      <c r="AS479" s="311" t="n">
        <v>69</v>
      </c>
      <c r="AT479" s="309" t="n">
        <v>40.8</v>
      </c>
      <c r="AU479" s="311" t="n">
        <v>69</v>
      </c>
      <c r="AV479" s="309" t="n">
        <v>40.8</v>
      </c>
      <c r="AW479" s="311" t="n">
        <v>69</v>
      </c>
      <c r="AX479" s="309" t="n">
        <v>40.8</v>
      </c>
      <c r="AY479" s="311" t="n">
        <v>69</v>
      </c>
      <c r="AZ479" s="309" t="n">
        <v>40.8</v>
      </c>
      <c r="BB479" s="144" t="n">
        <v>0</v>
      </c>
      <c r="BC479" s="315"/>
      <c r="BD479" s="311" t="n">
        <v>0</v>
      </c>
      <c r="BE479" s="316" t="n">
        <v>0</v>
      </c>
      <c r="BF479" s="310"/>
      <c r="BG479" s="317" t="n">
        <v>0</v>
      </c>
      <c r="BH479" s="318" t="n">
        <v>0.3</v>
      </c>
      <c r="BI479" s="317" t="n">
        <v>0</v>
      </c>
      <c r="BJ479" s="318" t="n">
        <v>0.8</v>
      </c>
      <c r="BK479" s="317" t="n">
        <v>0</v>
      </c>
      <c r="BL479" s="318" t="n">
        <v>0</v>
      </c>
      <c r="BM479" s="310"/>
      <c r="BN479" s="317" t="n">
        <v>0</v>
      </c>
      <c r="BO479" s="318" t="n">
        <v>0.8</v>
      </c>
      <c r="BP479" s="317" t="n">
        <v>0</v>
      </c>
      <c r="BQ479" s="318" t="n">
        <v>0.8</v>
      </c>
      <c r="BR479" s="317" t="n">
        <v>0</v>
      </c>
      <c r="BS479" s="318" t="n">
        <v>0.8</v>
      </c>
      <c r="BT479" s="317" t="n">
        <v>0</v>
      </c>
      <c r="BU479" s="318" t="n">
        <v>0.9</v>
      </c>
      <c r="BV479" s="317" t="n">
        <v>0</v>
      </c>
      <c r="BW479" s="318" t="n">
        <v>0.9</v>
      </c>
      <c r="BY479" s="143"/>
      <c r="BZ479" s="315"/>
      <c r="CA479" s="144"/>
      <c r="CB479" s="315"/>
      <c r="CC479" s="144" t="n">
        <v>-7.65619834710743</v>
      </c>
      <c r="CD479" s="144" t="n">
        <v>-62.8561983471074</v>
      </c>
      <c r="CE479" s="144" t="n">
        <v>-82.0561983471074</v>
      </c>
      <c r="CF479" s="315"/>
      <c r="CG479" s="144" t="n">
        <v>-48.4561983471074</v>
      </c>
      <c r="CH479" s="144" t="n">
        <v>-48.4561983471074</v>
      </c>
      <c r="CI479" s="144" t="n">
        <v>-48.4561983471074</v>
      </c>
      <c r="CJ479" s="144" t="n">
        <v>-48.4561983471074</v>
      </c>
      <c r="CK479" s="144" t="n">
        <v>-48.4561983471074</v>
      </c>
      <c r="CM479" s="144" t="n">
        <v>90.900826446281</v>
      </c>
      <c r="CO479" s="319"/>
      <c r="CP479" s="320"/>
      <c r="CQ479" s="321"/>
      <c r="CR479" s="320"/>
      <c r="CS479" s="322" t="n">
        <v>-9.30082644628098</v>
      </c>
      <c r="CT479" s="322" t="n">
        <v>-64.500826446281</v>
      </c>
      <c r="CU479" s="322" t="n">
        <v>-83.700826446281</v>
      </c>
      <c r="CV479" s="323"/>
      <c r="CW479" s="322" t="n">
        <v>-50.100826446281</v>
      </c>
      <c r="CX479" s="322" t="n">
        <v>-50.100826446281</v>
      </c>
      <c r="CY479" s="322" t="n">
        <v>-50.100826446281</v>
      </c>
      <c r="CZ479" s="322" t="n">
        <v>-50.100826446281</v>
      </c>
      <c r="DA479" s="322" t="n">
        <v>-50.100826446281</v>
      </c>
    </row>
    <row r="480" customFormat="false" ht="12.75" hidden="false" customHeight="false" outlineLevel="0" collapsed="false">
      <c r="B480" s="305" t="s">
        <v>497</v>
      </c>
      <c r="C480" s="326" t="s">
        <v>733</v>
      </c>
      <c r="D480" s="306" t="n">
        <v>64</v>
      </c>
      <c r="E480" s="306" t="n">
        <v>2.5</v>
      </c>
      <c r="F480" s="324" t="s">
        <v>710</v>
      </c>
      <c r="G480" s="144" t="n">
        <v>24</v>
      </c>
      <c r="H480" s="325" t="n">
        <v>58.6776859504132</v>
      </c>
      <c r="I480" s="2"/>
      <c r="J480" s="144" t="s">
        <v>12</v>
      </c>
      <c r="K480" s="309" t="s">
        <v>12</v>
      </c>
      <c r="L480" s="310"/>
      <c r="M480" s="311" t="n">
        <v>0</v>
      </c>
      <c r="N480" s="312" t="n">
        <v>1.5</v>
      </c>
      <c r="O480" s="311" t="n">
        <v>0</v>
      </c>
      <c r="P480" s="312" t="n">
        <v>1.5</v>
      </c>
      <c r="Q480" s="310" t="n">
        <v>0</v>
      </c>
      <c r="R480" s="312" t="n">
        <v>1.5</v>
      </c>
      <c r="S480" s="310"/>
      <c r="T480" s="311" t="n">
        <v>0</v>
      </c>
      <c r="U480" s="312" t="n">
        <v>0.5</v>
      </c>
      <c r="V480" s="311" t="n">
        <v>0</v>
      </c>
      <c r="W480" s="312" t="n">
        <v>0</v>
      </c>
      <c r="X480" s="311" t="n">
        <v>0</v>
      </c>
      <c r="Y480" s="312" t="n">
        <v>0</v>
      </c>
      <c r="Z480" s="313" t="n">
        <v>0</v>
      </c>
      <c r="AA480" s="314" t="n">
        <v>0</v>
      </c>
      <c r="AB480" s="313" t="n">
        <v>0</v>
      </c>
      <c r="AC480" s="314" t="n">
        <v>0</v>
      </c>
      <c r="AD480" s="315"/>
      <c r="AE480" s="144" t="n">
        <v>5</v>
      </c>
      <c r="AF480" s="315"/>
      <c r="AG480" s="311" t="n">
        <v>0</v>
      </c>
      <c r="AH480" s="309" t="n">
        <v>0</v>
      </c>
      <c r="AI480" s="310"/>
      <c r="AJ480" s="311" t="n">
        <v>28</v>
      </c>
      <c r="AK480" s="309" t="n">
        <v>36</v>
      </c>
      <c r="AL480" s="311" t="n">
        <v>28</v>
      </c>
      <c r="AM480" s="309" t="n">
        <v>36</v>
      </c>
      <c r="AN480" s="310" t="n">
        <v>28</v>
      </c>
      <c r="AO480" s="309" t="n">
        <v>36</v>
      </c>
      <c r="AP480" s="310"/>
      <c r="AQ480" s="311" t="n">
        <v>52</v>
      </c>
      <c r="AR480" s="309" t="n">
        <v>12</v>
      </c>
      <c r="AS480" s="311" t="n">
        <v>64</v>
      </c>
      <c r="AT480" s="309" t="n">
        <v>0</v>
      </c>
      <c r="AU480" s="310" t="n">
        <v>64</v>
      </c>
      <c r="AV480" s="309" t="n">
        <v>0</v>
      </c>
      <c r="AW480" s="310" t="n">
        <v>64</v>
      </c>
      <c r="AX480" s="309" t="n">
        <v>0</v>
      </c>
      <c r="AY480" s="310" t="n">
        <v>64</v>
      </c>
      <c r="AZ480" s="309" t="n">
        <v>0</v>
      </c>
      <c r="BB480" s="144" t="n">
        <v>0</v>
      </c>
      <c r="BC480" s="315"/>
      <c r="BD480" s="311" t="n">
        <v>0</v>
      </c>
      <c r="BE480" s="316" t="n">
        <v>0</v>
      </c>
      <c r="BF480" s="310"/>
      <c r="BG480" s="317" t="n">
        <v>0</v>
      </c>
      <c r="BH480" s="318" t="n">
        <v>0</v>
      </c>
      <c r="BI480" s="317" t="n">
        <v>0</v>
      </c>
      <c r="BJ480" s="318" t="n">
        <v>0</v>
      </c>
      <c r="BK480" s="317" t="n">
        <v>0</v>
      </c>
      <c r="BL480" s="318" t="n">
        <v>0</v>
      </c>
      <c r="BM480" s="310"/>
      <c r="BN480" s="317" t="n">
        <v>0</v>
      </c>
      <c r="BO480" s="318" t="n">
        <v>0</v>
      </c>
      <c r="BP480" s="317" t="n">
        <v>0</v>
      </c>
      <c r="BQ480" s="318" t="n">
        <v>0</v>
      </c>
      <c r="BR480" s="317" t="n">
        <v>0</v>
      </c>
      <c r="BS480" s="318" t="n">
        <v>0</v>
      </c>
      <c r="BT480" s="317" t="n">
        <v>0</v>
      </c>
      <c r="BU480" s="318" t="n">
        <v>0</v>
      </c>
      <c r="BV480" s="317" t="n">
        <v>0</v>
      </c>
      <c r="BW480" s="318" t="n">
        <v>0</v>
      </c>
      <c r="BY480" s="143"/>
      <c r="BZ480" s="315"/>
      <c r="CA480" s="144"/>
      <c r="CB480" s="315"/>
      <c r="CC480" s="144" t="n">
        <v>-22.6776859504132</v>
      </c>
      <c r="CD480" s="144" t="n">
        <v>-22.6776859504132</v>
      </c>
      <c r="CE480" s="144" t="n">
        <v>-22.6776859504132</v>
      </c>
      <c r="CF480" s="315"/>
      <c r="CG480" s="144" t="n">
        <v>-46.6776859504132</v>
      </c>
      <c r="CH480" s="144" t="n">
        <v>-58.6776859504132</v>
      </c>
      <c r="CI480" s="144" t="n">
        <v>-58.6776859504132</v>
      </c>
      <c r="CJ480" s="144" t="n">
        <v>-58.6776859504132</v>
      </c>
      <c r="CK480" s="144" t="n">
        <v>-58.6776859504132</v>
      </c>
      <c r="CM480" s="144" t="n">
        <v>43.7933884297521</v>
      </c>
      <c r="CO480" s="319"/>
      <c r="CP480" s="320"/>
      <c r="CQ480" s="321"/>
      <c r="CR480" s="320"/>
      <c r="CS480" s="322" t="n">
        <v>-7.79338842975207</v>
      </c>
      <c r="CT480" s="322" t="n">
        <v>-7.79338842975207</v>
      </c>
      <c r="CU480" s="322" t="n">
        <v>-7.79338842975207</v>
      </c>
      <c r="CV480" s="323"/>
      <c r="CW480" s="322" t="n">
        <v>-31.7933884297521</v>
      </c>
      <c r="CX480" s="322" t="n">
        <v>-43.7933884297521</v>
      </c>
      <c r="CY480" s="322" t="n">
        <v>-43.7933884297521</v>
      </c>
      <c r="CZ480" s="322" t="n">
        <v>-43.7933884297521</v>
      </c>
      <c r="DA480" s="322" t="n">
        <v>-43.7933884297521</v>
      </c>
    </row>
    <row r="481" customFormat="false" ht="12.75" hidden="false" customHeight="false" outlineLevel="0" collapsed="false">
      <c r="B481" s="305" t="s">
        <v>497</v>
      </c>
      <c r="C481" s="326" t="s">
        <v>734</v>
      </c>
      <c r="D481" s="306" t="n">
        <v>348</v>
      </c>
      <c r="E481" s="306" t="n">
        <v>2.5</v>
      </c>
      <c r="F481" s="306" t="s">
        <v>710</v>
      </c>
      <c r="G481" s="307" t="n">
        <v>24</v>
      </c>
      <c r="H481" s="308" t="n">
        <v>161.98347107438</v>
      </c>
      <c r="I481" s="2"/>
      <c r="J481" s="144" t="s">
        <v>12</v>
      </c>
      <c r="K481" s="309" t="s">
        <v>12</v>
      </c>
      <c r="L481" s="310"/>
      <c r="M481" s="311" t="n">
        <v>29</v>
      </c>
      <c r="N481" s="312" t="n">
        <v>4.6</v>
      </c>
      <c r="O481" s="311" t="n">
        <v>0</v>
      </c>
      <c r="P481" s="312" t="n">
        <v>3.1</v>
      </c>
      <c r="Q481" s="310" t="n">
        <v>0</v>
      </c>
      <c r="R481" s="312" t="n">
        <v>2.3</v>
      </c>
      <c r="S481" s="310"/>
      <c r="T481" s="311" t="n">
        <v>0</v>
      </c>
      <c r="U481" s="312" t="n">
        <v>5.6</v>
      </c>
      <c r="V481" s="311" t="n">
        <v>0</v>
      </c>
      <c r="W481" s="312" t="n">
        <v>3.4</v>
      </c>
      <c r="X481" s="311" t="n">
        <v>0</v>
      </c>
      <c r="Y481" s="312" t="n">
        <v>3.4</v>
      </c>
      <c r="Z481" s="313" t="n">
        <v>0</v>
      </c>
      <c r="AA481" s="314" t="n">
        <v>3.3</v>
      </c>
      <c r="AB481" s="313" t="n">
        <v>0</v>
      </c>
      <c r="AC481" s="314" t="n">
        <v>3.3</v>
      </c>
      <c r="AD481" s="315"/>
      <c r="AE481" s="144" t="n">
        <v>186</v>
      </c>
      <c r="AF481" s="315"/>
      <c r="AG481" s="311" t="n">
        <v>0</v>
      </c>
      <c r="AH481" s="309" t="n">
        <v>0</v>
      </c>
      <c r="AI481" s="310"/>
      <c r="AJ481" s="311" t="n">
        <v>209</v>
      </c>
      <c r="AK481" s="309" t="n">
        <v>110.4</v>
      </c>
      <c r="AL481" s="311" t="n">
        <v>274</v>
      </c>
      <c r="AM481" s="309" t="n">
        <v>74.4</v>
      </c>
      <c r="AN481" s="311" t="n">
        <v>293</v>
      </c>
      <c r="AO481" s="309" t="n">
        <v>55.2</v>
      </c>
      <c r="AP481" s="310"/>
      <c r="AQ481" s="311" t="n">
        <v>214</v>
      </c>
      <c r="AR481" s="309" t="n">
        <v>134.4</v>
      </c>
      <c r="AS481" s="311" t="n">
        <v>266</v>
      </c>
      <c r="AT481" s="309" t="n">
        <v>81.6</v>
      </c>
      <c r="AU481" s="311" t="n">
        <v>266</v>
      </c>
      <c r="AV481" s="309" t="n">
        <v>81.6</v>
      </c>
      <c r="AW481" s="311" t="n">
        <v>269</v>
      </c>
      <c r="AX481" s="309" t="n">
        <v>79.2</v>
      </c>
      <c r="AY481" s="311" t="n">
        <v>269</v>
      </c>
      <c r="AZ481" s="309" t="n">
        <v>79.2</v>
      </c>
      <c r="BB481" s="144" t="n">
        <v>0</v>
      </c>
      <c r="BC481" s="315"/>
      <c r="BD481" s="311" t="n">
        <v>0</v>
      </c>
      <c r="BE481" s="316" t="n">
        <v>0</v>
      </c>
      <c r="BF481" s="310"/>
      <c r="BG481" s="317" t="n">
        <v>0</v>
      </c>
      <c r="BH481" s="318" t="n">
        <v>-0.4</v>
      </c>
      <c r="BI481" s="317" t="n">
        <v>0</v>
      </c>
      <c r="BJ481" s="318" t="n">
        <v>-2.9</v>
      </c>
      <c r="BK481" s="317" t="n">
        <v>0</v>
      </c>
      <c r="BL481" s="318" t="n">
        <v>-2.7</v>
      </c>
      <c r="BM481" s="310"/>
      <c r="BN481" s="317" t="n">
        <v>0</v>
      </c>
      <c r="BO481" s="318" t="n">
        <v>0</v>
      </c>
      <c r="BP481" s="317" t="n">
        <v>0</v>
      </c>
      <c r="BQ481" s="318" t="n">
        <v>0</v>
      </c>
      <c r="BR481" s="317" t="n">
        <v>0</v>
      </c>
      <c r="BS481" s="318" t="n">
        <v>0</v>
      </c>
      <c r="BT481" s="317" t="n">
        <v>0</v>
      </c>
      <c r="BU481" s="318" t="n">
        <v>0</v>
      </c>
      <c r="BV481" s="317" t="n">
        <v>0</v>
      </c>
      <c r="BW481" s="318" t="n">
        <v>0</v>
      </c>
      <c r="BY481" s="143"/>
      <c r="BZ481" s="315"/>
      <c r="CA481" s="144"/>
      <c r="CB481" s="315"/>
      <c r="CC481" s="144" t="n">
        <v>-22.5834710743802</v>
      </c>
      <c r="CD481" s="144" t="n">
        <v>-87.5834710743802</v>
      </c>
      <c r="CE481" s="144" t="n">
        <v>-106.78347107438</v>
      </c>
      <c r="CF481" s="315"/>
      <c r="CG481" s="144" t="n">
        <v>-27.5834710743802</v>
      </c>
      <c r="CH481" s="144" t="n">
        <v>-80.3834710743802</v>
      </c>
      <c r="CI481" s="144" t="n">
        <v>-80.3834710743802</v>
      </c>
      <c r="CJ481" s="144" t="n">
        <v>-82.7834710743802</v>
      </c>
      <c r="CK481" s="144" t="n">
        <v>-82.7834710743802</v>
      </c>
      <c r="CM481" s="144" t="n">
        <v>272.719008264463</v>
      </c>
      <c r="CO481" s="319"/>
      <c r="CP481" s="320"/>
      <c r="CQ481" s="321"/>
      <c r="CR481" s="320"/>
      <c r="CS481" s="322" t="n">
        <v>-133.319008264463</v>
      </c>
      <c r="CT481" s="322" t="n">
        <v>-198.319008264463</v>
      </c>
      <c r="CU481" s="322" t="n">
        <v>-217.519008264463</v>
      </c>
      <c r="CV481" s="323"/>
      <c r="CW481" s="322" t="n">
        <v>-138.319008264463</v>
      </c>
      <c r="CX481" s="322" t="n">
        <v>-191.119008264463</v>
      </c>
      <c r="CY481" s="322" t="n">
        <v>-191.119008264463</v>
      </c>
      <c r="CZ481" s="322" t="n">
        <v>-193.519008264463</v>
      </c>
      <c r="DA481" s="322" t="n">
        <v>-193.519008264463</v>
      </c>
    </row>
    <row r="482" customFormat="false" ht="12.75" hidden="false" customHeight="false" outlineLevel="0" collapsed="false">
      <c r="B482" s="305" t="s">
        <v>497</v>
      </c>
      <c r="C482" s="326" t="s">
        <v>734</v>
      </c>
      <c r="D482" s="306" t="n">
        <v>348</v>
      </c>
      <c r="E482" s="306" t="n">
        <v>2.5</v>
      </c>
      <c r="F482" s="324" t="s">
        <v>710</v>
      </c>
      <c r="G482" s="144" t="n">
        <v>48</v>
      </c>
      <c r="H482" s="325" t="n">
        <v>161.98347107438</v>
      </c>
      <c r="I482" s="2"/>
      <c r="J482" s="144" t="s">
        <v>12</v>
      </c>
      <c r="K482" s="309" t="s">
        <v>12</v>
      </c>
      <c r="L482" s="310"/>
      <c r="M482" s="311" t="n">
        <v>29</v>
      </c>
      <c r="N482" s="312" t="n">
        <v>2.3</v>
      </c>
      <c r="O482" s="311" t="n">
        <v>0</v>
      </c>
      <c r="P482" s="312" t="n">
        <v>1.6</v>
      </c>
      <c r="Q482" s="310" t="n">
        <v>0</v>
      </c>
      <c r="R482" s="312" t="n">
        <v>1.2</v>
      </c>
      <c r="S482" s="310"/>
      <c r="T482" s="311" t="n">
        <v>0</v>
      </c>
      <c r="U482" s="312" t="n">
        <v>2.8</v>
      </c>
      <c r="V482" s="311" t="n">
        <v>0</v>
      </c>
      <c r="W482" s="312" t="n">
        <v>1.7</v>
      </c>
      <c r="X482" s="311" t="n">
        <v>0</v>
      </c>
      <c r="Y482" s="312" t="n">
        <v>1.7</v>
      </c>
      <c r="Z482" s="313" t="n">
        <v>0</v>
      </c>
      <c r="AA482" s="314" t="n">
        <v>1.7</v>
      </c>
      <c r="AB482" s="313" t="n">
        <v>0</v>
      </c>
      <c r="AC482" s="314" t="n">
        <v>1.7</v>
      </c>
      <c r="AD482" s="315"/>
      <c r="AE482" s="144" t="n">
        <v>186</v>
      </c>
      <c r="AF482" s="315"/>
      <c r="AG482" s="311" t="n">
        <v>0</v>
      </c>
      <c r="AH482" s="309" t="n">
        <v>0</v>
      </c>
      <c r="AI482" s="310"/>
      <c r="AJ482" s="311" t="n">
        <v>209</v>
      </c>
      <c r="AK482" s="309" t="n">
        <v>110.4</v>
      </c>
      <c r="AL482" s="311" t="n">
        <v>271</v>
      </c>
      <c r="AM482" s="309" t="n">
        <v>76.8</v>
      </c>
      <c r="AN482" s="310" t="n">
        <v>290</v>
      </c>
      <c r="AO482" s="309" t="n">
        <v>57.6</v>
      </c>
      <c r="AP482" s="310"/>
      <c r="AQ482" s="311" t="n">
        <v>214</v>
      </c>
      <c r="AR482" s="309" t="n">
        <v>134.4</v>
      </c>
      <c r="AS482" s="311" t="n">
        <v>266</v>
      </c>
      <c r="AT482" s="309" t="n">
        <v>81.6</v>
      </c>
      <c r="AU482" s="310" t="n">
        <v>266</v>
      </c>
      <c r="AV482" s="309" t="n">
        <v>81.6</v>
      </c>
      <c r="AW482" s="310" t="n">
        <v>266</v>
      </c>
      <c r="AX482" s="309" t="n">
        <v>81.6</v>
      </c>
      <c r="AY482" s="310" t="n">
        <v>266</v>
      </c>
      <c r="AZ482" s="309" t="n">
        <v>81.6</v>
      </c>
      <c r="BB482" s="144" t="n">
        <v>0</v>
      </c>
      <c r="BC482" s="315"/>
      <c r="BD482" s="311" t="n">
        <v>0</v>
      </c>
      <c r="BE482" s="316" t="n">
        <v>0</v>
      </c>
      <c r="BF482" s="310"/>
      <c r="BG482" s="317" t="n">
        <v>0</v>
      </c>
      <c r="BH482" s="318" t="n">
        <v>0</v>
      </c>
      <c r="BI482" s="317" t="n">
        <v>0</v>
      </c>
      <c r="BJ482" s="318" t="n">
        <v>0</v>
      </c>
      <c r="BK482" s="317" t="n">
        <v>0</v>
      </c>
      <c r="BL482" s="318" t="n">
        <v>0</v>
      </c>
      <c r="BM482" s="310"/>
      <c r="BN482" s="317" t="n">
        <v>0</v>
      </c>
      <c r="BO482" s="318" t="n">
        <v>0</v>
      </c>
      <c r="BP482" s="317" t="n">
        <v>0</v>
      </c>
      <c r="BQ482" s="318" t="n">
        <v>0</v>
      </c>
      <c r="BR482" s="317" t="n">
        <v>0</v>
      </c>
      <c r="BS482" s="318" t="n">
        <v>0</v>
      </c>
      <c r="BT482" s="317" t="n">
        <v>0</v>
      </c>
      <c r="BU482" s="318" t="n">
        <v>0</v>
      </c>
      <c r="BV482" s="317" t="n">
        <v>0</v>
      </c>
      <c r="BW482" s="318" t="n">
        <v>0</v>
      </c>
      <c r="BY482" s="143"/>
      <c r="BZ482" s="315"/>
      <c r="CA482" s="144"/>
      <c r="CB482" s="315"/>
      <c r="CC482" s="144" t="n">
        <v>-22.5834710743802</v>
      </c>
      <c r="CD482" s="144" t="n">
        <v>-85.1834710743801</v>
      </c>
      <c r="CE482" s="144" t="n">
        <v>-104.38347107438</v>
      </c>
      <c r="CF482" s="315"/>
      <c r="CG482" s="144" t="n">
        <v>-27.5834710743802</v>
      </c>
      <c r="CH482" s="144" t="n">
        <v>-80.3834710743802</v>
      </c>
      <c r="CI482" s="144" t="n">
        <v>-80.3834710743802</v>
      </c>
      <c r="CJ482" s="144" t="n">
        <v>-80.3834710743802</v>
      </c>
      <c r="CK482" s="144" t="n">
        <v>-80.3834710743802</v>
      </c>
      <c r="CM482" s="144" t="n">
        <v>272.719008264463</v>
      </c>
      <c r="CO482" s="319"/>
      <c r="CP482" s="320"/>
      <c r="CQ482" s="321"/>
      <c r="CR482" s="320"/>
      <c r="CS482" s="322" t="n">
        <v>-133.319008264463</v>
      </c>
      <c r="CT482" s="322" t="n">
        <v>-195.919008264463</v>
      </c>
      <c r="CU482" s="322" t="n">
        <v>-215.119008264463</v>
      </c>
      <c r="CV482" s="323"/>
      <c r="CW482" s="322" t="n">
        <v>-138.319008264463</v>
      </c>
      <c r="CX482" s="322" t="n">
        <v>-191.119008264463</v>
      </c>
      <c r="CY482" s="322" t="n">
        <v>-191.119008264463</v>
      </c>
      <c r="CZ482" s="322" t="n">
        <v>-191.119008264463</v>
      </c>
      <c r="DA482" s="322" t="n">
        <v>-191.119008264463</v>
      </c>
    </row>
    <row r="483" customFormat="false" ht="12.75" hidden="false" customHeight="false" outlineLevel="0" collapsed="false">
      <c r="B483" s="305" t="s">
        <v>497</v>
      </c>
      <c r="C483" s="326" t="s">
        <v>735</v>
      </c>
      <c r="D483" s="306" t="n">
        <v>172</v>
      </c>
      <c r="E483" s="306" t="n">
        <v>2.5</v>
      </c>
      <c r="F483" s="306" t="s">
        <v>710</v>
      </c>
      <c r="G483" s="307" t="n">
        <v>24</v>
      </c>
      <c r="H483" s="308" t="n">
        <v>151.239669421488</v>
      </c>
      <c r="I483" s="2"/>
      <c r="J483" s="144" t="s">
        <v>12</v>
      </c>
      <c r="K483" s="309" t="s">
        <v>12</v>
      </c>
      <c r="L483" s="310"/>
      <c r="M483" s="311" t="n">
        <v>29</v>
      </c>
      <c r="N483" s="312" t="n">
        <v>4.2</v>
      </c>
      <c r="O483" s="311" t="n">
        <v>0</v>
      </c>
      <c r="P483" s="312" t="n">
        <v>2.7</v>
      </c>
      <c r="Q483" s="310" t="n">
        <v>0</v>
      </c>
      <c r="R483" s="312" t="n">
        <v>1.9</v>
      </c>
      <c r="S483" s="310"/>
      <c r="T483" s="311" t="n">
        <v>0</v>
      </c>
      <c r="U483" s="312" t="n">
        <v>5</v>
      </c>
      <c r="V483" s="311" t="n">
        <v>0</v>
      </c>
      <c r="W483" s="312" t="n">
        <v>2.5</v>
      </c>
      <c r="X483" s="311" t="n">
        <v>0</v>
      </c>
      <c r="Y483" s="312" t="n">
        <v>2.5</v>
      </c>
      <c r="Z483" s="313" t="n">
        <v>0</v>
      </c>
      <c r="AA483" s="314" t="n">
        <v>2.5</v>
      </c>
      <c r="AB483" s="313" t="n">
        <v>0</v>
      </c>
      <c r="AC483" s="314" t="n">
        <v>2.5</v>
      </c>
      <c r="AD483" s="315"/>
      <c r="AE483" s="144" t="n">
        <v>21</v>
      </c>
      <c r="AF483" s="315"/>
      <c r="AG483" s="311" t="n">
        <v>0</v>
      </c>
      <c r="AH483" s="309" t="n">
        <v>0</v>
      </c>
      <c r="AI483" s="310"/>
      <c r="AJ483" s="311" t="n">
        <v>42</v>
      </c>
      <c r="AK483" s="309" t="n">
        <v>100.8</v>
      </c>
      <c r="AL483" s="311" t="n">
        <v>107</v>
      </c>
      <c r="AM483" s="309" t="n">
        <v>64.8</v>
      </c>
      <c r="AN483" s="311" t="n">
        <v>126</v>
      </c>
      <c r="AO483" s="309" t="n">
        <v>45.6</v>
      </c>
      <c r="AP483" s="310"/>
      <c r="AQ483" s="311" t="n">
        <v>52</v>
      </c>
      <c r="AR483" s="309" t="n">
        <v>120</v>
      </c>
      <c r="AS483" s="311" t="n">
        <v>112</v>
      </c>
      <c r="AT483" s="309" t="n">
        <v>60</v>
      </c>
      <c r="AU483" s="311" t="n">
        <v>112</v>
      </c>
      <c r="AV483" s="309" t="n">
        <v>60</v>
      </c>
      <c r="AW483" s="311" t="n">
        <v>112</v>
      </c>
      <c r="AX483" s="309" t="n">
        <v>60</v>
      </c>
      <c r="AY483" s="311" t="n">
        <v>112</v>
      </c>
      <c r="AZ483" s="309" t="n">
        <v>60</v>
      </c>
      <c r="BB483" s="144" t="n">
        <v>0</v>
      </c>
      <c r="BC483" s="315"/>
      <c r="BD483" s="311" t="n">
        <v>0</v>
      </c>
      <c r="BE483" s="316" t="n">
        <v>0</v>
      </c>
      <c r="BF483" s="310"/>
      <c r="BG483" s="317" t="n">
        <v>0</v>
      </c>
      <c r="BH483" s="318" t="n">
        <v>0.4</v>
      </c>
      <c r="BI483" s="317" t="n">
        <v>0</v>
      </c>
      <c r="BJ483" s="318" t="n">
        <v>0.8</v>
      </c>
      <c r="BK483" s="317" t="n">
        <v>0</v>
      </c>
      <c r="BL483" s="318" t="n">
        <v>0.8</v>
      </c>
      <c r="BM483" s="310"/>
      <c r="BN483" s="317" t="n">
        <v>0</v>
      </c>
      <c r="BO483" s="318" t="n">
        <v>0</v>
      </c>
      <c r="BP483" s="317" t="n">
        <v>0</v>
      </c>
      <c r="BQ483" s="318" t="n">
        <v>0.8</v>
      </c>
      <c r="BR483" s="317" t="n">
        <v>0</v>
      </c>
      <c r="BS483" s="318" t="n">
        <v>0.8</v>
      </c>
      <c r="BT483" s="317" t="n">
        <v>0</v>
      </c>
      <c r="BU483" s="318" t="n">
        <v>0.8</v>
      </c>
      <c r="BV483" s="317" t="n">
        <v>0</v>
      </c>
      <c r="BW483" s="318" t="n">
        <v>0.8</v>
      </c>
      <c r="BY483" s="143"/>
      <c r="BZ483" s="315"/>
      <c r="CA483" s="144"/>
      <c r="CB483" s="315"/>
      <c r="CC483" s="144" t="n">
        <v>-21.4396694214876</v>
      </c>
      <c r="CD483" s="144" t="n">
        <v>-86.4396694214876</v>
      </c>
      <c r="CE483" s="144" t="n">
        <v>-105.639669421488</v>
      </c>
      <c r="CF483" s="315"/>
      <c r="CG483" s="144" t="n">
        <v>-31.2396694214876</v>
      </c>
      <c r="CH483" s="144" t="n">
        <v>-91.2396694214876</v>
      </c>
      <c r="CI483" s="144" t="n">
        <v>-91.2396694214876</v>
      </c>
      <c r="CJ483" s="144" t="n">
        <v>-91.2396694214876</v>
      </c>
      <c r="CK483" s="144" t="n">
        <v>-91.2396694214876</v>
      </c>
      <c r="CM483" s="144" t="n">
        <v>132.223140495868</v>
      </c>
      <c r="CO483" s="319"/>
      <c r="CP483" s="320"/>
      <c r="CQ483" s="321"/>
      <c r="CR483" s="320"/>
      <c r="CS483" s="322" t="n">
        <v>-2.42314049586776</v>
      </c>
      <c r="CT483" s="322" t="n">
        <v>-67.4231404958678</v>
      </c>
      <c r="CU483" s="322" t="n">
        <v>-86.6231404958678</v>
      </c>
      <c r="CV483" s="323"/>
      <c r="CW483" s="322" t="n">
        <v>-12.2231404958678</v>
      </c>
      <c r="CX483" s="322" t="n">
        <v>-72.2231404958678</v>
      </c>
      <c r="CY483" s="322" t="n">
        <v>-72.2231404958678</v>
      </c>
      <c r="CZ483" s="322" t="n">
        <v>-72.2231404958678</v>
      </c>
      <c r="DA483" s="322" t="n">
        <v>-72.2231404958678</v>
      </c>
    </row>
    <row r="484" customFormat="false" ht="12.75" hidden="false" customHeight="false" outlineLevel="0" collapsed="false">
      <c r="B484" s="305" t="s">
        <v>497</v>
      </c>
      <c r="C484" s="326" t="s">
        <v>736</v>
      </c>
      <c r="D484" s="306" t="n">
        <v>553</v>
      </c>
      <c r="E484" s="306" t="n">
        <v>0</v>
      </c>
      <c r="F484" s="324" t="s">
        <v>737</v>
      </c>
      <c r="G484" s="144" t="n">
        <v>24</v>
      </c>
      <c r="H484" s="325" t="n">
        <v>412.396694214876</v>
      </c>
      <c r="I484" s="2"/>
      <c r="J484" s="144" t="s">
        <v>12</v>
      </c>
      <c r="K484" s="309" t="s">
        <v>12</v>
      </c>
      <c r="L484" s="310"/>
      <c r="M484" s="311" t="n">
        <v>139</v>
      </c>
      <c r="N484" s="312" t="n">
        <v>8.5</v>
      </c>
      <c r="O484" s="311" t="n">
        <v>19</v>
      </c>
      <c r="P484" s="312" t="n">
        <v>11</v>
      </c>
      <c r="Q484" s="310" t="n">
        <v>19</v>
      </c>
      <c r="R484" s="312" t="n">
        <v>10.2</v>
      </c>
      <c r="S484" s="310"/>
      <c r="T484" s="311" t="n">
        <v>0</v>
      </c>
      <c r="U484" s="312" t="n">
        <v>14.1</v>
      </c>
      <c r="V484" s="311" t="n">
        <v>0</v>
      </c>
      <c r="W484" s="312" t="n">
        <v>10</v>
      </c>
      <c r="X484" s="311" t="n">
        <v>0</v>
      </c>
      <c r="Y484" s="312" t="n">
        <v>10</v>
      </c>
      <c r="Z484" s="313" t="n">
        <v>0</v>
      </c>
      <c r="AA484" s="314" t="n">
        <v>10</v>
      </c>
      <c r="AB484" s="313" t="n">
        <v>0</v>
      </c>
      <c r="AC484" s="314" t="n">
        <v>10</v>
      </c>
      <c r="AD484" s="315"/>
      <c r="AE484" s="144" t="n">
        <v>141</v>
      </c>
      <c r="AF484" s="315"/>
      <c r="AG484" s="311" t="n">
        <v>0</v>
      </c>
      <c r="AH484" s="309" t="n">
        <v>0</v>
      </c>
      <c r="AI484" s="310"/>
      <c r="AJ484" s="311" t="n">
        <v>210</v>
      </c>
      <c r="AK484" s="309" t="n">
        <v>204</v>
      </c>
      <c r="AL484" s="311" t="n">
        <v>270</v>
      </c>
      <c r="AM484" s="309" t="n">
        <v>264</v>
      </c>
      <c r="AN484" s="310" t="n">
        <v>289</v>
      </c>
      <c r="AO484" s="309" t="n">
        <v>244.8</v>
      </c>
      <c r="AP484" s="310"/>
      <c r="AQ484" s="311" t="n">
        <v>215</v>
      </c>
      <c r="AR484" s="309" t="n">
        <v>338.4</v>
      </c>
      <c r="AS484" s="311" t="n">
        <v>313</v>
      </c>
      <c r="AT484" s="309" t="n">
        <v>240</v>
      </c>
      <c r="AU484" s="310" t="n">
        <v>313</v>
      </c>
      <c r="AV484" s="309" t="n">
        <v>240</v>
      </c>
      <c r="AW484" s="310" t="n">
        <v>313</v>
      </c>
      <c r="AX484" s="309" t="n">
        <v>240</v>
      </c>
      <c r="AY484" s="310" t="n">
        <v>313</v>
      </c>
      <c r="AZ484" s="309" t="n">
        <v>240</v>
      </c>
      <c r="BB484" s="144" t="n">
        <v>0</v>
      </c>
      <c r="BC484" s="315"/>
      <c r="BD484" s="311" t="n">
        <v>0</v>
      </c>
      <c r="BE484" s="316" t="n">
        <v>0</v>
      </c>
      <c r="BF484" s="310"/>
      <c r="BG484" s="317" t="n">
        <v>0</v>
      </c>
      <c r="BH484" s="318" t="n">
        <v>0.199999999999999</v>
      </c>
      <c r="BI484" s="317" t="n">
        <v>0</v>
      </c>
      <c r="BJ484" s="318" t="n">
        <v>0.799999999999999</v>
      </c>
      <c r="BK484" s="317" t="n">
        <v>0</v>
      </c>
      <c r="BL484" s="318" t="n">
        <v>0.9</v>
      </c>
      <c r="BM484" s="310"/>
      <c r="BN484" s="317" t="n">
        <v>0</v>
      </c>
      <c r="BO484" s="318" t="n">
        <v>0</v>
      </c>
      <c r="BP484" s="317" t="n">
        <v>0</v>
      </c>
      <c r="BQ484" s="318" t="n">
        <v>0</v>
      </c>
      <c r="BR484" s="317" t="n">
        <v>0</v>
      </c>
      <c r="BS484" s="318" t="n">
        <v>0</v>
      </c>
      <c r="BT484" s="317" t="n">
        <v>0</v>
      </c>
      <c r="BU484" s="318" t="n">
        <v>0</v>
      </c>
      <c r="BV484" s="317" t="n">
        <v>0</v>
      </c>
      <c r="BW484" s="318" t="n">
        <v>0</v>
      </c>
      <c r="BY484" s="143"/>
      <c r="BZ484" s="315"/>
      <c r="CA484" s="144"/>
      <c r="CB484" s="315"/>
      <c r="CC484" s="144" t="n">
        <v>-69.3966942148761</v>
      </c>
      <c r="CD484" s="144" t="n">
        <v>-129.396694214876</v>
      </c>
      <c r="CE484" s="144" t="n">
        <v>-148.596694214876</v>
      </c>
      <c r="CF484" s="315"/>
      <c r="CG484" s="144" t="n">
        <v>-73.996694214876</v>
      </c>
      <c r="CH484" s="144" t="n">
        <v>-172.396694214876</v>
      </c>
      <c r="CI484" s="144" t="n">
        <v>-172.396694214876</v>
      </c>
      <c r="CJ484" s="144" t="n">
        <v>-172.396694214876</v>
      </c>
      <c r="CK484" s="144" t="n">
        <v>-172.396694214876</v>
      </c>
      <c r="CM484" s="144" t="n">
        <v>578.504132231405</v>
      </c>
      <c r="CO484" s="319"/>
      <c r="CP484" s="320"/>
      <c r="CQ484" s="321"/>
      <c r="CR484" s="320"/>
      <c r="CS484" s="322" t="n">
        <v>-235.504132231405</v>
      </c>
      <c r="CT484" s="322" t="n">
        <v>-295.504132231405</v>
      </c>
      <c r="CU484" s="322" t="n">
        <v>-314.704132231405</v>
      </c>
      <c r="CV484" s="323"/>
      <c r="CW484" s="322" t="n">
        <v>-240.104132231405</v>
      </c>
      <c r="CX484" s="322" t="n">
        <v>-338.504132231405</v>
      </c>
      <c r="CY484" s="322" t="n">
        <v>-338.504132231405</v>
      </c>
      <c r="CZ484" s="322" t="n">
        <v>-338.504132231405</v>
      </c>
      <c r="DA484" s="322" t="n">
        <v>-338.504132231405</v>
      </c>
    </row>
    <row r="485" customFormat="false" ht="12.75" hidden="false" customHeight="false" outlineLevel="0" collapsed="false">
      <c r="B485" s="305" t="s">
        <v>497</v>
      </c>
      <c r="C485" s="326" t="s">
        <v>736</v>
      </c>
      <c r="D485" s="306" t="n">
        <v>553</v>
      </c>
      <c r="E485" s="306" t="n">
        <v>0</v>
      </c>
      <c r="F485" s="306" t="s">
        <v>737</v>
      </c>
      <c r="G485" s="307" t="n">
        <v>48</v>
      </c>
      <c r="H485" s="308" t="n">
        <v>412.396694214876</v>
      </c>
      <c r="I485" s="2"/>
      <c r="J485" s="144" t="s">
        <v>12</v>
      </c>
      <c r="K485" s="309" t="s">
        <v>12</v>
      </c>
      <c r="L485" s="310"/>
      <c r="M485" s="311" t="n">
        <v>139</v>
      </c>
      <c r="N485" s="312" t="n">
        <v>4.3</v>
      </c>
      <c r="O485" s="311" t="n">
        <v>19</v>
      </c>
      <c r="P485" s="312" t="n">
        <v>5.5</v>
      </c>
      <c r="Q485" s="310" t="n">
        <v>19</v>
      </c>
      <c r="R485" s="312" t="n">
        <v>5.1</v>
      </c>
      <c r="S485" s="310"/>
      <c r="T485" s="311" t="n">
        <v>0</v>
      </c>
      <c r="U485" s="312" t="n">
        <v>7.1</v>
      </c>
      <c r="V485" s="311" t="n">
        <v>0</v>
      </c>
      <c r="W485" s="312" t="n">
        <v>5</v>
      </c>
      <c r="X485" s="311" t="n">
        <v>0</v>
      </c>
      <c r="Y485" s="312" t="n">
        <v>5</v>
      </c>
      <c r="Z485" s="313" t="n">
        <v>0</v>
      </c>
      <c r="AA485" s="314" t="n">
        <v>5</v>
      </c>
      <c r="AB485" s="313" t="n">
        <v>0</v>
      </c>
      <c r="AC485" s="314" t="n">
        <v>5</v>
      </c>
      <c r="AD485" s="315"/>
      <c r="AE485" s="144" t="n">
        <v>141</v>
      </c>
      <c r="AF485" s="315"/>
      <c r="AG485" s="311" t="n">
        <v>0</v>
      </c>
      <c r="AH485" s="309" t="n">
        <v>0</v>
      </c>
      <c r="AI485" s="310"/>
      <c r="AJ485" s="311" t="n">
        <v>208</v>
      </c>
      <c r="AK485" s="309" t="n">
        <v>206.4</v>
      </c>
      <c r="AL485" s="311" t="n">
        <v>270</v>
      </c>
      <c r="AM485" s="309" t="n">
        <v>264</v>
      </c>
      <c r="AN485" s="311" t="n">
        <v>289</v>
      </c>
      <c r="AO485" s="309" t="n">
        <v>244.8</v>
      </c>
      <c r="AP485" s="310"/>
      <c r="AQ485" s="311" t="n">
        <v>212</v>
      </c>
      <c r="AR485" s="309" t="n">
        <v>340.8</v>
      </c>
      <c r="AS485" s="311" t="n">
        <v>313</v>
      </c>
      <c r="AT485" s="309" t="n">
        <v>240</v>
      </c>
      <c r="AU485" s="311" t="n">
        <v>313</v>
      </c>
      <c r="AV485" s="309" t="n">
        <v>240</v>
      </c>
      <c r="AW485" s="311" t="n">
        <v>313</v>
      </c>
      <c r="AX485" s="309" t="n">
        <v>240</v>
      </c>
      <c r="AY485" s="311" t="n">
        <v>313</v>
      </c>
      <c r="AZ485" s="309" t="n">
        <v>240</v>
      </c>
      <c r="BB485" s="144" t="n">
        <v>0</v>
      </c>
      <c r="BC485" s="315"/>
      <c r="BD485" s="311" t="n">
        <v>0</v>
      </c>
      <c r="BE485" s="316" t="n">
        <v>0</v>
      </c>
      <c r="BF485" s="310"/>
      <c r="BG485" s="317" t="n">
        <v>0</v>
      </c>
      <c r="BH485" s="318" t="n">
        <v>0</v>
      </c>
      <c r="BI485" s="317" t="n">
        <v>0</v>
      </c>
      <c r="BJ485" s="318" t="n">
        <v>0</v>
      </c>
      <c r="BK485" s="317" t="n">
        <v>0</v>
      </c>
      <c r="BL485" s="318" t="n">
        <v>0</v>
      </c>
      <c r="BM485" s="310"/>
      <c r="BN485" s="317" t="n">
        <v>0</v>
      </c>
      <c r="BO485" s="318" t="n">
        <v>0</v>
      </c>
      <c r="BP485" s="317" t="n">
        <v>0</v>
      </c>
      <c r="BQ485" s="318" t="n">
        <v>0</v>
      </c>
      <c r="BR485" s="317" t="n">
        <v>0</v>
      </c>
      <c r="BS485" s="318" t="n">
        <v>0</v>
      </c>
      <c r="BT485" s="317" t="n">
        <v>0</v>
      </c>
      <c r="BU485" s="318" t="n">
        <v>0</v>
      </c>
      <c r="BV485" s="317" t="n">
        <v>0</v>
      </c>
      <c r="BW485" s="318" t="n">
        <v>0</v>
      </c>
      <c r="BY485" s="143"/>
      <c r="BZ485" s="315"/>
      <c r="CA485" s="144"/>
      <c r="CB485" s="315"/>
      <c r="CC485" s="144" t="n">
        <v>-66.9966942148761</v>
      </c>
      <c r="CD485" s="144" t="n">
        <v>-129.396694214876</v>
      </c>
      <c r="CE485" s="144" t="n">
        <v>-148.596694214876</v>
      </c>
      <c r="CF485" s="315"/>
      <c r="CG485" s="144" t="n">
        <v>-71.596694214876</v>
      </c>
      <c r="CH485" s="144" t="n">
        <v>-172.396694214876</v>
      </c>
      <c r="CI485" s="144" t="n">
        <v>-172.396694214876</v>
      </c>
      <c r="CJ485" s="144" t="n">
        <v>-172.396694214876</v>
      </c>
      <c r="CK485" s="144" t="n">
        <v>-172.396694214876</v>
      </c>
      <c r="CM485" s="144" t="n">
        <v>578.504132231405</v>
      </c>
      <c r="CO485" s="319"/>
      <c r="CP485" s="320"/>
      <c r="CQ485" s="321"/>
      <c r="CR485" s="320"/>
      <c r="CS485" s="322" t="n">
        <v>-233.104132231405</v>
      </c>
      <c r="CT485" s="322" t="n">
        <v>-295.504132231405</v>
      </c>
      <c r="CU485" s="322" t="n">
        <v>-314.704132231405</v>
      </c>
      <c r="CV485" s="323"/>
      <c r="CW485" s="322" t="n">
        <v>-237.704132231405</v>
      </c>
      <c r="CX485" s="322" t="n">
        <v>-338.504132231405</v>
      </c>
      <c r="CY485" s="322" t="n">
        <v>-338.504132231405</v>
      </c>
      <c r="CZ485" s="322" t="n">
        <v>-338.504132231405</v>
      </c>
      <c r="DA485" s="322" t="n">
        <v>-338.504132231405</v>
      </c>
    </row>
    <row r="486" customFormat="false" ht="12.75" hidden="false" customHeight="false" outlineLevel="0" collapsed="false">
      <c r="B486" s="305" t="s">
        <v>497</v>
      </c>
      <c r="C486" s="326" t="s">
        <v>738</v>
      </c>
      <c r="D486" s="306" t="n">
        <v>459</v>
      </c>
      <c r="E486" s="306" t="n">
        <v>0</v>
      </c>
      <c r="F486" s="324" t="s">
        <v>737</v>
      </c>
      <c r="G486" s="144" t="n">
        <v>24</v>
      </c>
      <c r="H486" s="325" t="n">
        <v>323.140495867769</v>
      </c>
      <c r="I486" s="2"/>
      <c r="J486" s="144" t="s">
        <v>12</v>
      </c>
      <c r="K486" s="309" t="s">
        <v>12</v>
      </c>
      <c r="L486" s="310"/>
      <c r="M486" s="311" t="n">
        <v>109</v>
      </c>
      <c r="N486" s="312" t="n">
        <v>6.5</v>
      </c>
      <c r="O486" s="311" t="n">
        <v>19</v>
      </c>
      <c r="P486" s="312" t="n">
        <v>7.7</v>
      </c>
      <c r="Q486" s="310" t="n">
        <v>19</v>
      </c>
      <c r="R486" s="312" t="n">
        <v>6.9</v>
      </c>
      <c r="S486" s="310"/>
      <c r="T486" s="311" t="n">
        <v>0</v>
      </c>
      <c r="U486" s="312" t="n">
        <v>10.8</v>
      </c>
      <c r="V486" s="311" t="n">
        <v>0</v>
      </c>
      <c r="W486" s="312" t="n">
        <v>7</v>
      </c>
      <c r="X486" s="311" t="n">
        <v>0</v>
      </c>
      <c r="Y486" s="312" t="n">
        <v>7</v>
      </c>
      <c r="Z486" s="313" t="n">
        <v>0</v>
      </c>
      <c r="AA486" s="314" t="n">
        <v>7</v>
      </c>
      <c r="AB486" s="313" t="n">
        <v>0</v>
      </c>
      <c r="AC486" s="314" t="n">
        <v>7</v>
      </c>
      <c r="AD486" s="315"/>
      <c r="AE486" s="144" t="n">
        <v>136</v>
      </c>
      <c r="AF486" s="315"/>
      <c r="AG486" s="311" t="n">
        <v>0</v>
      </c>
      <c r="AH486" s="309" t="n">
        <v>0</v>
      </c>
      <c r="AI486" s="310"/>
      <c r="AJ486" s="311" t="n">
        <v>194</v>
      </c>
      <c r="AK486" s="309" t="n">
        <v>156</v>
      </c>
      <c r="AL486" s="311" t="n">
        <v>255</v>
      </c>
      <c r="AM486" s="309" t="n">
        <v>184.8</v>
      </c>
      <c r="AN486" s="310" t="n">
        <v>274</v>
      </c>
      <c r="AO486" s="309" t="n">
        <v>165.6</v>
      </c>
      <c r="AP486" s="310"/>
      <c r="AQ486" s="311" t="n">
        <v>200</v>
      </c>
      <c r="AR486" s="309" t="n">
        <v>259.2</v>
      </c>
      <c r="AS486" s="311" t="n">
        <v>291</v>
      </c>
      <c r="AT486" s="309" t="n">
        <v>168</v>
      </c>
      <c r="AU486" s="310" t="n">
        <v>291</v>
      </c>
      <c r="AV486" s="309" t="n">
        <v>168</v>
      </c>
      <c r="AW486" s="310" t="n">
        <v>291</v>
      </c>
      <c r="AX486" s="309" t="n">
        <v>168</v>
      </c>
      <c r="AY486" s="310" t="n">
        <v>291</v>
      </c>
      <c r="AZ486" s="309" t="n">
        <v>168</v>
      </c>
      <c r="BB486" s="144" t="n">
        <v>0</v>
      </c>
      <c r="BC486" s="315"/>
      <c r="BD486" s="311" t="n">
        <v>0</v>
      </c>
      <c r="BE486" s="316" t="n">
        <v>0</v>
      </c>
      <c r="BF486" s="310"/>
      <c r="BG486" s="317" t="n">
        <v>0</v>
      </c>
      <c r="BH486" s="318" t="n">
        <v>0.5</v>
      </c>
      <c r="BI486" s="317" t="n">
        <v>0</v>
      </c>
      <c r="BJ486" s="318" t="n">
        <v>0.6</v>
      </c>
      <c r="BK486" s="317" t="n">
        <v>0</v>
      </c>
      <c r="BL486" s="318" t="n">
        <v>0.9</v>
      </c>
      <c r="BM486" s="310"/>
      <c r="BN486" s="317" t="n">
        <v>0</v>
      </c>
      <c r="BO486" s="318" t="n">
        <v>-0.199999999999999</v>
      </c>
      <c r="BP486" s="317" t="n">
        <v>0</v>
      </c>
      <c r="BQ486" s="318" t="n">
        <v>0.8</v>
      </c>
      <c r="BR486" s="317" t="n">
        <v>0</v>
      </c>
      <c r="BS486" s="318" t="n">
        <v>1</v>
      </c>
      <c r="BT486" s="317" t="n">
        <v>0</v>
      </c>
      <c r="BU486" s="318" t="n">
        <v>-1.8</v>
      </c>
      <c r="BV486" s="317" t="n">
        <v>0</v>
      </c>
      <c r="BW486" s="318" t="n">
        <v>-1.8</v>
      </c>
      <c r="BY486" s="143"/>
      <c r="BZ486" s="315"/>
      <c r="CA486" s="144"/>
      <c r="CB486" s="315"/>
      <c r="CC486" s="144" t="n">
        <v>-58.1404958677686</v>
      </c>
      <c r="CD486" s="144" t="n">
        <v>-119.340495867769</v>
      </c>
      <c r="CE486" s="144" t="n">
        <v>-138.540495867769</v>
      </c>
      <c r="CF486" s="315"/>
      <c r="CG486" s="144" t="n">
        <v>-63.9404958677686</v>
      </c>
      <c r="CH486" s="144" t="n">
        <v>-155.140495867769</v>
      </c>
      <c r="CI486" s="144" t="n">
        <v>-155.140495867769</v>
      </c>
      <c r="CJ486" s="144" t="n">
        <v>-155.140495867769</v>
      </c>
      <c r="CK486" s="144" t="n">
        <v>-155.140495867769</v>
      </c>
      <c r="CM486" s="144" t="n">
        <v>329.752066115702</v>
      </c>
      <c r="CO486" s="319"/>
      <c r="CP486" s="320"/>
      <c r="CQ486" s="321"/>
      <c r="CR486" s="320"/>
      <c r="CS486" s="322" t="n">
        <v>-64.7520661157025</v>
      </c>
      <c r="CT486" s="322" t="n">
        <v>-125.952066115702</v>
      </c>
      <c r="CU486" s="322" t="n">
        <v>-145.152066115702</v>
      </c>
      <c r="CV486" s="323"/>
      <c r="CW486" s="322" t="n">
        <v>-70.5520661157024</v>
      </c>
      <c r="CX486" s="322" t="n">
        <v>-161.752066115702</v>
      </c>
      <c r="CY486" s="322" t="n">
        <v>-161.752066115702</v>
      </c>
      <c r="CZ486" s="322" t="n">
        <v>-161.752066115702</v>
      </c>
      <c r="DA486" s="322" t="n">
        <v>-161.752066115702</v>
      </c>
    </row>
    <row r="487" customFormat="false" ht="12.75" hidden="false" customHeight="false" outlineLevel="0" collapsed="false">
      <c r="B487" s="305" t="s">
        <v>497</v>
      </c>
      <c r="C487" s="326" t="s">
        <v>738</v>
      </c>
      <c r="D487" s="306" t="n">
        <v>459</v>
      </c>
      <c r="E487" s="306" t="n">
        <v>0</v>
      </c>
      <c r="F487" s="306" t="s">
        <v>737</v>
      </c>
      <c r="G487" s="307" t="n">
        <v>48</v>
      </c>
      <c r="H487" s="308" t="n">
        <v>323.140495867769</v>
      </c>
      <c r="I487" s="2"/>
      <c r="J487" s="144" t="s">
        <v>12</v>
      </c>
      <c r="K487" s="309" t="s">
        <v>12</v>
      </c>
      <c r="L487" s="310"/>
      <c r="M487" s="311" t="n">
        <v>109</v>
      </c>
      <c r="N487" s="312" t="n">
        <v>3.3</v>
      </c>
      <c r="O487" s="311" t="n">
        <v>19</v>
      </c>
      <c r="P487" s="312" t="n">
        <v>3.9</v>
      </c>
      <c r="Q487" s="310" t="n">
        <v>19</v>
      </c>
      <c r="R487" s="312" t="n">
        <v>3.5</v>
      </c>
      <c r="S487" s="310"/>
      <c r="T487" s="311" t="n">
        <v>0</v>
      </c>
      <c r="U487" s="312" t="n">
        <v>5.4</v>
      </c>
      <c r="V487" s="311" t="n">
        <v>0</v>
      </c>
      <c r="W487" s="312" t="n">
        <v>3.5</v>
      </c>
      <c r="X487" s="311" t="n">
        <v>0</v>
      </c>
      <c r="Y487" s="312" t="n">
        <v>3.5</v>
      </c>
      <c r="Z487" s="313" t="n">
        <v>0</v>
      </c>
      <c r="AA487" s="314" t="n">
        <v>3.5</v>
      </c>
      <c r="AB487" s="313" t="n">
        <v>0</v>
      </c>
      <c r="AC487" s="314" t="n">
        <v>3.5</v>
      </c>
      <c r="AD487" s="315"/>
      <c r="AE487" s="144" t="n">
        <v>136</v>
      </c>
      <c r="AF487" s="315"/>
      <c r="AG487" s="311" t="n">
        <v>0</v>
      </c>
      <c r="AH487" s="309" t="n">
        <v>0</v>
      </c>
      <c r="AI487" s="310"/>
      <c r="AJ487" s="311" t="n">
        <v>192</v>
      </c>
      <c r="AK487" s="309" t="n">
        <v>158.4</v>
      </c>
      <c r="AL487" s="311" t="n">
        <v>253</v>
      </c>
      <c r="AM487" s="309" t="n">
        <v>187.2</v>
      </c>
      <c r="AN487" s="311" t="n">
        <v>272</v>
      </c>
      <c r="AO487" s="309" t="n">
        <v>168</v>
      </c>
      <c r="AP487" s="310"/>
      <c r="AQ487" s="311" t="n">
        <v>200</v>
      </c>
      <c r="AR487" s="309" t="n">
        <v>259.2</v>
      </c>
      <c r="AS487" s="311" t="n">
        <v>291</v>
      </c>
      <c r="AT487" s="309" t="n">
        <v>168</v>
      </c>
      <c r="AU487" s="311" t="n">
        <v>291</v>
      </c>
      <c r="AV487" s="309" t="n">
        <v>168</v>
      </c>
      <c r="AW487" s="311" t="n">
        <v>291</v>
      </c>
      <c r="AX487" s="309" t="n">
        <v>168</v>
      </c>
      <c r="AY487" s="311" t="n">
        <v>291</v>
      </c>
      <c r="AZ487" s="309" t="n">
        <v>168</v>
      </c>
      <c r="BB487" s="144" t="n">
        <v>0</v>
      </c>
      <c r="BC487" s="315"/>
      <c r="BD487" s="311" t="n">
        <v>0</v>
      </c>
      <c r="BE487" s="316" t="n">
        <v>0</v>
      </c>
      <c r="BF487" s="310"/>
      <c r="BG487" s="317" t="n">
        <v>0</v>
      </c>
      <c r="BH487" s="318" t="n">
        <v>0</v>
      </c>
      <c r="BI487" s="317" t="n">
        <v>0</v>
      </c>
      <c r="BJ487" s="318" t="n">
        <v>0</v>
      </c>
      <c r="BK487" s="317" t="n">
        <v>0</v>
      </c>
      <c r="BL487" s="318" t="n">
        <v>0</v>
      </c>
      <c r="BM487" s="310"/>
      <c r="BN487" s="317" t="n">
        <v>0</v>
      </c>
      <c r="BO487" s="318" t="n">
        <v>0</v>
      </c>
      <c r="BP487" s="317" t="n">
        <v>0</v>
      </c>
      <c r="BQ487" s="318" t="n">
        <v>0</v>
      </c>
      <c r="BR487" s="317" t="n">
        <v>0</v>
      </c>
      <c r="BS487" s="318" t="n">
        <v>0</v>
      </c>
      <c r="BT487" s="317" t="n">
        <v>0</v>
      </c>
      <c r="BU487" s="318" t="n">
        <v>0</v>
      </c>
      <c r="BV487" s="317" t="n">
        <v>0</v>
      </c>
      <c r="BW487" s="318" t="n">
        <v>0</v>
      </c>
      <c r="BY487" s="143"/>
      <c r="BZ487" s="315"/>
      <c r="CA487" s="144"/>
      <c r="CB487" s="315"/>
      <c r="CC487" s="144" t="n">
        <v>-55.7404958677686</v>
      </c>
      <c r="CD487" s="144" t="n">
        <v>-116.940495867769</v>
      </c>
      <c r="CE487" s="144" t="n">
        <v>-136.140495867769</v>
      </c>
      <c r="CF487" s="315"/>
      <c r="CG487" s="144" t="n">
        <v>-63.9404958677686</v>
      </c>
      <c r="CH487" s="144" t="n">
        <v>-155.140495867769</v>
      </c>
      <c r="CI487" s="144" t="n">
        <v>-155.140495867769</v>
      </c>
      <c r="CJ487" s="144" t="n">
        <v>-155.140495867769</v>
      </c>
      <c r="CK487" s="144" t="n">
        <v>-155.140495867769</v>
      </c>
      <c r="CM487" s="144" t="n">
        <v>329.752066115702</v>
      </c>
      <c r="CO487" s="319"/>
      <c r="CP487" s="320"/>
      <c r="CQ487" s="321"/>
      <c r="CR487" s="320"/>
      <c r="CS487" s="322" t="n">
        <v>-62.3520661157025</v>
      </c>
      <c r="CT487" s="322" t="n">
        <v>-123.552066115702</v>
      </c>
      <c r="CU487" s="322" t="n">
        <v>-142.752066115702</v>
      </c>
      <c r="CV487" s="323"/>
      <c r="CW487" s="322" t="n">
        <v>-70.5520661157024</v>
      </c>
      <c r="CX487" s="322" t="n">
        <v>-161.752066115702</v>
      </c>
      <c r="CY487" s="322" t="n">
        <v>-161.752066115702</v>
      </c>
      <c r="CZ487" s="322" t="n">
        <v>-161.752066115702</v>
      </c>
      <c r="DA487" s="322" t="n">
        <v>-161.752066115702</v>
      </c>
    </row>
    <row r="488" customFormat="false" ht="12.75" hidden="false" customHeight="false" outlineLevel="0" collapsed="false">
      <c r="B488" s="305" t="s">
        <v>497</v>
      </c>
      <c r="C488" s="326" t="s">
        <v>739</v>
      </c>
      <c r="D488" s="306" t="n">
        <v>516</v>
      </c>
      <c r="E488" s="306" t="n">
        <v>0</v>
      </c>
      <c r="F488" s="324" t="s">
        <v>737</v>
      </c>
      <c r="G488" s="144" t="n">
        <v>24</v>
      </c>
      <c r="H488" s="325" t="n">
        <v>405.785123966942</v>
      </c>
      <c r="I488" s="2"/>
      <c r="J488" s="144" t="s">
        <v>12</v>
      </c>
      <c r="K488" s="309" t="s">
        <v>12</v>
      </c>
      <c r="L488" s="310"/>
      <c r="M488" s="311" t="n">
        <v>139</v>
      </c>
      <c r="N488" s="312" t="n">
        <v>8.3</v>
      </c>
      <c r="O488" s="311" t="n">
        <v>19</v>
      </c>
      <c r="P488" s="312" t="n">
        <v>10.8</v>
      </c>
      <c r="Q488" s="310" t="n">
        <v>19</v>
      </c>
      <c r="R488" s="312" t="n">
        <v>10</v>
      </c>
      <c r="S488" s="310"/>
      <c r="T488" s="311" t="n">
        <v>0</v>
      </c>
      <c r="U488" s="312" t="n">
        <v>13.7</v>
      </c>
      <c r="V488" s="311" t="n">
        <v>0</v>
      </c>
      <c r="W488" s="312" t="n">
        <v>9.5</v>
      </c>
      <c r="X488" s="311" t="n">
        <v>0</v>
      </c>
      <c r="Y488" s="312" t="n">
        <v>9.5</v>
      </c>
      <c r="Z488" s="313" t="n">
        <v>0</v>
      </c>
      <c r="AA488" s="314" t="n">
        <v>9.5</v>
      </c>
      <c r="AB488" s="313" t="n">
        <v>0</v>
      </c>
      <c r="AC488" s="314" t="n">
        <v>9.5</v>
      </c>
      <c r="AD488" s="315"/>
      <c r="AE488" s="144" t="n">
        <v>110</v>
      </c>
      <c r="AF488" s="315"/>
      <c r="AG488" s="311" t="n">
        <v>0</v>
      </c>
      <c r="AH488" s="309" t="n">
        <v>0</v>
      </c>
      <c r="AI488" s="310"/>
      <c r="AJ488" s="311" t="n">
        <v>178</v>
      </c>
      <c r="AK488" s="309" t="n">
        <v>199.2</v>
      </c>
      <c r="AL488" s="311" t="n">
        <v>238</v>
      </c>
      <c r="AM488" s="309" t="n">
        <v>259.2</v>
      </c>
      <c r="AN488" s="310" t="n">
        <v>257</v>
      </c>
      <c r="AO488" s="309" t="n">
        <v>240</v>
      </c>
      <c r="AP488" s="310"/>
      <c r="AQ488" s="311" t="n">
        <v>187</v>
      </c>
      <c r="AR488" s="309" t="n">
        <v>328.8</v>
      </c>
      <c r="AS488" s="311" t="n">
        <v>288</v>
      </c>
      <c r="AT488" s="309" t="n">
        <v>228</v>
      </c>
      <c r="AU488" s="310" t="n">
        <v>288</v>
      </c>
      <c r="AV488" s="309" t="n">
        <v>228</v>
      </c>
      <c r="AW488" s="310" t="n">
        <v>288</v>
      </c>
      <c r="AX488" s="309" t="n">
        <v>228</v>
      </c>
      <c r="AY488" s="310" t="n">
        <v>288</v>
      </c>
      <c r="AZ488" s="309" t="n">
        <v>228</v>
      </c>
      <c r="BB488" s="144" t="n">
        <v>0</v>
      </c>
      <c r="BC488" s="315"/>
      <c r="BD488" s="311" t="n">
        <v>0</v>
      </c>
      <c r="BE488" s="316" t="n">
        <v>0</v>
      </c>
      <c r="BF488" s="310"/>
      <c r="BG488" s="317" t="n">
        <v>0</v>
      </c>
      <c r="BH488" s="318" t="n">
        <v>0.200000000000001</v>
      </c>
      <c r="BI488" s="317" t="n">
        <v>0</v>
      </c>
      <c r="BJ488" s="318" t="n">
        <v>0.800000000000001</v>
      </c>
      <c r="BK488" s="317" t="n">
        <v>0</v>
      </c>
      <c r="BL488" s="318" t="n">
        <v>0.9</v>
      </c>
      <c r="BM488" s="310"/>
      <c r="BN488" s="317" t="n">
        <v>0</v>
      </c>
      <c r="BO488" s="318" t="n">
        <v>-0.199999999999999</v>
      </c>
      <c r="BP488" s="317" t="n">
        <v>0</v>
      </c>
      <c r="BQ488" s="318" t="n">
        <v>-0.9</v>
      </c>
      <c r="BR488" s="317" t="n">
        <v>0</v>
      </c>
      <c r="BS488" s="318" t="n">
        <v>0</v>
      </c>
      <c r="BT488" s="317" t="n">
        <v>0</v>
      </c>
      <c r="BU488" s="318" t="n">
        <v>-0.800000000000001</v>
      </c>
      <c r="BV488" s="317" t="n">
        <v>0</v>
      </c>
      <c r="BW488" s="318" t="n">
        <v>-0.800000000000001</v>
      </c>
      <c r="BY488" s="143"/>
      <c r="BZ488" s="315"/>
      <c r="CA488" s="144"/>
      <c r="CB488" s="315"/>
      <c r="CC488" s="144" t="n">
        <v>-67.5851239669421</v>
      </c>
      <c r="CD488" s="144" t="n">
        <v>-127.585123966942</v>
      </c>
      <c r="CE488" s="144" t="n">
        <v>-146.785123966942</v>
      </c>
      <c r="CF488" s="315"/>
      <c r="CG488" s="144" t="n">
        <v>-76.9851239669421</v>
      </c>
      <c r="CH488" s="144" t="n">
        <v>-177.785123966942</v>
      </c>
      <c r="CI488" s="144" t="n">
        <v>-177.785123966942</v>
      </c>
      <c r="CJ488" s="144" t="n">
        <v>-177.785123966942</v>
      </c>
      <c r="CK488" s="144" t="n">
        <v>-177.785123966942</v>
      </c>
      <c r="CM488" s="144" t="n">
        <v>453.719008264463</v>
      </c>
      <c r="CO488" s="319"/>
      <c r="CP488" s="320"/>
      <c r="CQ488" s="321"/>
      <c r="CR488" s="320"/>
      <c r="CS488" s="322" t="n">
        <v>-115.519008264463</v>
      </c>
      <c r="CT488" s="322" t="n">
        <v>-175.519008264463</v>
      </c>
      <c r="CU488" s="322" t="n">
        <v>-194.719008264463</v>
      </c>
      <c r="CV488" s="323"/>
      <c r="CW488" s="322" t="n">
        <v>-124.919008264463</v>
      </c>
      <c r="CX488" s="322" t="n">
        <v>-225.719008264463</v>
      </c>
      <c r="CY488" s="322" t="n">
        <v>-225.719008264463</v>
      </c>
      <c r="CZ488" s="322" t="n">
        <v>-225.719008264463</v>
      </c>
      <c r="DA488" s="322" t="n">
        <v>-225.719008264463</v>
      </c>
    </row>
    <row r="489" customFormat="false" ht="12.75" hidden="false" customHeight="false" outlineLevel="0" collapsed="false">
      <c r="B489" s="305" t="s">
        <v>497</v>
      </c>
      <c r="C489" s="326" t="s">
        <v>739</v>
      </c>
      <c r="D489" s="306" t="n">
        <v>516</v>
      </c>
      <c r="E489" s="306" t="n">
        <v>0</v>
      </c>
      <c r="F489" s="306" t="s">
        <v>737</v>
      </c>
      <c r="G489" s="307" t="n">
        <v>48</v>
      </c>
      <c r="H489" s="308" t="n">
        <v>405.785123966942</v>
      </c>
      <c r="I489" s="2"/>
      <c r="J489" s="144" t="s">
        <v>12</v>
      </c>
      <c r="K489" s="309" t="s">
        <v>12</v>
      </c>
      <c r="L489" s="310"/>
      <c r="M489" s="311" t="n">
        <v>139</v>
      </c>
      <c r="N489" s="312" t="n">
        <v>4.2</v>
      </c>
      <c r="O489" s="311" t="n">
        <v>19</v>
      </c>
      <c r="P489" s="312" t="n">
        <v>5.4</v>
      </c>
      <c r="Q489" s="310" t="n">
        <v>19</v>
      </c>
      <c r="R489" s="312" t="n">
        <v>5</v>
      </c>
      <c r="S489" s="310"/>
      <c r="T489" s="311" t="n">
        <v>0</v>
      </c>
      <c r="U489" s="312" t="n">
        <v>6.9</v>
      </c>
      <c r="V489" s="311" t="n">
        <v>0</v>
      </c>
      <c r="W489" s="312" t="n">
        <v>4.8</v>
      </c>
      <c r="X489" s="311" t="n">
        <v>0</v>
      </c>
      <c r="Y489" s="312" t="n">
        <v>4.8</v>
      </c>
      <c r="Z489" s="313" t="n">
        <v>0</v>
      </c>
      <c r="AA489" s="314" t="n">
        <v>4.8</v>
      </c>
      <c r="AB489" s="313" t="n">
        <v>0</v>
      </c>
      <c r="AC489" s="314" t="n">
        <v>4.8</v>
      </c>
      <c r="AD489" s="315"/>
      <c r="AE489" s="144" t="n">
        <v>110</v>
      </c>
      <c r="AF489" s="315"/>
      <c r="AG489" s="311" t="n">
        <v>0</v>
      </c>
      <c r="AH489" s="309" t="n">
        <v>0</v>
      </c>
      <c r="AI489" s="310"/>
      <c r="AJ489" s="311" t="n">
        <v>175</v>
      </c>
      <c r="AK489" s="309" t="n">
        <v>201.6</v>
      </c>
      <c r="AL489" s="311" t="n">
        <v>238</v>
      </c>
      <c r="AM489" s="309" t="n">
        <v>259.2</v>
      </c>
      <c r="AN489" s="311" t="n">
        <v>257</v>
      </c>
      <c r="AO489" s="309" t="n">
        <v>240</v>
      </c>
      <c r="AP489" s="310"/>
      <c r="AQ489" s="311" t="n">
        <v>185</v>
      </c>
      <c r="AR489" s="309" t="n">
        <v>331.2</v>
      </c>
      <c r="AS489" s="311" t="n">
        <v>286</v>
      </c>
      <c r="AT489" s="309" t="n">
        <v>230.4</v>
      </c>
      <c r="AU489" s="311" t="n">
        <v>286</v>
      </c>
      <c r="AV489" s="309" t="n">
        <v>230.4</v>
      </c>
      <c r="AW489" s="311" t="n">
        <v>286</v>
      </c>
      <c r="AX489" s="309" t="n">
        <v>230.4</v>
      </c>
      <c r="AY489" s="311" t="n">
        <v>286</v>
      </c>
      <c r="AZ489" s="309" t="n">
        <v>230.4</v>
      </c>
      <c r="BB489" s="144" t="n">
        <v>0</v>
      </c>
      <c r="BC489" s="315"/>
      <c r="BD489" s="311" t="n">
        <v>0</v>
      </c>
      <c r="BE489" s="316" t="n">
        <v>0</v>
      </c>
      <c r="BF489" s="310"/>
      <c r="BG489" s="317" t="n">
        <v>0</v>
      </c>
      <c r="BH489" s="318" t="n">
        <v>0</v>
      </c>
      <c r="BI489" s="317" t="n">
        <v>0</v>
      </c>
      <c r="BJ489" s="318" t="n">
        <v>0</v>
      </c>
      <c r="BK489" s="317" t="n">
        <v>0</v>
      </c>
      <c r="BL489" s="318" t="n">
        <v>0</v>
      </c>
      <c r="BM489" s="310"/>
      <c r="BN489" s="317" t="n">
        <v>0</v>
      </c>
      <c r="BO489" s="318" t="n">
        <v>0</v>
      </c>
      <c r="BP489" s="317" t="n">
        <v>0</v>
      </c>
      <c r="BQ489" s="318" t="n">
        <v>0</v>
      </c>
      <c r="BR489" s="317" t="n">
        <v>0</v>
      </c>
      <c r="BS489" s="318" t="n">
        <v>0</v>
      </c>
      <c r="BT489" s="317" t="n">
        <v>0</v>
      </c>
      <c r="BU489" s="318" t="n">
        <v>0</v>
      </c>
      <c r="BV489" s="317" t="n">
        <v>0</v>
      </c>
      <c r="BW489" s="318" t="n">
        <v>0</v>
      </c>
      <c r="BY489" s="143"/>
      <c r="BZ489" s="315"/>
      <c r="CA489" s="144"/>
      <c r="CB489" s="315"/>
      <c r="CC489" s="144" t="n">
        <v>-65.1851239669421</v>
      </c>
      <c r="CD489" s="144" t="n">
        <v>-127.585123966942</v>
      </c>
      <c r="CE489" s="144" t="n">
        <v>-146.785123966942</v>
      </c>
      <c r="CF489" s="315"/>
      <c r="CG489" s="144" t="n">
        <v>-74.5851239669421</v>
      </c>
      <c r="CH489" s="144" t="n">
        <v>-175.385123966942</v>
      </c>
      <c r="CI489" s="144" t="n">
        <v>-175.385123966942</v>
      </c>
      <c r="CJ489" s="144" t="n">
        <v>-175.385123966942</v>
      </c>
      <c r="CK489" s="144" t="n">
        <v>-175.385123966942</v>
      </c>
      <c r="CM489" s="144" t="n">
        <v>453.719008264463</v>
      </c>
      <c r="CO489" s="319"/>
      <c r="CP489" s="320"/>
      <c r="CQ489" s="321"/>
      <c r="CR489" s="320"/>
      <c r="CS489" s="322" t="n">
        <v>-113.119008264463</v>
      </c>
      <c r="CT489" s="322" t="n">
        <v>-175.519008264463</v>
      </c>
      <c r="CU489" s="322" t="n">
        <v>-194.719008264463</v>
      </c>
      <c r="CV489" s="323"/>
      <c r="CW489" s="322" t="n">
        <v>-122.519008264463</v>
      </c>
      <c r="CX489" s="322" t="n">
        <v>-223.319008264463</v>
      </c>
      <c r="CY489" s="322" t="n">
        <v>-223.319008264463</v>
      </c>
      <c r="CZ489" s="322" t="n">
        <v>-223.319008264463</v>
      </c>
      <c r="DA489" s="322" t="n">
        <v>-223.319008264463</v>
      </c>
    </row>
    <row r="490" customFormat="false" ht="12.75" hidden="false" customHeight="false" outlineLevel="0" collapsed="false">
      <c r="B490" s="305" t="s">
        <v>692</v>
      </c>
      <c r="C490" s="334" t="s">
        <v>740</v>
      </c>
      <c r="D490" s="306" t="n">
        <v>520</v>
      </c>
      <c r="E490" s="306" t="n">
        <v>0</v>
      </c>
      <c r="F490" s="324" t="s">
        <v>737</v>
      </c>
      <c r="G490" s="144" t="n">
        <v>24</v>
      </c>
      <c r="H490" s="325" t="n">
        <v>439.669421487603</v>
      </c>
      <c r="I490" s="2"/>
      <c r="J490" s="144" t="s">
        <v>12</v>
      </c>
      <c r="K490" s="309" t="s">
        <v>12</v>
      </c>
      <c r="L490" s="310"/>
      <c r="M490" s="311" t="n">
        <v>149</v>
      </c>
      <c r="N490" s="312" t="n">
        <v>9.1</v>
      </c>
      <c r="O490" s="311" t="n">
        <v>19</v>
      </c>
      <c r="P490" s="312" t="n">
        <v>12.2</v>
      </c>
      <c r="Q490" s="310" t="n">
        <v>19</v>
      </c>
      <c r="R490" s="312" t="n">
        <v>11.4</v>
      </c>
      <c r="S490" s="310"/>
      <c r="T490" s="311" t="n">
        <v>0</v>
      </c>
      <c r="U490" s="312" t="n">
        <v>15.1</v>
      </c>
      <c r="V490" s="311" t="n">
        <v>0</v>
      </c>
      <c r="W490" s="312" t="n">
        <v>10.8</v>
      </c>
      <c r="X490" s="311" t="n">
        <v>0</v>
      </c>
      <c r="Y490" s="312" t="n">
        <v>10.8</v>
      </c>
      <c r="Z490" s="313" t="n">
        <v>0</v>
      </c>
      <c r="AA490" s="314" t="n">
        <v>14</v>
      </c>
      <c r="AB490" s="313" t="n">
        <v>0</v>
      </c>
      <c r="AC490" s="314" t="n">
        <v>14</v>
      </c>
      <c r="AD490" s="315"/>
      <c r="AE490" s="144" t="n">
        <v>80</v>
      </c>
      <c r="AF490" s="315"/>
      <c r="AG490" s="311" t="n">
        <v>0</v>
      </c>
      <c r="AH490" s="309" t="n">
        <v>0</v>
      </c>
      <c r="AI490" s="310"/>
      <c r="AJ490" s="311" t="n">
        <v>153</v>
      </c>
      <c r="AK490" s="309" t="n">
        <v>218.4</v>
      </c>
      <c r="AL490" s="311" t="n">
        <v>208</v>
      </c>
      <c r="AM490" s="309" t="n">
        <v>292.8</v>
      </c>
      <c r="AN490" s="310" t="n">
        <v>227</v>
      </c>
      <c r="AO490" s="309" t="n">
        <v>273.6</v>
      </c>
      <c r="AP490" s="310"/>
      <c r="AQ490" s="311" t="n">
        <v>158</v>
      </c>
      <c r="AR490" s="309" t="n">
        <v>362.4</v>
      </c>
      <c r="AS490" s="311" t="n">
        <v>261</v>
      </c>
      <c r="AT490" s="309" t="n">
        <v>259.2</v>
      </c>
      <c r="AU490" s="310" t="n">
        <v>261</v>
      </c>
      <c r="AV490" s="309" t="n">
        <v>259.2</v>
      </c>
      <c r="AW490" s="310" t="n">
        <v>184</v>
      </c>
      <c r="AX490" s="309" t="n">
        <v>336</v>
      </c>
      <c r="AY490" s="310" t="n">
        <v>184</v>
      </c>
      <c r="AZ490" s="309" t="n">
        <v>336</v>
      </c>
      <c r="BB490" s="144" t="n">
        <v>0</v>
      </c>
      <c r="BC490" s="315"/>
      <c r="BD490" s="311" t="n">
        <v>0</v>
      </c>
      <c r="BE490" s="316" t="n">
        <v>0</v>
      </c>
      <c r="BF490" s="310"/>
      <c r="BG490" s="317" t="n">
        <v>0</v>
      </c>
      <c r="BH490" s="318" t="n">
        <v>0</v>
      </c>
      <c r="BI490" s="317" t="n">
        <v>0</v>
      </c>
      <c r="BJ490" s="318" t="n">
        <v>0</v>
      </c>
      <c r="BK490" s="317" t="n">
        <v>0</v>
      </c>
      <c r="BL490" s="318" t="n">
        <v>0</v>
      </c>
      <c r="BM490" s="310"/>
      <c r="BN490" s="317" t="n">
        <v>0</v>
      </c>
      <c r="BO490" s="318" t="n">
        <v>0</v>
      </c>
      <c r="BP490" s="317" t="n">
        <v>0</v>
      </c>
      <c r="BQ490" s="318" t="n">
        <v>0</v>
      </c>
      <c r="BR490" s="317" t="n">
        <v>0</v>
      </c>
      <c r="BS490" s="318" t="n">
        <v>0</v>
      </c>
      <c r="BT490" s="317" t="n">
        <v>0</v>
      </c>
      <c r="BU490" s="318" t="n">
        <v>0</v>
      </c>
      <c r="BV490" s="317" t="n">
        <v>0</v>
      </c>
      <c r="BW490" s="318" t="n">
        <v>0</v>
      </c>
      <c r="BY490" s="143"/>
      <c r="BZ490" s="315"/>
      <c r="CA490" s="144"/>
      <c r="CB490" s="315"/>
      <c r="CC490" s="144" t="n">
        <v>-72.2694214876033</v>
      </c>
      <c r="CD490" s="144" t="n">
        <v>-127.869421487603</v>
      </c>
      <c r="CE490" s="144" t="n">
        <v>-147.069421487603</v>
      </c>
      <c r="CF490" s="315"/>
      <c r="CG490" s="144" t="n">
        <v>-77.2694214876033</v>
      </c>
      <c r="CH490" s="144" t="n">
        <v>-180.469421487603</v>
      </c>
      <c r="CI490" s="144" t="n">
        <v>-180.469421487603</v>
      </c>
      <c r="CJ490" s="144" t="n">
        <v>-103.669421487603</v>
      </c>
      <c r="CK490" s="144" t="n">
        <v>-103.669421487603</v>
      </c>
      <c r="CM490" s="144" t="n">
        <v>454.537190082645</v>
      </c>
      <c r="CO490" s="319"/>
      <c r="CP490" s="320"/>
      <c r="CQ490" s="321"/>
      <c r="CR490" s="320"/>
      <c r="CS490" s="322" t="n">
        <v>-87.1371900826447</v>
      </c>
      <c r="CT490" s="322" t="n">
        <v>-142.737190082645</v>
      </c>
      <c r="CU490" s="322" t="n">
        <v>-161.937190082645</v>
      </c>
      <c r="CV490" s="323"/>
      <c r="CW490" s="322" t="n">
        <v>-92.1371900826446</v>
      </c>
      <c r="CX490" s="322" t="n">
        <v>-195.337190082645</v>
      </c>
      <c r="CY490" s="322" t="n">
        <v>-195.337190082645</v>
      </c>
      <c r="CZ490" s="322" t="n">
        <v>-118.537190082645</v>
      </c>
      <c r="DA490" s="322" t="n">
        <v>-118.537190082645</v>
      </c>
    </row>
    <row r="491" customFormat="false" ht="12.75" hidden="false" customHeight="false" outlineLevel="0" collapsed="false">
      <c r="B491" s="305" t="s">
        <v>692</v>
      </c>
      <c r="C491" s="334" t="s">
        <v>740</v>
      </c>
      <c r="D491" s="306" t="n">
        <v>520</v>
      </c>
      <c r="E491" s="306" t="n">
        <v>0</v>
      </c>
      <c r="F491" s="306" t="s">
        <v>737</v>
      </c>
      <c r="G491" s="307" t="n">
        <v>48</v>
      </c>
      <c r="H491" s="308" t="n">
        <v>439.669421487603</v>
      </c>
      <c r="I491" s="2"/>
      <c r="J491" s="144" t="s">
        <v>12</v>
      </c>
      <c r="K491" s="309" t="s">
        <v>12</v>
      </c>
      <c r="L491" s="310"/>
      <c r="M491" s="311" t="n">
        <v>149</v>
      </c>
      <c r="N491" s="312" t="n">
        <v>4.6</v>
      </c>
      <c r="O491" s="311" t="n">
        <v>19</v>
      </c>
      <c r="P491" s="312" t="n">
        <v>6.1</v>
      </c>
      <c r="Q491" s="310" t="n">
        <v>19</v>
      </c>
      <c r="R491" s="312" t="n">
        <v>5.7</v>
      </c>
      <c r="S491" s="310"/>
      <c r="T491" s="311" t="n">
        <v>0</v>
      </c>
      <c r="U491" s="312" t="n">
        <v>7.6</v>
      </c>
      <c r="V491" s="311" t="n">
        <v>0</v>
      </c>
      <c r="W491" s="312" t="n">
        <v>5.4</v>
      </c>
      <c r="X491" s="311" t="n">
        <v>0</v>
      </c>
      <c r="Y491" s="312" t="n">
        <v>5.4</v>
      </c>
      <c r="Z491" s="313" t="n">
        <v>0</v>
      </c>
      <c r="AA491" s="314" t="n">
        <v>7</v>
      </c>
      <c r="AB491" s="313" t="n">
        <v>0</v>
      </c>
      <c r="AC491" s="314" t="n">
        <v>7</v>
      </c>
      <c r="AD491" s="315"/>
      <c r="AE491" s="144" t="n">
        <v>80</v>
      </c>
      <c r="AF491" s="315"/>
      <c r="AG491" s="311" t="n">
        <v>0</v>
      </c>
      <c r="AH491" s="309" t="n">
        <v>0</v>
      </c>
      <c r="AI491" s="310"/>
      <c r="AJ491" s="311" t="n">
        <v>150</v>
      </c>
      <c r="AK491" s="309" t="n">
        <v>220.8</v>
      </c>
      <c r="AL491" s="311" t="n">
        <v>208</v>
      </c>
      <c r="AM491" s="309" t="n">
        <v>292.8</v>
      </c>
      <c r="AN491" s="311" t="n">
        <v>227</v>
      </c>
      <c r="AO491" s="309" t="n">
        <v>273.6</v>
      </c>
      <c r="AP491" s="310"/>
      <c r="AQ491" s="311" t="n">
        <v>155</v>
      </c>
      <c r="AR491" s="309" t="n">
        <v>364.8</v>
      </c>
      <c r="AS491" s="311" t="n">
        <v>261</v>
      </c>
      <c r="AT491" s="309" t="n">
        <v>259.2</v>
      </c>
      <c r="AU491" s="311" t="n">
        <v>261</v>
      </c>
      <c r="AV491" s="309" t="n">
        <v>259.2</v>
      </c>
      <c r="AW491" s="311" t="n">
        <v>184</v>
      </c>
      <c r="AX491" s="309" t="n">
        <v>336</v>
      </c>
      <c r="AY491" s="311" t="n">
        <v>184</v>
      </c>
      <c r="AZ491" s="309" t="n">
        <v>336</v>
      </c>
      <c r="BB491" s="144" t="n">
        <v>0</v>
      </c>
      <c r="BC491" s="315"/>
      <c r="BD491" s="311" t="n">
        <v>0</v>
      </c>
      <c r="BE491" s="316" t="n">
        <v>0</v>
      </c>
      <c r="BF491" s="310"/>
      <c r="BG491" s="317" t="n">
        <v>0</v>
      </c>
      <c r="BH491" s="318" t="n">
        <v>0</v>
      </c>
      <c r="BI491" s="317" t="n">
        <v>0</v>
      </c>
      <c r="BJ491" s="318" t="n">
        <v>0</v>
      </c>
      <c r="BK491" s="317" t="n">
        <v>0</v>
      </c>
      <c r="BL491" s="318" t="n">
        <v>0</v>
      </c>
      <c r="BM491" s="310"/>
      <c r="BN491" s="317" t="n">
        <v>0</v>
      </c>
      <c r="BO491" s="318" t="n">
        <v>0</v>
      </c>
      <c r="BP491" s="317" t="n">
        <v>0</v>
      </c>
      <c r="BQ491" s="318" t="n">
        <v>0</v>
      </c>
      <c r="BR491" s="317" t="n">
        <v>0</v>
      </c>
      <c r="BS491" s="318" t="n">
        <v>0</v>
      </c>
      <c r="BT491" s="317" t="n">
        <v>0</v>
      </c>
      <c r="BU491" s="318" t="n">
        <v>0</v>
      </c>
      <c r="BV491" s="317" t="n">
        <v>0</v>
      </c>
      <c r="BW491" s="318" t="n">
        <v>0</v>
      </c>
      <c r="BY491" s="143"/>
      <c r="BZ491" s="315"/>
      <c r="CA491" s="144"/>
      <c r="CB491" s="315"/>
      <c r="CC491" s="144" t="n">
        <v>-69.8694214876033</v>
      </c>
      <c r="CD491" s="144" t="n">
        <v>-127.869421487603</v>
      </c>
      <c r="CE491" s="144" t="n">
        <v>-147.069421487603</v>
      </c>
      <c r="CF491" s="315"/>
      <c r="CG491" s="144" t="n">
        <v>-74.8694214876033</v>
      </c>
      <c r="CH491" s="144" t="n">
        <v>-180.469421487603</v>
      </c>
      <c r="CI491" s="144" t="n">
        <v>-180.469421487603</v>
      </c>
      <c r="CJ491" s="144" t="n">
        <v>-103.669421487603</v>
      </c>
      <c r="CK491" s="144" t="n">
        <v>-103.669421487603</v>
      </c>
      <c r="CM491" s="144" t="n">
        <v>454.537190082645</v>
      </c>
      <c r="CO491" s="319"/>
      <c r="CP491" s="320"/>
      <c r="CQ491" s="321"/>
      <c r="CR491" s="320"/>
      <c r="CS491" s="322" t="n">
        <v>-84.7371900826446</v>
      </c>
      <c r="CT491" s="322" t="n">
        <v>-142.737190082645</v>
      </c>
      <c r="CU491" s="322" t="n">
        <v>-161.937190082645</v>
      </c>
      <c r="CV491" s="323"/>
      <c r="CW491" s="322" t="n">
        <v>-89.7371900826446</v>
      </c>
      <c r="CX491" s="322" t="n">
        <v>-195.337190082645</v>
      </c>
      <c r="CY491" s="322" t="n">
        <v>-195.337190082645</v>
      </c>
      <c r="CZ491" s="322" t="n">
        <v>-118.537190082645</v>
      </c>
      <c r="DA491" s="322" t="n">
        <v>-118.537190082645</v>
      </c>
    </row>
    <row r="492" customFormat="false" ht="12.75" hidden="false" customHeight="false" outlineLevel="0" collapsed="false">
      <c r="B492" s="305" t="s">
        <v>692</v>
      </c>
      <c r="C492" s="334" t="s">
        <v>741</v>
      </c>
      <c r="D492" s="306" t="n">
        <v>366</v>
      </c>
      <c r="E492" s="306" t="n">
        <v>0</v>
      </c>
      <c r="F492" s="324" t="s">
        <v>737</v>
      </c>
      <c r="G492" s="144" t="n">
        <v>24</v>
      </c>
      <c r="H492" s="325" t="n">
        <v>325.619834710744</v>
      </c>
      <c r="I492" s="2"/>
      <c r="J492" s="144" t="s">
        <v>12</v>
      </c>
      <c r="K492" s="309" t="s">
        <v>12</v>
      </c>
      <c r="L492" s="310"/>
      <c r="M492" s="311" t="n">
        <v>109</v>
      </c>
      <c r="N492" s="312" t="n">
        <v>6.5</v>
      </c>
      <c r="O492" s="311" t="n">
        <v>19</v>
      </c>
      <c r="P492" s="312" t="n">
        <v>7.9</v>
      </c>
      <c r="Q492" s="310" t="n">
        <v>19</v>
      </c>
      <c r="R492" s="312" t="n">
        <v>7.1</v>
      </c>
      <c r="S492" s="310"/>
      <c r="T492" s="311" t="n">
        <v>0</v>
      </c>
      <c r="U492" s="312" t="n">
        <v>10.8</v>
      </c>
      <c r="V492" s="311" t="n">
        <v>0</v>
      </c>
      <c r="W492" s="312" t="n">
        <v>6.7</v>
      </c>
      <c r="X492" s="311" t="n">
        <v>0</v>
      </c>
      <c r="Y492" s="312" t="n">
        <v>6.7</v>
      </c>
      <c r="Z492" s="313" t="n">
        <v>0</v>
      </c>
      <c r="AA492" s="314" t="n">
        <v>8.7</v>
      </c>
      <c r="AB492" s="313" t="n">
        <v>0</v>
      </c>
      <c r="AC492" s="314" t="n">
        <v>8.7</v>
      </c>
      <c r="AD492" s="315"/>
      <c r="AE492" s="144" t="n">
        <v>40</v>
      </c>
      <c r="AF492" s="315"/>
      <c r="AG492" s="311" t="n">
        <v>0</v>
      </c>
      <c r="AH492" s="309" t="n">
        <v>0</v>
      </c>
      <c r="AI492" s="310"/>
      <c r="AJ492" s="311" t="n">
        <v>101</v>
      </c>
      <c r="AK492" s="309" t="n">
        <v>156</v>
      </c>
      <c r="AL492" s="311" t="n">
        <v>157</v>
      </c>
      <c r="AM492" s="309" t="n">
        <v>189.6</v>
      </c>
      <c r="AN492" s="310" t="n">
        <v>177</v>
      </c>
      <c r="AO492" s="309" t="n">
        <v>170.4</v>
      </c>
      <c r="AP492" s="310"/>
      <c r="AQ492" s="311" t="n">
        <v>107</v>
      </c>
      <c r="AR492" s="309" t="n">
        <v>259.2</v>
      </c>
      <c r="AS492" s="311" t="n">
        <v>205</v>
      </c>
      <c r="AT492" s="309" t="n">
        <v>160.8</v>
      </c>
      <c r="AU492" s="310" t="n">
        <v>205</v>
      </c>
      <c r="AV492" s="309" t="n">
        <v>160.8</v>
      </c>
      <c r="AW492" s="310" t="n">
        <v>157</v>
      </c>
      <c r="AX492" s="309" t="n">
        <v>208.8</v>
      </c>
      <c r="AY492" s="310" t="n">
        <v>157</v>
      </c>
      <c r="AZ492" s="309" t="n">
        <v>208.8</v>
      </c>
      <c r="BB492" s="144" t="n">
        <v>0</v>
      </c>
      <c r="BC492" s="315"/>
      <c r="BD492" s="311" t="n">
        <v>0</v>
      </c>
      <c r="BE492" s="316" t="n">
        <v>0</v>
      </c>
      <c r="BF492" s="310"/>
      <c r="BG492" s="317" t="n">
        <v>0</v>
      </c>
      <c r="BH492" s="318" t="n">
        <v>0</v>
      </c>
      <c r="BI492" s="317" t="n">
        <v>0</v>
      </c>
      <c r="BJ492" s="318" t="n">
        <v>0</v>
      </c>
      <c r="BK492" s="317" t="n">
        <v>0</v>
      </c>
      <c r="BL492" s="318" t="n">
        <v>0</v>
      </c>
      <c r="BM492" s="310"/>
      <c r="BN492" s="317" t="n">
        <v>0</v>
      </c>
      <c r="BO492" s="318" t="n">
        <v>0</v>
      </c>
      <c r="BP492" s="317" t="n">
        <v>0</v>
      </c>
      <c r="BQ492" s="318" t="n">
        <v>0</v>
      </c>
      <c r="BR492" s="317" t="n">
        <v>0</v>
      </c>
      <c r="BS492" s="318" t="n">
        <v>0</v>
      </c>
      <c r="BT492" s="317" t="n">
        <v>0</v>
      </c>
      <c r="BU492" s="318" t="n">
        <v>0</v>
      </c>
      <c r="BV492" s="317" t="n">
        <v>0</v>
      </c>
      <c r="BW492" s="318" t="n">
        <v>0</v>
      </c>
      <c r="BY492" s="143"/>
      <c r="BZ492" s="315"/>
      <c r="CA492" s="144"/>
      <c r="CB492" s="315"/>
      <c r="CC492" s="144" t="n">
        <v>-60.6198347107438</v>
      </c>
      <c r="CD492" s="144" t="n">
        <v>-117.019834710744</v>
      </c>
      <c r="CE492" s="144" t="n">
        <v>-136.219834710744</v>
      </c>
      <c r="CF492" s="315"/>
      <c r="CG492" s="144" t="n">
        <v>-66.4198347107438</v>
      </c>
      <c r="CH492" s="144" t="n">
        <v>-164.819834710744</v>
      </c>
      <c r="CI492" s="144" t="n">
        <v>-164.819834710744</v>
      </c>
      <c r="CJ492" s="144" t="n">
        <v>-116.819834710744</v>
      </c>
      <c r="CK492" s="144" t="n">
        <v>-116.819834710744</v>
      </c>
      <c r="CM492" s="144" t="n">
        <v>329.752066115702</v>
      </c>
      <c r="CO492" s="319"/>
      <c r="CP492" s="320"/>
      <c r="CQ492" s="321"/>
      <c r="CR492" s="320"/>
      <c r="CS492" s="322" t="n">
        <v>-64.7520661157025</v>
      </c>
      <c r="CT492" s="322" t="n">
        <v>-121.152066115702</v>
      </c>
      <c r="CU492" s="322" t="n">
        <v>-140.352066115702</v>
      </c>
      <c r="CV492" s="323"/>
      <c r="CW492" s="322" t="n">
        <v>-70.5520661157024</v>
      </c>
      <c r="CX492" s="322" t="n">
        <v>-168.952066115702</v>
      </c>
      <c r="CY492" s="322" t="n">
        <v>-168.952066115702</v>
      </c>
      <c r="CZ492" s="322" t="n">
        <v>-120.952066115702</v>
      </c>
      <c r="DA492" s="322" t="n">
        <v>-120.952066115702</v>
      </c>
    </row>
    <row r="493" customFormat="false" ht="12.75" hidden="false" customHeight="false" outlineLevel="0" collapsed="false">
      <c r="B493" s="305" t="s">
        <v>692</v>
      </c>
      <c r="C493" s="334" t="s">
        <v>741</v>
      </c>
      <c r="D493" s="306" t="n">
        <v>366</v>
      </c>
      <c r="E493" s="306" t="n">
        <v>0</v>
      </c>
      <c r="F493" s="306" t="s">
        <v>737</v>
      </c>
      <c r="G493" s="307" t="n">
        <v>48</v>
      </c>
      <c r="H493" s="308" t="n">
        <v>325.619834710744</v>
      </c>
      <c r="I493" s="2"/>
      <c r="J493" s="144" t="s">
        <v>12</v>
      </c>
      <c r="K493" s="309" t="s">
        <v>12</v>
      </c>
      <c r="L493" s="310"/>
      <c r="M493" s="311" t="n">
        <v>109</v>
      </c>
      <c r="N493" s="312" t="n">
        <v>3.3</v>
      </c>
      <c r="O493" s="311" t="n">
        <v>19</v>
      </c>
      <c r="P493" s="312" t="n">
        <v>4</v>
      </c>
      <c r="Q493" s="310" t="n">
        <v>19</v>
      </c>
      <c r="R493" s="312" t="n">
        <v>3.6</v>
      </c>
      <c r="S493" s="310"/>
      <c r="T493" s="311" t="n">
        <v>0</v>
      </c>
      <c r="U493" s="312" t="n">
        <v>5.4</v>
      </c>
      <c r="V493" s="311" t="n">
        <v>0</v>
      </c>
      <c r="W493" s="312" t="n">
        <v>3.4</v>
      </c>
      <c r="X493" s="311" t="n">
        <v>0</v>
      </c>
      <c r="Y493" s="312" t="n">
        <v>3.4</v>
      </c>
      <c r="Z493" s="313" t="n">
        <v>0</v>
      </c>
      <c r="AA493" s="314" t="n">
        <v>4.4</v>
      </c>
      <c r="AB493" s="313" t="n">
        <v>0</v>
      </c>
      <c r="AC493" s="314" t="n">
        <v>4.4</v>
      </c>
      <c r="AD493" s="315"/>
      <c r="AE493" s="144" t="n">
        <v>40</v>
      </c>
      <c r="AF493" s="315"/>
      <c r="AG493" s="311" t="n">
        <v>0</v>
      </c>
      <c r="AH493" s="309" t="n">
        <v>0</v>
      </c>
      <c r="AI493" s="310"/>
      <c r="AJ493" s="311" t="n">
        <v>99</v>
      </c>
      <c r="AK493" s="309" t="n">
        <v>158.4</v>
      </c>
      <c r="AL493" s="311" t="n">
        <v>155</v>
      </c>
      <c r="AM493" s="309" t="n">
        <v>192</v>
      </c>
      <c r="AN493" s="311" t="n">
        <v>174</v>
      </c>
      <c r="AO493" s="309" t="n">
        <v>172.8</v>
      </c>
      <c r="AP493" s="310"/>
      <c r="AQ493" s="311" t="n">
        <v>107</v>
      </c>
      <c r="AR493" s="309" t="n">
        <v>259.2</v>
      </c>
      <c r="AS493" s="311" t="n">
        <v>203</v>
      </c>
      <c r="AT493" s="309" t="n">
        <v>163.2</v>
      </c>
      <c r="AU493" s="311" t="n">
        <v>203</v>
      </c>
      <c r="AV493" s="309" t="n">
        <v>163.2</v>
      </c>
      <c r="AW493" s="311" t="n">
        <v>155</v>
      </c>
      <c r="AX493" s="309" t="n">
        <v>211.2</v>
      </c>
      <c r="AY493" s="311" t="n">
        <v>155</v>
      </c>
      <c r="AZ493" s="309" t="n">
        <v>211.2</v>
      </c>
      <c r="BB493" s="144" t="n">
        <v>0</v>
      </c>
      <c r="BC493" s="315"/>
      <c r="BD493" s="311" t="n">
        <v>0</v>
      </c>
      <c r="BE493" s="316" t="n">
        <v>0</v>
      </c>
      <c r="BF493" s="310"/>
      <c r="BG493" s="317" t="n">
        <v>0</v>
      </c>
      <c r="BH493" s="318" t="n">
        <v>0</v>
      </c>
      <c r="BI493" s="317" t="n">
        <v>0</v>
      </c>
      <c r="BJ493" s="318" t="n">
        <v>0</v>
      </c>
      <c r="BK493" s="317" t="n">
        <v>0</v>
      </c>
      <c r="BL493" s="318" t="n">
        <v>0</v>
      </c>
      <c r="BM493" s="310"/>
      <c r="BN493" s="317" t="n">
        <v>0</v>
      </c>
      <c r="BO493" s="318" t="n">
        <v>0</v>
      </c>
      <c r="BP493" s="317" t="n">
        <v>0</v>
      </c>
      <c r="BQ493" s="318" t="n">
        <v>0</v>
      </c>
      <c r="BR493" s="317" t="n">
        <v>0</v>
      </c>
      <c r="BS493" s="318" t="n">
        <v>0</v>
      </c>
      <c r="BT493" s="317" t="n">
        <v>0</v>
      </c>
      <c r="BU493" s="318" t="n">
        <v>0</v>
      </c>
      <c r="BV493" s="317" t="n">
        <v>0</v>
      </c>
      <c r="BW493" s="318" t="n">
        <v>0</v>
      </c>
      <c r="BY493" s="143"/>
      <c r="BZ493" s="315"/>
      <c r="CA493" s="144"/>
      <c r="CB493" s="315"/>
      <c r="CC493" s="144" t="n">
        <v>-58.2198347107438</v>
      </c>
      <c r="CD493" s="144" t="n">
        <v>-114.619834710744</v>
      </c>
      <c r="CE493" s="144" t="n">
        <v>-133.819834710744</v>
      </c>
      <c r="CF493" s="315"/>
      <c r="CG493" s="144" t="n">
        <v>-66.4198347107438</v>
      </c>
      <c r="CH493" s="144" t="n">
        <v>-162.419834710744</v>
      </c>
      <c r="CI493" s="144" t="n">
        <v>-162.419834710744</v>
      </c>
      <c r="CJ493" s="144" t="n">
        <v>-114.419834710744</v>
      </c>
      <c r="CK493" s="144" t="n">
        <v>-114.419834710744</v>
      </c>
      <c r="CM493" s="144" t="n">
        <v>329.752066115702</v>
      </c>
      <c r="CO493" s="319"/>
      <c r="CP493" s="320"/>
      <c r="CQ493" s="321"/>
      <c r="CR493" s="320"/>
      <c r="CS493" s="322" t="n">
        <v>-62.3520661157025</v>
      </c>
      <c r="CT493" s="322" t="n">
        <v>-118.752066115702</v>
      </c>
      <c r="CU493" s="322" t="n">
        <v>-137.952066115702</v>
      </c>
      <c r="CV493" s="323"/>
      <c r="CW493" s="322" t="n">
        <v>-70.5520661157024</v>
      </c>
      <c r="CX493" s="322" t="n">
        <v>-166.552066115702</v>
      </c>
      <c r="CY493" s="322" t="n">
        <v>-166.552066115702</v>
      </c>
      <c r="CZ493" s="322" t="n">
        <v>-118.552066115702</v>
      </c>
      <c r="DA493" s="322" t="n">
        <v>-118.552066115702</v>
      </c>
    </row>
    <row r="494" customFormat="false" ht="12.75" hidden="false" customHeight="false" outlineLevel="0" collapsed="false">
      <c r="B494" s="305" t="s">
        <v>219</v>
      </c>
      <c r="C494" s="326" t="s">
        <v>742</v>
      </c>
      <c r="D494" s="306" t="n">
        <v>74</v>
      </c>
      <c r="E494" s="306" t="n">
        <v>1.1</v>
      </c>
      <c r="F494" s="324" t="s">
        <v>743</v>
      </c>
      <c r="G494" s="144" t="n">
        <v>24</v>
      </c>
      <c r="H494" s="325" t="n">
        <v>68.5950413223141</v>
      </c>
      <c r="I494" s="2"/>
      <c r="J494" s="144" t="s">
        <v>12</v>
      </c>
      <c r="K494" s="309" t="s">
        <v>12</v>
      </c>
      <c r="L494" s="310"/>
      <c r="M494" s="311" t="n">
        <v>0</v>
      </c>
      <c r="N494" s="312" t="n">
        <v>2.5</v>
      </c>
      <c r="O494" s="311" t="n">
        <v>0</v>
      </c>
      <c r="P494" s="312" t="n">
        <v>0.3</v>
      </c>
      <c r="Q494" s="310" t="n">
        <v>0</v>
      </c>
      <c r="R494" s="312" t="n">
        <v>0.3</v>
      </c>
      <c r="S494" s="310"/>
      <c r="T494" s="311" t="n">
        <v>0</v>
      </c>
      <c r="U494" s="312" t="n">
        <v>0.9</v>
      </c>
      <c r="V494" s="311" t="n">
        <v>0</v>
      </c>
      <c r="W494" s="312" t="n">
        <v>0.9</v>
      </c>
      <c r="X494" s="311" t="n">
        <v>0</v>
      </c>
      <c r="Y494" s="312" t="n">
        <v>0.9</v>
      </c>
      <c r="Z494" s="313" t="n">
        <v>0</v>
      </c>
      <c r="AA494" s="314" t="n">
        <v>0.8</v>
      </c>
      <c r="AB494" s="313" t="n">
        <v>0</v>
      </c>
      <c r="AC494" s="314" t="n">
        <v>0.8</v>
      </c>
      <c r="AD494" s="315"/>
      <c r="AE494" s="144" t="n">
        <v>5</v>
      </c>
      <c r="AF494" s="315"/>
      <c r="AG494" s="311" t="n">
        <v>0</v>
      </c>
      <c r="AH494" s="309" t="n">
        <v>0</v>
      </c>
      <c r="AI494" s="310"/>
      <c r="AJ494" s="311" t="n">
        <v>14</v>
      </c>
      <c r="AK494" s="309" t="n">
        <v>60</v>
      </c>
      <c r="AL494" s="311" t="n">
        <v>67</v>
      </c>
      <c r="AM494" s="309" t="n">
        <v>7.2</v>
      </c>
      <c r="AN494" s="310" t="n">
        <v>67</v>
      </c>
      <c r="AO494" s="309" t="n">
        <v>7.2</v>
      </c>
      <c r="AP494" s="310"/>
      <c r="AQ494" s="311" t="n">
        <v>52</v>
      </c>
      <c r="AR494" s="309" t="n">
        <v>21.6</v>
      </c>
      <c r="AS494" s="311" t="n">
        <v>52</v>
      </c>
      <c r="AT494" s="309" t="n">
        <v>21.6</v>
      </c>
      <c r="AU494" s="310" t="n">
        <v>52</v>
      </c>
      <c r="AV494" s="309" t="n">
        <v>21.6</v>
      </c>
      <c r="AW494" s="310" t="n">
        <v>55</v>
      </c>
      <c r="AX494" s="309" t="n">
        <v>19.2</v>
      </c>
      <c r="AY494" s="310" t="n">
        <v>55</v>
      </c>
      <c r="AZ494" s="309" t="n">
        <v>19.2</v>
      </c>
      <c r="BB494" s="144" t="n">
        <v>0</v>
      </c>
      <c r="BC494" s="315"/>
      <c r="BD494" s="311" t="n">
        <v>0</v>
      </c>
      <c r="BE494" s="316" t="n">
        <v>0</v>
      </c>
      <c r="BF494" s="310"/>
      <c r="BG494" s="317" t="n">
        <v>0</v>
      </c>
      <c r="BH494" s="318" t="n">
        <v>0</v>
      </c>
      <c r="BI494" s="317" t="n">
        <v>0</v>
      </c>
      <c r="BJ494" s="318" t="n">
        <v>0</v>
      </c>
      <c r="BK494" s="317" t="n">
        <v>0</v>
      </c>
      <c r="BL494" s="318" t="n">
        <v>0</v>
      </c>
      <c r="BM494" s="310"/>
      <c r="BN494" s="317" t="n">
        <v>0</v>
      </c>
      <c r="BO494" s="318" t="n">
        <v>0</v>
      </c>
      <c r="BP494" s="317" t="n">
        <v>0</v>
      </c>
      <c r="BQ494" s="318" t="n">
        <v>0</v>
      </c>
      <c r="BR494" s="317" t="n">
        <v>0</v>
      </c>
      <c r="BS494" s="318" t="n">
        <v>0</v>
      </c>
      <c r="BT494" s="317" t="n">
        <v>0</v>
      </c>
      <c r="BU494" s="318" t="n">
        <v>0</v>
      </c>
      <c r="BV494" s="317" t="n">
        <v>0</v>
      </c>
      <c r="BW494" s="318" t="n">
        <v>0</v>
      </c>
      <c r="BY494" s="143"/>
      <c r="BZ494" s="315"/>
      <c r="CA494" s="144"/>
      <c r="CB494" s="315"/>
      <c r="CC494" s="144" t="n">
        <v>-8.59504132231405</v>
      </c>
      <c r="CD494" s="144" t="n">
        <v>-61.395041322314</v>
      </c>
      <c r="CE494" s="144" t="n">
        <v>-61.395041322314</v>
      </c>
      <c r="CF494" s="315"/>
      <c r="CG494" s="144" t="n">
        <v>-46.995041322314</v>
      </c>
      <c r="CH494" s="144" t="n">
        <v>-46.995041322314</v>
      </c>
      <c r="CI494" s="144" t="n">
        <v>-46.995041322314</v>
      </c>
      <c r="CJ494" s="144" t="n">
        <v>-49.395041322314</v>
      </c>
      <c r="CK494" s="144" t="n">
        <v>-49.395041322314</v>
      </c>
      <c r="CM494" s="144" t="n">
        <v>66.1157024793389</v>
      </c>
      <c r="CO494" s="319"/>
      <c r="CP494" s="320"/>
      <c r="CQ494" s="321"/>
      <c r="CR494" s="320"/>
      <c r="CS494" s="322" t="n">
        <v>-6.11570247933885</v>
      </c>
      <c r="CT494" s="322" t="n">
        <v>-58.9157024793389</v>
      </c>
      <c r="CU494" s="322" t="n">
        <v>-58.9157024793389</v>
      </c>
      <c r="CV494" s="323"/>
      <c r="CW494" s="322" t="n">
        <v>-44.5157024793389</v>
      </c>
      <c r="CX494" s="322" t="n">
        <v>-44.5157024793389</v>
      </c>
      <c r="CY494" s="322" t="n">
        <v>-44.5157024793389</v>
      </c>
      <c r="CZ494" s="322" t="n">
        <v>-46.9157024793388</v>
      </c>
      <c r="DA494" s="322" t="n">
        <v>-46.9157024793388</v>
      </c>
    </row>
    <row r="495" customFormat="false" ht="12.75" hidden="false" customHeight="false" outlineLevel="0" collapsed="false">
      <c r="B495" s="305" t="s">
        <v>219</v>
      </c>
      <c r="C495" s="326" t="s">
        <v>744</v>
      </c>
      <c r="D495" s="306" t="n">
        <v>74</v>
      </c>
      <c r="E495" s="306" t="n">
        <v>1.1</v>
      </c>
      <c r="F495" s="306" t="s">
        <v>743</v>
      </c>
      <c r="G495" s="307" t="n">
        <v>24</v>
      </c>
      <c r="H495" s="308" t="n">
        <v>74.3801652892562</v>
      </c>
      <c r="I495" s="2"/>
      <c r="J495" s="144" t="s">
        <v>12</v>
      </c>
      <c r="K495" s="309" t="s">
        <v>12</v>
      </c>
      <c r="L495" s="310"/>
      <c r="M495" s="311" t="n">
        <v>0</v>
      </c>
      <c r="N495" s="312" t="n">
        <v>2.7</v>
      </c>
      <c r="O495" s="311" t="n">
        <v>0</v>
      </c>
      <c r="P495" s="312" t="n">
        <v>0.5</v>
      </c>
      <c r="Q495" s="310" t="n">
        <v>0</v>
      </c>
      <c r="R495" s="312" t="n">
        <v>0.3</v>
      </c>
      <c r="S495" s="310"/>
      <c r="T495" s="311" t="n">
        <v>0</v>
      </c>
      <c r="U495" s="312" t="n">
        <v>0.9</v>
      </c>
      <c r="V495" s="311" t="n">
        <v>0</v>
      </c>
      <c r="W495" s="312" t="n">
        <v>0.9</v>
      </c>
      <c r="X495" s="311" t="n">
        <v>0</v>
      </c>
      <c r="Y495" s="312" t="n">
        <v>0.9</v>
      </c>
      <c r="Z495" s="313" t="n">
        <v>0</v>
      </c>
      <c r="AA495" s="314" t="n">
        <v>0.8</v>
      </c>
      <c r="AB495" s="313" t="n">
        <v>0</v>
      </c>
      <c r="AC495" s="314" t="n">
        <v>0.8</v>
      </c>
      <c r="AD495" s="315"/>
      <c r="AE495" s="144" t="n">
        <v>0</v>
      </c>
      <c r="AF495" s="315"/>
      <c r="AG495" s="311" t="n">
        <v>0</v>
      </c>
      <c r="AH495" s="309" t="n">
        <v>0</v>
      </c>
      <c r="AI495" s="310"/>
      <c r="AJ495" s="311" t="n">
        <v>9</v>
      </c>
      <c r="AK495" s="309" t="n">
        <v>64.8</v>
      </c>
      <c r="AL495" s="311" t="n">
        <v>62</v>
      </c>
      <c r="AM495" s="309" t="n">
        <v>12</v>
      </c>
      <c r="AN495" s="311" t="n">
        <v>67</v>
      </c>
      <c r="AO495" s="309" t="n">
        <v>7.2</v>
      </c>
      <c r="AP495" s="310"/>
      <c r="AQ495" s="311" t="n">
        <v>52</v>
      </c>
      <c r="AR495" s="309" t="n">
        <v>21.6</v>
      </c>
      <c r="AS495" s="311" t="n">
        <v>52</v>
      </c>
      <c r="AT495" s="309" t="n">
        <v>21.6</v>
      </c>
      <c r="AU495" s="311" t="n">
        <v>52</v>
      </c>
      <c r="AV495" s="309" t="n">
        <v>21.6</v>
      </c>
      <c r="AW495" s="311" t="n">
        <v>55</v>
      </c>
      <c r="AX495" s="309" t="n">
        <v>19.2</v>
      </c>
      <c r="AY495" s="311" t="n">
        <v>55</v>
      </c>
      <c r="AZ495" s="309" t="n">
        <v>19.2</v>
      </c>
      <c r="BB495" s="144" t="n">
        <v>0</v>
      </c>
      <c r="BC495" s="315"/>
      <c r="BD495" s="311" t="n">
        <v>0</v>
      </c>
      <c r="BE495" s="316" t="n">
        <v>0</v>
      </c>
      <c r="BF495" s="310"/>
      <c r="BG495" s="317" t="n">
        <v>0</v>
      </c>
      <c r="BH495" s="318" t="n">
        <v>0.2</v>
      </c>
      <c r="BI495" s="317" t="n">
        <v>0</v>
      </c>
      <c r="BJ495" s="318" t="n">
        <v>0.2</v>
      </c>
      <c r="BK495" s="317" t="n">
        <v>0</v>
      </c>
      <c r="BL495" s="318" t="n">
        <v>0</v>
      </c>
      <c r="BM495" s="310"/>
      <c r="BN495" s="317" t="n">
        <v>0</v>
      </c>
      <c r="BO495" s="318" t="n">
        <v>0</v>
      </c>
      <c r="BP495" s="317" t="n">
        <v>0</v>
      </c>
      <c r="BQ495" s="318" t="n">
        <v>0</v>
      </c>
      <c r="BR495" s="317" t="n">
        <v>0</v>
      </c>
      <c r="BS495" s="318" t="n">
        <v>0</v>
      </c>
      <c r="BT495" s="317" t="n">
        <v>0</v>
      </c>
      <c r="BU495" s="318" t="n">
        <v>0</v>
      </c>
      <c r="BV495" s="317" t="n">
        <v>0</v>
      </c>
      <c r="BW495" s="318" t="n">
        <v>0</v>
      </c>
      <c r="BY495" s="143"/>
      <c r="BZ495" s="315"/>
      <c r="CA495" s="144"/>
      <c r="CB495" s="315"/>
      <c r="CC495" s="144" t="n">
        <v>-9.58016528925619</v>
      </c>
      <c r="CD495" s="144" t="n">
        <v>-62.3801652892562</v>
      </c>
      <c r="CE495" s="144" t="n">
        <v>-67.1801652892562</v>
      </c>
      <c r="CF495" s="315"/>
      <c r="CG495" s="144" t="n">
        <v>-52.7801652892562</v>
      </c>
      <c r="CH495" s="144" t="n">
        <v>-52.7801652892562</v>
      </c>
      <c r="CI495" s="144" t="n">
        <v>-52.7801652892562</v>
      </c>
      <c r="CJ495" s="144" t="n">
        <v>-55.1801652892562</v>
      </c>
      <c r="CK495" s="144" t="n">
        <v>-55.1801652892562</v>
      </c>
      <c r="CM495" s="144" t="n">
        <v>73.5537190082645</v>
      </c>
      <c r="CO495" s="319"/>
      <c r="CP495" s="320"/>
      <c r="CQ495" s="321"/>
      <c r="CR495" s="320"/>
      <c r="CS495" s="322" t="n">
        <v>-8.75371900826445</v>
      </c>
      <c r="CT495" s="322" t="n">
        <v>-61.5537190082645</v>
      </c>
      <c r="CU495" s="322" t="n">
        <v>-66.3537190082645</v>
      </c>
      <c r="CV495" s="323"/>
      <c r="CW495" s="322" t="n">
        <v>-51.9537190082645</v>
      </c>
      <c r="CX495" s="322" t="n">
        <v>-51.9537190082645</v>
      </c>
      <c r="CY495" s="322" t="n">
        <v>-51.9537190082645</v>
      </c>
      <c r="CZ495" s="322" t="n">
        <v>-54.3537190082645</v>
      </c>
      <c r="DA495" s="322" t="n">
        <v>-54.3537190082645</v>
      </c>
    </row>
    <row r="496" customFormat="false" ht="12.75" hidden="false" customHeight="false" outlineLevel="0" collapsed="false">
      <c r="B496" s="305" t="s">
        <v>219</v>
      </c>
      <c r="C496" s="326" t="s">
        <v>745</v>
      </c>
      <c r="D496" s="306" t="n">
        <v>70</v>
      </c>
      <c r="E496" s="306" t="n">
        <v>1.1</v>
      </c>
      <c r="F496" s="324" t="s">
        <v>743</v>
      </c>
      <c r="G496" s="144" t="n">
        <v>24</v>
      </c>
      <c r="H496" s="325" t="n">
        <v>69.4214876033058</v>
      </c>
      <c r="I496" s="2"/>
      <c r="J496" s="144" t="s">
        <v>12</v>
      </c>
      <c r="K496" s="309" t="s">
        <v>12</v>
      </c>
      <c r="L496" s="310"/>
      <c r="M496" s="311" t="s">
        <v>12</v>
      </c>
      <c r="N496" s="312" t="s">
        <v>12</v>
      </c>
      <c r="O496" s="311" t="s">
        <v>12</v>
      </c>
      <c r="P496" s="312" t="s">
        <v>12</v>
      </c>
      <c r="Q496" s="310" t="s">
        <v>12</v>
      </c>
      <c r="R496" s="312" t="s">
        <v>12</v>
      </c>
      <c r="S496" s="310"/>
      <c r="T496" s="311" t="n">
        <v>0</v>
      </c>
      <c r="U496" s="312" t="n">
        <v>0.9</v>
      </c>
      <c r="V496" s="311" t="n">
        <v>0</v>
      </c>
      <c r="W496" s="312" t="n">
        <v>0.9</v>
      </c>
      <c r="X496" s="311" t="n">
        <v>0</v>
      </c>
      <c r="Y496" s="312" t="n">
        <v>0</v>
      </c>
      <c r="Z496" s="313" t="n">
        <v>0</v>
      </c>
      <c r="AA496" s="314" t="n">
        <v>0</v>
      </c>
      <c r="AB496" s="313" t="n">
        <v>0</v>
      </c>
      <c r="AC496" s="314" t="n">
        <v>0</v>
      </c>
      <c r="AD496" s="315"/>
      <c r="AE496" s="144" t="n">
        <v>1</v>
      </c>
      <c r="AF496" s="315"/>
      <c r="AG496" s="311" t="n">
        <v>0</v>
      </c>
      <c r="AH496" s="309" t="n">
        <v>0</v>
      </c>
      <c r="AI496" s="310"/>
      <c r="AJ496" s="311" t="s">
        <v>12</v>
      </c>
      <c r="AK496" s="309" t="s">
        <v>12</v>
      </c>
      <c r="AL496" s="311" t="s">
        <v>12</v>
      </c>
      <c r="AM496" s="309" t="s">
        <v>12</v>
      </c>
      <c r="AN496" s="310" t="s">
        <v>12</v>
      </c>
      <c r="AO496" s="309" t="s">
        <v>12</v>
      </c>
      <c r="AP496" s="310"/>
      <c r="AQ496" s="311" t="n">
        <v>48</v>
      </c>
      <c r="AR496" s="309" t="n">
        <v>21.6</v>
      </c>
      <c r="AS496" s="311" t="n">
        <v>48</v>
      </c>
      <c r="AT496" s="309" t="n">
        <v>21.6</v>
      </c>
      <c r="AU496" s="310" t="n">
        <v>70</v>
      </c>
      <c r="AV496" s="309" t="n">
        <v>0</v>
      </c>
      <c r="AW496" s="310" t="n">
        <v>70</v>
      </c>
      <c r="AX496" s="309" t="n">
        <v>0</v>
      </c>
      <c r="AY496" s="310" t="n">
        <v>70</v>
      </c>
      <c r="AZ496" s="309" t="n">
        <v>0</v>
      </c>
      <c r="BB496" s="144" t="n">
        <v>0</v>
      </c>
      <c r="BC496" s="315"/>
      <c r="BD496" s="311" t="n">
        <v>0</v>
      </c>
      <c r="BE496" s="316" t="n">
        <v>0</v>
      </c>
      <c r="BF496" s="310"/>
      <c r="BG496" s="317" t="n">
        <v>0</v>
      </c>
      <c r="BH496" s="318" t="n">
        <v>0</v>
      </c>
      <c r="BI496" s="317" t="n">
        <v>0</v>
      </c>
      <c r="BJ496" s="318" t="n">
        <v>0</v>
      </c>
      <c r="BK496" s="317" t="n">
        <v>0</v>
      </c>
      <c r="BL496" s="318" t="n">
        <v>0</v>
      </c>
      <c r="BM496" s="310"/>
      <c r="BN496" s="317" t="n">
        <v>0</v>
      </c>
      <c r="BO496" s="318" t="n">
        <v>0</v>
      </c>
      <c r="BP496" s="317" t="n">
        <v>0</v>
      </c>
      <c r="BQ496" s="318" t="n">
        <v>0</v>
      </c>
      <c r="BR496" s="317" t="n">
        <v>0</v>
      </c>
      <c r="BS496" s="318" t="n">
        <v>0</v>
      </c>
      <c r="BT496" s="317" t="n">
        <v>0</v>
      </c>
      <c r="BU496" s="318" t="n">
        <v>0</v>
      </c>
      <c r="BV496" s="317" t="n">
        <v>0</v>
      </c>
      <c r="BW496" s="318" t="n">
        <v>0</v>
      </c>
      <c r="BY496" s="143"/>
      <c r="BZ496" s="315"/>
      <c r="CA496" s="144"/>
      <c r="CB496" s="315"/>
      <c r="CC496" s="144" t="s">
        <v>12</v>
      </c>
      <c r="CD496" s="144" t="s">
        <v>12</v>
      </c>
      <c r="CE496" s="144" t="s">
        <v>12</v>
      </c>
      <c r="CF496" s="315"/>
      <c r="CG496" s="144" t="n">
        <v>-47.8214876033058</v>
      </c>
      <c r="CH496" s="144" t="n">
        <v>-47.8214876033058</v>
      </c>
      <c r="CI496" s="144" t="n">
        <v>-69.4214876033058</v>
      </c>
      <c r="CJ496" s="144" t="n">
        <v>-69.4214876033058</v>
      </c>
      <c r="CK496" s="144" t="n">
        <v>-69.4214876033058</v>
      </c>
      <c r="CM496" s="144" t="n">
        <v>59.504132231405</v>
      </c>
      <c r="CO496" s="319"/>
      <c r="CP496" s="320"/>
      <c r="CQ496" s="321"/>
      <c r="CR496" s="320"/>
      <c r="CS496" s="322" t="s">
        <v>12</v>
      </c>
      <c r="CT496" s="322" t="s">
        <v>12</v>
      </c>
      <c r="CU496" s="322" t="s">
        <v>12</v>
      </c>
      <c r="CV496" s="323"/>
      <c r="CW496" s="322" t="n">
        <v>-37.904132231405</v>
      </c>
      <c r="CX496" s="322" t="n">
        <v>-37.904132231405</v>
      </c>
      <c r="CY496" s="322" t="n">
        <v>-59.504132231405</v>
      </c>
      <c r="CZ496" s="322" t="n">
        <v>-59.504132231405</v>
      </c>
      <c r="DA496" s="322" t="n">
        <v>-59.504132231405</v>
      </c>
    </row>
    <row r="497" customFormat="false" ht="12.75" hidden="false" customHeight="false" outlineLevel="0" collapsed="false">
      <c r="B497" s="305" t="s">
        <v>219</v>
      </c>
      <c r="C497" s="326" t="s">
        <v>746</v>
      </c>
      <c r="D497" s="306" t="n">
        <v>137</v>
      </c>
      <c r="E497" s="306" t="n">
        <v>1.1</v>
      </c>
      <c r="F497" s="306" t="s">
        <v>743</v>
      </c>
      <c r="G497" s="307" t="n">
        <v>24</v>
      </c>
      <c r="H497" s="308" t="n">
        <v>152.066115702479</v>
      </c>
      <c r="I497" s="2"/>
      <c r="J497" s="144" t="s">
        <v>12</v>
      </c>
      <c r="K497" s="309" t="s">
        <v>12</v>
      </c>
      <c r="L497" s="310"/>
      <c r="M497" s="311" t="s">
        <v>12</v>
      </c>
      <c r="N497" s="312" t="s">
        <v>12</v>
      </c>
      <c r="O497" s="311" t="s">
        <v>12</v>
      </c>
      <c r="P497" s="312" t="s">
        <v>12</v>
      </c>
      <c r="Q497" s="310" t="s">
        <v>12</v>
      </c>
      <c r="R497" s="312" t="s">
        <v>12</v>
      </c>
      <c r="S497" s="310"/>
      <c r="T497" s="311" t="n">
        <v>0</v>
      </c>
      <c r="U497" s="312" t="n">
        <v>5.2</v>
      </c>
      <c r="V497" s="311" t="n">
        <v>0</v>
      </c>
      <c r="W497" s="312" t="n">
        <v>4.2</v>
      </c>
      <c r="X497" s="311" t="n">
        <v>0</v>
      </c>
      <c r="Y497" s="312" t="n">
        <v>2</v>
      </c>
      <c r="Z497" s="313" t="n">
        <v>0</v>
      </c>
      <c r="AA497" s="314" t="n">
        <v>2</v>
      </c>
      <c r="AB497" s="313" t="n">
        <v>0</v>
      </c>
      <c r="AC497" s="314" t="n">
        <v>2</v>
      </c>
      <c r="AD497" s="315"/>
      <c r="AE497" s="144" t="n">
        <v>-15</v>
      </c>
      <c r="AF497" s="315"/>
      <c r="AG497" s="311" t="n">
        <v>0</v>
      </c>
      <c r="AH497" s="309" t="n">
        <v>0</v>
      </c>
      <c r="AI497" s="310"/>
      <c r="AJ497" s="311" t="s">
        <v>12</v>
      </c>
      <c r="AK497" s="309" t="s">
        <v>12</v>
      </c>
      <c r="AL497" s="311" t="s">
        <v>12</v>
      </c>
      <c r="AM497" s="309" t="s">
        <v>12</v>
      </c>
      <c r="AN497" s="311" t="s">
        <v>12</v>
      </c>
      <c r="AO497" s="309" t="s">
        <v>12</v>
      </c>
      <c r="AP497" s="310"/>
      <c r="AQ497" s="311" t="n">
        <v>12</v>
      </c>
      <c r="AR497" s="309" t="n">
        <v>124.8</v>
      </c>
      <c r="AS497" s="311" t="n">
        <v>36</v>
      </c>
      <c r="AT497" s="309" t="n">
        <v>100.8</v>
      </c>
      <c r="AU497" s="311" t="n">
        <v>89</v>
      </c>
      <c r="AV497" s="309" t="n">
        <v>48</v>
      </c>
      <c r="AW497" s="311" t="n">
        <v>89</v>
      </c>
      <c r="AX497" s="309" t="n">
        <v>48</v>
      </c>
      <c r="AY497" s="311" t="n">
        <v>89</v>
      </c>
      <c r="AZ497" s="309" t="n">
        <v>48</v>
      </c>
      <c r="BB497" s="144" t="n">
        <v>0</v>
      </c>
      <c r="BC497" s="315"/>
      <c r="BD497" s="311" t="n">
        <v>0</v>
      </c>
      <c r="BE497" s="316" t="n">
        <v>0</v>
      </c>
      <c r="BF497" s="310"/>
      <c r="BG497" s="317" t="n">
        <v>0</v>
      </c>
      <c r="BH497" s="318" t="n">
        <v>0</v>
      </c>
      <c r="BI497" s="317" t="n">
        <v>0</v>
      </c>
      <c r="BJ497" s="318" t="n">
        <v>0</v>
      </c>
      <c r="BK497" s="317" t="n">
        <v>0</v>
      </c>
      <c r="BL497" s="318" t="n">
        <v>0</v>
      </c>
      <c r="BM497" s="310"/>
      <c r="BN497" s="317" t="n">
        <v>0</v>
      </c>
      <c r="BO497" s="318" t="n">
        <v>0</v>
      </c>
      <c r="BP497" s="317" t="n">
        <v>0</v>
      </c>
      <c r="BQ497" s="318" t="n">
        <v>0</v>
      </c>
      <c r="BR497" s="317" t="n">
        <v>0</v>
      </c>
      <c r="BS497" s="318" t="n">
        <v>0</v>
      </c>
      <c r="BT497" s="317" t="n">
        <v>0</v>
      </c>
      <c r="BU497" s="318" t="n">
        <v>0</v>
      </c>
      <c r="BV497" s="317" t="n">
        <v>0</v>
      </c>
      <c r="BW497" s="318" t="n">
        <v>0</v>
      </c>
      <c r="BY497" s="143"/>
      <c r="BZ497" s="315"/>
      <c r="CA497" s="144"/>
      <c r="CB497" s="315"/>
      <c r="CC497" s="144" t="s">
        <v>12</v>
      </c>
      <c r="CD497" s="144" t="s">
        <v>12</v>
      </c>
      <c r="CE497" s="144" t="s">
        <v>12</v>
      </c>
      <c r="CF497" s="315"/>
      <c r="CG497" s="144" t="n">
        <v>-27.2661157024793</v>
      </c>
      <c r="CH497" s="144" t="n">
        <v>-51.2661157024793</v>
      </c>
      <c r="CI497" s="144" t="n">
        <v>-104.066115702479</v>
      </c>
      <c r="CJ497" s="144" t="n">
        <v>-104.066115702479</v>
      </c>
      <c r="CK497" s="144" t="n">
        <v>-104.066115702479</v>
      </c>
      <c r="CM497" s="144" t="n">
        <v>135.537190082645</v>
      </c>
      <c r="CO497" s="319"/>
      <c r="CP497" s="320"/>
      <c r="CQ497" s="321"/>
      <c r="CR497" s="320"/>
      <c r="CS497" s="322" t="s">
        <v>12</v>
      </c>
      <c r="CT497" s="322" t="s">
        <v>12</v>
      </c>
      <c r="CU497" s="322" t="s">
        <v>12</v>
      </c>
      <c r="CV497" s="323"/>
      <c r="CW497" s="322" t="n">
        <v>-10.7371900826446</v>
      </c>
      <c r="CX497" s="322" t="n">
        <v>-34.7371900826446</v>
      </c>
      <c r="CY497" s="322" t="n">
        <v>-87.5371900826446</v>
      </c>
      <c r="CZ497" s="322" t="n">
        <v>-87.5371900826446</v>
      </c>
      <c r="DA497" s="322" t="n">
        <v>-87.5371900826446</v>
      </c>
    </row>
    <row r="498" customFormat="false" ht="12.75" hidden="false" customHeight="false" outlineLevel="0" collapsed="false">
      <c r="B498" s="305" t="s">
        <v>219</v>
      </c>
      <c r="C498" s="326" t="s">
        <v>747</v>
      </c>
      <c r="D498" s="306" t="n">
        <v>64</v>
      </c>
      <c r="E498" s="306" t="n">
        <v>1.1</v>
      </c>
      <c r="F498" s="306" t="s">
        <v>743</v>
      </c>
      <c r="G498" s="307" t="n">
        <v>24</v>
      </c>
      <c r="H498" s="308" t="n">
        <v>63.6363636363636</v>
      </c>
      <c r="I498" s="2"/>
      <c r="J498" s="144" t="s">
        <v>12</v>
      </c>
      <c r="K498" s="309" t="s">
        <v>12</v>
      </c>
      <c r="L498" s="310"/>
      <c r="M498" s="311" t="s">
        <v>12</v>
      </c>
      <c r="N498" s="312" t="s">
        <v>12</v>
      </c>
      <c r="O498" s="311" t="s">
        <v>12</v>
      </c>
      <c r="P498" s="312" t="s">
        <v>12</v>
      </c>
      <c r="Q498" s="310" t="s">
        <v>12</v>
      </c>
      <c r="R498" s="312" t="s">
        <v>12</v>
      </c>
      <c r="S498" s="310"/>
      <c r="T498" s="311" t="n">
        <v>0</v>
      </c>
      <c r="U498" s="312" t="n">
        <v>1.3</v>
      </c>
      <c r="V498" s="311" t="n">
        <v>0</v>
      </c>
      <c r="W498" s="312" t="n">
        <v>1.3</v>
      </c>
      <c r="X498" s="311" t="n">
        <v>0</v>
      </c>
      <c r="Y498" s="312" t="n">
        <v>0</v>
      </c>
      <c r="Z498" s="313" t="n">
        <v>0</v>
      </c>
      <c r="AA498" s="314" t="n">
        <v>0</v>
      </c>
      <c r="AB498" s="313" t="n">
        <v>0</v>
      </c>
      <c r="AC498" s="314" t="n">
        <v>0</v>
      </c>
      <c r="AD498" s="315"/>
      <c r="AE498" s="144" t="n">
        <v>0</v>
      </c>
      <c r="AF498" s="315"/>
      <c r="AG498" s="311" t="n">
        <v>0</v>
      </c>
      <c r="AH498" s="309" t="n">
        <v>0</v>
      </c>
      <c r="AI498" s="310"/>
      <c r="AJ498" s="311" t="s">
        <v>12</v>
      </c>
      <c r="AK498" s="309" t="s">
        <v>12</v>
      </c>
      <c r="AL498" s="311" t="s">
        <v>12</v>
      </c>
      <c r="AM498" s="309" t="s">
        <v>12</v>
      </c>
      <c r="AN498" s="311" t="s">
        <v>12</v>
      </c>
      <c r="AO498" s="309" t="s">
        <v>12</v>
      </c>
      <c r="AP498" s="310"/>
      <c r="AQ498" s="311" t="n">
        <v>33</v>
      </c>
      <c r="AR498" s="309" t="n">
        <v>31.2</v>
      </c>
      <c r="AS498" s="311" t="n">
        <v>33</v>
      </c>
      <c r="AT498" s="309" t="n">
        <v>31.2</v>
      </c>
      <c r="AU498" s="311" t="n">
        <v>64</v>
      </c>
      <c r="AV498" s="309" t="n">
        <v>0</v>
      </c>
      <c r="AW498" s="311" t="n">
        <v>64</v>
      </c>
      <c r="AX498" s="309" t="n">
        <v>0</v>
      </c>
      <c r="AY498" s="311" t="n">
        <v>64</v>
      </c>
      <c r="AZ498" s="309" t="n">
        <v>0</v>
      </c>
      <c r="BB498" s="144" t="n">
        <v>0</v>
      </c>
      <c r="BC498" s="315"/>
      <c r="BD498" s="311" t="n">
        <v>0</v>
      </c>
      <c r="BE498" s="316" t="n">
        <v>0</v>
      </c>
      <c r="BF498" s="310"/>
      <c r="BG498" s="317" t="n">
        <v>0</v>
      </c>
      <c r="BH498" s="318" t="n">
        <v>0</v>
      </c>
      <c r="BI498" s="317" t="n">
        <v>0</v>
      </c>
      <c r="BJ498" s="318" t="n">
        <v>0</v>
      </c>
      <c r="BK498" s="317" t="n">
        <v>0</v>
      </c>
      <c r="BL498" s="318" t="n">
        <v>0</v>
      </c>
      <c r="BM498" s="310"/>
      <c r="BN498" s="317" t="n">
        <v>0</v>
      </c>
      <c r="BO498" s="318" t="n">
        <v>0</v>
      </c>
      <c r="BP498" s="317" t="n">
        <v>0</v>
      </c>
      <c r="BQ498" s="318" t="n">
        <v>0</v>
      </c>
      <c r="BR498" s="317" t="n">
        <v>0</v>
      </c>
      <c r="BS498" s="318" t="n">
        <v>0</v>
      </c>
      <c r="BT498" s="317" t="n">
        <v>0</v>
      </c>
      <c r="BU498" s="318" t="n">
        <v>0</v>
      </c>
      <c r="BV498" s="317" t="n">
        <v>0</v>
      </c>
      <c r="BW498" s="318" t="n">
        <v>0</v>
      </c>
      <c r="BY498" s="143"/>
      <c r="BZ498" s="315"/>
      <c r="CA498" s="144"/>
      <c r="CB498" s="315"/>
      <c r="CC498" s="144" t="s">
        <v>12</v>
      </c>
      <c r="CD498" s="144" t="s">
        <v>12</v>
      </c>
      <c r="CE498" s="144" t="s">
        <v>12</v>
      </c>
      <c r="CF498" s="315"/>
      <c r="CG498" s="144" t="n">
        <v>-32.4363636363636</v>
      </c>
      <c r="CH498" s="144" t="n">
        <v>-32.4363636363636</v>
      </c>
      <c r="CI498" s="144" t="n">
        <v>-63.6363636363636</v>
      </c>
      <c r="CJ498" s="144" t="n">
        <v>-63.6363636363636</v>
      </c>
      <c r="CK498" s="144" t="n">
        <v>-63.6363636363636</v>
      </c>
      <c r="CM498" s="144" t="n">
        <v>46.2809917355372</v>
      </c>
      <c r="CO498" s="319"/>
      <c r="CP498" s="320"/>
      <c r="CQ498" s="321"/>
      <c r="CR498" s="320"/>
      <c r="CS498" s="322" t="s">
        <v>12</v>
      </c>
      <c r="CT498" s="322" t="s">
        <v>12</v>
      </c>
      <c r="CU498" s="322" t="s">
        <v>12</v>
      </c>
      <c r="CV498" s="323"/>
      <c r="CW498" s="322" t="n">
        <v>-15.0809917355372</v>
      </c>
      <c r="CX498" s="322" t="n">
        <v>-15.0809917355372</v>
      </c>
      <c r="CY498" s="322" t="n">
        <v>-46.2809917355372</v>
      </c>
      <c r="CZ498" s="322" t="n">
        <v>-46.2809917355372</v>
      </c>
      <c r="DA498" s="322" t="n">
        <v>-46.2809917355372</v>
      </c>
    </row>
    <row r="499" customFormat="false" ht="12.75" hidden="false" customHeight="false" outlineLevel="0" collapsed="false">
      <c r="B499" s="305" t="s">
        <v>219</v>
      </c>
      <c r="C499" s="326" t="s">
        <v>748</v>
      </c>
      <c r="D499" s="306" t="n">
        <v>115</v>
      </c>
      <c r="E499" s="306" t="n">
        <v>1.1</v>
      </c>
      <c r="F499" s="306" t="s">
        <v>743</v>
      </c>
      <c r="G499" s="307" t="n">
        <v>24</v>
      </c>
      <c r="H499" s="308" t="n">
        <v>113.223140495868</v>
      </c>
      <c r="I499" s="2"/>
      <c r="J499" s="144" t="s">
        <v>12</v>
      </c>
      <c r="K499" s="309" t="s">
        <v>12</v>
      </c>
      <c r="L499" s="310"/>
      <c r="M499" s="311" t="s">
        <v>12</v>
      </c>
      <c r="N499" s="312" t="s">
        <v>12</v>
      </c>
      <c r="O499" s="311" t="s">
        <v>12</v>
      </c>
      <c r="P499" s="312" t="s">
        <v>12</v>
      </c>
      <c r="Q499" s="310" t="s">
        <v>12</v>
      </c>
      <c r="R499" s="312" t="s">
        <v>12</v>
      </c>
      <c r="S499" s="310"/>
      <c r="T499" s="311" t="n">
        <v>0</v>
      </c>
      <c r="U499" s="312" t="n">
        <v>2</v>
      </c>
      <c r="V499" s="311" t="n">
        <v>0</v>
      </c>
      <c r="W499" s="312" t="n">
        <v>2</v>
      </c>
      <c r="X499" s="311" t="n">
        <v>0</v>
      </c>
      <c r="Y499" s="312" t="n">
        <v>2</v>
      </c>
      <c r="Z499" s="313" t="n">
        <v>0</v>
      </c>
      <c r="AA499" s="314" t="n">
        <v>2</v>
      </c>
      <c r="AB499" s="313" t="n">
        <v>0</v>
      </c>
      <c r="AC499" s="314" t="n">
        <v>2</v>
      </c>
      <c r="AD499" s="315"/>
      <c r="AE499" s="144" t="n">
        <v>2</v>
      </c>
      <c r="AF499" s="315"/>
      <c r="AG499" s="311" t="n">
        <v>0</v>
      </c>
      <c r="AH499" s="309" t="n">
        <v>0</v>
      </c>
      <c r="AI499" s="310"/>
      <c r="AJ499" s="311" t="s">
        <v>12</v>
      </c>
      <c r="AK499" s="309" t="s">
        <v>12</v>
      </c>
      <c r="AL499" s="311" t="s">
        <v>12</v>
      </c>
      <c r="AM499" s="309" t="s">
        <v>12</v>
      </c>
      <c r="AN499" s="311" t="s">
        <v>12</v>
      </c>
      <c r="AO499" s="309" t="s">
        <v>12</v>
      </c>
      <c r="AP499" s="310"/>
      <c r="AQ499" s="311" t="n">
        <v>67</v>
      </c>
      <c r="AR499" s="309" t="n">
        <v>48</v>
      </c>
      <c r="AS499" s="311" t="n">
        <v>67</v>
      </c>
      <c r="AT499" s="309" t="n">
        <v>48</v>
      </c>
      <c r="AU499" s="311" t="n">
        <v>67</v>
      </c>
      <c r="AV499" s="309" t="n">
        <v>48</v>
      </c>
      <c r="AW499" s="311" t="n">
        <v>67</v>
      </c>
      <c r="AX499" s="309" t="n">
        <v>48</v>
      </c>
      <c r="AY499" s="311" t="n">
        <v>67</v>
      </c>
      <c r="AZ499" s="309" t="n">
        <v>48</v>
      </c>
      <c r="BB499" s="144" t="n">
        <v>0</v>
      </c>
      <c r="BC499" s="315"/>
      <c r="BD499" s="311" t="n">
        <v>0</v>
      </c>
      <c r="BE499" s="316" t="n">
        <v>0</v>
      </c>
      <c r="BF499" s="310"/>
      <c r="BG499" s="317" t="n">
        <v>0</v>
      </c>
      <c r="BH499" s="318" t="n">
        <v>0</v>
      </c>
      <c r="BI499" s="317" t="n">
        <v>0</v>
      </c>
      <c r="BJ499" s="318" t="n">
        <v>0</v>
      </c>
      <c r="BK499" s="317" t="n">
        <v>0</v>
      </c>
      <c r="BL499" s="318" t="n">
        <v>0</v>
      </c>
      <c r="BM499" s="310"/>
      <c r="BN499" s="317" t="n">
        <v>0</v>
      </c>
      <c r="BO499" s="318" t="n">
        <v>0</v>
      </c>
      <c r="BP499" s="317" t="n">
        <v>0</v>
      </c>
      <c r="BQ499" s="318" t="n">
        <v>0</v>
      </c>
      <c r="BR499" s="317" t="n">
        <v>0</v>
      </c>
      <c r="BS499" s="318" t="n">
        <v>0</v>
      </c>
      <c r="BT499" s="317" t="n">
        <v>0</v>
      </c>
      <c r="BU499" s="318" t="n">
        <v>0</v>
      </c>
      <c r="BV499" s="317" t="n">
        <v>0</v>
      </c>
      <c r="BW499" s="318" t="n">
        <v>0</v>
      </c>
      <c r="BY499" s="143"/>
      <c r="BZ499" s="315"/>
      <c r="CA499" s="144"/>
      <c r="CB499" s="315"/>
      <c r="CC499" s="144" t="s">
        <v>12</v>
      </c>
      <c r="CD499" s="144" t="s">
        <v>12</v>
      </c>
      <c r="CE499" s="144" t="s">
        <v>12</v>
      </c>
      <c r="CF499" s="315"/>
      <c r="CG499" s="144" t="n">
        <v>-65.2231404958678</v>
      </c>
      <c r="CH499" s="144" t="n">
        <v>-65.2231404958678</v>
      </c>
      <c r="CI499" s="144" t="n">
        <v>-65.2231404958678</v>
      </c>
      <c r="CJ499" s="144" t="n">
        <v>-65.2231404958678</v>
      </c>
      <c r="CK499" s="144" t="n">
        <v>-65.2231404958678</v>
      </c>
      <c r="CM499" s="144" t="n">
        <v>114.876033057851</v>
      </c>
      <c r="CO499" s="319"/>
      <c r="CP499" s="320"/>
      <c r="CQ499" s="321"/>
      <c r="CR499" s="320"/>
      <c r="CS499" s="322" t="s">
        <v>12</v>
      </c>
      <c r="CT499" s="322" t="s">
        <v>12</v>
      </c>
      <c r="CU499" s="322" t="s">
        <v>12</v>
      </c>
      <c r="CV499" s="323"/>
      <c r="CW499" s="322" t="n">
        <v>-66.8760330578512</v>
      </c>
      <c r="CX499" s="322" t="n">
        <v>-66.8760330578512</v>
      </c>
      <c r="CY499" s="322" t="n">
        <v>-66.8760330578512</v>
      </c>
      <c r="CZ499" s="322" t="n">
        <v>-66.8760330578512</v>
      </c>
      <c r="DA499" s="322" t="n">
        <v>-66.8760330578512</v>
      </c>
    </row>
    <row r="500" customFormat="false" ht="12.75" hidden="false" customHeight="false" outlineLevel="0" collapsed="false">
      <c r="B500" s="305" t="s">
        <v>424</v>
      </c>
      <c r="C500" s="326" t="s">
        <v>749</v>
      </c>
      <c r="D500" s="306" t="n">
        <v>239</v>
      </c>
      <c r="E500" s="306" t="n">
        <v>3.75</v>
      </c>
      <c r="F500" s="306" t="s">
        <v>743</v>
      </c>
      <c r="G500" s="307" t="n">
        <v>24</v>
      </c>
      <c r="H500" s="308" t="n">
        <v>238.842975206612</v>
      </c>
      <c r="I500" s="2"/>
      <c r="J500" s="144" t="s">
        <v>12</v>
      </c>
      <c r="K500" s="309" t="s">
        <v>12</v>
      </c>
      <c r="L500" s="310"/>
      <c r="M500" s="311" t="s">
        <v>12</v>
      </c>
      <c r="N500" s="312" t="s">
        <v>12</v>
      </c>
      <c r="O500" s="311" t="s">
        <v>12</v>
      </c>
      <c r="P500" s="312" t="s">
        <v>12</v>
      </c>
      <c r="Q500" s="310" t="s">
        <v>12</v>
      </c>
      <c r="R500" s="312" t="s">
        <v>12</v>
      </c>
      <c r="S500" s="310"/>
      <c r="T500" s="311" t="n">
        <v>0</v>
      </c>
      <c r="U500" s="312" t="n">
        <v>8.1</v>
      </c>
      <c r="V500" s="311" t="n">
        <v>0</v>
      </c>
      <c r="W500" s="312" t="n">
        <v>7.1</v>
      </c>
      <c r="X500" s="311" t="n">
        <v>0</v>
      </c>
      <c r="Y500" s="312" t="n">
        <v>4</v>
      </c>
      <c r="Z500" s="313" t="n">
        <v>0</v>
      </c>
      <c r="AA500" s="314" t="n">
        <v>4</v>
      </c>
      <c r="AB500" s="313" t="n">
        <v>0</v>
      </c>
      <c r="AC500" s="314" t="n">
        <v>4</v>
      </c>
      <c r="AD500" s="315"/>
      <c r="AE500" s="144" t="n">
        <v>0</v>
      </c>
      <c r="AF500" s="315"/>
      <c r="AG500" s="311" t="n">
        <v>0</v>
      </c>
      <c r="AH500" s="309" t="n">
        <v>0</v>
      </c>
      <c r="AI500" s="310"/>
      <c r="AJ500" s="311" t="s">
        <v>12</v>
      </c>
      <c r="AK500" s="309" t="s">
        <v>12</v>
      </c>
      <c r="AL500" s="311" t="s">
        <v>12</v>
      </c>
      <c r="AM500" s="309" t="s">
        <v>12</v>
      </c>
      <c r="AN500" s="311" t="s">
        <v>12</v>
      </c>
      <c r="AO500" s="309" t="s">
        <v>12</v>
      </c>
      <c r="AP500" s="310"/>
      <c r="AQ500" s="311" t="n">
        <v>45</v>
      </c>
      <c r="AR500" s="309" t="n">
        <v>194.4</v>
      </c>
      <c r="AS500" s="311" t="n">
        <v>69</v>
      </c>
      <c r="AT500" s="309" t="n">
        <v>170.4</v>
      </c>
      <c r="AU500" s="311" t="n">
        <v>143</v>
      </c>
      <c r="AV500" s="309" t="n">
        <v>96</v>
      </c>
      <c r="AW500" s="311" t="n">
        <v>143</v>
      </c>
      <c r="AX500" s="309" t="n">
        <v>96</v>
      </c>
      <c r="AY500" s="311" t="n">
        <v>143</v>
      </c>
      <c r="AZ500" s="309" t="n">
        <v>96</v>
      </c>
      <c r="BB500" s="144" t="n">
        <v>0</v>
      </c>
      <c r="BC500" s="315"/>
      <c r="BD500" s="311" t="n">
        <v>0</v>
      </c>
      <c r="BE500" s="316" t="n">
        <v>0</v>
      </c>
      <c r="BF500" s="310"/>
      <c r="BG500" s="317" t="n">
        <v>0</v>
      </c>
      <c r="BH500" s="318" t="n">
        <v>0</v>
      </c>
      <c r="BI500" s="317" t="n">
        <v>0</v>
      </c>
      <c r="BJ500" s="318" t="n">
        <v>0</v>
      </c>
      <c r="BK500" s="317" t="n">
        <v>0</v>
      </c>
      <c r="BL500" s="318" t="n">
        <v>0</v>
      </c>
      <c r="BM500" s="310"/>
      <c r="BN500" s="317" t="n">
        <v>0</v>
      </c>
      <c r="BO500" s="318" t="n">
        <v>0</v>
      </c>
      <c r="BP500" s="317" t="n">
        <v>0</v>
      </c>
      <c r="BQ500" s="318" t="n">
        <v>0</v>
      </c>
      <c r="BR500" s="317" t="n">
        <v>0</v>
      </c>
      <c r="BS500" s="318" t="n">
        <v>0</v>
      </c>
      <c r="BT500" s="317" t="n">
        <v>0</v>
      </c>
      <c r="BU500" s="318" t="n">
        <v>0</v>
      </c>
      <c r="BV500" s="317" t="n">
        <v>0</v>
      </c>
      <c r="BW500" s="318" t="n">
        <v>0</v>
      </c>
      <c r="BY500" s="143"/>
      <c r="BZ500" s="315"/>
      <c r="CA500" s="144"/>
      <c r="CB500" s="315"/>
      <c r="CC500" s="144" t="s">
        <v>12</v>
      </c>
      <c r="CD500" s="144" t="s">
        <v>12</v>
      </c>
      <c r="CE500" s="144" t="s">
        <v>12</v>
      </c>
      <c r="CF500" s="315"/>
      <c r="CG500" s="144" t="n">
        <v>-44.4429752066116</v>
      </c>
      <c r="CH500" s="144" t="n">
        <v>-68.4429752066116</v>
      </c>
      <c r="CI500" s="144" t="n">
        <v>-142.842975206612</v>
      </c>
      <c r="CJ500" s="144" t="n">
        <v>-142.842975206612</v>
      </c>
      <c r="CK500" s="144" t="n">
        <v>-142.842975206612</v>
      </c>
      <c r="CM500" s="144" t="n">
        <v>238.842975206612</v>
      </c>
      <c r="CO500" s="319"/>
      <c r="CP500" s="320"/>
      <c r="CQ500" s="321"/>
      <c r="CR500" s="320"/>
      <c r="CS500" s="322" t="s">
        <v>12</v>
      </c>
      <c r="CT500" s="322" t="s">
        <v>12</v>
      </c>
      <c r="CU500" s="322" t="s">
        <v>12</v>
      </c>
      <c r="CV500" s="323"/>
      <c r="CW500" s="322" t="n">
        <v>-44.4429752066116</v>
      </c>
      <c r="CX500" s="322" t="n">
        <v>-68.4429752066116</v>
      </c>
      <c r="CY500" s="322" t="n">
        <v>-142.842975206612</v>
      </c>
      <c r="CZ500" s="322" t="n">
        <v>-142.842975206612</v>
      </c>
      <c r="DA500" s="322" t="n">
        <v>-142.842975206612</v>
      </c>
    </row>
    <row r="501" customFormat="false" ht="12.75" hidden="false" customHeight="false" outlineLevel="0" collapsed="false">
      <c r="B501" s="305" t="s">
        <v>277</v>
      </c>
      <c r="C501" s="326" t="s">
        <v>750</v>
      </c>
      <c r="D501" s="306" t="n">
        <v>44</v>
      </c>
      <c r="E501" s="306" t="n">
        <v>0</v>
      </c>
      <c r="F501" s="306" t="s">
        <v>603</v>
      </c>
      <c r="G501" s="307" t="n">
        <v>24</v>
      </c>
      <c r="H501" s="308" t="n">
        <v>43.801652892562</v>
      </c>
      <c r="I501" s="2"/>
      <c r="J501" s="144" t="s">
        <v>12</v>
      </c>
      <c r="K501" s="309" t="s">
        <v>12</v>
      </c>
      <c r="L501" s="310"/>
      <c r="M501" s="311" t="s">
        <v>12</v>
      </c>
      <c r="N501" s="312" t="s">
        <v>12</v>
      </c>
      <c r="O501" s="311" t="s">
        <v>12</v>
      </c>
      <c r="P501" s="312" t="s">
        <v>12</v>
      </c>
      <c r="Q501" s="310" t="s">
        <v>12</v>
      </c>
      <c r="R501" s="312" t="s">
        <v>12</v>
      </c>
      <c r="S501" s="310"/>
      <c r="T501" s="311" t="n">
        <v>0</v>
      </c>
      <c r="U501" s="312" t="n">
        <v>1</v>
      </c>
      <c r="V501" s="311" t="n">
        <v>0</v>
      </c>
      <c r="W501" s="312" t="n">
        <v>1</v>
      </c>
      <c r="X501" s="311" t="n">
        <v>0</v>
      </c>
      <c r="Y501" s="312" t="n">
        <v>0</v>
      </c>
      <c r="Z501" s="313" t="n">
        <v>0</v>
      </c>
      <c r="AA501" s="314" t="n">
        <v>0</v>
      </c>
      <c r="AB501" s="313" t="n">
        <v>0</v>
      </c>
      <c r="AC501" s="314" t="n">
        <v>0</v>
      </c>
      <c r="AD501" s="315"/>
      <c r="AE501" s="144" t="n">
        <v>0</v>
      </c>
      <c r="AF501" s="315"/>
      <c r="AG501" s="311" t="n">
        <v>0</v>
      </c>
      <c r="AH501" s="309" t="n">
        <v>0</v>
      </c>
      <c r="AI501" s="310"/>
      <c r="AJ501" s="311" t="s">
        <v>12</v>
      </c>
      <c r="AK501" s="309" t="s">
        <v>12</v>
      </c>
      <c r="AL501" s="311" t="s">
        <v>12</v>
      </c>
      <c r="AM501" s="309" t="s">
        <v>12</v>
      </c>
      <c r="AN501" s="311" t="s">
        <v>12</v>
      </c>
      <c r="AO501" s="309" t="s">
        <v>12</v>
      </c>
      <c r="AP501" s="310"/>
      <c r="AQ501" s="311" t="n">
        <v>20</v>
      </c>
      <c r="AR501" s="309" t="n">
        <v>24</v>
      </c>
      <c r="AS501" s="311" t="n">
        <v>20</v>
      </c>
      <c r="AT501" s="309" t="n">
        <v>24</v>
      </c>
      <c r="AU501" s="311" t="n">
        <v>44</v>
      </c>
      <c r="AV501" s="309" t="n">
        <v>0</v>
      </c>
      <c r="AW501" s="311" t="n">
        <v>44</v>
      </c>
      <c r="AX501" s="309" t="n">
        <v>0</v>
      </c>
      <c r="AY501" s="311" t="n">
        <v>44</v>
      </c>
      <c r="AZ501" s="309" t="n">
        <v>0</v>
      </c>
      <c r="BB501" s="144" t="n">
        <v>0</v>
      </c>
      <c r="BC501" s="315"/>
      <c r="BD501" s="311" t="n">
        <v>0</v>
      </c>
      <c r="BE501" s="316" t="n">
        <v>0</v>
      </c>
      <c r="BF501" s="310"/>
      <c r="BG501" s="317" t="n">
        <v>0</v>
      </c>
      <c r="BH501" s="318" t="n">
        <v>0</v>
      </c>
      <c r="BI501" s="317" t="n">
        <v>0</v>
      </c>
      <c r="BJ501" s="318" t="n">
        <v>0</v>
      </c>
      <c r="BK501" s="317" t="n">
        <v>0</v>
      </c>
      <c r="BL501" s="318" t="n">
        <v>0</v>
      </c>
      <c r="BM501" s="310"/>
      <c r="BN501" s="317" t="n">
        <v>0</v>
      </c>
      <c r="BO501" s="318" t="n">
        <v>0</v>
      </c>
      <c r="BP501" s="317" t="n">
        <v>0</v>
      </c>
      <c r="BQ501" s="318" t="n">
        <v>0</v>
      </c>
      <c r="BR501" s="317" t="n">
        <v>0</v>
      </c>
      <c r="BS501" s="318" t="n">
        <v>0</v>
      </c>
      <c r="BT501" s="317" t="n">
        <v>0</v>
      </c>
      <c r="BU501" s="318" t="n">
        <v>0</v>
      </c>
      <c r="BV501" s="317" t="n">
        <v>0</v>
      </c>
      <c r="BW501" s="318" t="n">
        <v>0</v>
      </c>
      <c r="BY501" s="143"/>
      <c r="BZ501" s="315"/>
      <c r="CA501" s="144"/>
      <c r="CB501" s="315"/>
      <c r="CC501" s="144" t="s">
        <v>12</v>
      </c>
      <c r="CD501" s="144" t="s">
        <v>12</v>
      </c>
      <c r="CE501" s="144" t="s">
        <v>12</v>
      </c>
      <c r="CF501" s="315"/>
      <c r="CG501" s="144" t="n">
        <v>-19.801652892562</v>
      </c>
      <c r="CH501" s="144" t="n">
        <v>-19.801652892562</v>
      </c>
      <c r="CI501" s="144" t="n">
        <v>-43.801652892562</v>
      </c>
      <c r="CJ501" s="144" t="n">
        <v>-43.801652892562</v>
      </c>
      <c r="CK501" s="144" t="n">
        <v>-43.801652892562</v>
      </c>
      <c r="CM501" s="144" t="n">
        <v>37.1074380165289</v>
      </c>
      <c r="CO501" s="319"/>
      <c r="CP501" s="320"/>
      <c r="CQ501" s="321"/>
      <c r="CR501" s="320"/>
      <c r="CS501" s="322" t="s">
        <v>12</v>
      </c>
      <c r="CT501" s="322" t="s">
        <v>12</v>
      </c>
      <c r="CU501" s="322" t="s">
        <v>12</v>
      </c>
      <c r="CV501" s="323"/>
      <c r="CW501" s="322" t="n">
        <v>-13.1074380165289</v>
      </c>
      <c r="CX501" s="322" t="n">
        <v>-13.1074380165289</v>
      </c>
      <c r="CY501" s="322" t="n">
        <v>-37.1074380165289</v>
      </c>
      <c r="CZ501" s="322" t="n">
        <v>-37.1074380165289</v>
      </c>
      <c r="DA501" s="322" t="n">
        <v>-37.1074380165289</v>
      </c>
    </row>
    <row r="502" customFormat="false" ht="12.75" hidden="false" customHeight="false" outlineLevel="0" collapsed="false">
      <c r="B502" s="305" t="s">
        <v>277</v>
      </c>
      <c r="C502" s="326" t="s">
        <v>751</v>
      </c>
      <c r="D502" s="306" t="n">
        <v>77</v>
      </c>
      <c r="E502" s="306" t="n">
        <v>0</v>
      </c>
      <c r="F502" s="306" t="s">
        <v>603</v>
      </c>
      <c r="G502" s="307" t="n">
        <v>24</v>
      </c>
      <c r="H502" s="308" t="n">
        <v>53.7190082644628</v>
      </c>
      <c r="I502" s="2"/>
      <c r="J502" s="144" t="s">
        <v>12</v>
      </c>
      <c r="K502" s="309" t="s">
        <v>12</v>
      </c>
      <c r="L502" s="310"/>
      <c r="M502" s="311" t="s">
        <v>12</v>
      </c>
      <c r="N502" s="312" t="s">
        <v>12</v>
      </c>
      <c r="O502" s="311" t="s">
        <v>12</v>
      </c>
      <c r="P502" s="312" t="s">
        <v>12</v>
      </c>
      <c r="Q502" s="310" t="s">
        <v>12</v>
      </c>
      <c r="R502" s="312" t="s">
        <v>12</v>
      </c>
      <c r="S502" s="310"/>
      <c r="T502" s="311" t="n">
        <v>0</v>
      </c>
      <c r="U502" s="312" t="n">
        <v>1.3</v>
      </c>
      <c r="V502" s="311" t="n">
        <v>0</v>
      </c>
      <c r="W502" s="312" t="n">
        <v>1.3</v>
      </c>
      <c r="X502" s="311" t="n">
        <v>0</v>
      </c>
      <c r="Y502" s="312" t="n">
        <v>0</v>
      </c>
      <c r="Z502" s="313" t="n">
        <v>0</v>
      </c>
      <c r="AA502" s="314" t="n">
        <v>0</v>
      </c>
      <c r="AB502" s="313" t="n">
        <v>0</v>
      </c>
      <c r="AC502" s="314" t="n">
        <v>0</v>
      </c>
      <c r="AD502" s="315"/>
      <c r="AE502" s="144" t="n">
        <v>23</v>
      </c>
      <c r="AF502" s="315"/>
      <c r="AG502" s="311" t="n">
        <v>0</v>
      </c>
      <c r="AH502" s="309" t="n">
        <v>0</v>
      </c>
      <c r="AI502" s="310"/>
      <c r="AJ502" s="311" t="s">
        <v>12</v>
      </c>
      <c r="AK502" s="309" t="s">
        <v>12</v>
      </c>
      <c r="AL502" s="311" t="s">
        <v>12</v>
      </c>
      <c r="AM502" s="309" t="s">
        <v>12</v>
      </c>
      <c r="AN502" s="311" t="s">
        <v>12</v>
      </c>
      <c r="AO502" s="309" t="s">
        <v>12</v>
      </c>
      <c r="AP502" s="310"/>
      <c r="AQ502" s="311" t="n">
        <v>46</v>
      </c>
      <c r="AR502" s="309" t="n">
        <v>31.2</v>
      </c>
      <c r="AS502" s="311" t="n">
        <v>46</v>
      </c>
      <c r="AT502" s="309" t="n">
        <v>31.2</v>
      </c>
      <c r="AU502" s="311" t="n">
        <v>77</v>
      </c>
      <c r="AV502" s="309" t="n">
        <v>0</v>
      </c>
      <c r="AW502" s="311" t="n">
        <v>77</v>
      </c>
      <c r="AX502" s="309" t="n">
        <v>0</v>
      </c>
      <c r="AY502" s="311" t="n">
        <v>77</v>
      </c>
      <c r="AZ502" s="309" t="n">
        <v>0</v>
      </c>
      <c r="BB502" s="144" t="n">
        <v>0</v>
      </c>
      <c r="BC502" s="315"/>
      <c r="BD502" s="311" t="n">
        <v>0</v>
      </c>
      <c r="BE502" s="316" t="n">
        <v>0</v>
      </c>
      <c r="BF502" s="310"/>
      <c r="BG502" s="317" t="n">
        <v>0</v>
      </c>
      <c r="BH502" s="318" t="n">
        <v>0</v>
      </c>
      <c r="BI502" s="317" t="n">
        <v>0</v>
      </c>
      <c r="BJ502" s="318" t="n">
        <v>0</v>
      </c>
      <c r="BK502" s="317" t="n">
        <v>0</v>
      </c>
      <c r="BL502" s="318" t="n">
        <v>0</v>
      </c>
      <c r="BM502" s="310"/>
      <c r="BN502" s="317" t="n">
        <v>0</v>
      </c>
      <c r="BO502" s="318" t="n">
        <v>0</v>
      </c>
      <c r="BP502" s="317" t="n">
        <v>0</v>
      </c>
      <c r="BQ502" s="318" t="n">
        <v>0</v>
      </c>
      <c r="BR502" s="317" t="n">
        <v>0</v>
      </c>
      <c r="BS502" s="318" t="n">
        <v>0</v>
      </c>
      <c r="BT502" s="317" t="n">
        <v>0</v>
      </c>
      <c r="BU502" s="318" t="n">
        <v>0</v>
      </c>
      <c r="BV502" s="317" t="n">
        <v>0</v>
      </c>
      <c r="BW502" s="318" t="n">
        <v>0</v>
      </c>
      <c r="BY502" s="143"/>
      <c r="BZ502" s="315"/>
      <c r="CA502" s="144"/>
      <c r="CB502" s="315"/>
      <c r="CC502" s="144" t="s">
        <v>12</v>
      </c>
      <c r="CD502" s="144" t="s">
        <v>12</v>
      </c>
      <c r="CE502" s="144" t="s">
        <v>12</v>
      </c>
      <c r="CF502" s="315"/>
      <c r="CG502" s="144" t="n">
        <v>-22.5190082644628</v>
      </c>
      <c r="CH502" s="144" t="n">
        <v>-22.5190082644628</v>
      </c>
      <c r="CI502" s="144" t="n">
        <v>-53.7190082644628</v>
      </c>
      <c r="CJ502" s="144" t="n">
        <v>-53.7190082644628</v>
      </c>
      <c r="CK502" s="144" t="n">
        <v>-53.7190082644628</v>
      </c>
      <c r="CM502" s="144" t="n">
        <v>57.7685950413223</v>
      </c>
      <c r="CO502" s="319"/>
      <c r="CP502" s="320"/>
      <c r="CQ502" s="321"/>
      <c r="CR502" s="320"/>
      <c r="CS502" s="322" t="s">
        <v>12</v>
      </c>
      <c r="CT502" s="322" t="s">
        <v>12</v>
      </c>
      <c r="CU502" s="322" t="s">
        <v>12</v>
      </c>
      <c r="CV502" s="323"/>
      <c r="CW502" s="322" t="n">
        <v>-26.5685950413223</v>
      </c>
      <c r="CX502" s="322" t="n">
        <v>-26.5685950413223</v>
      </c>
      <c r="CY502" s="322" t="n">
        <v>-57.7685950413223</v>
      </c>
      <c r="CZ502" s="322" t="n">
        <v>-57.7685950413223</v>
      </c>
      <c r="DA502" s="322" t="n">
        <v>-57.7685950413223</v>
      </c>
    </row>
    <row r="503" customFormat="false" ht="12.75" hidden="false" customHeight="false" outlineLevel="0" collapsed="false">
      <c r="B503" s="305" t="s">
        <v>752</v>
      </c>
      <c r="C503" s="326" t="s">
        <v>753</v>
      </c>
      <c r="D503" s="306" t="n">
        <v>547</v>
      </c>
      <c r="E503" s="306" t="n">
        <v>0</v>
      </c>
      <c r="F503" s="306" t="s">
        <v>643</v>
      </c>
      <c r="G503" s="307" t="n">
        <v>24</v>
      </c>
      <c r="H503" s="308" t="n">
        <v>547.107438016529</v>
      </c>
      <c r="I503" s="2"/>
      <c r="J503" s="144" t="s">
        <v>12</v>
      </c>
      <c r="K503" s="309" t="s">
        <v>12</v>
      </c>
      <c r="L503" s="310"/>
      <c r="M503" s="311" t="s">
        <v>12</v>
      </c>
      <c r="N503" s="312" t="s">
        <v>12</v>
      </c>
      <c r="O503" s="311" t="s">
        <v>12</v>
      </c>
      <c r="P503" s="312" t="s">
        <v>12</v>
      </c>
      <c r="Q503" s="310" t="s">
        <v>12</v>
      </c>
      <c r="R503" s="312" t="s">
        <v>12</v>
      </c>
      <c r="S503" s="310"/>
      <c r="T503" s="311" t="n">
        <v>0</v>
      </c>
      <c r="U503" s="312" t="n">
        <v>18.9</v>
      </c>
      <c r="V503" s="311" t="n">
        <v>0</v>
      </c>
      <c r="W503" s="312" t="n">
        <v>18</v>
      </c>
      <c r="X503" s="311" t="n">
        <v>0</v>
      </c>
      <c r="Y503" s="312" t="n">
        <v>10</v>
      </c>
      <c r="Z503" s="313" t="n">
        <v>0</v>
      </c>
      <c r="AA503" s="314" t="n">
        <v>10</v>
      </c>
      <c r="AB503" s="313" t="n">
        <v>0</v>
      </c>
      <c r="AC503" s="314" t="n">
        <v>10</v>
      </c>
      <c r="AD503" s="315"/>
      <c r="AE503" s="144" t="n">
        <v>0</v>
      </c>
      <c r="AF503" s="315"/>
      <c r="AG503" s="311" t="n">
        <v>0</v>
      </c>
      <c r="AH503" s="309" t="n">
        <v>0</v>
      </c>
      <c r="AI503" s="310"/>
      <c r="AJ503" s="311" t="s">
        <v>12</v>
      </c>
      <c r="AK503" s="309" t="s">
        <v>12</v>
      </c>
      <c r="AL503" s="311" t="s">
        <v>12</v>
      </c>
      <c r="AM503" s="309" t="s">
        <v>12</v>
      </c>
      <c r="AN503" s="311" t="s">
        <v>12</v>
      </c>
      <c r="AO503" s="309" t="s">
        <v>12</v>
      </c>
      <c r="AP503" s="310"/>
      <c r="AQ503" s="311" t="n">
        <v>93</v>
      </c>
      <c r="AR503" s="309" t="n">
        <v>453.6</v>
      </c>
      <c r="AS503" s="311" t="n">
        <v>115</v>
      </c>
      <c r="AT503" s="309" t="n">
        <v>432</v>
      </c>
      <c r="AU503" s="311" t="n">
        <v>307</v>
      </c>
      <c r="AV503" s="309" t="n">
        <v>240</v>
      </c>
      <c r="AW503" s="311" t="n">
        <v>307</v>
      </c>
      <c r="AX503" s="309" t="n">
        <v>240</v>
      </c>
      <c r="AY503" s="311" t="n">
        <v>307</v>
      </c>
      <c r="AZ503" s="309" t="n">
        <v>240</v>
      </c>
      <c r="BB503" s="144" t="n">
        <v>0</v>
      </c>
      <c r="BC503" s="315"/>
      <c r="BD503" s="311" t="n">
        <v>0</v>
      </c>
      <c r="BE503" s="316" t="n">
        <v>0</v>
      </c>
      <c r="BF503" s="310"/>
      <c r="BG503" s="317" t="n">
        <v>0</v>
      </c>
      <c r="BH503" s="318" t="n">
        <v>0</v>
      </c>
      <c r="BI503" s="317" t="n">
        <v>0</v>
      </c>
      <c r="BJ503" s="318" t="n">
        <v>0</v>
      </c>
      <c r="BK503" s="317" t="n">
        <v>0</v>
      </c>
      <c r="BL503" s="318" t="n">
        <v>0</v>
      </c>
      <c r="BM503" s="310"/>
      <c r="BN503" s="317" t="n">
        <v>0</v>
      </c>
      <c r="BO503" s="318" t="n">
        <v>0</v>
      </c>
      <c r="BP503" s="317" t="n">
        <v>0</v>
      </c>
      <c r="BQ503" s="318" t="n">
        <v>0</v>
      </c>
      <c r="BR503" s="317" t="n">
        <v>0</v>
      </c>
      <c r="BS503" s="318" t="n">
        <v>0</v>
      </c>
      <c r="BT503" s="317" t="n">
        <v>0</v>
      </c>
      <c r="BU503" s="318" t="n">
        <v>0</v>
      </c>
      <c r="BV503" s="317" t="n">
        <v>0</v>
      </c>
      <c r="BW503" s="318" t="n">
        <v>0</v>
      </c>
      <c r="BY503" s="143"/>
      <c r="BZ503" s="315"/>
      <c r="CA503" s="144"/>
      <c r="CB503" s="315"/>
      <c r="CC503" s="144" t="s">
        <v>12</v>
      </c>
      <c r="CD503" s="144" t="s">
        <v>12</v>
      </c>
      <c r="CE503" s="144" t="s">
        <v>12</v>
      </c>
      <c r="CF503" s="315"/>
      <c r="CG503" s="144" t="n">
        <v>-93.5074380165289</v>
      </c>
      <c r="CH503" s="144" t="n">
        <v>-115.107438016529</v>
      </c>
      <c r="CI503" s="144" t="n">
        <v>-307.107438016529</v>
      </c>
      <c r="CJ503" s="144" t="n">
        <v>-307.107438016529</v>
      </c>
      <c r="CK503" s="144" t="n">
        <v>-307.107438016529</v>
      </c>
      <c r="CM503" s="144" t="n">
        <v>520.578512396694</v>
      </c>
      <c r="CO503" s="319"/>
      <c r="CP503" s="320"/>
      <c r="CQ503" s="321"/>
      <c r="CR503" s="320"/>
      <c r="CS503" s="322" t="s">
        <v>12</v>
      </c>
      <c r="CT503" s="322" t="s">
        <v>12</v>
      </c>
      <c r="CU503" s="322" t="s">
        <v>12</v>
      </c>
      <c r="CV503" s="323"/>
      <c r="CW503" s="322" t="n">
        <v>-66.9785123966942</v>
      </c>
      <c r="CX503" s="322" t="n">
        <v>-88.5785123966942</v>
      </c>
      <c r="CY503" s="322" t="n">
        <v>-280.578512396694</v>
      </c>
      <c r="CZ503" s="322" t="n">
        <v>-280.578512396694</v>
      </c>
      <c r="DA503" s="322" t="n">
        <v>-280.578512396694</v>
      </c>
    </row>
    <row r="504" customFormat="false" ht="12.75" hidden="false" customHeight="false" outlineLevel="0" collapsed="false">
      <c r="B504" s="305" t="s">
        <v>641</v>
      </c>
      <c r="C504" s="326" t="s">
        <v>754</v>
      </c>
      <c r="D504" s="306" t="n">
        <v>436</v>
      </c>
      <c r="E504" s="306" t="n">
        <v>0</v>
      </c>
      <c r="F504" s="306" t="s">
        <v>643</v>
      </c>
      <c r="G504" s="307" t="n">
        <v>24</v>
      </c>
      <c r="H504" s="308" t="n">
        <v>435.537190082645</v>
      </c>
      <c r="I504" s="2"/>
      <c r="J504" s="144" t="s">
        <v>12</v>
      </c>
      <c r="K504" s="309" t="s">
        <v>12</v>
      </c>
      <c r="L504" s="310"/>
      <c r="M504" s="311" t="s">
        <v>12</v>
      </c>
      <c r="N504" s="312" t="s">
        <v>12</v>
      </c>
      <c r="O504" s="311" t="s">
        <v>12</v>
      </c>
      <c r="P504" s="312" t="s">
        <v>12</v>
      </c>
      <c r="Q504" s="310" t="s">
        <v>12</v>
      </c>
      <c r="R504" s="312" t="s">
        <v>12</v>
      </c>
      <c r="S504" s="310"/>
      <c r="T504" s="311" t="n">
        <v>0</v>
      </c>
      <c r="U504" s="312" t="n">
        <v>15.8</v>
      </c>
      <c r="V504" s="311" t="n">
        <v>0</v>
      </c>
      <c r="W504" s="312" t="n">
        <v>14.7</v>
      </c>
      <c r="X504" s="311" t="n">
        <v>0</v>
      </c>
      <c r="Y504" s="312" t="n">
        <v>10</v>
      </c>
      <c r="Z504" s="313" t="n">
        <v>0</v>
      </c>
      <c r="AA504" s="314" t="n">
        <v>10</v>
      </c>
      <c r="AB504" s="313" t="n">
        <v>0</v>
      </c>
      <c r="AC504" s="314" t="n">
        <v>10</v>
      </c>
      <c r="AD504" s="315"/>
      <c r="AE504" s="144" t="n">
        <v>0</v>
      </c>
      <c r="AF504" s="315"/>
      <c r="AG504" s="311" t="n">
        <v>0</v>
      </c>
      <c r="AH504" s="309" t="n">
        <v>0</v>
      </c>
      <c r="AI504" s="310"/>
      <c r="AJ504" s="311" t="s">
        <v>12</v>
      </c>
      <c r="AK504" s="309" t="s">
        <v>12</v>
      </c>
      <c r="AL504" s="311" t="s">
        <v>12</v>
      </c>
      <c r="AM504" s="309" t="s">
        <v>12</v>
      </c>
      <c r="AN504" s="311" t="s">
        <v>12</v>
      </c>
      <c r="AO504" s="309" t="s">
        <v>12</v>
      </c>
      <c r="AP504" s="310"/>
      <c r="AQ504" s="311" t="n">
        <v>57</v>
      </c>
      <c r="AR504" s="309" t="n">
        <v>379.2</v>
      </c>
      <c r="AS504" s="311" t="n">
        <v>83</v>
      </c>
      <c r="AT504" s="309" t="n">
        <v>352.8</v>
      </c>
      <c r="AU504" s="311" t="n">
        <v>196</v>
      </c>
      <c r="AV504" s="309" t="n">
        <v>240</v>
      </c>
      <c r="AW504" s="311" t="n">
        <v>196</v>
      </c>
      <c r="AX504" s="309" t="n">
        <v>240</v>
      </c>
      <c r="AY504" s="311" t="n">
        <v>196</v>
      </c>
      <c r="AZ504" s="309" t="n">
        <v>240</v>
      </c>
      <c r="BB504" s="144" t="n">
        <v>0</v>
      </c>
      <c r="BC504" s="315"/>
      <c r="BD504" s="311" t="n">
        <v>0</v>
      </c>
      <c r="BE504" s="316" t="n">
        <v>0</v>
      </c>
      <c r="BF504" s="310"/>
      <c r="BG504" s="317" t="n">
        <v>0</v>
      </c>
      <c r="BH504" s="318" t="n">
        <v>0</v>
      </c>
      <c r="BI504" s="317" t="n">
        <v>0</v>
      </c>
      <c r="BJ504" s="318" t="n">
        <v>0</v>
      </c>
      <c r="BK504" s="317" t="n">
        <v>0</v>
      </c>
      <c r="BL504" s="318" t="n">
        <v>0</v>
      </c>
      <c r="BM504" s="310"/>
      <c r="BN504" s="317" t="n">
        <v>0</v>
      </c>
      <c r="BO504" s="318" t="n">
        <v>0</v>
      </c>
      <c r="BP504" s="317" t="n">
        <v>0</v>
      </c>
      <c r="BQ504" s="318" t="n">
        <v>0</v>
      </c>
      <c r="BR504" s="317" t="n">
        <v>0</v>
      </c>
      <c r="BS504" s="318" t="n">
        <v>0</v>
      </c>
      <c r="BT504" s="317" t="n">
        <v>0</v>
      </c>
      <c r="BU504" s="318" t="n">
        <v>0</v>
      </c>
      <c r="BV504" s="317" t="n">
        <v>0</v>
      </c>
      <c r="BW504" s="318" t="n">
        <v>0</v>
      </c>
      <c r="BY504" s="143"/>
      <c r="BZ504" s="315"/>
      <c r="CA504" s="144"/>
      <c r="CB504" s="315"/>
      <c r="CC504" s="144" t="s">
        <v>12</v>
      </c>
      <c r="CD504" s="144" t="s">
        <v>12</v>
      </c>
      <c r="CE504" s="144" t="s">
        <v>12</v>
      </c>
      <c r="CF504" s="315"/>
      <c r="CG504" s="144" t="n">
        <v>-56.3371900826446</v>
      </c>
      <c r="CH504" s="144" t="n">
        <v>-82.7371900826446</v>
      </c>
      <c r="CI504" s="144" t="n">
        <v>-195.537190082645</v>
      </c>
      <c r="CJ504" s="144" t="n">
        <v>-195.537190082645</v>
      </c>
      <c r="CK504" s="144" t="n">
        <v>-195.537190082645</v>
      </c>
      <c r="CM504" s="144" t="n">
        <v>402.504132231405</v>
      </c>
      <c r="CO504" s="319"/>
      <c r="CP504" s="320"/>
      <c r="CQ504" s="321"/>
      <c r="CR504" s="320"/>
      <c r="CS504" s="322" t="s">
        <v>12</v>
      </c>
      <c r="CT504" s="322" t="s">
        <v>12</v>
      </c>
      <c r="CU504" s="322" t="s">
        <v>12</v>
      </c>
      <c r="CV504" s="323"/>
      <c r="CW504" s="322" t="n">
        <v>-23.3041322314049</v>
      </c>
      <c r="CX504" s="322" t="n">
        <v>-49.7041322314049</v>
      </c>
      <c r="CY504" s="322" t="n">
        <v>-162.504132231405</v>
      </c>
      <c r="CZ504" s="322" t="n">
        <v>-162.504132231405</v>
      </c>
      <c r="DA504" s="322" t="n">
        <v>-162.504132231405</v>
      </c>
    </row>
    <row r="505" customFormat="false" ht="12.75" hidden="false" customHeight="false" outlineLevel="0" collapsed="false">
      <c r="B505" s="305" t="s">
        <v>641</v>
      </c>
      <c r="C505" s="326" t="s">
        <v>755</v>
      </c>
      <c r="D505" s="306" t="n">
        <v>43</v>
      </c>
      <c r="E505" s="306" t="n">
        <v>0</v>
      </c>
      <c r="F505" s="306" t="s">
        <v>643</v>
      </c>
      <c r="G505" s="307" t="n">
        <v>24</v>
      </c>
      <c r="H505" s="308" t="n">
        <v>42.1487603305785</v>
      </c>
      <c r="I505" s="2"/>
      <c r="J505" s="144" t="s">
        <v>12</v>
      </c>
      <c r="K505" s="309" t="s">
        <v>12</v>
      </c>
      <c r="L505" s="310"/>
      <c r="M505" s="311" t="s">
        <v>12</v>
      </c>
      <c r="N505" s="312" t="s">
        <v>12</v>
      </c>
      <c r="O505" s="311" t="s">
        <v>12</v>
      </c>
      <c r="P505" s="312" t="s">
        <v>12</v>
      </c>
      <c r="Q505" s="310" t="s">
        <v>12</v>
      </c>
      <c r="R505" s="312" t="s">
        <v>12</v>
      </c>
      <c r="S505" s="310"/>
      <c r="T505" s="311" t="n">
        <v>0</v>
      </c>
      <c r="U505" s="312" t="n">
        <v>1</v>
      </c>
      <c r="V505" s="311" t="n">
        <v>0</v>
      </c>
      <c r="W505" s="312" t="n">
        <v>1</v>
      </c>
      <c r="X505" s="311" t="n">
        <v>0</v>
      </c>
      <c r="Y505" s="312" t="n">
        <v>0.5</v>
      </c>
      <c r="Z505" s="313" t="n">
        <v>0</v>
      </c>
      <c r="AA505" s="314" t="n">
        <v>0.5</v>
      </c>
      <c r="AB505" s="313" t="n">
        <v>0</v>
      </c>
      <c r="AC505" s="314" t="n">
        <v>0.5</v>
      </c>
      <c r="AD505" s="315"/>
      <c r="AE505" s="144" t="n">
        <v>1</v>
      </c>
      <c r="AF505" s="315"/>
      <c r="AG505" s="311" t="n">
        <v>0</v>
      </c>
      <c r="AH505" s="309" t="n">
        <v>0</v>
      </c>
      <c r="AI505" s="310"/>
      <c r="AJ505" s="311" t="s">
        <v>12</v>
      </c>
      <c r="AK505" s="309" t="s">
        <v>12</v>
      </c>
      <c r="AL505" s="311" t="s">
        <v>12</v>
      </c>
      <c r="AM505" s="309" t="s">
        <v>12</v>
      </c>
      <c r="AN505" s="311" t="s">
        <v>12</v>
      </c>
      <c r="AO505" s="309" t="s">
        <v>12</v>
      </c>
      <c r="AP505" s="310"/>
      <c r="AQ505" s="311" t="n">
        <v>19</v>
      </c>
      <c r="AR505" s="309" t="n">
        <v>24</v>
      </c>
      <c r="AS505" s="311" t="n">
        <v>19</v>
      </c>
      <c r="AT505" s="309" t="n">
        <v>24</v>
      </c>
      <c r="AU505" s="311" t="n">
        <v>31</v>
      </c>
      <c r="AV505" s="309" t="n">
        <v>12</v>
      </c>
      <c r="AW505" s="311" t="n">
        <v>31</v>
      </c>
      <c r="AX505" s="309" t="n">
        <v>12</v>
      </c>
      <c r="AY505" s="311" t="n">
        <v>31</v>
      </c>
      <c r="AZ505" s="309" t="n">
        <v>12</v>
      </c>
      <c r="BB505" s="144" t="n">
        <v>0</v>
      </c>
      <c r="BC505" s="315"/>
      <c r="BD505" s="311" t="n">
        <v>0</v>
      </c>
      <c r="BE505" s="316" t="n">
        <v>0</v>
      </c>
      <c r="BF505" s="310"/>
      <c r="BG505" s="317" t="n">
        <v>0</v>
      </c>
      <c r="BH505" s="318" t="n">
        <v>0</v>
      </c>
      <c r="BI505" s="317" t="n">
        <v>0</v>
      </c>
      <c r="BJ505" s="318" t="n">
        <v>0</v>
      </c>
      <c r="BK505" s="317" t="n">
        <v>0</v>
      </c>
      <c r="BL505" s="318" t="n">
        <v>0</v>
      </c>
      <c r="BM505" s="310"/>
      <c r="BN505" s="317" t="n">
        <v>0</v>
      </c>
      <c r="BO505" s="318" t="n">
        <v>0</v>
      </c>
      <c r="BP505" s="317" t="n">
        <v>0</v>
      </c>
      <c r="BQ505" s="318" t="n">
        <v>0</v>
      </c>
      <c r="BR505" s="317" t="n">
        <v>0</v>
      </c>
      <c r="BS505" s="318" t="n">
        <v>0</v>
      </c>
      <c r="BT505" s="317" t="n">
        <v>0</v>
      </c>
      <c r="BU505" s="318" t="n">
        <v>0</v>
      </c>
      <c r="BV505" s="317" t="n">
        <v>0</v>
      </c>
      <c r="BW505" s="318" t="n">
        <v>0</v>
      </c>
      <c r="BY505" s="143"/>
      <c r="BZ505" s="315"/>
      <c r="CA505" s="144"/>
      <c r="CB505" s="315"/>
      <c r="CC505" s="144" t="s">
        <v>12</v>
      </c>
      <c r="CD505" s="144" t="s">
        <v>12</v>
      </c>
      <c r="CE505" s="144" t="s">
        <v>12</v>
      </c>
      <c r="CF505" s="315"/>
      <c r="CG505" s="144" t="n">
        <v>-18.1487603305785</v>
      </c>
      <c r="CH505" s="144" t="n">
        <v>-18.1487603305785</v>
      </c>
      <c r="CI505" s="144" t="n">
        <v>-30.1487603305785</v>
      </c>
      <c r="CJ505" s="144" t="n">
        <v>-30.1487603305785</v>
      </c>
      <c r="CK505" s="144" t="n">
        <v>-30.1487603305785</v>
      </c>
      <c r="CM505" s="144" t="n">
        <v>29.0578512396694</v>
      </c>
      <c r="CO505" s="319"/>
      <c r="CP505" s="320"/>
      <c r="CQ505" s="321"/>
      <c r="CR505" s="320"/>
      <c r="CS505" s="322" t="s">
        <v>12</v>
      </c>
      <c r="CT505" s="322" t="s">
        <v>12</v>
      </c>
      <c r="CU505" s="322" t="s">
        <v>12</v>
      </c>
      <c r="CV505" s="323"/>
      <c r="CW505" s="322" t="n">
        <v>-5.05785123966942</v>
      </c>
      <c r="CX505" s="322" t="n">
        <v>-5.05785123966942</v>
      </c>
      <c r="CY505" s="322" t="n">
        <v>-17.0578512396694</v>
      </c>
      <c r="CZ505" s="322" t="n">
        <v>-17.0578512396694</v>
      </c>
      <c r="DA505" s="322" t="n">
        <v>-17.0578512396694</v>
      </c>
    </row>
    <row r="506" customFormat="false" ht="12.75" hidden="false" customHeight="false" outlineLevel="0" collapsed="false">
      <c r="B506" s="305" t="s">
        <v>641</v>
      </c>
      <c r="C506" s="326" t="s">
        <v>756</v>
      </c>
      <c r="D506" s="306" t="n">
        <v>115</v>
      </c>
      <c r="E506" s="306" t="n">
        <v>5.25</v>
      </c>
      <c r="F506" s="306" t="s">
        <v>643</v>
      </c>
      <c r="G506" s="307" t="n">
        <v>24</v>
      </c>
      <c r="H506" s="308" t="n">
        <v>114.04958677686</v>
      </c>
      <c r="I506" s="2"/>
      <c r="J506" s="144" t="s">
        <v>12</v>
      </c>
      <c r="K506" s="309" t="s">
        <v>12</v>
      </c>
      <c r="L506" s="310"/>
      <c r="M506" s="311" t="s">
        <v>12</v>
      </c>
      <c r="N506" s="312" t="s">
        <v>12</v>
      </c>
      <c r="O506" s="311" t="s">
        <v>12</v>
      </c>
      <c r="P506" s="312" t="s">
        <v>12</v>
      </c>
      <c r="Q506" s="310" t="s">
        <v>12</v>
      </c>
      <c r="R506" s="312" t="s">
        <v>12</v>
      </c>
      <c r="S506" s="310"/>
      <c r="T506" s="311" t="n">
        <v>0</v>
      </c>
      <c r="U506" s="312" t="n">
        <v>4.6</v>
      </c>
      <c r="V506" s="311" t="n">
        <v>0</v>
      </c>
      <c r="W506" s="312" t="n">
        <v>3.8</v>
      </c>
      <c r="X506" s="311" t="n">
        <v>0</v>
      </c>
      <c r="Y506" s="312" t="n">
        <v>1</v>
      </c>
      <c r="Z506" s="313" t="n">
        <v>0</v>
      </c>
      <c r="AA506" s="314" t="n">
        <v>1</v>
      </c>
      <c r="AB506" s="313" t="n">
        <v>0</v>
      </c>
      <c r="AC506" s="314" t="n">
        <v>1</v>
      </c>
      <c r="AD506" s="315"/>
      <c r="AE506" s="144" t="n">
        <v>1</v>
      </c>
      <c r="AF506" s="315"/>
      <c r="AG506" s="311" t="n">
        <v>0</v>
      </c>
      <c r="AH506" s="309" t="n">
        <v>0</v>
      </c>
      <c r="AI506" s="310"/>
      <c r="AJ506" s="311" t="s">
        <v>12</v>
      </c>
      <c r="AK506" s="309" t="s">
        <v>12</v>
      </c>
      <c r="AL506" s="311" t="s">
        <v>12</v>
      </c>
      <c r="AM506" s="309" t="s">
        <v>12</v>
      </c>
      <c r="AN506" s="311" t="s">
        <v>12</v>
      </c>
      <c r="AO506" s="309" t="s">
        <v>12</v>
      </c>
      <c r="AP506" s="310"/>
      <c r="AQ506" s="311" t="n">
        <v>5</v>
      </c>
      <c r="AR506" s="309" t="n">
        <v>110.4</v>
      </c>
      <c r="AS506" s="311" t="n">
        <v>24</v>
      </c>
      <c r="AT506" s="309" t="n">
        <v>91.2</v>
      </c>
      <c r="AU506" s="311" t="n">
        <v>91</v>
      </c>
      <c r="AV506" s="309" t="n">
        <v>24</v>
      </c>
      <c r="AW506" s="311" t="n">
        <v>91</v>
      </c>
      <c r="AX506" s="309" t="n">
        <v>24</v>
      </c>
      <c r="AY506" s="311" t="n">
        <v>91</v>
      </c>
      <c r="AZ506" s="309" t="n">
        <v>24</v>
      </c>
      <c r="BB506" s="144" t="n">
        <v>0</v>
      </c>
      <c r="BC506" s="315"/>
      <c r="BD506" s="311" t="n">
        <v>0</v>
      </c>
      <c r="BE506" s="316" t="n">
        <v>0</v>
      </c>
      <c r="BF506" s="310"/>
      <c r="BG506" s="317" t="n">
        <v>0</v>
      </c>
      <c r="BH506" s="318" t="n">
        <v>0</v>
      </c>
      <c r="BI506" s="317" t="n">
        <v>0</v>
      </c>
      <c r="BJ506" s="318" t="n">
        <v>0</v>
      </c>
      <c r="BK506" s="317" t="n">
        <v>0</v>
      </c>
      <c r="BL506" s="318" t="n">
        <v>0</v>
      </c>
      <c r="BM506" s="310"/>
      <c r="BN506" s="317" t="n">
        <v>0</v>
      </c>
      <c r="BO506" s="318" t="n">
        <v>0</v>
      </c>
      <c r="BP506" s="317" t="n">
        <v>0</v>
      </c>
      <c r="BQ506" s="318" t="n">
        <v>0</v>
      </c>
      <c r="BR506" s="317" t="n">
        <v>0</v>
      </c>
      <c r="BS506" s="318" t="n">
        <v>0</v>
      </c>
      <c r="BT506" s="317" t="n">
        <v>0</v>
      </c>
      <c r="BU506" s="318" t="n">
        <v>0</v>
      </c>
      <c r="BV506" s="317" t="n">
        <v>0</v>
      </c>
      <c r="BW506" s="318" t="n">
        <v>0</v>
      </c>
      <c r="BY506" s="143"/>
      <c r="BZ506" s="315"/>
      <c r="CA506" s="144"/>
      <c r="CB506" s="315"/>
      <c r="CC506" s="144" t="s">
        <v>12</v>
      </c>
      <c r="CD506" s="144" t="s">
        <v>12</v>
      </c>
      <c r="CE506" s="144" t="s">
        <v>12</v>
      </c>
      <c r="CF506" s="315"/>
      <c r="CG506" s="144" t="n">
        <v>-3.64958677685951</v>
      </c>
      <c r="CH506" s="144" t="n">
        <v>-22.8495867768595</v>
      </c>
      <c r="CI506" s="144" t="n">
        <v>-90.0495867768595</v>
      </c>
      <c r="CJ506" s="144" t="n">
        <v>-90.0495867768595</v>
      </c>
      <c r="CK506" s="144" t="n">
        <v>-90.0495867768595</v>
      </c>
      <c r="CM506" s="144" t="n">
        <v>103.925619834711</v>
      </c>
      <c r="CO506" s="319"/>
      <c r="CP506" s="320"/>
      <c r="CQ506" s="321"/>
      <c r="CR506" s="320"/>
      <c r="CS506" s="322" t="s">
        <v>12</v>
      </c>
      <c r="CT506" s="322" t="s">
        <v>12</v>
      </c>
      <c r="CU506" s="322" t="s">
        <v>12</v>
      </c>
      <c r="CV506" s="323"/>
      <c r="CW506" s="322" t="n">
        <v>6.47438016528926</v>
      </c>
      <c r="CX506" s="322" t="n">
        <v>-12.7256198347107</v>
      </c>
      <c r="CY506" s="322" t="n">
        <v>-79.9256198347107</v>
      </c>
      <c r="CZ506" s="322" t="n">
        <v>-79.9256198347107</v>
      </c>
      <c r="DA506" s="322" t="n">
        <v>-79.9256198347107</v>
      </c>
    </row>
    <row r="507" customFormat="false" ht="12.75" hidden="false" customHeight="false" outlineLevel="0" collapsed="false">
      <c r="B507" s="305" t="s">
        <v>641</v>
      </c>
      <c r="C507" s="326" t="s">
        <v>757</v>
      </c>
      <c r="D507" s="306" t="n">
        <v>441</v>
      </c>
      <c r="E507" s="306" t="n">
        <v>0</v>
      </c>
      <c r="F507" s="306" t="s">
        <v>643</v>
      </c>
      <c r="G507" s="307" t="n">
        <v>24</v>
      </c>
      <c r="H507" s="308" t="n">
        <v>440.495867768595</v>
      </c>
      <c r="I507" s="2"/>
      <c r="J507" s="144" t="s">
        <v>12</v>
      </c>
      <c r="K507" s="309" t="s">
        <v>12</v>
      </c>
      <c r="L507" s="310"/>
      <c r="M507" s="311" t="s">
        <v>12</v>
      </c>
      <c r="N507" s="312" t="s">
        <v>12</v>
      </c>
      <c r="O507" s="311" t="s">
        <v>12</v>
      </c>
      <c r="P507" s="312" t="s">
        <v>12</v>
      </c>
      <c r="Q507" s="310" t="s">
        <v>12</v>
      </c>
      <c r="R507" s="312" t="s">
        <v>12</v>
      </c>
      <c r="S507" s="310"/>
      <c r="T507" s="311" t="n">
        <v>0</v>
      </c>
      <c r="U507" s="312" t="n">
        <v>16</v>
      </c>
      <c r="V507" s="311" t="n">
        <v>0</v>
      </c>
      <c r="W507" s="312" t="n">
        <v>14.9</v>
      </c>
      <c r="X507" s="311" t="n">
        <v>0</v>
      </c>
      <c r="Y507" s="312" t="n">
        <v>10</v>
      </c>
      <c r="Z507" s="313" t="n">
        <v>0</v>
      </c>
      <c r="AA507" s="314" t="n">
        <v>10</v>
      </c>
      <c r="AB507" s="313" t="n">
        <v>0</v>
      </c>
      <c r="AC507" s="314" t="n">
        <v>10</v>
      </c>
      <c r="AD507" s="315"/>
      <c r="AE507" s="144" t="n">
        <v>1</v>
      </c>
      <c r="AF507" s="315"/>
      <c r="AG507" s="311" t="n">
        <v>0</v>
      </c>
      <c r="AH507" s="309" t="n">
        <v>0</v>
      </c>
      <c r="AI507" s="310"/>
      <c r="AJ507" s="311" t="s">
        <v>12</v>
      </c>
      <c r="AK507" s="309" t="s">
        <v>12</v>
      </c>
      <c r="AL507" s="311" t="s">
        <v>12</v>
      </c>
      <c r="AM507" s="309" t="s">
        <v>12</v>
      </c>
      <c r="AN507" s="311" t="s">
        <v>12</v>
      </c>
      <c r="AO507" s="309" t="s">
        <v>12</v>
      </c>
      <c r="AP507" s="310"/>
      <c r="AQ507" s="311" t="n">
        <v>57</v>
      </c>
      <c r="AR507" s="309" t="n">
        <v>384</v>
      </c>
      <c r="AS507" s="311" t="n">
        <v>83</v>
      </c>
      <c r="AT507" s="309" t="n">
        <v>357.6</v>
      </c>
      <c r="AU507" s="311" t="n">
        <v>201</v>
      </c>
      <c r="AV507" s="309" t="n">
        <v>240</v>
      </c>
      <c r="AW507" s="311" t="n">
        <v>201</v>
      </c>
      <c r="AX507" s="309" t="n">
        <v>240</v>
      </c>
      <c r="AY507" s="311" t="n">
        <v>201</v>
      </c>
      <c r="AZ507" s="309" t="n">
        <v>240</v>
      </c>
      <c r="BB507" s="144" t="n">
        <v>0</v>
      </c>
      <c r="BC507" s="315"/>
      <c r="BD507" s="311" t="n">
        <v>0</v>
      </c>
      <c r="BE507" s="316" t="n">
        <v>0</v>
      </c>
      <c r="BF507" s="310"/>
      <c r="BG507" s="317" t="n">
        <v>0</v>
      </c>
      <c r="BH507" s="318" t="n">
        <v>0</v>
      </c>
      <c r="BI507" s="317" t="n">
        <v>0</v>
      </c>
      <c r="BJ507" s="318" t="n">
        <v>0</v>
      </c>
      <c r="BK507" s="317" t="n">
        <v>0</v>
      </c>
      <c r="BL507" s="318" t="n">
        <v>0</v>
      </c>
      <c r="BM507" s="310"/>
      <c r="BN507" s="317" t="n">
        <v>0</v>
      </c>
      <c r="BO507" s="318" t="n">
        <v>0</v>
      </c>
      <c r="BP507" s="317" t="n">
        <v>0</v>
      </c>
      <c r="BQ507" s="318" t="n">
        <v>0</v>
      </c>
      <c r="BR507" s="317" t="n">
        <v>0</v>
      </c>
      <c r="BS507" s="318" t="n">
        <v>0</v>
      </c>
      <c r="BT507" s="317" t="n">
        <v>0</v>
      </c>
      <c r="BU507" s="318" t="n">
        <v>0</v>
      </c>
      <c r="BV507" s="317" t="n">
        <v>0</v>
      </c>
      <c r="BW507" s="318" t="n">
        <v>0</v>
      </c>
      <c r="BY507" s="143"/>
      <c r="BZ507" s="315"/>
      <c r="CA507" s="144"/>
      <c r="CB507" s="315"/>
      <c r="CC507" s="144" t="s">
        <v>12</v>
      </c>
      <c r="CD507" s="144" t="s">
        <v>12</v>
      </c>
      <c r="CE507" s="144" t="s">
        <v>12</v>
      </c>
      <c r="CF507" s="315"/>
      <c r="CG507" s="144" t="n">
        <v>-56.4958677685951</v>
      </c>
      <c r="CH507" s="144" t="n">
        <v>-82.895867768595</v>
      </c>
      <c r="CI507" s="144" t="n">
        <v>-200.495867768595</v>
      </c>
      <c r="CJ507" s="144" t="n">
        <v>-200.495867768595</v>
      </c>
      <c r="CK507" s="144" t="n">
        <v>-200.495867768595</v>
      </c>
      <c r="CM507" s="144" t="n">
        <v>408.223140495868</v>
      </c>
      <c r="CO507" s="319"/>
      <c r="CP507" s="320"/>
      <c r="CQ507" s="321"/>
      <c r="CR507" s="320"/>
      <c r="CS507" s="322" t="s">
        <v>12</v>
      </c>
      <c r="CT507" s="322" t="s">
        <v>12</v>
      </c>
      <c r="CU507" s="322" t="s">
        <v>12</v>
      </c>
      <c r="CV507" s="323"/>
      <c r="CW507" s="322" t="n">
        <v>-24.2231404958678</v>
      </c>
      <c r="CX507" s="322" t="n">
        <v>-50.6231404958677</v>
      </c>
      <c r="CY507" s="322" t="n">
        <v>-168.223140495868</v>
      </c>
      <c r="CZ507" s="322" t="n">
        <v>-168.223140495868</v>
      </c>
      <c r="DA507" s="322" t="n">
        <v>-168.223140495868</v>
      </c>
    </row>
    <row r="508" customFormat="false" ht="12.75" hidden="false" customHeight="false" outlineLevel="0" collapsed="false">
      <c r="B508" s="305" t="s">
        <v>641</v>
      </c>
      <c r="C508" s="334" t="s">
        <v>758</v>
      </c>
      <c r="D508" s="306" t="n">
        <v>464</v>
      </c>
      <c r="E508" s="306" t="n">
        <v>0</v>
      </c>
      <c r="F508" s="306" t="s">
        <v>643</v>
      </c>
      <c r="G508" s="307" t="n">
        <v>24</v>
      </c>
      <c r="H508" s="308" t="n">
        <v>0</v>
      </c>
      <c r="I508" s="2"/>
      <c r="J508" s="144" t="s">
        <v>12</v>
      </c>
      <c r="K508" s="309" t="s">
        <v>12</v>
      </c>
      <c r="L508" s="310"/>
      <c r="M508" s="311" t="s">
        <v>12</v>
      </c>
      <c r="N508" s="312" t="s">
        <v>12</v>
      </c>
      <c r="O508" s="311" t="s">
        <v>12</v>
      </c>
      <c r="P508" s="312" t="s">
        <v>12</v>
      </c>
      <c r="Q508" s="310" t="s">
        <v>12</v>
      </c>
      <c r="R508" s="312" t="s">
        <v>12</v>
      </c>
      <c r="S508" s="310"/>
      <c r="T508" s="311" t="n">
        <v>0</v>
      </c>
      <c r="U508" s="312" t="n">
        <v>16.2</v>
      </c>
      <c r="V508" s="311" t="n">
        <v>0</v>
      </c>
      <c r="W508" s="312" t="n">
        <v>15.3</v>
      </c>
      <c r="X508" s="311" t="n">
        <v>0</v>
      </c>
      <c r="Y508" s="312" t="n">
        <v>10</v>
      </c>
      <c r="Z508" s="313" t="n">
        <v>0</v>
      </c>
      <c r="AA508" s="314" t="n">
        <v>10</v>
      </c>
      <c r="AB508" s="313" t="n">
        <v>0</v>
      </c>
      <c r="AC508" s="314" t="n">
        <v>10</v>
      </c>
      <c r="AD508" s="315"/>
      <c r="AE508" s="144" t="n">
        <v>464</v>
      </c>
      <c r="AF508" s="315"/>
      <c r="AG508" s="311" t="n">
        <v>0</v>
      </c>
      <c r="AH508" s="309" t="n">
        <v>0</v>
      </c>
      <c r="AI508" s="310"/>
      <c r="AJ508" s="311" t="s">
        <v>12</v>
      </c>
      <c r="AK508" s="309" t="s">
        <v>12</v>
      </c>
      <c r="AL508" s="311" t="s">
        <v>12</v>
      </c>
      <c r="AM508" s="309" t="s">
        <v>12</v>
      </c>
      <c r="AN508" s="311" t="s">
        <v>12</v>
      </c>
      <c r="AO508" s="309" t="s">
        <v>12</v>
      </c>
      <c r="AP508" s="310"/>
      <c r="AQ508" s="311" t="n">
        <v>75</v>
      </c>
      <c r="AR508" s="309" t="n">
        <v>388.8</v>
      </c>
      <c r="AS508" s="311" t="n">
        <v>97</v>
      </c>
      <c r="AT508" s="309" t="n">
        <v>367.2</v>
      </c>
      <c r="AU508" s="311" t="n">
        <v>224</v>
      </c>
      <c r="AV508" s="309" t="n">
        <v>240</v>
      </c>
      <c r="AW508" s="311" t="n">
        <v>224</v>
      </c>
      <c r="AX508" s="309" t="n">
        <v>240</v>
      </c>
      <c r="AY508" s="311" t="n">
        <v>224</v>
      </c>
      <c r="AZ508" s="309" t="n">
        <v>240</v>
      </c>
      <c r="BB508" s="144" t="n">
        <v>0</v>
      </c>
      <c r="BC508" s="315"/>
      <c r="BD508" s="311" t="n">
        <v>0</v>
      </c>
      <c r="BE508" s="316" t="n">
        <v>0</v>
      </c>
      <c r="BF508" s="310"/>
      <c r="BG508" s="317" t="n">
        <v>0</v>
      </c>
      <c r="BH508" s="318" t="n">
        <v>0</v>
      </c>
      <c r="BI508" s="317" t="n">
        <v>0</v>
      </c>
      <c r="BJ508" s="318" t="n">
        <v>0</v>
      </c>
      <c r="BK508" s="317" t="n">
        <v>0</v>
      </c>
      <c r="BL508" s="318" t="n">
        <v>0</v>
      </c>
      <c r="BM508" s="310"/>
      <c r="BN508" s="317" t="n">
        <v>0</v>
      </c>
      <c r="BO508" s="318" t="n">
        <v>0</v>
      </c>
      <c r="BP508" s="317" t="n">
        <v>0</v>
      </c>
      <c r="BQ508" s="318" t="n">
        <v>0</v>
      </c>
      <c r="BR508" s="317" t="n">
        <v>0</v>
      </c>
      <c r="BS508" s="318" t="n">
        <v>0</v>
      </c>
      <c r="BT508" s="317" t="n">
        <v>0</v>
      </c>
      <c r="BU508" s="318" t="n">
        <v>0</v>
      </c>
      <c r="BV508" s="317" t="n">
        <v>0</v>
      </c>
      <c r="BW508" s="318" t="n">
        <v>0</v>
      </c>
      <c r="BY508" s="143"/>
      <c r="BZ508" s="315"/>
      <c r="CA508" s="144"/>
      <c r="CB508" s="315"/>
      <c r="CC508" s="144" t="s">
        <v>12</v>
      </c>
      <c r="CD508" s="144" t="s">
        <v>12</v>
      </c>
      <c r="CE508" s="144" t="s">
        <v>12</v>
      </c>
      <c r="CF508" s="315"/>
      <c r="CG508" s="144" t="n">
        <v>388.8</v>
      </c>
      <c r="CH508" s="144" t="n">
        <v>367.2</v>
      </c>
      <c r="CI508" s="144" t="n">
        <v>240</v>
      </c>
      <c r="CJ508" s="144" t="n">
        <v>240</v>
      </c>
      <c r="CK508" s="144" t="n">
        <v>240</v>
      </c>
      <c r="CM508" s="144" t="n">
        <v>434.173553719008</v>
      </c>
      <c r="CO508" s="319"/>
      <c r="CP508" s="320"/>
      <c r="CQ508" s="321"/>
      <c r="CR508" s="320"/>
      <c r="CS508" s="322" t="s">
        <v>12</v>
      </c>
      <c r="CT508" s="322" t="s">
        <v>12</v>
      </c>
      <c r="CU508" s="322" t="s">
        <v>12</v>
      </c>
      <c r="CV508" s="323"/>
      <c r="CW508" s="322" t="n">
        <v>-45.3735537190083</v>
      </c>
      <c r="CX508" s="322" t="n">
        <v>-66.9735537190082</v>
      </c>
      <c r="CY508" s="322" t="n">
        <v>-194.173553719008</v>
      </c>
      <c r="CZ508" s="322" t="n">
        <v>-194.173553719008</v>
      </c>
      <c r="DA508" s="322" t="n">
        <v>-194.173553719008</v>
      </c>
    </row>
    <row r="509" customFormat="false" ht="12.75" hidden="false" customHeight="false" outlineLevel="0" collapsed="false">
      <c r="B509" s="305" t="s">
        <v>641</v>
      </c>
      <c r="C509" s="326" t="s">
        <v>759</v>
      </c>
      <c r="D509" s="306" t="n">
        <v>126</v>
      </c>
      <c r="E509" s="306" t="n">
        <v>0</v>
      </c>
      <c r="F509" s="306" t="s">
        <v>643</v>
      </c>
      <c r="G509" s="307" t="n">
        <v>24</v>
      </c>
      <c r="H509" s="308" t="n">
        <v>109.917355371901</v>
      </c>
      <c r="I509" s="2"/>
      <c r="J509" s="144" t="s">
        <v>12</v>
      </c>
      <c r="K509" s="309" t="s">
        <v>12</v>
      </c>
      <c r="L509" s="310"/>
      <c r="M509" s="311" t="s">
        <v>12</v>
      </c>
      <c r="N509" s="312" t="s">
        <v>12</v>
      </c>
      <c r="O509" s="311" t="s">
        <v>12</v>
      </c>
      <c r="P509" s="312" t="s">
        <v>12</v>
      </c>
      <c r="Q509" s="310" t="s">
        <v>12</v>
      </c>
      <c r="R509" s="312" t="s">
        <v>12</v>
      </c>
      <c r="S509" s="310"/>
      <c r="T509" s="311" t="n">
        <v>0</v>
      </c>
      <c r="U509" s="312" t="n">
        <v>4.2</v>
      </c>
      <c r="V509" s="311" t="n">
        <v>0</v>
      </c>
      <c r="W509" s="312" t="n">
        <v>3.4</v>
      </c>
      <c r="X509" s="311" t="n">
        <v>0</v>
      </c>
      <c r="Y509" s="312" t="n">
        <v>1</v>
      </c>
      <c r="Z509" s="313" t="n">
        <v>0</v>
      </c>
      <c r="AA509" s="314" t="n">
        <v>1</v>
      </c>
      <c r="AB509" s="313" t="n">
        <v>0</v>
      </c>
      <c r="AC509" s="314" t="n">
        <v>1</v>
      </c>
      <c r="AD509" s="315"/>
      <c r="AE509" s="144" t="n">
        <v>16</v>
      </c>
      <c r="AF509" s="315"/>
      <c r="AG509" s="311" t="n">
        <v>0</v>
      </c>
      <c r="AH509" s="309" t="n">
        <v>0</v>
      </c>
      <c r="AI509" s="310"/>
      <c r="AJ509" s="311" t="s">
        <v>12</v>
      </c>
      <c r="AK509" s="309" t="s">
        <v>12</v>
      </c>
      <c r="AL509" s="311" t="s">
        <v>12</v>
      </c>
      <c r="AM509" s="309" t="s">
        <v>12</v>
      </c>
      <c r="AN509" s="311" t="s">
        <v>12</v>
      </c>
      <c r="AO509" s="309" t="s">
        <v>12</v>
      </c>
      <c r="AP509" s="310"/>
      <c r="AQ509" s="311" t="n">
        <v>25</v>
      </c>
      <c r="AR509" s="309" t="n">
        <v>100.8</v>
      </c>
      <c r="AS509" s="311" t="n">
        <v>44</v>
      </c>
      <c r="AT509" s="309" t="n">
        <v>81.6</v>
      </c>
      <c r="AU509" s="311" t="n">
        <v>102</v>
      </c>
      <c r="AV509" s="309" t="n">
        <v>24</v>
      </c>
      <c r="AW509" s="311" t="n">
        <v>102</v>
      </c>
      <c r="AX509" s="309" t="n">
        <v>24</v>
      </c>
      <c r="AY509" s="311" t="n">
        <v>102</v>
      </c>
      <c r="AZ509" s="309" t="n">
        <v>24</v>
      </c>
      <c r="BB509" s="144" t="n">
        <v>0</v>
      </c>
      <c r="BC509" s="315"/>
      <c r="BD509" s="311" t="n">
        <v>0</v>
      </c>
      <c r="BE509" s="316" t="n">
        <v>0</v>
      </c>
      <c r="BF509" s="310"/>
      <c r="BG509" s="317" t="n">
        <v>0</v>
      </c>
      <c r="BH509" s="318" t="n">
        <v>0</v>
      </c>
      <c r="BI509" s="317" t="n">
        <v>0</v>
      </c>
      <c r="BJ509" s="318" t="n">
        <v>0</v>
      </c>
      <c r="BK509" s="317" t="n">
        <v>0</v>
      </c>
      <c r="BL509" s="318" t="n">
        <v>0</v>
      </c>
      <c r="BM509" s="310"/>
      <c r="BN509" s="317" t="n">
        <v>0</v>
      </c>
      <c r="BO509" s="318" t="n">
        <v>0</v>
      </c>
      <c r="BP509" s="317" t="n">
        <v>0</v>
      </c>
      <c r="BQ509" s="318" t="n">
        <v>0</v>
      </c>
      <c r="BR509" s="317" t="n">
        <v>0</v>
      </c>
      <c r="BS509" s="318" t="n">
        <v>0</v>
      </c>
      <c r="BT509" s="317" t="n">
        <v>0</v>
      </c>
      <c r="BU509" s="318" t="n">
        <v>0</v>
      </c>
      <c r="BV509" s="317" t="n">
        <v>0</v>
      </c>
      <c r="BW509" s="318" t="n">
        <v>0</v>
      </c>
      <c r="BY509" s="143"/>
      <c r="BZ509" s="315"/>
      <c r="CA509" s="144"/>
      <c r="CB509" s="315"/>
      <c r="CC509" s="144" t="s">
        <v>12</v>
      </c>
      <c r="CD509" s="144" t="s">
        <v>12</v>
      </c>
      <c r="CE509" s="144" t="s">
        <v>12</v>
      </c>
      <c r="CF509" s="315"/>
      <c r="CG509" s="144" t="n">
        <v>-9.11735537190081</v>
      </c>
      <c r="CH509" s="144" t="n">
        <v>-28.3173553719008</v>
      </c>
      <c r="CI509" s="144" t="n">
        <v>-85.9173553719008</v>
      </c>
      <c r="CJ509" s="144" t="n">
        <v>-85.9173553719008</v>
      </c>
      <c r="CK509" s="144" t="n">
        <v>-85.9173553719008</v>
      </c>
      <c r="CM509" s="144" t="n">
        <v>101.884297520661</v>
      </c>
      <c r="CO509" s="319"/>
      <c r="CP509" s="320"/>
      <c r="CQ509" s="321"/>
      <c r="CR509" s="320"/>
      <c r="CS509" s="322" t="s">
        <v>12</v>
      </c>
      <c r="CT509" s="322" t="s">
        <v>12</v>
      </c>
      <c r="CU509" s="322" t="s">
        <v>12</v>
      </c>
      <c r="CV509" s="323"/>
      <c r="CW509" s="322" t="n">
        <v>-1.08429752066115</v>
      </c>
      <c r="CX509" s="322" t="n">
        <v>-20.2842975206612</v>
      </c>
      <c r="CY509" s="322" t="n">
        <v>-77.8842975206612</v>
      </c>
      <c r="CZ509" s="322" t="n">
        <v>-77.8842975206612</v>
      </c>
      <c r="DA509" s="322" t="n">
        <v>-77.8842975206612</v>
      </c>
    </row>
    <row r="510" customFormat="false" ht="13.5" hidden="false" customHeight="false" outlineLevel="0" collapsed="false">
      <c r="B510" s="335" t="s">
        <v>641</v>
      </c>
      <c r="C510" s="336" t="s">
        <v>760</v>
      </c>
      <c r="D510" s="337" t="n">
        <v>63</v>
      </c>
      <c r="E510" s="337" t="n">
        <v>0</v>
      </c>
      <c r="F510" s="337" t="s">
        <v>643</v>
      </c>
      <c r="G510" s="338" t="n">
        <v>24</v>
      </c>
      <c r="H510" s="339" t="n">
        <v>62.8099173553719</v>
      </c>
      <c r="I510" s="340"/>
      <c r="J510" s="341" t="s">
        <v>12</v>
      </c>
      <c r="K510" s="342" t="s">
        <v>12</v>
      </c>
      <c r="L510" s="343"/>
      <c r="M510" s="344" t="s">
        <v>12</v>
      </c>
      <c r="N510" s="345" t="s">
        <v>12</v>
      </c>
      <c r="O510" s="344" t="s">
        <v>12</v>
      </c>
      <c r="P510" s="345" t="s">
        <v>12</v>
      </c>
      <c r="Q510" s="343" t="s">
        <v>12</v>
      </c>
      <c r="R510" s="345" t="s">
        <v>12</v>
      </c>
      <c r="S510" s="343"/>
      <c r="T510" s="344" t="n">
        <v>0</v>
      </c>
      <c r="U510" s="345" t="n">
        <v>1.6</v>
      </c>
      <c r="V510" s="344" t="n">
        <v>0</v>
      </c>
      <c r="W510" s="345" t="n">
        <v>1.6</v>
      </c>
      <c r="X510" s="344" t="n">
        <v>0</v>
      </c>
      <c r="Y510" s="345" t="n">
        <v>0.5</v>
      </c>
      <c r="Z510" s="346" t="n">
        <v>0</v>
      </c>
      <c r="AA510" s="347" t="n">
        <v>0.5</v>
      </c>
      <c r="AB510" s="346" t="n">
        <v>0</v>
      </c>
      <c r="AC510" s="347" t="n">
        <v>0.5</v>
      </c>
      <c r="AD510" s="348"/>
      <c r="AE510" s="341" t="n">
        <v>0</v>
      </c>
      <c r="AF510" s="348"/>
      <c r="AG510" s="344" t="n">
        <v>0</v>
      </c>
      <c r="AH510" s="342" t="n">
        <v>0</v>
      </c>
      <c r="AI510" s="343"/>
      <c r="AJ510" s="344" t="s">
        <v>12</v>
      </c>
      <c r="AK510" s="342" t="s">
        <v>12</v>
      </c>
      <c r="AL510" s="344" t="s">
        <v>12</v>
      </c>
      <c r="AM510" s="342" t="s">
        <v>12</v>
      </c>
      <c r="AN510" s="344" t="s">
        <v>12</v>
      </c>
      <c r="AO510" s="342" t="s">
        <v>12</v>
      </c>
      <c r="AP510" s="343"/>
      <c r="AQ510" s="344" t="n">
        <v>25</v>
      </c>
      <c r="AR510" s="342" t="n">
        <v>38.4</v>
      </c>
      <c r="AS510" s="344" t="n">
        <v>25</v>
      </c>
      <c r="AT510" s="342" t="n">
        <v>38.4</v>
      </c>
      <c r="AU510" s="344" t="n">
        <v>51</v>
      </c>
      <c r="AV510" s="342" t="n">
        <v>12</v>
      </c>
      <c r="AW510" s="344" t="n">
        <v>51</v>
      </c>
      <c r="AX510" s="342" t="n">
        <v>12</v>
      </c>
      <c r="AY510" s="344" t="n">
        <v>51</v>
      </c>
      <c r="AZ510" s="342" t="n">
        <v>12</v>
      </c>
      <c r="BA510" s="340"/>
      <c r="BB510" s="349" t="n">
        <v>0</v>
      </c>
      <c r="BC510" s="348"/>
      <c r="BD510" s="350" t="n">
        <v>0</v>
      </c>
      <c r="BE510" s="351" t="n">
        <v>0</v>
      </c>
      <c r="BF510" s="343"/>
      <c r="BG510" s="352" t="n">
        <v>0</v>
      </c>
      <c r="BH510" s="353" t="n">
        <v>0</v>
      </c>
      <c r="BI510" s="352" t="n">
        <v>0</v>
      </c>
      <c r="BJ510" s="353" t="n">
        <v>0</v>
      </c>
      <c r="BK510" s="352" t="n">
        <v>0</v>
      </c>
      <c r="BL510" s="353" t="n">
        <v>0</v>
      </c>
      <c r="BM510" s="343"/>
      <c r="BN510" s="352" t="n">
        <v>0</v>
      </c>
      <c r="BO510" s="353" t="n">
        <v>0</v>
      </c>
      <c r="BP510" s="352" t="n">
        <v>0</v>
      </c>
      <c r="BQ510" s="353" t="n">
        <v>0</v>
      </c>
      <c r="BR510" s="352" t="n">
        <v>0</v>
      </c>
      <c r="BS510" s="353" t="n">
        <v>0</v>
      </c>
      <c r="BT510" s="352" t="n">
        <v>0</v>
      </c>
      <c r="BU510" s="353" t="n">
        <v>0</v>
      </c>
      <c r="BV510" s="352" t="n">
        <v>0</v>
      </c>
      <c r="BW510" s="353" t="n">
        <v>0</v>
      </c>
      <c r="BX510" s="340"/>
      <c r="BY510" s="354"/>
      <c r="BZ510" s="348"/>
      <c r="CA510" s="341"/>
      <c r="CB510" s="348"/>
      <c r="CC510" s="341" t="s">
        <v>12</v>
      </c>
      <c r="CD510" s="341" t="s">
        <v>12</v>
      </c>
      <c r="CE510" s="341" t="s">
        <v>12</v>
      </c>
      <c r="CF510" s="348"/>
      <c r="CG510" s="341" t="n">
        <v>-24.4099173553719</v>
      </c>
      <c r="CH510" s="341" t="n">
        <v>-24.4099173553719</v>
      </c>
      <c r="CI510" s="341" t="n">
        <v>-50.8099173553719</v>
      </c>
      <c r="CJ510" s="341" t="n">
        <v>-50.8099173553719</v>
      </c>
      <c r="CK510" s="341" t="n">
        <v>-50.8099173553719</v>
      </c>
      <c r="CL510" s="340"/>
      <c r="CM510" s="341" t="n">
        <v>50.9421487603306</v>
      </c>
      <c r="CN510" s="340"/>
      <c r="CO510" s="355"/>
      <c r="CP510" s="356"/>
      <c r="CQ510" s="341"/>
      <c r="CR510" s="356"/>
      <c r="CS510" s="357" t="s">
        <v>12</v>
      </c>
      <c r="CT510" s="357" t="s">
        <v>12</v>
      </c>
      <c r="CU510" s="357" t="s">
        <v>12</v>
      </c>
      <c r="CV510" s="358"/>
      <c r="CW510" s="357" t="n">
        <v>-12.5421487603306</v>
      </c>
      <c r="CX510" s="357" t="n">
        <v>-12.5421487603306</v>
      </c>
      <c r="CY510" s="357" t="n">
        <v>-38.9421487603306</v>
      </c>
      <c r="CZ510" s="357" t="n">
        <v>-38.9421487603306</v>
      </c>
      <c r="DA510" s="357" t="n">
        <v>-38.9421487603306</v>
      </c>
    </row>
  </sheetData>
  <autoFilter ref="A28:DA510"/>
  <mergeCells count="129">
    <mergeCell ref="B2:G2"/>
    <mergeCell ref="H2:H4"/>
    <mergeCell ref="J2:K2"/>
    <mergeCell ref="M2:AC2"/>
    <mergeCell ref="J4:K4"/>
    <mergeCell ref="M4:N4"/>
    <mergeCell ref="O4:P4"/>
    <mergeCell ref="Q4:R4"/>
    <mergeCell ref="T4:U4"/>
    <mergeCell ref="V4:W4"/>
    <mergeCell ref="X4:Y4"/>
    <mergeCell ref="Z4:AA4"/>
    <mergeCell ref="AB4:AC4"/>
    <mergeCell ref="B5:C17"/>
    <mergeCell ref="D5:G12"/>
    <mergeCell ref="H5:H12"/>
    <mergeCell ref="J5:K12"/>
    <mergeCell ref="M5:N5"/>
    <mergeCell ref="O5:P12"/>
    <mergeCell ref="Q5:R12"/>
    <mergeCell ref="T5:U5"/>
    <mergeCell ref="V5:W12"/>
    <mergeCell ref="X5:Y12"/>
    <mergeCell ref="Z5:AA12"/>
    <mergeCell ref="AB5:AC12"/>
    <mergeCell ref="T7:U12"/>
    <mergeCell ref="D13:G14"/>
    <mergeCell ref="J13:K13"/>
    <mergeCell ref="M13:N13"/>
    <mergeCell ref="O13:P13"/>
    <mergeCell ref="Q13:R13"/>
    <mergeCell ref="T13:U13"/>
    <mergeCell ref="V13:W13"/>
    <mergeCell ref="X13:Y13"/>
    <mergeCell ref="Z13:AA13"/>
    <mergeCell ref="AB13:AC13"/>
    <mergeCell ref="J14:K14"/>
    <mergeCell ref="M14:N14"/>
    <mergeCell ref="O14:P14"/>
    <mergeCell ref="Q14:R14"/>
    <mergeCell ref="T14:U14"/>
    <mergeCell ref="V14:W14"/>
    <mergeCell ref="D15:G15"/>
    <mergeCell ref="J15:K15"/>
    <mergeCell ref="M15:N15"/>
    <mergeCell ref="O15:P15"/>
    <mergeCell ref="Q15:R15"/>
    <mergeCell ref="T15:U15"/>
    <mergeCell ref="V15:W15"/>
    <mergeCell ref="X15:Y15"/>
    <mergeCell ref="Z15:AA15"/>
    <mergeCell ref="AB15:AC15"/>
    <mergeCell ref="D16:G16"/>
    <mergeCell ref="J16:K16"/>
    <mergeCell ref="M16:N16"/>
    <mergeCell ref="O16:P16"/>
    <mergeCell ref="Q16:R16"/>
    <mergeCell ref="T16:U16"/>
    <mergeCell ref="V16:W16"/>
    <mergeCell ref="X16:Y16"/>
    <mergeCell ref="Z16:AA16"/>
    <mergeCell ref="AB16:AC16"/>
    <mergeCell ref="D17:G17"/>
    <mergeCell ref="J17:K17"/>
    <mergeCell ref="M17:N17"/>
    <mergeCell ref="O17:P17"/>
    <mergeCell ref="Q17:R17"/>
    <mergeCell ref="T17:U17"/>
    <mergeCell ref="V17:W17"/>
    <mergeCell ref="X17:Y17"/>
    <mergeCell ref="Z17:AA17"/>
    <mergeCell ref="AB17:AC17"/>
    <mergeCell ref="BB19:BW19"/>
    <mergeCell ref="BY19:CK19"/>
    <mergeCell ref="CO19:DA19"/>
    <mergeCell ref="B22:G26"/>
    <mergeCell ref="H22:H26"/>
    <mergeCell ref="J22:K24"/>
    <mergeCell ref="M22:AC22"/>
    <mergeCell ref="AE22:AE26"/>
    <mergeCell ref="AG22:AH24"/>
    <mergeCell ref="AJ22:AZ22"/>
    <mergeCell ref="BB22:BB26"/>
    <mergeCell ref="BD22:BE24"/>
    <mergeCell ref="BG22:BW22"/>
    <mergeCell ref="BY22:BY26"/>
    <mergeCell ref="CA22:CA24"/>
    <mergeCell ref="CC22:CK22"/>
    <mergeCell ref="CO22:CO26"/>
    <mergeCell ref="CQ22:CQ24"/>
    <mergeCell ref="CS22:DA22"/>
    <mergeCell ref="M24:R24"/>
    <mergeCell ref="T24:AC24"/>
    <mergeCell ref="AJ24:AO24"/>
    <mergeCell ref="AQ24:AZ24"/>
    <mergeCell ref="BG24:BL24"/>
    <mergeCell ref="BN24:BW24"/>
    <mergeCell ref="CC24:CE24"/>
    <mergeCell ref="CG24:CK24"/>
    <mergeCell ref="CM24:CM28"/>
    <mergeCell ref="CS24:CU24"/>
    <mergeCell ref="CW24:DA24"/>
    <mergeCell ref="J26:K26"/>
    <mergeCell ref="M26:N26"/>
    <mergeCell ref="O26:P26"/>
    <mergeCell ref="Q26:R26"/>
    <mergeCell ref="T26:U26"/>
    <mergeCell ref="V26:W26"/>
    <mergeCell ref="X26:Y26"/>
    <mergeCell ref="Z26:AA26"/>
    <mergeCell ref="AB26:AC26"/>
    <mergeCell ref="AG26:AH26"/>
    <mergeCell ref="AJ26:AK26"/>
    <mergeCell ref="AL26:AM26"/>
    <mergeCell ref="AN26:AO26"/>
    <mergeCell ref="AQ26:AR26"/>
    <mergeCell ref="AS26:AT26"/>
    <mergeCell ref="AU26:AV26"/>
    <mergeCell ref="AW26:AX26"/>
    <mergeCell ref="AY26:AZ26"/>
    <mergeCell ref="BD26:BE26"/>
    <mergeCell ref="BG26:BH26"/>
    <mergeCell ref="BI26:BJ26"/>
    <mergeCell ref="BK26:BL26"/>
    <mergeCell ref="BN26:BO26"/>
    <mergeCell ref="BP26:BQ26"/>
    <mergeCell ref="BR26:BS26"/>
    <mergeCell ref="BT26:BU26"/>
    <mergeCell ref="BV26:BW26"/>
  </mergeCells>
  <conditionalFormatting sqref="BC266:BW269 BB270:BW510 BB29:BW265">
    <cfRule type="cellIs" priority="2" operator="lessThan" aboveAverage="0" equalAverage="0" bottom="0" percent="0" rank="0" text="" dxfId="87">
      <formula>0</formula>
    </cfRule>
    <cfRule type="cellIs" priority="3" operator="greaterThan" aboveAverage="0" equalAverage="0" bottom="0" percent="0" rank="0" text="" dxfId="88">
      <formula>0</formula>
    </cfRule>
  </conditionalFormatting>
  <conditionalFormatting sqref="F21">
    <cfRule type="expression" priority="4" aboveAverage="0" equalAverage="0" bottom="0" percent="0" rank="0" text="" dxfId="89">
      <formula>ISERROR(F21)</formula>
    </cfRule>
    <cfRule type="cellIs" priority="5" operator="lessThan" aboveAverage="0" equalAverage="0" bottom="0" percent="0" rank="0" text="" dxfId="90">
      <formula>0</formula>
    </cfRule>
  </conditionalFormatting>
  <conditionalFormatting sqref="F4">
    <cfRule type="expression" priority="6" aboveAverage="0" equalAverage="0" bottom="0" percent="0" rank="0" text="" dxfId="91">
      <formula>ISERROR(F4)</formula>
    </cfRule>
    <cfRule type="cellIs" priority="7" operator="lessThan" aboveAverage="0" equalAverage="0" bottom="0" percent="0" rank="0" text="" dxfId="92">
      <formula>0</formula>
    </cfRule>
  </conditionalFormatting>
  <conditionalFormatting sqref="BB266:BB269">
    <cfRule type="cellIs" priority="8" operator="lessThan" aboveAverage="0" equalAverage="0" bottom="0" percent="0" rank="0" text="" dxfId="93">
      <formula>0</formula>
    </cfRule>
    <cfRule type="cellIs" priority="9" operator="greaterThan" aboveAverage="0" equalAverage="0" bottom="0" percent="0" rank="0" text="" dxfId="94">
      <formula>0</formula>
    </cfRule>
  </conditionalFormatting>
  <conditionalFormatting sqref="C29:C510">
    <cfRule type="expression" priority="10" aboveAverage="0" equalAverage="0" bottom="0" percent="0" rank="0" text="" dxfId="95">
      <formula>$I:$I&gt;0</formula>
    </cfRule>
  </conditionalFormatting>
  <printOptions headings="false" gridLines="false" gridLinesSet="true" horizontalCentered="false" verticalCentered="false"/>
  <pageMargins left="0.747916666666667" right="0.747916666666667" top="0.984027777777778" bottom="0.984027777777778" header="0.511811023622047" footer="0"/>
  <pageSetup paperSize="8" scale="100" fitToWidth="1" fitToHeight="1" pageOrder="downThenOver" orientation="portrait" blackAndWhite="false" draft="false" cellComments="none" horizontalDpi="300" verticalDpi="300" copies="1"/>
  <headerFooter differentFirst="false" differentOddEven="false">
    <oddHeader/>
    <oddFooter>&amp;C&amp;1#&amp;"Calibri,Normal"&amp;8&amp;Ked7d31Orange Restricted</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F6600"/>
    <pageSetUpPr fitToPage="true"/>
  </sheetPr>
  <dimension ref="A1:DC32"/>
  <sheetViews>
    <sheetView showFormulas="false" showGridLines="false" showRowColHeaders="true" showZeros="true" rightToLeft="false" tabSelected="false" showOutlineSymbols="true" defaultGridColor="true" view="normal" topLeftCell="A1" colorId="64" zoomScale="70" zoomScaleNormal="70" zoomScalePageLayoutView="100" workbookViewId="0">
      <selection pane="topLeft" activeCell="B5" activeCellId="0" sqref="B5"/>
    </sheetView>
  </sheetViews>
  <sheetFormatPr defaultColWidth="11.43359375" defaultRowHeight="12.75" zeroHeight="false" outlineLevelRow="0" outlineLevelCol="1"/>
  <cols>
    <col collapsed="false" customWidth="true" hidden="false" outlineLevel="0" max="1" min="1" style="2" width="4.14"/>
    <col collapsed="false" customWidth="true" hidden="false" outlineLevel="0" max="2" min="2" style="211" width="15.15"/>
    <col collapsed="false" customWidth="true" hidden="false" outlineLevel="0" max="3" min="3" style="2" width="67.71"/>
    <col collapsed="false" customWidth="true" hidden="false" outlineLevel="0" max="4" min="4" style="2" width="9.14"/>
    <col collapsed="false" customWidth="true" hidden="false" outlineLevel="0" max="5" min="5" style="2" width="9"/>
    <col collapsed="false" customWidth="true" hidden="false" outlineLevel="0" max="6" min="6" style="2" width="17"/>
    <col collapsed="false" customWidth="true" hidden="false" outlineLevel="0" max="7" min="7" style="2" width="8.57"/>
    <col collapsed="false" customWidth="true" hidden="false" outlineLevel="0" max="8" min="8" style="2" width="11.14"/>
    <col collapsed="false" customWidth="true" hidden="false" outlineLevel="0" max="9" min="9" style="1" width="6.86"/>
    <col collapsed="false" customWidth="true" hidden="true" outlineLevel="0" max="10" min="10" style="2" width="8.86"/>
    <col collapsed="false" customWidth="true" hidden="true" outlineLevel="0" max="11" min="11" style="2" width="8.42"/>
    <col collapsed="false" customWidth="true" hidden="true" outlineLevel="0" max="12" min="12" style="1" width="1"/>
    <col collapsed="false" customWidth="true" hidden="true" outlineLevel="1" max="20" min="13" style="2" width="10.14"/>
    <col collapsed="false" customWidth="true" hidden="true" outlineLevel="0" max="21" min="21" style="1" width="1.42"/>
    <col collapsed="false" customWidth="true" hidden="true" outlineLevel="0" max="22" min="22" style="2" width="11.86"/>
    <col collapsed="false" customWidth="true" hidden="true" outlineLevel="0" max="23" min="23" style="2" width="7"/>
    <col collapsed="false" customWidth="true" hidden="true" outlineLevel="0" max="25" min="24" style="2" width="11.86"/>
    <col collapsed="false" customWidth="true" hidden="false" outlineLevel="0" max="31" min="26" style="2" width="10.14"/>
    <col collapsed="false" customWidth="true" hidden="false" outlineLevel="0" max="32" min="32" style="1" width="2"/>
    <col collapsed="false" customWidth="true" hidden="false" outlineLevel="0" max="33" min="33" style="2" width="12.57"/>
    <col collapsed="false" customWidth="true" hidden="false" outlineLevel="0" max="34" min="34" style="1" width="2.42"/>
    <col collapsed="false" customWidth="true" hidden="true" outlineLevel="0" max="36" min="35" style="2" width="8.86"/>
    <col collapsed="false" customWidth="true" hidden="true" outlineLevel="0" max="37" min="37" style="1" width="1.58"/>
    <col collapsed="false" customWidth="true" hidden="true" outlineLevel="0" max="45" min="38" style="2" width="9.85"/>
    <col collapsed="false" customWidth="true" hidden="true" outlineLevel="0" max="46" min="46" style="1" width="1.85"/>
    <col collapsed="false" customWidth="true" hidden="true" outlineLevel="0" max="48" min="47" style="2" width="11.14"/>
    <col collapsed="false" customWidth="true" hidden="false" outlineLevel="0" max="54" min="49" style="2" width="11.14"/>
    <col collapsed="false" customWidth="true" hidden="false" outlineLevel="0" max="55" min="55" style="2" width="5.14"/>
    <col collapsed="false" customWidth="false" hidden="true" outlineLevel="0" max="56" min="56" style="2" width="11.42"/>
    <col collapsed="false" customWidth="true" hidden="true" outlineLevel="0" max="57" min="57" style="2" width="1"/>
    <col collapsed="false" customWidth="false" hidden="true" outlineLevel="0" max="59" min="58" style="2" width="11.42"/>
    <col collapsed="false" customWidth="true" hidden="true" outlineLevel="0" max="60" min="60" style="2" width="1.14"/>
    <col collapsed="false" customWidth="false" hidden="true" outlineLevel="0" max="68" min="61" style="2" width="11.42"/>
    <col collapsed="false" customWidth="true" hidden="true" outlineLevel="0" max="69" min="69" style="2" width="1.42"/>
    <col collapsed="false" customWidth="false" hidden="true" outlineLevel="0" max="73" min="70" style="2" width="11.42"/>
    <col collapsed="false" customWidth="false" hidden="false" outlineLevel="0" max="77" min="74" style="2" width="11.42"/>
    <col collapsed="false" customWidth="true" hidden="false" outlineLevel="0" max="78" min="78" style="2" width="5.14"/>
    <col collapsed="false" customWidth="true" hidden="true" outlineLevel="0" max="79" min="79" style="2" width="11.14"/>
    <col collapsed="false" customWidth="true" hidden="true" outlineLevel="0" max="80" min="80" style="1" width="1.42"/>
    <col collapsed="false" customWidth="true" hidden="true" outlineLevel="0" max="81" min="81" style="2" width="18.14"/>
    <col collapsed="false" customWidth="true" hidden="true" outlineLevel="0" max="82" min="82" style="1" width="1.42"/>
    <col collapsed="false" customWidth="true" hidden="true" outlineLevel="0" max="83" min="83" style="1" width="15.86"/>
    <col collapsed="false" customWidth="true" hidden="true" outlineLevel="0" max="84" min="84" style="2" width="16.86"/>
    <col collapsed="false" customWidth="true" hidden="true" outlineLevel="0" max="86" min="85" style="2" width="15.42"/>
    <col collapsed="false" customWidth="true" hidden="true" outlineLevel="0" max="87" min="87" style="1" width="1.42"/>
    <col collapsed="false" customWidth="true" hidden="true" outlineLevel="0" max="88" min="88" style="2" width="16"/>
    <col collapsed="false" customWidth="true" hidden="false" outlineLevel="0" max="89" min="89" style="2" width="16"/>
    <col collapsed="false" customWidth="true" hidden="false" outlineLevel="0" max="90" min="90" style="2" width="15.57"/>
    <col collapsed="false" customWidth="true" hidden="false" outlineLevel="0" max="91" min="91" style="2" width="15.86"/>
    <col collapsed="false" customWidth="true" hidden="false" outlineLevel="0" max="92" min="92" style="2" width="2.71"/>
    <col collapsed="false" customWidth="true" hidden="false" outlineLevel="0" max="93" min="93" style="2" width="14.86"/>
    <col collapsed="false" customWidth="true" hidden="false" outlineLevel="0" max="94" min="94" style="2" width="1.29"/>
    <col collapsed="false" customWidth="true" hidden="true" outlineLevel="0" max="95" min="95" style="2" width="11.14"/>
    <col collapsed="false" customWidth="true" hidden="true" outlineLevel="0" max="96" min="96" style="1" width="1.42"/>
    <col collapsed="false" customWidth="true" hidden="true" outlineLevel="0" max="97" min="97" style="2" width="15.86"/>
    <col collapsed="false" customWidth="true" hidden="true" outlineLevel="0" max="98" min="98" style="1" width="1.42"/>
    <col collapsed="false" customWidth="true" hidden="true" outlineLevel="0" max="99" min="99" style="1" width="12.14"/>
    <col collapsed="false" customWidth="true" hidden="true" outlineLevel="0" max="102" min="100" style="2" width="12.14"/>
    <col collapsed="false" customWidth="true" hidden="true" outlineLevel="0" max="103" min="103" style="1" width="1.42"/>
    <col collapsed="false" customWidth="true" hidden="true" outlineLevel="0" max="104" min="104" style="2" width="12.86"/>
    <col collapsed="false" customWidth="true" hidden="false" outlineLevel="0" max="107" min="105" style="2" width="12.86"/>
    <col collapsed="false" customWidth="false" hidden="false" outlineLevel="0" max="1024" min="108" style="2" width="11.42"/>
  </cols>
  <sheetData>
    <row r="1" customFormat="false" ht="13.5" hidden="false" customHeight="false" outlineLevel="0" collapsed="false"/>
    <row r="2" customFormat="false" ht="26.25" hidden="false" customHeight="true" outlineLevel="0" collapsed="false">
      <c r="B2" s="3" t="s">
        <v>0</v>
      </c>
      <c r="C2" s="3"/>
      <c r="D2" s="3"/>
      <c r="E2" s="3"/>
      <c r="F2" s="3"/>
      <c r="G2" s="3"/>
      <c r="H2" s="215" t="s">
        <v>1</v>
      </c>
      <c r="J2" s="5" t="s">
        <v>2</v>
      </c>
      <c r="K2" s="5"/>
      <c r="L2" s="6"/>
      <c r="M2" s="7" t="s">
        <v>3</v>
      </c>
      <c r="N2" s="7"/>
      <c r="O2" s="7"/>
      <c r="P2" s="7"/>
      <c r="Q2" s="7"/>
      <c r="R2" s="7"/>
      <c r="S2" s="7"/>
      <c r="T2" s="7"/>
      <c r="U2" s="7"/>
      <c r="V2" s="7"/>
      <c r="W2" s="7"/>
      <c r="X2" s="7"/>
      <c r="Y2" s="7"/>
      <c r="Z2" s="7"/>
      <c r="AA2" s="7"/>
      <c r="AB2" s="7"/>
      <c r="AC2" s="7"/>
      <c r="AD2" s="7"/>
      <c r="AE2" s="7"/>
      <c r="AG2" s="8"/>
      <c r="AI2" s="8"/>
      <c r="AJ2" s="9"/>
      <c r="AK2" s="6"/>
      <c r="AL2" s="9"/>
      <c r="AM2" s="9"/>
      <c r="AN2" s="9"/>
      <c r="AO2" s="9"/>
      <c r="AP2" s="9"/>
      <c r="AQ2" s="9"/>
      <c r="AR2" s="9"/>
      <c r="AS2" s="9"/>
      <c r="AT2" s="10"/>
      <c r="AU2" s="9"/>
      <c r="AV2" s="9"/>
      <c r="AW2" s="9"/>
      <c r="AX2" s="9"/>
      <c r="AY2" s="9"/>
      <c r="AZ2" s="9"/>
      <c r="CB2" s="2"/>
      <c r="CE2" s="2"/>
      <c r="CR2" s="2"/>
      <c r="CU2" s="2"/>
    </row>
    <row r="3" customFormat="false" ht="18" hidden="false" customHeight="false" outlineLevel="0" collapsed="false">
      <c r="B3" s="11"/>
      <c r="H3" s="215"/>
      <c r="M3" s="12"/>
      <c r="U3" s="13"/>
      <c r="AA3" s="14"/>
      <c r="AC3" s="14"/>
      <c r="AD3" s="14"/>
      <c r="AE3" s="14"/>
      <c r="AG3" s="8"/>
      <c r="AI3" s="15"/>
      <c r="AJ3" s="15"/>
      <c r="AL3" s="15"/>
      <c r="AM3" s="15"/>
      <c r="AN3" s="15"/>
      <c r="AO3" s="15"/>
      <c r="AP3" s="15"/>
      <c r="AQ3" s="15"/>
      <c r="AR3" s="15"/>
      <c r="AS3" s="15"/>
      <c r="AU3" s="15"/>
      <c r="AV3" s="15"/>
      <c r="AW3" s="15"/>
      <c r="AX3" s="15"/>
      <c r="AY3" s="15"/>
      <c r="AZ3" s="16"/>
    </row>
    <row r="4" s="28" customFormat="true" ht="24" hidden="false" customHeight="true" outlineLevel="0" collapsed="false">
      <c r="B4" s="18" t="n">
        <v>45748</v>
      </c>
      <c r="C4" s="19" t="s">
        <v>395</v>
      </c>
      <c r="D4" s="222"/>
      <c r="E4" s="222"/>
      <c r="F4" s="223"/>
      <c r="G4" s="224"/>
      <c r="H4" s="215"/>
      <c r="I4" s="21"/>
      <c r="J4" s="22" t="s">
        <v>4</v>
      </c>
      <c r="K4" s="22"/>
      <c r="L4" s="21"/>
      <c r="M4" s="23" t="s">
        <v>4</v>
      </c>
      <c r="N4" s="23"/>
      <c r="O4" s="24" t="s">
        <v>5</v>
      </c>
      <c r="P4" s="24"/>
      <c r="Q4" s="24" t="s">
        <v>6</v>
      </c>
      <c r="R4" s="24"/>
      <c r="S4" s="25" t="s">
        <v>7</v>
      </c>
      <c r="T4" s="25"/>
      <c r="U4" s="26"/>
      <c r="V4" s="23" t="s">
        <v>4</v>
      </c>
      <c r="W4" s="23"/>
      <c r="X4" s="24" t="s">
        <v>8</v>
      </c>
      <c r="Y4" s="24"/>
      <c r="Z4" s="24" t="s">
        <v>6</v>
      </c>
      <c r="AA4" s="24"/>
      <c r="AB4" s="24" t="s">
        <v>6</v>
      </c>
      <c r="AC4" s="24"/>
      <c r="AD4" s="27" t="s">
        <v>7</v>
      </c>
      <c r="AE4" s="27"/>
      <c r="AF4" s="1"/>
      <c r="AG4" s="8"/>
      <c r="AH4" s="21"/>
      <c r="AI4" s="29"/>
      <c r="AJ4" s="29"/>
      <c r="AK4" s="21"/>
      <c r="AL4" s="29"/>
      <c r="AM4" s="29"/>
      <c r="AN4" s="29"/>
      <c r="AO4" s="29"/>
      <c r="AP4" s="29"/>
      <c r="AQ4" s="29"/>
      <c r="AR4" s="29"/>
      <c r="AS4" s="29"/>
      <c r="AT4" s="30"/>
      <c r="AU4" s="31"/>
      <c r="AV4" s="31"/>
      <c r="AW4" s="29"/>
      <c r="AX4" s="29"/>
      <c r="AY4" s="29"/>
      <c r="AZ4" s="29"/>
      <c r="CD4" s="21"/>
      <c r="CI4" s="21"/>
      <c r="CO4" s="228"/>
      <c r="CP4" s="228"/>
      <c r="CQ4" s="228"/>
      <c r="CR4" s="228"/>
      <c r="CS4" s="228"/>
      <c r="CT4" s="21"/>
      <c r="CU4" s="228"/>
      <c r="CV4" s="228"/>
      <c r="CW4" s="228"/>
      <c r="CX4" s="228"/>
      <c r="CY4" s="21"/>
      <c r="CZ4" s="228"/>
      <c r="DA4" s="228"/>
      <c r="DB4" s="228"/>
      <c r="DC4" s="228"/>
    </row>
    <row r="5" s="2" customFormat="true" ht="12" hidden="false" customHeight="true" outlineLevel="0" collapsed="false">
      <c r="B5" s="32" t="s">
        <v>9</v>
      </c>
      <c r="C5" s="32"/>
      <c r="D5" s="33" t="s">
        <v>10</v>
      </c>
      <c r="E5" s="33"/>
      <c r="F5" s="33"/>
      <c r="G5" s="33"/>
      <c r="H5" s="229" t="s">
        <v>11</v>
      </c>
      <c r="I5" s="35"/>
      <c r="J5" s="36" t="s">
        <v>12</v>
      </c>
      <c r="K5" s="36"/>
      <c r="L5" s="37"/>
      <c r="M5" s="231" t="s">
        <v>761</v>
      </c>
      <c r="N5" s="231"/>
      <c r="O5" s="359" t="s">
        <v>762</v>
      </c>
      <c r="P5" s="359"/>
      <c r="Q5" s="232" t="s">
        <v>763</v>
      </c>
      <c r="R5" s="232"/>
      <c r="S5" s="232" t="s">
        <v>398</v>
      </c>
      <c r="T5" s="232"/>
      <c r="U5" s="233"/>
      <c r="V5" s="43"/>
      <c r="W5" s="43"/>
      <c r="X5" s="234" t="s">
        <v>399</v>
      </c>
      <c r="Y5" s="234"/>
      <c r="Z5" s="40" t="s">
        <v>400</v>
      </c>
      <c r="AA5" s="40"/>
      <c r="AB5" s="40" t="s">
        <v>401</v>
      </c>
      <c r="AC5" s="40"/>
      <c r="AD5" s="44" t="s">
        <v>402</v>
      </c>
      <c r="AE5" s="44"/>
      <c r="AF5" s="1"/>
      <c r="AG5" s="45"/>
      <c r="AH5" s="35"/>
      <c r="AI5" s="28"/>
      <c r="AJ5" s="28"/>
      <c r="AK5" s="37"/>
      <c r="AL5" s="28"/>
      <c r="AM5" s="28"/>
      <c r="AN5" s="28"/>
      <c r="AO5" s="28"/>
      <c r="AP5" s="45"/>
      <c r="AQ5" s="45"/>
      <c r="AR5" s="45"/>
      <c r="AS5" s="45"/>
      <c r="AT5" s="37"/>
      <c r="AU5" s="28"/>
      <c r="AV5" s="28"/>
      <c r="AW5" s="28"/>
      <c r="AX5" s="28"/>
      <c r="AY5" s="28"/>
      <c r="AZ5" s="28"/>
      <c r="CD5" s="35"/>
      <c r="CI5" s="35"/>
      <c r="CT5" s="35"/>
      <c r="CY5" s="35"/>
    </row>
    <row r="6" s="2" customFormat="true" ht="12.75" hidden="false" customHeight="false" outlineLevel="0" collapsed="false">
      <c r="B6" s="32"/>
      <c r="C6" s="32"/>
      <c r="D6" s="33"/>
      <c r="E6" s="33"/>
      <c r="F6" s="33"/>
      <c r="G6" s="33"/>
      <c r="H6" s="229"/>
      <c r="I6" s="37"/>
      <c r="J6" s="36"/>
      <c r="K6" s="36"/>
      <c r="L6" s="37"/>
      <c r="M6" s="236"/>
      <c r="N6" s="237"/>
      <c r="O6" s="359"/>
      <c r="P6" s="359"/>
      <c r="Q6" s="232"/>
      <c r="R6" s="232"/>
      <c r="S6" s="232"/>
      <c r="T6" s="232"/>
      <c r="U6" s="233"/>
      <c r="V6" s="46"/>
      <c r="W6" s="47"/>
      <c r="X6" s="234"/>
      <c r="Y6" s="234"/>
      <c r="Z6" s="40"/>
      <c r="AA6" s="40"/>
      <c r="AB6" s="40"/>
      <c r="AC6" s="40"/>
      <c r="AD6" s="44"/>
      <c r="AE6" s="44"/>
      <c r="AF6" s="1"/>
      <c r="AG6" s="28"/>
      <c r="AH6" s="37"/>
      <c r="AI6" s="28"/>
      <c r="AJ6" s="28"/>
      <c r="AK6" s="37"/>
      <c r="AL6" s="28"/>
      <c r="AM6" s="28"/>
      <c r="AN6" s="28"/>
      <c r="AO6" s="28"/>
      <c r="AP6" s="45"/>
      <c r="AQ6" s="45"/>
      <c r="AR6" s="45"/>
      <c r="AS6" s="45"/>
      <c r="AT6" s="37"/>
      <c r="AU6" s="28"/>
      <c r="AV6" s="28"/>
      <c r="AW6" s="28"/>
      <c r="AX6" s="28"/>
      <c r="AY6" s="28"/>
      <c r="AZ6" s="28"/>
      <c r="CD6" s="37"/>
      <c r="CI6" s="37"/>
      <c r="CT6" s="37"/>
      <c r="CY6" s="37"/>
    </row>
    <row r="7" s="2" customFormat="true" ht="12.75" hidden="false" customHeight="true" outlineLevel="0" collapsed="false">
      <c r="B7" s="32"/>
      <c r="C7" s="32"/>
      <c r="D7" s="33"/>
      <c r="E7" s="33"/>
      <c r="F7" s="33"/>
      <c r="G7" s="33"/>
      <c r="H7" s="229"/>
      <c r="I7" s="37"/>
      <c r="J7" s="36"/>
      <c r="K7" s="36"/>
      <c r="L7" s="37"/>
      <c r="M7" s="238" t="s">
        <v>764</v>
      </c>
      <c r="N7" s="237"/>
      <c r="O7" s="359"/>
      <c r="P7" s="359"/>
      <c r="Q7" s="232"/>
      <c r="R7" s="232"/>
      <c r="S7" s="232"/>
      <c r="T7" s="232"/>
      <c r="U7" s="42"/>
      <c r="V7" s="49" t="s">
        <v>403</v>
      </c>
      <c r="W7" s="49"/>
      <c r="X7" s="234"/>
      <c r="Y7" s="234"/>
      <c r="Z7" s="40"/>
      <c r="AA7" s="40"/>
      <c r="AB7" s="40"/>
      <c r="AC7" s="40"/>
      <c r="AD7" s="44"/>
      <c r="AE7" s="44"/>
      <c r="AF7" s="1"/>
      <c r="AG7" s="50"/>
      <c r="AH7" s="37"/>
      <c r="AI7" s="28"/>
      <c r="AJ7" s="28"/>
      <c r="AK7" s="37"/>
      <c r="AL7" s="28"/>
      <c r="AM7" s="28"/>
      <c r="AN7" s="28"/>
      <c r="AO7" s="28"/>
      <c r="AP7" s="45"/>
      <c r="AQ7" s="45"/>
      <c r="AR7" s="45"/>
      <c r="AS7" s="45"/>
      <c r="AT7" s="37"/>
      <c r="AU7" s="28"/>
      <c r="AV7" s="28"/>
      <c r="AW7" s="28"/>
      <c r="AX7" s="28"/>
      <c r="AY7" s="28"/>
      <c r="AZ7" s="28"/>
      <c r="CD7" s="37"/>
      <c r="CI7" s="37"/>
      <c r="CT7" s="37"/>
      <c r="CY7" s="37"/>
    </row>
    <row r="8" s="2" customFormat="true" ht="12.75" hidden="false" customHeight="false" outlineLevel="0" collapsed="false">
      <c r="B8" s="32"/>
      <c r="C8" s="32"/>
      <c r="D8" s="33"/>
      <c r="E8" s="33"/>
      <c r="F8" s="33"/>
      <c r="G8" s="33"/>
      <c r="H8" s="229"/>
      <c r="I8" s="37"/>
      <c r="J8" s="36"/>
      <c r="K8" s="36"/>
      <c r="L8" s="37"/>
      <c r="M8" s="239"/>
      <c r="N8" s="237"/>
      <c r="O8" s="359"/>
      <c r="P8" s="359"/>
      <c r="Q8" s="232"/>
      <c r="R8" s="232"/>
      <c r="S8" s="232"/>
      <c r="T8" s="232"/>
      <c r="U8" s="42"/>
      <c r="V8" s="49"/>
      <c r="W8" s="49"/>
      <c r="X8" s="234"/>
      <c r="Y8" s="234"/>
      <c r="Z8" s="40"/>
      <c r="AA8" s="40"/>
      <c r="AB8" s="40"/>
      <c r="AC8" s="40"/>
      <c r="AD8" s="44"/>
      <c r="AE8" s="44"/>
      <c r="AF8" s="1"/>
      <c r="AG8" s="50"/>
      <c r="AH8" s="37"/>
      <c r="AI8" s="28"/>
      <c r="AJ8" s="28"/>
      <c r="AK8" s="37"/>
      <c r="AL8" s="28"/>
      <c r="AM8" s="28"/>
      <c r="AN8" s="28"/>
      <c r="AO8" s="28"/>
      <c r="AP8" s="45"/>
      <c r="AQ8" s="45"/>
      <c r="AR8" s="45"/>
      <c r="AS8" s="45"/>
      <c r="AT8" s="37"/>
      <c r="AU8" s="28"/>
      <c r="AV8" s="28"/>
      <c r="AW8" s="28"/>
      <c r="AX8" s="28"/>
      <c r="AY8" s="28"/>
      <c r="AZ8" s="28"/>
      <c r="CD8" s="37"/>
      <c r="CI8" s="37"/>
      <c r="CT8" s="37"/>
      <c r="CY8" s="37"/>
    </row>
    <row r="9" s="2" customFormat="true" ht="12.75" hidden="false" customHeight="false" outlineLevel="0" collapsed="false">
      <c r="B9" s="32"/>
      <c r="C9" s="32"/>
      <c r="D9" s="33"/>
      <c r="E9" s="33"/>
      <c r="F9" s="33"/>
      <c r="G9" s="33"/>
      <c r="H9" s="229"/>
      <c r="I9" s="37"/>
      <c r="J9" s="36"/>
      <c r="K9" s="36"/>
      <c r="L9" s="37"/>
      <c r="M9" s="238" t="s">
        <v>765</v>
      </c>
      <c r="N9" s="237"/>
      <c r="O9" s="359"/>
      <c r="P9" s="359"/>
      <c r="Q9" s="232"/>
      <c r="R9" s="232"/>
      <c r="S9" s="232"/>
      <c r="T9" s="232"/>
      <c r="U9" s="42"/>
      <c r="V9" s="49"/>
      <c r="W9" s="49"/>
      <c r="X9" s="234"/>
      <c r="Y9" s="234"/>
      <c r="Z9" s="40"/>
      <c r="AA9" s="40"/>
      <c r="AB9" s="40"/>
      <c r="AC9" s="40"/>
      <c r="AD9" s="44"/>
      <c r="AE9" s="44"/>
      <c r="AF9" s="1"/>
      <c r="AG9" s="50"/>
      <c r="AH9" s="37"/>
      <c r="AI9" s="28"/>
      <c r="AJ9" s="28"/>
      <c r="AK9" s="37"/>
      <c r="AL9" s="28"/>
      <c r="AM9" s="28"/>
      <c r="AN9" s="28"/>
      <c r="AO9" s="28"/>
      <c r="AP9" s="45"/>
      <c r="AQ9" s="45"/>
      <c r="AR9" s="45"/>
      <c r="AS9" s="45"/>
      <c r="AT9" s="37"/>
      <c r="AU9" s="28"/>
      <c r="AV9" s="28"/>
      <c r="AW9" s="28"/>
      <c r="AX9" s="28"/>
      <c r="AY9" s="28"/>
      <c r="AZ9" s="28"/>
      <c r="CD9" s="37"/>
      <c r="CI9" s="37"/>
      <c r="CT9" s="37"/>
      <c r="CY9" s="37"/>
    </row>
    <row r="10" s="2" customFormat="true" ht="12.75" hidden="false" customHeight="false" outlineLevel="0" collapsed="false">
      <c r="B10" s="32"/>
      <c r="C10" s="32"/>
      <c r="D10" s="33"/>
      <c r="E10" s="33"/>
      <c r="F10" s="33"/>
      <c r="G10" s="33"/>
      <c r="H10" s="229"/>
      <c r="I10" s="37"/>
      <c r="J10" s="36"/>
      <c r="K10" s="36"/>
      <c r="L10" s="37"/>
      <c r="M10" s="239"/>
      <c r="N10" s="237"/>
      <c r="O10" s="359"/>
      <c r="P10" s="359"/>
      <c r="Q10" s="232"/>
      <c r="R10" s="232"/>
      <c r="S10" s="232"/>
      <c r="T10" s="232"/>
      <c r="U10" s="42"/>
      <c r="V10" s="49"/>
      <c r="W10" s="49"/>
      <c r="X10" s="234"/>
      <c r="Y10" s="234"/>
      <c r="Z10" s="40"/>
      <c r="AA10" s="40"/>
      <c r="AB10" s="40"/>
      <c r="AC10" s="40"/>
      <c r="AD10" s="44"/>
      <c r="AE10" s="44"/>
      <c r="AF10" s="1"/>
      <c r="AG10" s="28"/>
      <c r="AH10" s="37"/>
      <c r="AI10" s="28"/>
      <c r="AJ10" s="28"/>
      <c r="AK10" s="37"/>
      <c r="AL10" s="28"/>
      <c r="AM10" s="28"/>
      <c r="AN10" s="28"/>
      <c r="AO10" s="28"/>
      <c r="AP10" s="45"/>
      <c r="AQ10" s="45"/>
      <c r="AR10" s="45"/>
      <c r="AS10" s="45"/>
      <c r="AT10" s="37"/>
      <c r="AU10" s="28"/>
      <c r="AV10" s="28"/>
      <c r="AW10" s="28"/>
      <c r="AX10" s="28"/>
      <c r="AY10" s="28"/>
      <c r="AZ10" s="28"/>
      <c r="CD10" s="37"/>
      <c r="CI10" s="37"/>
      <c r="CT10" s="37"/>
      <c r="CY10" s="37"/>
    </row>
    <row r="11" s="2" customFormat="true" ht="12.75" hidden="false" customHeight="false" outlineLevel="0" collapsed="false">
      <c r="B11" s="32"/>
      <c r="C11" s="32"/>
      <c r="D11" s="33"/>
      <c r="E11" s="33"/>
      <c r="F11" s="33"/>
      <c r="G11" s="33"/>
      <c r="H11" s="229"/>
      <c r="I11" s="37"/>
      <c r="J11" s="36"/>
      <c r="K11" s="36"/>
      <c r="L11" s="37"/>
      <c r="M11" s="238" t="s">
        <v>405</v>
      </c>
      <c r="N11" s="237"/>
      <c r="O11" s="359"/>
      <c r="P11" s="359"/>
      <c r="Q11" s="232"/>
      <c r="R11" s="232"/>
      <c r="S11" s="232"/>
      <c r="T11" s="232"/>
      <c r="U11" s="42"/>
      <c r="V11" s="49"/>
      <c r="W11" s="49"/>
      <c r="X11" s="234"/>
      <c r="Y11" s="234"/>
      <c r="Z11" s="40"/>
      <c r="AA11" s="40"/>
      <c r="AB11" s="40"/>
      <c r="AC11" s="40"/>
      <c r="AD11" s="44"/>
      <c r="AE11" s="44"/>
      <c r="AF11" s="1"/>
      <c r="AG11" s="28"/>
      <c r="AH11" s="37"/>
      <c r="AI11" s="28"/>
      <c r="AJ11" s="28"/>
      <c r="AK11" s="37"/>
      <c r="AL11" s="28"/>
      <c r="AM11" s="28"/>
      <c r="AN11" s="28"/>
      <c r="AO11" s="28"/>
      <c r="AP11" s="45"/>
      <c r="AQ11" s="45"/>
      <c r="AR11" s="45"/>
      <c r="AS11" s="45"/>
      <c r="AT11" s="37"/>
      <c r="AU11" s="28"/>
      <c r="AV11" s="28"/>
      <c r="AW11" s="28"/>
      <c r="AX11" s="28"/>
      <c r="AY11" s="28"/>
      <c r="AZ11" s="28"/>
      <c r="CD11" s="37"/>
      <c r="CI11" s="37"/>
      <c r="CT11" s="37"/>
      <c r="CY11" s="37"/>
    </row>
    <row r="12" s="2" customFormat="true" ht="13.5" hidden="false" customHeight="false" outlineLevel="0" collapsed="false">
      <c r="B12" s="32"/>
      <c r="C12" s="32"/>
      <c r="D12" s="33"/>
      <c r="E12" s="33"/>
      <c r="F12" s="33"/>
      <c r="G12" s="33"/>
      <c r="H12" s="229"/>
      <c r="I12" s="37"/>
      <c r="J12" s="36"/>
      <c r="K12" s="36"/>
      <c r="L12" s="37"/>
      <c r="M12" s="240"/>
      <c r="N12" s="241"/>
      <c r="O12" s="359"/>
      <c r="P12" s="359"/>
      <c r="Q12" s="232"/>
      <c r="R12" s="232"/>
      <c r="S12" s="232"/>
      <c r="T12" s="232"/>
      <c r="U12" s="42"/>
      <c r="V12" s="49"/>
      <c r="W12" s="49"/>
      <c r="X12" s="234"/>
      <c r="Y12" s="234"/>
      <c r="Z12" s="40"/>
      <c r="AA12" s="40"/>
      <c r="AB12" s="40"/>
      <c r="AC12" s="40"/>
      <c r="AD12" s="44"/>
      <c r="AE12" s="44"/>
      <c r="AF12" s="1"/>
      <c r="AG12" s="28"/>
      <c r="AH12" s="37"/>
      <c r="AI12" s="28"/>
      <c r="AJ12" s="28"/>
      <c r="AK12" s="37"/>
      <c r="AL12" s="28"/>
      <c r="AM12" s="28"/>
      <c r="AN12" s="53"/>
      <c r="AO12" s="53"/>
      <c r="AP12" s="45"/>
      <c r="AQ12" s="45"/>
      <c r="AR12" s="45"/>
      <c r="AS12" s="45"/>
      <c r="AT12" s="37"/>
      <c r="AU12" s="28"/>
      <c r="AV12" s="28"/>
      <c r="AW12" s="28"/>
      <c r="AX12" s="28"/>
      <c r="AY12" s="28"/>
      <c r="AZ12" s="28"/>
      <c r="CD12" s="37"/>
      <c r="CI12" s="37"/>
      <c r="CT12" s="37"/>
      <c r="CY12" s="37"/>
    </row>
    <row r="13" s="2" customFormat="true" ht="12" hidden="false" customHeight="true" outlineLevel="0" collapsed="false">
      <c r="B13" s="32"/>
      <c r="C13" s="32"/>
      <c r="D13" s="54" t="s">
        <v>25</v>
      </c>
      <c r="E13" s="54"/>
      <c r="F13" s="54"/>
      <c r="G13" s="54"/>
      <c r="H13" s="242"/>
      <c r="I13" s="37"/>
      <c r="J13" s="56" t="s">
        <v>12</v>
      </c>
      <c r="K13" s="56"/>
      <c r="L13" s="37"/>
      <c r="M13" s="243" t="s">
        <v>12</v>
      </c>
      <c r="N13" s="243"/>
      <c r="O13" s="360" t="s">
        <v>766</v>
      </c>
      <c r="P13" s="360"/>
      <c r="Q13" s="244" t="s">
        <v>763</v>
      </c>
      <c r="R13" s="244"/>
      <c r="S13" s="244" t="s">
        <v>398</v>
      </c>
      <c r="T13" s="244"/>
      <c r="U13" s="42"/>
      <c r="V13" s="245" t="s">
        <v>406</v>
      </c>
      <c r="W13" s="245"/>
      <c r="X13" s="246" t="s">
        <v>407</v>
      </c>
      <c r="Y13" s="246"/>
      <c r="Z13" s="246" t="s">
        <v>408</v>
      </c>
      <c r="AA13" s="246"/>
      <c r="AB13" s="246" t="s">
        <v>409</v>
      </c>
      <c r="AC13" s="246"/>
      <c r="AD13" s="55" t="s">
        <v>410</v>
      </c>
      <c r="AE13" s="55"/>
      <c r="AF13" s="1"/>
      <c r="AG13" s="28"/>
      <c r="AH13" s="37"/>
      <c r="AI13" s="28"/>
      <c r="AJ13" s="28"/>
      <c r="AK13" s="37"/>
      <c r="AL13" s="28"/>
      <c r="AM13" s="28"/>
      <c r="AN13" s="53"/>
      <c r="AO13" s="53"/>
      <c r="AP13" s="45"/>
      <c r="AQ13" s="45"/>
      <c r="AR13" s="45"/>
      <c r="AS13" s="45"/>
      <c r="AT13" s="37"/>
      <c r="AU13" s="28"/>
      <c r="AV13" s="28"/>
      <c r="AW13" s="28"/>
      <c r="AX13" s="28"/>
      <c r="AY13" s="28"/>
      <c r="AZ13" s="28"/>
    </row>
    <row r="14" s="2" customFormat="true" ht="13.5" hidden="false" customHeight="true" outlineLevel="0" collapsed="false">
      <c r="B14" s="32"/>
      <c r="C14" s="32"/>
      <c r="D14" s="54"/>
      <c r="E14" s="54"/>
      <c r="F14" s="54"/>
      <c r="G14" s="54"/>
      <c r="H14" s="247"/>
      <c r="I14" s="37"/>
      <c r="J14" s="63" t="s">
        <v>12</v>
      </c>
      <c r="K14" s="63"/>
      <c r="L14" s="37"/>
      <c r="M14" s="64" t="s">
        <v>12</v>
      </c>
      <c r="N14" s="64"/>
      <c r="O14" s="65" t="s">
        <v>12</v>
      </c>
      <c r="P14" s="65"/>
      <c r="Q14" s="66" t="s">
        <v>12</v>
      </c>
      <c r="R14" s="66"/>
      <c r="S14" s="67" t="s">
        <v>12</v>
      </c>
      <c r="T14" s="67"/>
      <c r="U14" s="42"/>
      <c r="V14" s="248" t="s">
        <v>411</v>
      </c>
      <c r="W14" s="248"/>
      <c r="X14" s="248" t="s">
        <v>412</v>
      </c>
      <c r="Y14" s="248"/>
      <c r="Z14" s="249"/>
      <c r="AA14" s="251"/>
      <c r="AB14" s="249"/>
      <c r="AC14" s="251"/>
      <c r="AD14" s="249"/>
      <c r="AE14" s="252"/>
      <c r="AF14" s="1"/>
      <c r="AG14" s="28"/>
      <c r="AH14" s="37"/>
      <c r="AI14" s="28"/>
      <c r="AJ14" s="28"/>
      <c r="AK14" s="37"/>
      <c r="AL14" s="28"/>
      <c r="AM14" s="28"/>
      <c r="AN14" s="53"/>
      <c r="AO14" s="53"/>
      <c r="AP14" s="45"/>
      <c r="AQ14" s="45"/>
      <c r="AR14" s="45"/>
      <c r="AS14" s="45"/>
      <c r="AT14" s="37"/>
      <c r="AU14" s="28"/>
      <c r="AV14" s="28"/>
      <c r="AW14" s="28"/>
      <c r="AX14" s="28"/>
      <c r="AY14" s="28"/>
      <c r="AZ14" s="28"/>
    </row>
    <row r="15" s="2" customFormat="true" ht="16.5" hidden="false" customHeight="true" outlineLevel="0" collapsed="false">
      <c r="B15" s="32"/>
      <c r="C15" s="32"/>
      <c r="D15" s="72" t="s">
        <v>34</v>
      </c>
      <c r="E15" s="72"/>
      <c r="F15" s="72"/>
      <c r="G15" s="72"/>
      <c r="H15" s="253" t="s">
        <v>12</v>
      </c>
      <c r="I15" s="74"/>
      <c r="J15" s="75" t="s">
        <v>12</v>
      </c>
      <c r="K15" s="75"/>
      <c r="L15" s="37"/>
      <c r="M15" s="76" t="s">
        <v>35</v>
      </c>
      <c r="N15" s="76"/>
      <c r="O15" s="77" t="s">
        <v>36</v>
      </c>
      <c r="P15" s="77"/>
      <c r="Q15" s="78" t="s">
        <v>36</v>
      </c>
      <c r="R15" s="78"/>
      <c r="S15" s="78" t="s">
        <v>36</v>
      </c>
      <c r="T15" s="78"/>
      <c r="U15" s="233"/>
      <c r="V15" s="76" t="s">
        <v>35</v>
      </c>
      <c r="W15" s="76"/>
      <c r="X15" s="77" t="s">
        <v>36</v>
      </c>
      <c r="Y15" s="77"/>
      <c r="Z15" s="78" t="s">
        <v>36</v>
      </c>
      <c r="AA15" s="78"/>
      <c r="AB15" s="78" t="s">
        <v>36</v>
      </c>
      <c r="AC15" s="78"/>
      <c r="AD15" s="79" t="s">
        <v>36</v>
      </c>
      <c r="AE15" s="79"/>
      <c r="AF15" s="1"/>
      <c r="AG15" s="80"/>
      <c r="AH15" s="35"/>
      <c r="AI15" s="28"/>
      <c r="AJ15" s="28"/>
      <c r="AK15" s="37"/>
      <c r="AL15" s="28"/>
      <c r="AM15" s="28"/>
      <c r="AN15" s="45"/>
      <c r="AO15" s="45"/>
      <c r="AP15" s="28"/>
      <c r="AQ15" s="28"/>
      <c r="AR15" s="28"/>
      <c r="AS15" s="28"/>
      <c r="AT15" s="37"/>
      <c r="AU15" s="28"/>
      <c r="AV15" s="28"/>
      <c r="AW15" s="28"/>
      <c r="AX15" s="28"/>
      <c r="AY15" s="28"/>
      <c r="AZ15" s="28"/>
    </row>
    <row r="16" s="2" customFormat="true" ht="39" hidden="false" customHeight="true" outlineLevel="0" collapsed="false">
      <c r="B16" s="32"/>
      <c r="C16" s="32"/>
      <c r="D16" s="72" t="s">
        <v>37</v>
      </c>
      <c r="E16" s="72"/>
      <c r="F16" s="72"/>
      <c r="G16" s="72"/>
      <c r="H16" s="253" t="s">
        <v>38</v>
      </c>
      <c r="I16" s="74"/>
      <c r="J16" s="81" t="s">
        <v>413</v>
      </c>
      <c r="K16" s="81"/>
      <c r="L16" s="37"/>
      <c r="M16" s="82" t="s">
        <v>40</v>
      </c>
      <c r="N16" s="82"/>
      <c r="O16" s="77" t="s">
        <v>41</v>
      </c>
      <c r="P16" s="77"/>
      <c r="Q16" s="77" t="s">
        <v>41</v>
      </c>
      <c r="R16" s="77"/>
      <c r="S16" s="77" t="s">
        <v>41</v>
      </c>
      <c r="T16" s="77"/>
      <c r="U16" s="233"/>
      <c r="V16" s="82" t="s">
        <v>40</v>
      </c>
      <c r="W16" s="82"/>
      <c r="X16" s="77" t="s">
        <v>41</v>
      </c>
      <c r="Y16" s="77"/>
      <c r="Z16" s="77" t="s">
        <v>41</v>
      </c>
      <c r="AA16" s="77"/>
      <c r="AB16" s="77" t="s">
        <v>41</v>
      </c>
      <c r="AC16" s="77"/>
      <c r="AD16" s="83" t="s">
        <v>41</v>
      </c>
      <c r="AE16" s="83"/>
      <c r="AF16" s="1"/>
      <c r="AG16" s="80"/>
      <c r="AH16" s="35"/>
      <c r="AI16" s="45"/>
      <c r="AJ16" s="28"/>
      <c r="AK16" s="37"/>
      <c r="AL16" s="45"/>
      <c r="AM16" s="45"/>
      <c r="AN16" s="45"/>
      <c r="AO16" s="28"/>
      <c r="AP16" s="45"/>
      <c r="AQ16" s="28"/>
      <c r="AR16" s="45"/>
      <c r="AS16" s="28"/>
      <c r="AT16" s="37"/>
      <c r="AU16" s="45"/>
      <c r="AV16" s="28"/>
      <c r="AW16" s="45"/>
      <c r="AX16" s="28"/>
      <c r="AY16" s="45"/>
      <c r="AZ16" s="28"/>
    </row>
    <row r="17" s="2" customFormat="true" ht="16.5" hidden="false" customHeight="true" outlineLevel="0" collapsed="false">
      <c r="B17" s="32"/>
      <c r="C17" s="32"/>
      <c r="D17" s="84" t="s">
        <v>42</v>
      </c>
      <c r="E17" s="84"/>
      <c r="F17" s="84"/>
      <c r="G17" s="84"/>
      <c r="H17" s="255" t="s">
        <v>12</v>
      </c>
      <c r="I17" s="86"/>
      <c r="J17" s="75" t="s">
        <v>12</v>
      </c>
      <c r="K17" s="75"/>
      <c r="L17" s="37"/>
      <c r="M17" s="87" t="s">
        <v>43</v>
      </c>
      <c r="N17" s="87"/>
      <c r="O17" s="78" t="s">
        <v>43</v>
      </c>
      <c r="P17" s="78"/>
      <c r="Q17" s="78" t="s">
        <v>43</v>
      </c>
      <c r="R17" s="78"/>
      <c r="S17" s="78" t="s">
        <v>43</v>
      </c>
      <c r="T17" s="78"/>
      <c r="U17" s="233"/>
      <c r="V17" s="87" t="s">
        <v>43</v>
      </c>
      <c r="W17" s="87"/>
      <c r="X17" s="78" t="s">
        <v>43</v>
      </c>
      <c r="Y17" s="78"/>
      <c r="Z17" s="78" t="s">
        <v>43</v>
      </c>
      <c r="AA17" s="78"/>
      <c r="AB17" s="78" t="s">
        <v>43</v>
      </c>
      <c r="AC17" s="78"/>
      <c r="AD17" s="79" t="s">
        <v>43</v>
      </c>
      <c r="AE17" s="79"/>
      <c r="AF17" s="1"/>
      <c r="AG17" s="88"/>
      <c r="AH17" s="37"/>
      <c r="AI17" s="28"/>
      <c r="AJ17" s="28"/>
      <c r="AK17" s="37"/>
      <c r="AL17" s="28"/>
      <c r="AM17" s="28"/>
      <c r="AN17" s="28"/>
      <c r="AO17" s="28"/>
      <c r="AP17" s="28"/>
      <c r="AQ17" s="28"/>
      <c r="AR17" s="28"/>
      <c r="AS17" s="28"/>
      <c r="AT17" s="37"/>
      <c r="AU17" s="28"/>
      <c r="AV17" s="28"/>
      <c r="AW17" s="28"/>
      <c r="AX17" s="28"/>
      <c r="AY17" s="45"/>
      <c r="AZ17" s="28"/>
    </row>
    <row r="18" s="2" customFormat="true" ht="24" hidden="false" customHeight="false" outlineLevel="0" collapsed="false">
      <c r="B18" s="257"/>
      <c r="C18" s="257"/>
      <c r="D18" s="258"/>
      <c r="E18" s="258"/>
      <c r="F18" s="259"/>
      <c r="G18" s="259"/>
      <c r="H18" s="260"/>
      <c r="I18" s="88"/>
      <c r="J18" s="262"/>
      <c r="K18" s="262"/>
      <c r="L18" s="88"/>
      <c r="M18" s="263"/>
      <c r="N18" s="263"/>
      <c r="O18" s="263"/>
      <c r="P18" s="263"/>
      <c r="Q18" s="263"/>
      <c r="R18" s="263"/>
      <c r="S18" s="263"/>
      <c r="T18" s="263"/>
      <c r="U18" s="88"/>
      <c r="V18" s="263"/>
      <c r="W18" s="262"/>
      <c r="X18" s="263"/>
      <c r="Y18" s="262"/>
      <c r="Z18" s="263"/>
      <c r="AA18" s="263"/>
      <c r="AB18" s="263"/>
      <c r="AC18" s="263"/>
      <c r="AD18" s="263"/>
      <c r="AE18" s="262"/>
      <c r="AF18" s="1"/>
      <c r="AG18" s="88"/>
      <c r="AH18" s="37"/>
      <c r="AI18" s="28"/>
      <c r="AJ18" s="28"/>
      <c r="AK18" s="37"/>
      <c r="AL18" s="28"/>
      <c r="AM18" s="28"/>
      <c r="AN18" s="28"/>
      <c r="AO18" s="28"/>
      <c r="AP18" s="28"/>
      <c r="AQ18" s="28"/>
      <c r="AR18" s="28"/>
      <c r="AS18" s="28"/>
      <c r="AT18" s="37"/>
      <c r="AU18" s="28"/>
      <c r="AV18" s="28"/>
      <c r="AW18" s="28"/>
      <c r="AX18" s="28"/>
      <c r="AY18" s="45"/>
      <c r="AZ18" s="28"/>
    </row>
    <row r="19" customFormat="false" ht="18.75" hidden="false" customHeight="true" outlineLevel="0" collapsed="false">
      <c r="B19" s="95"/>
      <c r="C19" s="96" t="s">
        <v>767</v>
      </c>
      <c r="H19" s="212"/>
      <c r="U19" s="2"/>
      <c r="BD19" s="361" t="s">
        <v>768</v>
      </c>
      <c r="BE19" s="361"/>
      <c r="BF19" s="361"/>
      <c r="BG19" s="361"/>
      <c r="BH19" s="361"/>
      <c r="BI19" s="361"/>
      <c r="BJ19" s="361"/>
      <c r="BK19" s="361"/>
      <c r="BL19" s="361"/>
      <c r="BM19" s="361"/>
      <c r="BN19" s="361"/>
      <c r="BO19" s="361"/>
      <c r="BP19" s="361"/>
      <c r="BQ19" s="361"/>
      <c r="BR19" s="361"/>
      <c r="BS19" s="361"/>
      <c r="BT19" s="361"/>
      <c r="BU19" s="361"/>
      <c r="BV19" s="361"/>
      <c r="BW19" s="361"/>
      <c r="BX19" s="361"/>
      <c r="BY19" s="361"/>
      <c r="CA19" s="98" t="s">
        <v>58</v>
      </c>
      <c r="CB19" s="98"/>
      <c r="CC19" s="98"/>
      <c r="CD19" s="98"/>
      <c r="CE19" s="98"/>
      <c r="CF19" s="98"/>
      <c r="CG19" s="98"/>
      <c r="CH19" s="98"/>
      <c r="CI19" s="98"/>
      <c r="CJ19" s="98"/>
      <c r="CK19" s="98"/>
      <c r="CL19" s="98"/>
      <c r="CM19" s="98"/>
      <c r="CQ19" s="362" t="s">
        <v>415</v>
      </c>
      <c r="CR19" s="362"/>
      <c r="CS19" s="362"/>
      <c r="CT19" s="362"/>
      <c r="CU19" s="362"/>
      <c r="CV19" s="362"/>
      <c r="CW19" s="362"/>
      <c r="CX19" s="362"/>
      <c r="CY19" s="362"/>
      <c r="CZ19" s="362"/>
      <c r="DA19" s="362"/>
      <c r="DB19" s="362"/>
      <c r="DC19" s="362"/>
    </row>
    <row r="20" s="2" customFormat="true" ht="14.25" hidden="false" customHeight="false" outlineLevel="0" collapsed="false">
      <c r="C20" s="96" t="s">
        <v>59</v>
      </c>
      <c r="D20" s="99"/>
      <c r="E20" s="99"/>
      <c r="H20" s="212"/>
      <c r="AF20" s="1"/>
      <c r="AH20" s="1"/>
      <c r="AK20" s="1"/>
      <c r="AT20" s="1"/>
      <c r="CQ20" s="211"/>
      <c r="CR20" s="211"/>
      <c r="CS20" s="211"/>
      <c r="CT20" s="211"/>
      <c r="CY20" s="211"/>
    </row>
    <row r="21" s="268" customFormat="true" ht="15" hidden="false" customHeight="false" outlineLevel="0" collapsed="false">
      <c r="B21" s="211"/>
      <c r="C21" s="363" t="s">
        <v>769</v>
      </c>
      <c r="I21" s="271"/>
      <c r="L21" s="271"/>
      <c r="U21" s="271"/>
      <c r="AF21" s="271"/>
      <c r="AH21" s="271"/>
      <c r="AK21" s="271"/>
      <c r="AT21" s="271"/>
      <c r="BE21" s="268" t="n">
        <v>7</v>
      </c>
      <c r="BF21" s="268" t="n">
        <v>8</v>
      </c>
      <c r="BG21" s="268" t="n">
        <v>9</v>
      </c>
      <c r="BH21" s="268" t="n">
        <v>10</v>
      </c>
      <c r="BI21" s="272" t="n">
        <v>13</v>
      </c>
      <c r="BJ21" s="272" t="n">
        <v>14</v>
      </c>
      <c r="BK21" s="272" t="n">
        <v>15</v>
      </c>
      <c r="BL21" s="272" t="n">
        <v>16</v>
      </c>
      <c r="BM21" s="272" t="n">
        <v>17</v>
      </c>
      <c r="BN21" s="272" t="n">
        <v>18</v>
      </c>
      <c r="BO21" s="272" t="n">
        <v>19</v>
      </c>
      <c r="BP21" s="272" t="n">
        <v>20</v>
      </c>
      <c r="BQ21" s="272" t="n">
        <v>21</v>
      </c>
      <c r="BR21" s="272" t="n">
        <v>22</v>
      </c>
      <c r="BS21" s="272" t="n">
        <v>23</v>
      </c>
      <c r="BT21" s="272" t="n">
        <v>24</v>
      </c>
      <c r="BU21" s="272" t="n">
        <v>25</v>
      </c>
      <c r="BV21" s="272" t="n">
        <v>26</v>
      </c>
      <c r="BW21" s="272" t="n">
        <v>27</v>
      </c>
      <c r="BX21" s="272" t="n">
        <v>28</v>
      </c>
      <c r="BY21" s="272" t="n">
        <v>29</v>
      </c>
    </row>
    <row r="22" s="2" customFormat="true" ht="20.25" hidden="false" customHeight="false" outlineLevel="0" collapsed="false">
      <c r="B22" s="364" t="s">
        <v>770</v>
      </c>
      <c r="C22" s="365"/>
      <c r="D22" s="366"/>
      <c r="E22" s="366"/>
      <c r="F22" s="366"/>
      <c r="G22" s="367"/>
      <c r="H22" s="367"/>
      <c r="I22" s="367"/>
      <c r="J22" s="367"/>
      <c r="K22" s="367"/>
      <c r="L22" s="367"/>
      <c r="M22" s="367"/>
      <c r="N22" s="367"/>
      <c r="O22" s="367"/>
      <c r="P22" s="367"/>
      <c r="Q22" s="367"/>
      <c r="R22" s="367"/>
      <c r="S22" s="367"/>
      <c r="T22" s="367"/>
      <c r="U22" s="367"/>
      <c r="V22" s="367"/>
      <c r="W22" s="367"/>
      <c r="X22" s="367"/>
      <c r="Y22" s="367"/>
      <c r="Z22" s="367"/>
      <c r="AA22" s="367"/>
      <c r="AB22" s="367"/>
      <c r="AC22" s="367"/>
      <c r="AD22" s="367"/>
      <c r="AE22" s="364"/>
      <c r="AF22" s="364"/>
      <c r="AG22" s="364"/>
      <c r="AH22" s="364"/>
      <c r="AI22" s="364"/>
      <c r="AJ22" s="364"/>
      <c r="AK22" s="364"/>
      <c r="AL22" s="364"/>
      <c r="AM22" s="364"/>
      <c r="AN22" s="364"/>
      <c r="AO22" s="364"/>
      <c r="AP22" s="364"/>
      <c r="AQ22" s="364"/>
      <c r="AR22" s="364"/>
      <c r="AS22" s="364"/>
      <c r="AT22" s="364"/>
      <c r="AU22" s="364"/>
      <c r="AV22" s="364"/>
      <c r="AW22" s="364"/>
      <c r="AX22" s="364"/>
      <c r="AY22" s="364"/>
      <c r="AZ22" s="364"/>
      <c r="BA22" s="364"/>
      <c r="BE22" s="268"/>
      <c r="BF22" s="268"/>
      <c r="BG22" s="268"/>
      <c r="BH22" s="268"/>
      <c r="BI22" s="272"/>
      <c r="BJ22" s="272"/>
      <c r="BK22" s="272"/>
      <c r="BL22" s="272"/>
      <c r="BM22" s="272"/>
      <c r="BN22" s="272"/>
      <c r="BO22" s="272"/>
      <c r="BP22" s="272"/>
      <c r="BQ22" s="272"/>
      <c r="BR22" s="272"/>
      <c r="BS22" s="272"/>
      <c r="BT22" s="272"/>
      <c r="BU22" s="272"/>
      <c r="BV22" s="272"/>
      <c r="BW22" s="272"/>
      <c r="BX22" s="272"/>
      <c r="BY22" s="272"/>
      <c r="CQ22" s="211"/>
      <c r="CR22" s="211"/>
      <c r="CS22" s="211"/>
      <c r="CT22" s="211"/>
      <c r="CY22" s="211"/>
    </row>
    <row r="23" customFormat="false" ht="15" hidden="false" customHeight="false" outlineLevel="0" collapsed="false">
      <c r="C23" s="96"/>
      <c r="D23" s="268" t="n">
        <v>2</v>
      </c>
      <c r="E23" s="268" t="n">
        <v>3</v>
      </c>
      <c r="F23" s="268" t="n">
        <v>4</v>
      </c>
      <c r="G23" s="268" t="n">
        <v>5</v>
      </c>
      <c r="H23" s="99"/>
      <c r="I23" s="368"/>
      <c r="J23" s="99"/>
      <c r="K23" s="99"/>
      <c r="L23" s="368"/>
      <c r="M23" s="99"/>
      <c r="N23" s="99"/>
      <c r="O23" s="99"/>
      <c r="P23" s="99"/>
      <c r="Q23" s="99"/>
      <c r="R23" s="99"/>
      <c r="S23" s="99"/>
      <c r="T23" s="99"/>
      <c r="U23" s="368"/>
      <c r="V23" s="99"/>
      <c r="W23" s="99"/>
      <c r="X23" s="99"/>
      <c r="Y23" s="99"/>
      <c r="Z23" s="99"/>
      <c r="AA23" s="99"/>
      <c r="AB23" s="99"/>
      <c r="AC23" s="99"/>
      <c r="AD23" s="99"/>
      <c r="AE23" s="99"/>
      <c r="BE23" s="268"/>
      <c r="BF23" s="268"/>
      <c r="BG23" s="268"/>
      <c r="BH23" s="268"/>
      <c r="BI23" s="272"/>
      <c r="BJ23" s="272"/>
      <c r="BK23" s="272"/>
      <c r="BL23" s="272"/>
      <c r="BM23" s="272"/>
      <c r="BN23" s="272"/>
      <c r="BO23" s="272"/>
      <c r="BP23" s="272"/>
      <c r="BQ23" s="272"/>
      <c r="BR23" s="272"/>
      <c r="BS23" s="272"/>
      <c r="BT23" s="272"/>
      <c r="BU23" s="272"/>
      <c r="BV23" s="272"/>
      <c r="BW23" s="272"/>
      <c r="BX23" s="272"/>
      <c r="BY23" s="272"/>
      <c r="CB23" s="2"/>
      <c r="CD23" s="2"/>
      <c r="CE23" s="2"/>
      <c r="CI23" s="2"/>
      <c r="CQ23" s="211"/>
      <c r="CR23" s="211"/>
      <c r="CS23" s="211"/>
      <c r="CT23" s="211"/>
      <c r="CU23" s="2"/>
      <c r="CY23" s="211"/>
    </row>
    <row r="24" customFormat="false" ht="18.75" hidden="false" customHeight="true" outlineLevel="0" collapsed="false">
      <c r="B24" s="101" t="s">
        <v>61</v>
      </c>
      <c r="C24" s="101"/>
      <c r="D24" s="101"/>
      <c r="E24" s="101"/>
      <c r="F24" s="101"/>
      <c r="G24" s="101"/>
      <c r="H24" s="102" t="s">
        <v>1</v>
      </c>
      <c r="J24" s="102" t="s">
        <v>62</v>
      </c>
      <c r="K24" s="102"/>
      <c r="L24" s="6"/>
      <c r="M24" s="102" t="s">
        <v>63</v>
      </c>
      <c r="N24" s="102"/>
      <c r="O24" s="102"/>
      <c r="P24" s="102"/>
      <c r="Q24" s="102"/>
      <c r="R24" s="102"/>
      <c r="S24" s="102"/>
      <c r="T24" s="102"/>
      <c r="U24" s="102"/>
      <c r="V24" s="102"/>
      <c r="W24" s="102"/>
      <c r="X24" s="102"/>
      <c r="Y24" s="102"/>
      <c r="Z24" s="102"/>
      <c r="AA24" s="102"/>
      <c r="AB24" s="102"/>
      <c r="AC24" s="102"/>
      <c r="AD24" s="102"/>
      <c r="AE24" s="102"/>
      <c r="AG24" s="102" t="s">
        <v>65</v>
      </c>
      <c r="AI24" s="102" t="s">
        <v>66</v>
      </c>
      <c r="AJ24" s="102"/>
      <c r="AK24" s="6"/>
      <c r="AL24" s="104" t="s">
        <v>67</v>
      </c>
      <c r="AM24" s="104"/>
      <c r="AN24" s="104"/>
      <c r="AO24" s="104"/>
      <c r="AP24" s="104"/>
      <c r="AQ24" s="104"/>
      <c r="AR24" s="104"/>
      <c r="AS24" s="104"/>
      <c r="AT24" s="104"/>
      <c r="AU24" s="104"/>
      <c r="AV24" s="104"/>
      <c r="AW24" s="104"/>
      <c r="AX24" s="104"/>
      <c r="AY24" s="104"/>
      <c r="AZ24" s="104"/>
      <c r="BA24" s="104"/>
      <c r="BB24" s="104"/>
      <c r="BD24" s="102" t="s">
        <v>417</v>
      </c>
      <c r="BF24" s="102" t="s">
        <v>62</v>
      </c>
      <c r="BG24" s="102"/>
      <c r="BH24" s="6"/>
      <c r="BI24" s="102" t="s">
        <v>63</v>
      </c>
      <c r="BJ24" s="102"/>
      <c r="BK24" s="102"/>
      <c r="BL24" s="102"/>
      <c r="BM24" s="102"/>
      <c r="BN24" s="102"/>
      <c r="BO24" s="102"/>
      <c r="BP24" s="102"/>
      <c r="BQ24" s="102"/>
      <c r="BR24" s="102"/>
      <c r="BS24" s="102"/>
      <c r="BT24" s="102"/>
      <c r="BU24" s="102"/>
      <c r="BV24" s="102"/>
      <c r="BW24" s="102"/>
      <c r="BX24" s="102"/>
      <c r="BY24" s="102"/>
      <c r="CA24" s="97" t="s">
        <v>1</v>
      </c>
      <c r="CC24" s="97" t="s">
        <v>62</v>
      </c>
      <c r="CE24" s="97" t="s">
        <v>63</v>
      </c>
      <c r="CF24" s="97"/>
      <c r="CG24" s="97"/>
      <c r="CH24" s="97"/>
      <c r="CI24" s="97"/>
      <c r="CJ24" s="97"/>
      <c r="CK24" s="97"/>
      <c r="CL24" s="97"/>
      <c r="CM24" s="97"/>
      <c r="CQ24" s="97" t="s">
        <v>1</v>
      </c>
      <c r="CS24" s="97" t="s">
        <v>62</v>
      </c>
      <c r="CU24" s="97" t="s">
        <v>63</v>
      </c>
      <c r="CV24" s="97"/>
      <c r="CW24" s="97"/>
      <c r="CX24" s="97"/>
      <c r="CY24" s="97"/>
      <c r="CZ24" s="97"/>
      <c r="DA24" s="97"/>
      <c r="DB24" s="97"/>
      <c r="DC24" s="97"/>
    </row>
    <row r="25" customFormat="false" ht="18.75" hidden="false" customHeight="false" outlineLevel="0" collapsed="false">
      <c r="B25" s="101"/>
      <c r="C25" s="101"/>
      <c r="D25" s="101"/>
      <c r="E25" s="101"/>
      <c r="F25" s="101"/>
      <c r="G25" s="101"/>
      <c r="H25" s="102"/>
      <c r="J25" s="102"/>
      <c r="K25" s="102"/>
      <c r="L25" s="6"/>
      <c r="M25" s="105"/>
      <c r="N25" s="6"/>
      <c r="O25" s="6"/>
      <c r="P25" s="6"/>
      <c r="Q25" s="6"/>
      <c r="R25" s="6"/>
      <c r="S25" s="6"/>
      <c r="T25" s="6"/>
      <c r="U25" s="6"/>
      <c r="V25" s="6"/>
      <c r="W25" s="6"/>
      <c r="X25" s="6"/>
      <c r="Y25" s="6"/>
      <c r="Z25" s="6"/>
      <c r="AA25" s="6"/>
      <c r="AB25" s="6"/>
      <c r="AC25" s="6"/>
      <c r="AD25" s="6"/>
      <c r="AE25" s="6"/>
      <c r="AG25" s="102"/>
      <c r="AI25" s="102"/>
      <c r="AJ25" s="102"/>
      <c r="AK25" s="6"/>
      <c r="AL25" s="105"/>
      <c r="AM25" s="6"/>
      <c r="AN25" s="6"/>
      <c r="AO25" s="6"/>
      <c r="AP25" s="6"/>
      <c r="AQ25" s="6"/>
      <c r="AR25" s="6"/>
      <c r="AS25" s="6"/>
      <c r="AT25" s="6"/>
      <c r="AU25" s="6"/>
      <c r="AV25" s="6"/>
      <c r="AW25" s="6"/>
      <c r="AX25" s="6"/>
      <c r="AY25" s="6"/>
      <c r="AZ25" s="6"/>
      <c r="BA25" s="6"/>
      <c r="BB25" s="6"/>
      <c r="BD25" s="102"/>
      <c r="BF25" s="102"/>
      <c r="BG25" s="102"/>
      <c r="BH25" s="6"/>
      <c r="BI25" s="105"/>
      <c r="BJ25" s="6"/>
      <c r="BK25" s="6"/>
      <c r="BL25" s="6"/>
      <c r="BM25" s="6"/>
      <c r="BN25" s="6"/>
      <c r="BO25" s="6"/>
      <c r="BP25" s="6"/>
      <c r="BQ25" s="6"/>
      <c r="BR25" s="6"/>
      <c r="BS25" s="6"/>
      <c r="BT25" s="6"/>
      <c r="BU25" s="6"/>
      <c r="BV25" s="6"/>
      <c r="BW25" s="6"/>
      <c r="BX25" s="6"/>
      <c r="BY25" s="6"/>
      <c r="CA25" s="97"/>
      <c r="CC25" s="97"/>
      <c r="CE25" s="105"/>
      <c r="CF25" s="6"/>
      <c r="CG25" s="6"/>
      <c r="CH25" s="6"/>
      <c r="CJ25" s="6"/>
      <c r="CK25" s="6"/>
      <c r="CL25" s="6"/>
      <c r="CM25" s="6"/>
      <c r="CQ25" s="97"/>
      <c r="CS25" s="97"/>
      <c r="CU25" s="105"/>
      <c r="CV25" s="6"/>
      <c r="CW25" s="6"/>
      <c r="CX25" s="6"/>
      <c r="CZ25" s="6"/>
      <c r="DA25" s="6"/>
      <c r="DB25" s="6"/>
      <c r="DC25" s="6"/>
    </row>
    <row r="26" customFormat="false" ht="30.75" hidden="false" customHeight="true" outlineLevel="0" collapsed="false">
      <c r="B26" s="101"/>
      <c r="C26" s="101"/>
      <c r="D26" s="101"/>
      <c r="E26" s="101"/>
      <c r="F26" s="101"/>
      <c r="G26" s="101"/>
      <c r="H26" s="102"/>
      <c r="J26" s="102"/>
      <c r="K26" s="102"/>
      <c r="L26" s="21"/>
      <c r="M26" s="106" t="s">
        <v>68</v>
      </c>
      <c r="N26" s="106"/>
      <c r="O26" s="106"/>
      <c r="P26" s="106"/>
      <c r="Q26" s="106"/>
      <c r="R26" s="106"/>
      <c r="S26" s="106"/>
      <c r="T26" s="106"/>
      <c r="U26" s="14"/>
      <c r="V26" s="106" t="s">
        <v>69</v>
      </c>
      <c r="W26" s="106"/>
      <c r="X26" s="106"/>
      <c r="Y26" s="106"/>
      <c r="Z26" s="106"/>
      <c r="AA26" s="106"/>
      <c r="AB26" s="106"/>
      <c r="AC26" s="106"/>
      <c r="AD26" s="106"/>
      <c r="AE26" s="106"/>
      <c r="AG26" s="102"/>
      <c r="AI26" s="102"/>
      <c r="AJ26" s="102"/>
      <c r="AK26" s="21"/>
      <c r="AL26" s="106" t="s">
        <v>68</v>
      </c>
      <c r="AM26" s="106"/>
      <c r="AN26" s="106"/>
      <c r="AO26" s="106"/>
      <c r="AP26" s="106"/>
      <c r="AQ26" s="106"/>
      <c r="AR26" s="106"/>
      <c r="AS26" s="106"/>
      <c r="AT26" s="14"/>
      <c r="AU26" s="106" t="s">
        <v>69</v>
      </c>
      <c r="AV26" s="106"/>
      <c r="AW26" s="106"/>
      <c r="AX26" s="106"/>
      <c r="AY26" s="106"/>
      <c r="AZ26" s="106"/>
      <c r="BA26" s="106"/>
      <c r="BB26" s="106"/>
      <c r="BD26" s="102"/>
      <c r="BF26" s="102"/>
      <c r="BG26" s="102"/>
      <c r="BH26" s="21"/>
      <c r="BI26" s="106" t="s">
        <v>68</v>
      </c>
      <c r="BJ26" s="106"/>
      <c r="BK26" s="106"/>
      <c r="BL26" s="106"/>
      <c r="BM26" s="106"/>
      <c r="BN26" s="106"/>
      <c r="BO26" s="106"/>
      <c r="BP26" s="106"/>
      <c r="BQ26" s="14"/>
      <c r="BR26" s="106" t="s">
        <v>69</v>
      </c>
      <c r="BS26" s="106"/>
      <c r="BT26" s="106"/>
      <c r="BU26" s="106"/>
      <c r="BV26" s="106"/>
      <c r="BW26" s="106"/>
      <c r="BX26" s="106"/>
      <c r="BY26" s="106"/>
      <c r="CA26" s="97"/>
      <c r="CC26" s="97"/>
      <c r="CE26" s="276" t="s">
        <v>68</v>
      </c>
      <c r="CF26" s="276"/>
      <c r="CG26" s="276"/>
      <c r="CH26" s="276"/>
      <c r="CJ26" s="276" t="s">
        <v>69</v>
      </c>
      <c r="CK26" s="276"/>
      <c r="CL26" s="276"/>
      <c r="CM26" s="276"/>
      <c r="CO26" s="277" t="s">
        <v>419</v>
      </c>
      <c r="CQ26" s="97"/>
      <c r="CS26" s="97"/>
      <c r="CU26" s="276" t="s">
        <v>68</v>
      </c>
      <c r="CV26" s="276"/>
      <c r="CW26" s="276"/>
      <c r="CX26" s="276"/>
      <c r="CY26" s="2"/>
      <c r="CZ26" s="276" t="s">
        <v>69</v>
      </c>
      <c r="DA26" s="276"/>
      <c r="DB26" s="276"/>
      <c r="DC26" s="276"/>
    </row>
    <row r="27" s="1" customFormat="true" ht="18.75" hidden="false" customHeight="false" outlineLevel="0" collapsed="false">
      <c r="B27" s="101"/>
      <c r="C27" s="101"/>
      <c r="D27" s="101"/>
      <c r="E27" s="101"/>
      <c r="F27" s="101"/>
      <c r="G27" s="101"/>
      <c r="H27" s="102"/>
      <c r="J27" s="6"/>
      <c r="K27" s="6"/>
      <c r="L27" s="21"/>
      <c r="M27" s="107"/>
      <c r="N27" s="14"/>
      <c r="O27" s="14"/>
      <c r="P27" s="14"/>
      <c r="Q27" s="14"/>
      <c r="R27" s="14"/>
      <c r="S27" s="14"/>
      <c r="T27" s="108"/>
      <c r="U27" s="14"/>
      <c r="V27" s="107"/>
      <c r="W27" s="14"/>
      <c r="X27" s="14"/>
      <c r="Y27" s="14"/>
      <c r="Z27" s="14"/>
      <c r="AA27" s="14"/>
      <c r="AB27" s="14"/>
      <c r="AC27" s="14"/>
      <c r="AD27" s="14"/>
      <c r="AE27" s="108"/>
      <c r="AG27" s="102"/>
      <c r="AI27" s="6"/>
      <c r="AJ27" s="6"/>
      <c r="AK27" s="21"/>
      <c r="AL27" s="107"/>
      <c r="AM27" s="14"/>
      <c r="AN27" s="14"/>
      <c r="AO27" s="14"/>
      <c r="AP27" s="14"/>
      <c r="AQ27" s="14"/>
      <c r="AR27" s="14"/>
      <c r="AS27" s="108"/>
      <c r="AT27" s="14"/>
      <c r="AU27" s="107"/>
      <c r="AV27" s="14"/>
      <c r="AW27" s="14"/>
      <c r="AX27" s="14"/>
      <c r="AY27" s="14"/>
      <c r="AZ27" s="108"/>
      <c r="BB27" s="109"/>
      <c r="BD27" s="102"/>
      <c r="BF27" s="6"/>
      <c r="BG27" s="6"/>
      <c r="BH27" s="21"/>
      <c r="BI27" s="107"/>
      <c r="BJ27" s="14"/>
      <c r="BK27" s="14"/>
      <c r="BL27" s="14"/>
      <c r="BM27" s="14"/>
      <c r="BN27" s="14"/>
      <c r="BO27" s="14"/>
      <c r="BP27" s="108"/>
      <c r="BQ27" s="14"/>
      <c r="BR27" s="107"/>
      <c r="BS27" s="14"/>
      <c r="BT27" s="14"/>
      <c r="BU27" s="14"/>
      <c r="BV27" s="14"/>
      <c r="BW27" s="108"/>
      <c r="BX27" s="14"/>
      <c r="BY27" s="108"/>
      <c r="CA27" s="97"/>
      <c r="CC27" s="6"/>
      <c r="CE27" s="6"/>
      <c r="CF27" s="14"/>
      <c r="CG27" s="14"/>
      <c r="CH27" s="14"/>
      <c r="CJ27" s="107"/>
      <c r="CK27" s="14"/>
      <c r="CL27" s="14"/>
      <c r="CM27" s="14"/>
      <c r="CO27" s="277"/>
      <c r="CQ27" s="97"/>
      <c r="CS27" s="6"/>
      <c r="CU27" s="6"/>
      <c r="CV27" s="14"/>
      <c r="CW27" s="14"/>
      <c r="CX27" s="14"/>
      <c r="CY27" s="2"/>
      <c r="CZ27" s="107"/>
      <c r="DA27" s="14"/>
      <c r="DB27" s="14"/>
      <c r="DC27" s="14"/>
    </row>
    <row r="28" customFormat="false" ht="39" hidden="false" customHeight="true" outlineLevel="0" collapsed="false">
      <c r="B28" s="101"/>
      <c r="C28" s="101"/>
      <c r="D28" s="101"/>
      <c r="E28" s="101"/>
      <c r="F28" s="101"/>
      <c r="G28" s="101"/>
      <c r="H28" s="102"/>
      <c r="I28" s="110"/>
      <c r="J28" s="111" t="s">
        <v>4</v>
      </c>
      <c r="K28" s="111"/>
      <c r="L28" s="21"/>
      <c r="M28" s="112" t="s">
        <v>4</v>
      </c>
      <c r="N28" s="112"/>
      <c r="O28" s="112" t="s">
        <v>5</v>
      </c>
      <c r="P28" s="112"/>
      <c r="Q28" s="112" t="s">
        <v>6</v>
      </c>
      <c r="R28" s="112"/>
      <c r="S28" s="113" t="s">
        <v>7</v>
      </c>
      <c r="T28" s="113"/>
      <c r="U28" s="21"/>
      <c r="V28" s="112" t="s">
        <v>70</v>
      </c>
      <c r="W28" s="112"/>
      <c r="X28" s="112" t="s">
        <v>71</v>
      </c>
      <c r="Y28" s="112"/>
      <c r="Z28" s="112" t="s">
        <v>72</v>
      </c>
      <c r="AA28" s="112"/>
      <c r="AB28" s="112" t="s">
        <v>72</v>
      </c>
      <c r="AC28" s="112"/>
      <c r="AD28" s="113" t="s">
        <v>73</v>
      </c>
      <c r="AE28" s="113"/>
      <c r="AG28" s="102"/>
      <c r="AH28" s="110"/>
      <c r="AI28" s="111" t="s">
        <v>4</v>
      </c>
      <c r="AJ28" s="111"/>
      <c r="AK28" s="21"/>
      <c r="AL28" s="111" t="s">
        <v>4</v>
      </c>
      <c r="AM28" s="111"/>
      <c r="AN28" s="111" t="s">
        <v>8</v>
      </c>
      <c r="AO28" s="111"/>
      <c r="AP28" s="111" t="s">
        <v>6</v>
      </c>
      <c r="AQ28" s="111"/>
      <c r="AR28" s="111" t="s">
        <v>7</v>
      </c>
      <c r="AS28" s="111"/>
      <c r="AT28" s="21"/>
      <c r="AU28" s="113" t="s">
        <v>70</v>
      </c>
      <c r="AV28" s="113"/>
      <c r="AW28" s="113" t="s">
        <v>71</v>
      </c>
      <c r="AX28" s="113"/>
      <c r="AY28" s="114" t="s">
        <v>72</v>
      </c>
      <c r="AZ28" s="114"/>
      <c r="BA28" s="115" t="s">
        <v>73</v>
      </c>
      <c r="BB28" s="115"/>
      <c r="BD28" s="102"/>
      <c r="BF28" s="111" t="s">
        <v>4</v>
      </c>
      <c r="BG28" s="111"/>
      <c r="BH28" s="21"/>
      <c r="BI28" s="111" t="s">
        <v>4</v>
      </c>
      <c r="BJ28" s="111"/>
      <c r="BK28" s="111" t="s">
        <v>8</v>
      </c>
      <c r="BL28" s="111"/>
      <c r="BM28" s="111" t="s">
        <v>6</v>
      </c>
      <c r="BN28" s="111"/>
      <c r="BO28" s="111" t="s">
        <v>7</v>
      </c>
      <c r="BP28" s="111"/>
      <c r="BQ28" s="21"/>
      <c r="BR28" s="113" t="s">
        <v>70</v>
      </c>
      <c r="BS28" s="113"/>
      <c r="BT28" s="113" t="s">
        <v>71</v>
      </c>
      <c r="BU28" s="113"/>
      <c r="BV28" s="116" t="s">
        <v>72</v>
      </c>
      <c r="BW28" s="116"/>
      <c r="BX28" s="115" t="s">
        <v>73</v>
      </c>
      <c r="BY28" s="115"/>
      <c r="CA28" s="97"/>
      <c r="CB28" s="110"/>
      <c r="CC28" s="283" t="s">
        <v>4</v>
      </c>
      <c r="CD28" s="110"/>
      <c r="CE28" s="283" t="s">
        <v>4</v>
      </c>
      <c r="CF28" s="283" t="s">
        <v>5</v>
      </c>
      <c r="CG28" s="283" t="s">
        <v>6</v>
      </c>
      <c r="CH28" s="284" t="s">
        <v>7</v>
      </c>
      <c r="CI28" s="110"/>
      <c r="CJ28" s="283" t="s">
        <v>70</v>
      </c>
      <c r="CK28" s="283" t="s">
        <v>71</v>
      </c>
      <c r="CL28" s="283" t="s">
        <v>72</v>
      </c>
      <c r="CM28" s="284" t="s">
        <v>73</v>
      </c>
      <c r="CO28" s="277"/>
      <c r="CQ28" s="97"/>
      <c r="CR28" s="110"/>
      <c r="CS28" s="283" t="s">
        <v>4</v>
      </c>
      <c r="CT28" s="110"/>
      <c r="CU28" s="283" t="s">
        <v>4</v>
      </c>
      <c r="CV28" s="283" t="s">
        <v>5</v>
      </c>
      <c r="CW28" s="283" t="s">
        <v>6</v>
      </c>
      <c r="CX28" s="284" t="s">
        <v>7</v>
      </c>
      <c r="CY28" s="285"/>
      <c r="CZ28" s="283" t="s">
        <v>70</v>
      </c>
      <c r="DA28" s="283" t="s">
        <v>71</v>
      </c>
      <c r="DB28" s="283" t="s">
        <v>72</v>
      </c>
      <c r="DC28" s="284" t="s">
        <v>73</v>
      </c>
    </row>
    <row r="29" customFormat="false" ht="13.5" hidden="false" customHeight="false" outlineLevel="0" collapsed="false">
      <c r="B29" s="117"/>
      <c r="H29" s="118"/>
      <c r="J29" s="119"/>
      <c r="K29" s="120"/>
      <c r="M29" s="119"/>
      <c r="V29" s="119"/>
      <c r="AG29" s="118"/>
      <c r="AI29" s="119"/>
      <c r="AJ29" s="120"/>
      <c r="AL29" s="119"/>
      <c r="AS29" s="120"/>
      <c r="AU29" s="119"/>
      <c r="AV29" s="120"/>
      <c r="AW29" s="119"/>
      <c r="AX29" s="120"/>
      <c r="AZ29" s="120"/>
      <c r="BB29" s="120"/>
      <c r="BD29" s="118"/>
      <c r="BF29" s="119"/>
      <c r="BG29" s="120"/>
      <c r="BI29" s="119"/>
      <c r="BP29" s="120"/>
      <c r="BR29" s="119"/>
      <c r="BS29" s="120"/>
      <c r="BT29" s="119"/>
      <c r="BU29" s="120"/>
      <c r="BW29" s="120"/>
      <c r="BY29" s="120"/>
      <c r="CA29" s="289"/>
      <c r="CC29" s="119"/>
      <c r="CE29" s="119"/>
      <c r="CJ29" s="289"/>
      <c r="CO29" s="277"/>
      <c r="CQ29" s="289"/>
      <c r="CS29" s="119"/>
      <c r="CU29" s="119"/>
      <c r="CY29" s="15"/>
      <c r="CZ29" s="289"/>
    </row>
    <row r="30" customFormat="false" ht="49.5" hidden="false" customHeight="false" outlineLevel="0" collapsed="false">
      <c r="B30" s="369" t="s">
        <v>74</v>
      </c>
      <c r="C30" s="370" t="s">
        <v>420</v>
      </c>
      <c r="D30" s="371" t="s">
        <v>76</v>
      </c>
      <c r="E30" s="371" t="s">
        <v>77</v>
      </c>
      <c r="F30" s="370" t="s">
        <v>78</v>
      </c>
      <c r="G30" s="370" t="s">
        <v>79</v>
      </c>
      <c r="H30" s="370" t="s">
        <v>80</v>
      </c>
      <c r="I30" s="21"/>
      <c r="J30" s="124" t="s">
        <v>81</v>
      </c>
      <c r="K30" s="125" t="s">
        <v>82</v>
      </c>
      <c r="L30" s="21"/>
      <c r="M30" s="124" t="s">
        <v>81</v>
      </c>
      <c r="N30" s="126" t="s">
        <v>83</v>
      </c>
      <c r="O30" s="124" t="s">
        <v>81</v>
      </c>
      <c r="P30" s="127" t="s">
        <v>83</v>
      </c>
      <c r="Q30" s="124" t="s">
        <v>81</v>
      </c>
      <c r="R30" s="127" t="s">
        <v>83</v>
      </c>
      <c r="S30" s="124" t="s">
        <v>81</v>
      </c>
      <c r="T30" s="128" t="s">
        <v>83</v>
      </c>
      <c r="U30" s="21"/>
      <c r="V30" s="124" t="s">
        <v>81</v>
      </c>
      <c r="W30" s="127" t="s">
        <v>83</v>
      </c>
      <c r="X30" s="372" t="s">
        <v>81</v>
      </c>
      <c r="Y30" s="373" t="s">
        <v>83</v>
      </c>
      <c r="Z30" s="372" t="s">
        <v>81</v>
      </c>
      <c r="AA30" s="373" t="s">
        <v>83</v>
      </c>
      <c r="AB30" s="124" t="s">
        <v>81</v>
      </c>
      <c r="AC30" s="127" t="s">
        <v>83</v>
      </c>
      <c r="AD30" s="124" t="s">
        <v>81</v>
      </c>
      <c r="AE30" s="128" t="s">
        <v>83</v>
      </c>
      <c r="AG30" s="370" t="s">
        <v>85</v>
      </c>
      <c r="AH30" s="21"/>
      <c r="AI30" s="124" t="s">
        <v>86</v>
      </c>
      <c r="AJ30" s="125" t="s">
        <v>87</v>
      </c>
      <c r="AK30" s="21"/>
      <c r="AL30" s="124" t="s">
        <v>86</v>
      </c>
      <c r="AM30" s="125" t="s">
        <v>87</v>
      </c>
      <c r="AN30" s="124" t="s">
        <v>86</v>
      </c>
      <c r="AO30" s="125" t="s">
        <v>87</v>
      </c>
      <c r="AP30" s="124" t="s">
        <v>86</v>
      </c>
      <c r="AQ30" s="125" t="s">
        <v>87</v>
      </c>
      <c r="AR30" s="124" t="s">
        <v>86</v>
      </c>
      <c r="AS30" s="125" t="s">
        <v>87</v>
      </c>
      <c r="AT30" s="21"/>
      <c r="AU30" s="124" t="s">
        <v>86</v>
      </c>
      <c r="AV30" s="125" t="s">
        <v>87</v>
      </c>
      <c r="AW30" s="372" t="s">
        <v>86</v>
      </c>
      <c r="AX30" s="374" t="s">
        <v>87</v>
      </c>
      <c r="AY30" s="372" t="s">
        <v>86</v>
      </c>
      <c r="AZ30" s="374" t="s">
        <v>87</v>
      </c>
      <c r="BA30" s="124" t="s">
        <v>86</v>
      </c>
      <c r="BB30" s="125" t="s">
        <v>87</v>
      </c>
      <c r="BD30" s="122" t="s">
        <v>80</v>
      </c>
      <c r="BF30" s="124" t="s">
        <v>81</v>
      </c>
      <c r="BG30" s="125" t="s">
        <v>82</v>
      </c>
      <c r="BH30" s="21"/>
      <c r="BI30" s="124" t="s">
        <v>81</v>
      </c>
      <c r="BJ30" s="125" t="s">
        <v>83</v>
      </c>
      <c r="BK30" s="124" t="s">
        <v>81</v>
      </c>
      <c r="BL30" s="125" t="s">
        <v>83</v>
      </c>
      <c r="BM30" s="124" t="s">
        <v>81</v>
      </c>
      <c r="BN30" s="125" t="s">
        <v>83</v>
      </c>
      <c r="BO30" s="124" t="s">
        <v>81</v>
      </c>
      <c r="BP30" s="125" t="s">
        <v>83</v>
      </c>
      <c r="BQ30" s="21"/>
      <c r="BR30" s="124" t="s">
        <v>81</v>
      </c>
      <c r="BS30" s="125" t="s">
        <v>83</v>
      </c>
      <c r="BT30" s="372" t="s">
        <v>81</v>
      </c>
      <c r="BU30" s="374" t="s">
        <v>83</v>
      </c>
      <c r="BV30" s="372" t="s">
        <v>81</v>
      </c>
      <c r="BW30" s="374" t="s">
        <v>83</v>
      </c>
      <c r="BX30" s="124" t="s">
        <v>81</v>
      </c>
      <c r="BY30" s="125" t="s">
        <v>83</v>
      </c>
      <c r="CA30" s="303" t="s">
        <v>80</v>
      </c>
      <c r="CB30" s="21"/>
      <c r="CC30" s="124" t="s">
        <v>88</v>
      </c>
      <c r="CD30" s="21"/>
      <c r="CE30" s="124" t="s">
        <v>89</v>
      </c>
      <c r="CF30" s="124" t="s">
        <v>421</v>
      </c>
      <c r="CG30" s="124" t="s">
        <v>421</v>
      </c>
      <c r="CH30" s="124" t="s">
        <v>421</v>
      </c>
      <c r="CI30" s="21"/>
      <c r="CJ30" s="124" t="s">
        <v>421</v>
      </c>
      <c r="CK30" s="372" t="s">
        <v>421</v>
      </c>
      <c r="CL30" s="372" t="s">
        <v>421</v>
      </c>
      <c r="CM30" s="124" t="s">
        <v>421</v>
      </c>
      <c r="CO30" s="277"/>
      <c r="CQ30" s="303" t="s">
        <v>80</v>
      </c>
      <c r="CR30" s="21"/>
      <c r="CS30" s="124" t="s">
        <v>422</v>
      </c>
      <c r="CT30" s="21"/>
      <c r="CU30" s="124" t="s">
        <v>423</v>
      </c>
      <c r="CV30" s="124" t="s">
        <v>423</v>
      </c>
      <c r="CW30" s="124" t="s">
        <v>423</v>
      </c>
      <c r="CX30" s="124" t="s">
        <v>423</v>
      </c>
      <c r="CY30" s="226"/>
      <c r="CZ30" s="124" t="s">
        <v>423</v>
      </c>
      <c r="DA30" s="124" t="s">
        <v>423</v>
      </c>
      <c r="DB30" s="124" t="s">
        <v>423</v>
      </c>
      <c r="DC30" s="124" t="s">
        <v>423</v>
      </c>
    </row>
    <row r="31" customFormat="false" ht="12.75" hidden="false" customHeight="false" outlineLevel="0" collapsed="false">
      <c r="A31" s="268"/>
      <c r="B31" s="375" t="s">
        <v>184</v>
      </c>
      <c r="C31" s="305" t="s">
        <v>583</v>
      </c>
      <c r="D31" s="306" t="n">
        <v>620</v>
      </c>
      <c r="E31" s="306" t="n">
        <v>5.33</v>
      </c>
      <c r="F31" s="324" t="s">
        <v>580</v>
      </c>
      <c r="G31" s="144" t="n">
        <v>24</v>
      </c>
      <c r="H31" s="143" t="n">
        <v>554.545454545455</v>
      </c>
      <c r="I31" s="315"/>
      <c r="J31" s="311"/>
      <c r="K31" s="309"/>
      <c r="L31" s="310"/>
      <c r="M31" s="311"/>
      <c r="N31" s="312"/>
      <c r="O31" s="311"/>
      <c r="P31" s="312"/>
      <c r="Q31" s="311"/>
      <c r="R31" s="312"/>
      <c r="S31" s="310"/>
      <c r="T31" s="312"/>
      <c r="U31" s="310"/>
      <c r="V31" s="311"/>
      <c r="W31" s="312"/>
      <c r="X31" s="311"/>
      <c r="Y31" s="312"/>
      <c r="Z31" s="311" t="n">
        <v>0</v>
      </c>
      <c r="AA31" s="376" t="n">
        <v>4</v>
      </c>
      <c r="AB31" s="313" t="n">
        <v>0</v>
      </c>
      <c r="AC31" s="314" t="n">
        <v>4</v>
      </c>
      <c r="AD31" s="377" t="n">
        <v>0</v>
      </c>
      <c r="AE31" s="314" t="n">
        <v>4</v>
      </c>
      <c r="AF31" s="310"/>
      <c r="AG31" s="144" t="n">
        <v>65</v>
      </c>
      <c r="AH31" s="315"/>
      <c r="AI31" s="311"/>
      <c r="AJ31" s="309"/>
      <c r="AK31" s="310"/>
      <c r="AL31" s="311"/>
      <c r="AM31" s="309"/>
      <c r="AN31" s="311"/>
      <c r="AO31" s="309"/>
      <c r="AP31" s="311"/>
      <c r="AQ31" s="309"/>
      <c r="AR31" s="311"/>
      <c r="AS31" s="309"/>
      <c r="AT31" s="310"/>
      <c r="AU31" s="311"/>
      <c r="AV31" s="309"/>
      <c r="AW31" s="311" t="n">
        <v>222</v>
      </c>
      <c r="AX31" s="309" t="n">
        <v>398.4</v>
      </c>
      <c r="AY31" s="311" t="n">
        <v>524</v>
      </c>
      <c r="AZ31" s="309" t="n">
        <v>96</v>
      </c>
      <c r="BA31" s="311" t="n">
        <v>524</v>
      </c>
      <c r="BB31" s="309" t="n">
        <v>96</v>
      </c>
      <c r="BD31" s="144"/>
      <c r="BE31" s="315"/>
      <c r="BF31" s="311"/>
      <c r="BG31" s="316"/>
      <c r="BH31" s="310"/>
      <c r="BI31" s="311"/>
      <c r="BJ31" s="312"/>
      <c r="BK31" s="311"/>
      <c r="BL31" s="312"/>
      <c r="BM31" s="311"/>
      <c r="BN31" s="312"/>
      <c r="BO31" s="311"/>
      <c r="BP31" s="312"/>
      <c r="BQ31" s="310"/>
      <c r="BR31" s="311"/>
      <c r="BS31" s="312"/>
      <c r="BT31" s="311" t="n">
        <v>0</v>
      </c>
      <c r="BU31" s="312" t="n">
        <v>0</v>
      </c>
      <c r="BV31" s="311" t="n">
        <v>0</v>
      </c>
      <c r="BW31" s="312" t="n">
        <v>-4</v>
      </c>
      <c r="BX31" s="311" t="n">
        <v>0</v>
      </c>
      <c r="BY31" s="312" t="n">
        <v>-4</v>
      </c>
      <c r="CA31" s="143"/>
      <c r="CB31" s="315"/>
      <c r="CC31" s="144"/>
      <c r="CD31" s="315"/>
      <c r="CE31" s="144"/>
      <c r="CF31" s="144"/>
      <c r="CG31" s="144"/>
      <c r="CH31" s="144"/>
      <c r="CI31" s="315"/>
      <c r="CJ31" s="144"/>
      <c r="CK31" s="144" t="n">
        <v>-156.145454545455</v>
      </c>
      <c r="CL31" s="144" t="n">
        <v>-458.545454545455</v>
      </c>
      <c r="CM31" s="144" t="n">
        <v>-458.545454545455</v>
      </c>
      <c r="CO31" s="144" t="n">
        <v>577.685950413223</v>
      </c>
      <c r="CQ31" s="319"/>
      <c r="CR31" s="320"/>
      <c r="CS31" s="321"/>
      <c r="CT31" s="320"/>
      <c r="CU31" s="322"/>
      <c r="CV31" s="322"/>
      <c r="CW31" s="322"/>
      <c r="CX31" s="322"/>
      <c r="CY31" s="323"/>
      <c r="CZ31" s="322"/>
      <c r="DA31" s="322" t="n">
        <v>-179.285950413223</v>
      </c>
      <c r="DB31" s="322" t="n">
        <v>-481.685950413223</v>
      </c>
      <c r="DC31" s="322" t="n">
        <v>-481.685950413223</v>
      </c>
    </row>
    <row r="32" customFormat="false" ht="13.5" hidden="false" customHeight="false" outlineLevel="0" collapsed="false">
      <c r="A32" s="268"/>
      <c r="B32" s="378" t="s">
        <v>184</v>
      </c>
      <c r="C32" s="335" t="s">
        <v>583</v>
      </c>
      <c r="D32" s="337" t="n">
        <v>620</v>
      </c>
      <c r="E32" s="337" t="n">
        <v>5.33</v>
      </c>
      <c r="F32" s="379" t="s">
        <v>580</v>
      </c>
      <c r="G32" s="341" t="n">
        <v>48</v>
      </c>
      <c r="H32" s="354" t="n">
        <v>554.545454545455</v>
      </c>
      <c r="I32" s="348"/>
      <c r="J32" s="344"/>
      <c r="K32" s="342"/>
      <c r="L32" s="343"/>
      <c r="M32" s="344"/>
      <c r="N32" s="345"/>
      <c r="O32" s="344"/>
      <c r="P32" s="345"/>
      <c r="Q32" s="344"/>
      <c r="R32" s="345"/>
      <c r="S32" s="343"/>
      <c r="T32" s="345"/>
      <c r="U32" s="343"/>
      <c r="V32" s="344"/>
      <c r="W32" s="345"/>
      <c r="X32" s="344"/>
      <c r="Y32" s="345"/>
      <c r="Z32" s="344" t="n">
        <v>0</v>
      </c>
      <c r="AA32" s="345" t="n">
        <v>2</v>
      </c>
      <c r="AB32" s="346" t="n">
        <v>0</v>
      </c>
      <c r="AC32" s="347" t="n">
        <v>2</v>
      </c>
      <c r="AD32" s="380" t="n">
        <v>0</v>
      </c>
      <c r="AE32" s="347" t="n">
        <v>2</v>
      </c>
      <c r="AF32" s="343"/>
      <c r="AG32" s="341" t="n">
        <v>65</v>
      </c>
      <c r="AH32" s="348"/>
      <c r="AI32" s="344"/>
      <c r="AJ32" s="342"/>
      <c r="AK32" s="343"/>
      <c r="AL32" s="344"/>
      <c r="AM32" s="342"/>
      <c r="AN32" s="344"/>
      <c r="AO32" s="342"/>
      <c r="AP32" s="344"/>
      <c r="AQ32" s="342"/>
      <c r="AR32" s="344"/>
      <c r="AS32" s="342"/>
      <c r="AT32" s="343"/>
      <c r="AU32" s="344"/>
      <c r="AV32" s="342"/>
      <c r="AW32" s="344" t="n">
        <v>222</v>
      </c>
      <c r="AX32" s="342" t="n">
        <v>398.4</v>
      </c>
      <c r="AY32" s="344" t="n">
        <v>524</v>
      </c>
      <c r="AZ32" s="342" t="n">
        <v>96</v>
      </c>
      <c r="BA32" s="344" t="n">
        <v>524</v>
      </c>
      <c r="BB32" s="342" t="n">
        <v>96</v>
      </c>
      <c r="BC32" s="340"/>
      <c r="BD32" s="349"/>
      <c r="BE32" s="348"/>
      <c r="BF32" s="350"/>
      <c r="BG32" s="351"/>
      <c r="BH32" s="343"/>
      <c r="BI32" s="350"/>
      <c r="BJ32" s="381"/>
      <c r="BK32" s="350"/>
      <c r="BL32" s="381"/>
      <c r="BM32" s="350"/>
      <c r="BN32" s="381"/>
      <c r="BO32" s="350"/>
      <c r="BP32" s="381"/>
      <c r="BQ32" s="343"/>
      <c r="BR32" s="350"/>
      <c r="BS32" s="381"/>
      <c r="BT32" s="350" t="n">
        <v>0</v>
      </c>
      <c r="BU32" s="381" t="n">
        <v>0</v>
      </c>
      <c r="BV32" s="350" t="n">
        <v>0</v>
      </c>
      <c r="BW32" s="381" t="n">
        <v>-2</v>
      </c>
      <c r="BX32" s="350" t="n">
        <v>0</v>
      </c>
      <c r="BY32" s="381" t="n">
        <v>-2</v>
      </c>
      <c r="BZ32" s="340"/>
      <c r="CA32" s="354"/>
      <c r="CB32" s="348"/>
      <c r="CC32" s="341"/>
      <c r="CD32" s="348"/>
      <c r="CE32" s="341"/>
      <c r="CF32" s="341"/>
      <c r="CG32" s="341"/>
      <c r="CH32" s="341"/>
      <c r="CI32" s="348"/>
      <c r="CJ32" s="341"/>
      <c r="CK32" s="341" t="n">
        <v>-156.145454545455</v>
      </c>
      <c r="CL32" s="341" t="n">
        <v>-458.545454545455</v>
      </c>
      <c r="CM32" s="341" t="n">
        <v>-458.545454545455</v>
      </c>
      <c r="CN32" s="340"/>
      <c r="CO32" s="341" t="n">
        <v>577.685950413223</v>
      </c>
      <c r="CP32" s="340"/>
      <c r="CQ32" s="355"/>
      <c r="CR32" s="356"/>
      <c r="CS32" s="341"/>
      <c r="CT32" s="356"/>
      <c r="CU32" s="357"/>
      <c r="CV32" s="357"/>
      <c r="CW32" s="357"/>
      <c r="CX32" s="357"/>
      <c r="CY32" s="358"/>
      <c r="CZ32" s="357"/>
      <c r="DA32" s="357" t="n">
        <v>-179.285950413223</v>
      </c>
      <c r="DB32" s="357" t="n">
        <v>-481.685950413223</v>
      </c>
      <c r="DC32" s="357" t="n">
        <v>-481.685950413223</v>
      </c>
    </row>
  </sheetData>
  <autoFilter ref="A30:DC32"/>
  <mergeCells count="137">
    <mergeCell ref="B2:G2"/>
    <mergeCell ref="H2:H4"/>
    <mergeCell ref="J2:K2"/>
    <mergeCell ref="M2:AE2"/>
    <mergeCell ref="J4:K4"/>
    <mergeCell ref="M4:N4"/>
    <mergeCell ref="O4:P4"/>
    <mergeCell ref="Q4:R4"/>
    <mergeCell ref="S4:T4"/>
    <mergeCell ref="V4:W4"/>
    <mergeCell ref="X4:Y4"/>
    <mergeCell ref="Z4:AA4"/>
    <mergeCell ref="AB4:AC4"/>
    <mergeCell ref="AD4:AE4"/>
    <mergeCell ref="B5:C17"/>
    <mergeCell ref="D5:G12"/>
    <mergeCell ref="H5:H12"/>
    <mergeCell ref="J5:K12"/>
    <mergeCell ref="M5:N5"/>
    <mergeCell ref="O5:P12"/>
    <mergeCell ref="Q5:R12"/>
    <mergeCell ref="S5:T12"/>
    <mergeCell ref="V5:W5"/>
    <mergeCell ref="X5:Y12"/>
    <mergeCell ref="Z5:AA12"/>
    <mergeCell ref="AB5:AC12"/>
    <mergeCell ref="AD5:AE12"/>
    <mergeCell ref="V7:W12"/>
    <mergeCell ref="D13:G14"/>
    <mergeCell ref="J13:K13"/>
    <mergeCell ref="M13:N13"/>
    <mergeCell ref="O13:P13"/>
    <mergeCell ref="Q13:R13"/>
    <mergeCell ref="S13:T13"/>
    <mergeCell ref="V13:W13"/>
    <mergeCell ref="X13:Y13"/>
    <mergeCell ref="Z13:AA13"/>
    <mergeCell ref="AB13:AC13"/>
    <mergeCell ref="AD13:AE13"/>
    <mergeCell ref="J14:K14"/>
    <mergeCell ref="M14:N14"/>
    <mergeCell ref="O14:P14"/>
    <mergeCell ref="Q14:R14"/>
    <mergeCell ref="S14:T14"/>
    <mergeCell ref="V14:W14"/>
    <mergeCell ref="X14:Y14"/>
    <mergeCell ref="D15:G15"/>
    <mergeCell ref="J15:K15"/>
    <mergeCell ref="M15:N15"/>
    <mergeCell ref="O15:P15"/>
    <mergeCell ref="Q15:R15"/>
    <mergeCell ref="S15:T15"/>
    <mergeCell ref="V15:W15"/>
    <mergeCell ref="X15:Y15"/>
    <mergeCell ref="Z15:AA15"/>
    <mergeCell ref="AB15:AC15"/>
    <mergeCell ref="AD15:AE15"/>
    <mergeCell ref="D16:G16"/>
    <mergeCell ref="J16:K16"/>
    <mergeCell ref="M16:N16"/>
    <mergeCell ref="O16:P16"/>
    <mergeCell ref="Q16:R16"/>
    <mergeCell ref="S16:T16"/>
    <mergeCell ref="V16:W16"/>
    <mergeCell ref="X16:Y16"/>
    <mergeCell ref="Z16:AA16"/>
    <mergeCell ref="AB16:AC16"/>
    <mergeCell ref="AD16:AE16"/>
    <mergeCell ref="D17:G17"/>
    <mergeCell ref="J17:K17"/>
    <mergeCell ref="M17:N17"/>
    <mergeCell ref="O17:P17"/>
    <mergeCell ref="Q17:R17"/>
    <mergeCell ref="S17:T17"/>
    <mergeCell ref="V17:W17"/>
    <mergeCell ref="X17:Y17"/>
    <mergeCell ref="Z17:AA17"/>
    <mergeCell ref="AB17:AC17"/>
    <mergeCell ref="AD17:AE17"/>
    <mergeCell ref="BD19:BY19"/>
    <mergeCell ref="CA19:CM19"/>
    <mergeCell ref="CQ19:DC19"/>
    <mergeCell ref="B24:G28"/>
    <mergeCell ref="H24:H28"/>
    <mergeCell ref="J24:K26"/>
    <mergeCell ref="M24:AE24"/>
    <mergeCell ref="AG24:AG28"/>
    <mergeCell ref="AI24:AJ26"/>
    <mergeCell ref="AL24:BB24"/>
    <mergeCell ref="BD24:BD28"/>
    <mergeCell ref="BF24:BG26"/>
    <mergeCell ref="BI24:BY24"/>
    <mergeCell ref="CA24:CA28"/>
    <mergeCell ref="CC24:CC26"/>
    <mergeCell ref="CE24:CM24"/>
    <mergeCell ref="CQ24:CQ28"/>
    <mergeCell ref="CS24:CS26"/>
    <mergeCell ref="CU24:DC24"/>
    <mergeCell ref="M26:T26"/>
    <mergeCell ref="V26:AE26"/>
    <mergeCell ref="AL26:AS26"/>
    <mergeCell ref="AU26:BB26"/>
    <mergeCell ref="BI26:BP26"/>
    <mergeCell ref="BR26:BY26"/>
    <mergeCell ref="CE26:CH26"/>
    <mergeCell ref="CJ26:CM26"/>
    <mergeCell ref="CO26:CO30"/>
    <mergeCell ref="CU26:CX26"/>
    <mergeCell ref="CZ26:DC26"/>
    <mergeCell ref="J28:K28"/>
    <mergeCell ref="M28:N28"/>
    <mergeCell ref="O28:P28"/>
    <mergeCell ref="Q28:R28"/>
    <mergeCell ref="S28:T28"/>
    <mergeCell ref="V28:W28"/>
    <mergeCell ref="X28:Y28"/>
    <mergeCell ref="Z28:AA28"/>
    <mergeCell ref="AB28:AC28"/>
    <mergeCell ref="AD28:AE28"/>
    <mergeCell ref="AI28:AJ28"/>
    <mergeCell ref="AL28:AM28"/>
    <mergeCell ref="AN28:AO28"/>
    <mergeCell ref="AP28:AQ28"/>
    <mergeCell ref="AR28:AS28"/>
    <mergeCell ref="AU28:AV28"/>
    <mergeCell ref="AW28:AX28"/>
    <mergeCell ref="AY28:AZ28"/>
    <mergeCell ref="BA28:BB28"/>
    <mergeCell ref="BF28:BG28"/>
    <mergeCell ref="BI28:BJ28"/>
    <mergeCell ref="BK28:BL28"/>
    <mergeCell ref="BM28:BN28"/>
    <mergeCell ref="BO28:BP28"/>
    <mergeCell ref="BR28:BS28"/>
    <mergeCell ref="BT28:BU28"/>
    <mergeCell ref="BV28:BW28"/>
    <mergeCell ref="BX28:BY28"/>
  </mergeCells>
  <conditionalFormatting sqref="BX31:BY32">
    <cfRule type="cellIs" priority="2" operator="lessThan" aboveAverage="0" equalAverage="0" bottom="0" percent="0" rank="0" text="" dxfId="97">
      <formula>0</formula>
    </cfRule>
    <cfRule type="cellIs" priority="3" operator="greaterThan" aboveAverage="0" equalAverage="0" bottom="0" percent="0" rank="0" text="" dxfId="98">
      <formula>0</formula>
    </cfRule>
  </conditionalFormatting>
  <conditionalFormatting sqref="BD31:BS31 BV31:BW31">
    <cfRule type="cellIs" priority="4" operator="lessThan" aboveAverage="0" equalAverage="0" bottom="0" percent="0" rank="0" text="" dxfId="99">
      <formula>0</formula>
    </cfRule>
    <cfRule type="cellIs" priority="5" operator="greaterThan" aboveAverage="0" equalAverage="0" bottom="0" percent="0" rank="0" text="" dxfId="100">
      <formula>0</formula>
    </cfRule>
  </conditionalFormatting>
  <conditionalFormatting sqref="BT31:BU31">
    <cfRule type="cellIs" priority="6" operator="lessThan" aboveAverage="0" equalAverage="0" bottom="0" percent="0" rank="0" text="" dxfId="101">
      <formula>0</formula>
    </cfRule>
    <cfRule type="cellIs" priority="7" operator="greaterThan" aboveAverage="0" equalAverage="0" bottom="0" percent="0" rank="0" text="" dxfId="102">
      <formula>0</formula>
    </cfRule>
  </conditionalFormatting>
  <conditionalFormatting sqref="BT31:BU31">
    <cfRule type="cellIs" priority="8" operator="lessThan" aboveAverage="0" equalAverage="0" bottom="0" percent="0" rank="0" text="" dxfId="103">
      <formula>0</formula>
    </cfRule>
    <cfRule type="cellIs" priority="9" operator="greaterThan" aboveAverage="0" equalAverage="0" bottom="0" percent="0" rank="0" text="" dxfId="104">
      <formula>0</formula>
    </cfRule>
  </conditionalFormatting>
  <conditionalFormatting sqref="F4">
    <cfRule type="expression" priority="10" aboveAverage="0" equalAverage="0" bottom="0" percent="0" rank="0" text="" dxfId="105">
      <formula>ISERROR(F4)</formula>
    </cfRule>
    <cfRule type="cellIs" priority="11" operator="lessThan" aboveAverage="0" equalAverage="0" bottom="0" percent="0" rank="0" text="" dxfId="106">
      <formula>0</formula>
    </cfRule>
  </conditionalFormatting>
  <conditionalFormatting sqref="BD32:BS32 BV32:BW32">
    <cfRule type="cellIs" priority="12" operator="lessThan" aboveAverage="0" equalAverage="0" bottom="0" percent="0" rank="0" text="" dxfId="107">
      <formula>0</formula>
    </cfRule>
    <cfRule type="cellIs" priority="13" operator="greaterThan" aboveAverage="0" equalAverage="0" bottom="0" percent="0" rank="0" text="" dxfId="108">
      <formula>0</formula>
    </cfRule>
  </conditionalFormatting>
  <conditionalFormatting sqref="BT32:BU32">
    <cfRule type="cellIs" priority="14" operator="lessThan" aboveAverage="0" equalAverage="0" bottom="0" percent="0" rank="0" text="" dxfId="109">
      <formula>0</formula>
    </cfRule>
    <cfRule type="cellIs" priority="15" operator="greaterThan" aboveAverage="0" equalAverage="0" bottom="0" percent="0" rank="0" text="" dxfId="110">
      <formula>0</formula>
    </cfRule>
  </conditionalFormatting>
  <conditionalFormatting sqref="BT32:BU32">
    <cfRule type="cellIs" priority="16" operator="lessThan" aboveAverage="0" equalAverage="0" bottom="0" percent="0" rank="0" text="" dxfId="111">
      <formula>0</formula>
    </cfRule>
    <cfRule type="cellIs" priority="17" operator="greaterThan" aboveAverage="0" equalAverage="0" bottom="0" percent="0" rank="0" text="" dxfId="112">
      <formula>0</formula>
    </cfRule>
  </conditionalFormatting>
  <printOptions headings="false" gridLines="false" gridLinesSet="true" horizontalCentered="false" verticalCentered="false"/>
  <pageMargins left="0.747916666666667" right="0.747916666666667" top="0.984027777777778" bottom="0.984027777777778" header="0.511811023622047" footer="0"/>
  <pageSetup paperSize="8" scale="100" fitToWidth="1" fitToHeight="1" pageOrder="downThenOver" orientation="portrait" blackAndWhite="false" draft="false" cellComments="none" horizontalDpi="300" verticalDpi="300" copies="1"/>
  <headerFooter differentFirst="false" differentOddEven="false">
    <oddHeader/>
    <oddFooter>&amp;C&amp;1#&amp;"Calibri,Normal"&amp;8&amp;Ked7d31Orange Restricted</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F6600"/>
    <pageSetUpPr fitToPage="true"/>
  </sheetPr>
  <dimension ref="B1:W497"/>
  <sheetViews>
    <sheetView showFormulas="false" showGridLines="false" showRowColHeaders="true" showZeros="true" rightToLeft="false" tabSelected="false" showOutlineSymbols="true" defaultGridColor="true" view="normal" topLeftCell="A1" colorId="64" zoomScale="70" zoomScaleNormal="70" zoomScalePageLayoutView="100" workbookViewId="0">
      <selection pane="topLeft" activeCell="B5" activeCellId="0" sqref="B5"/>
    </sheetView>
  </sheetViews>
  <sheetFormatPr defaultColWidth="11.43359375" defaultRowHeight="12.75" zeroHeight="false" outlineLevelRow="0" outlineLevelCol="1"/>
  <cols>
    <col collapsed="false" customWidth="true" hidden="false" outlineLevel="0" max="1" min="1" style="2" width="3.14"/>
    <col collapsed="false" customWidth="true" hidden="false" outlineLevel="0" max="2" min="2" style="2" width="14.86"/>
    <col collapsed="false" customWidth="true" hidden="false" outlineLevel="0" max="3" min="3" style="2" width="60.42"/>
    <col collapsed="false" customWidth="true" hidden="false" outlineLevel="1" max="4" min="4" style="2" width="10.14"/>
    <col collapsed="false" customWidth="true" hidden="false" outlineLevel="1" max="5" min="5" style="2" width="8.42"/>
    <col collapsed="false" customWidth="true" hidden="false" outlineLevel="1" max="6" min="6" style="2" width="25.71"/>
    <col collapsed="false" customWidth="true" hidden="false" outlineLevel="1" max="7" min="7" style="2" width="8.86"/>
    <col collapsed="false" customWidth="true" hidden="false" outlineLevel="1" max="8" min="8" style="212" width="11.86"/>
    <col collapsed="false" customWidth="true" hidden="false" outlineLevel="0" max="9" min="9" style="1" width="2.42"/>
    <col collapsed="false" customWidth="true" hidden="false" outlineLevel="0" max="10" min="10" style="2" width="14.01"/>
    <col collapsed="false" customWidth="true" hidden="false" outlineLevel="0" max="11" min="11" style="1" width="1"/>
    <col collapsed="false" customWidth="true" hidden="false" outlineLevel="1" max="14" min="12" style="2" width="18.85"/>
    <col collapsed="false" customWidth="true" hidden="false" outlineLevel="0" max="15" min="15" style="2" width="2.14"/>
    <col collapsed="false" customWidth="true" hidden="false" outlineLevel="1" max="18" min="16" style="2" width="16"/>
    <col collapsed="false" customWidth="true" hidden="false" outlineLevel="1" max="20" min="19" style="2" width="18.85"/>
    <col collapsed="false" customWidth="true" hidden="false" outlineLevel="0" max="21" min="21" style="2" width="2"/>
    <col collapsed="false" customWidth="true" hidden="false" outlineLevel="1" max="22" min="22" style="2" width="14.15"/>
    <col collapsed="false" customWidth="true" hidden="false" outlineLevel="1" max="23" min="23" style="1" width="2.42"/>
    <col collapsed="false" customWidth="false" hidden="false" outlineLevel="1" max="24" min="24" style="2" width="11.42"/>
    <col collapsed="false" customWidth="false" hidden="false" outlineLevel="0" max="1024" min="25" style="2" width="11.42"/>
  </cols>
  <sheetData>
    <row r="1" customFormat="false" ht="13.5" hidden="false" customHeight="false" outlineLevel="0" collapsed="false">
      <c r="W1" s="2"/>
    </row>
    <row r="2" customFormat="false" ht="26.25" hidden="false" customHeight="true" outlineLevel="0" collapsed="false">
      <c r="B2" s="3" t="s">
        <v>0</v>
      </c>
      <c r="C2" s="3"/>
      <c r="D2" s="3"/>
      <c r="E2" s="3"/>
      <c r="F2" s="3"/>
      <c r="G2" s="3"/>
      <c r="H2" s="215" t="s">
        <v>771</v>
      </c>
      <c r="J2" s="382" t="s">
        <v>2</v>
      </c>
      <c r="K2" s="6"/>
      <c r="L2" s="383" t="s">
        <v>3</v>
      </c>
      <c r="M2" s="383"/>
      <c r="N2" s="383"/>
      <c r="O2" s="383"/>
      <c r="P2" s="383"/>
      <c r="Q2" s="383"/>
      <c r="R2" s="383"/>
      <c r="S2" s="383"/>
      <c r="T2" s="383"/>
      <c r="V2" s="8"/>
      <c r="W2" s="2"/>
    </row>
    <row r="3" customFormat="false" ht="18" hidden="false" customHeight="false" outlineLevel="0" collapsed="false">
      <c r="B3" s="11"/>
      <c r="H3" s="215"/>
      <c r="L3" s="12"/>
      <c r="O3" s="13"/>
      <c r="T3" s="384"/>
      <c r="V3" s="8"/>
      <c r="W3" s="15"/>
    </row>
    <row r="4" s="28" customFormat="true" ht="26.25" hidden="false" customHeight="false" outlineLevel="0" collapsed="false">
      <c r="B4" s="18" t="n">
        <v>45748</v>
      </c>
      <c r="C4" s="19" t="s">
        <v>395</v>
      </c>
      <c r="D4" s="20"/>
      <c r="E4" s="20"/>
      <c r="F4" s="20"/>
      <c r="G4" s="20"/>
      <c r="H4" s="215"/>
      <c r="I4" s="21"/>
      <c r="J4" s="385" t="s">
        <v>4</v>
      </c>
      <c r="K4" s="21"/>
      <c r="L4" s="23" t="s">
        <v>4</v>
      </c>
      <c r="M4" s="24" t="s">
        <v>6</v>
      </c>
      <c r="N4" s="25" t="s">
        <v>7</v>
      </c>
      <c r="O4" s="26"/>
      <c r="P4" s="23" t="s">
        <v>4</v>
      </c>
      <c r="Q4" s="24" t="s">
        <v>8</v>
      </c>
      <c r="R4" s="24" t="s">
        <v>6</v>
      </c>
      <c r="S4" s="24" t="s">
        <v>6</v>
      </c>
      <c r="T4" s="27" t="s">
        <v>7</v>
      </c>
      <c r="U4" s="2"/>
      <c r="V4" s="8"/>
      <c r="W4" s="226"/>
    </row>
    <row r="5" customFormat="false" ht="12.75" hidden="false" customHeight="true" outlineLevel="0" collapsed="false">
      <c r="B5" s="32" t="s">
        <v>9</v>
      </c>
      <c r="C5" s="32"/>
      <c r="D5" s="33" t="s">
        <v>10</v>
      </c>
      <c r="E5" s="33"/>
      <c r="F5" s="33"/>
      <c r="G5" s="33"/>
      <c r="H5" s="229" t="s">
        <v>11</v>
      </c>
      <c r="I5" s="35"/>
      <c r="J5" s="386" t="s">
        <v>12</v>
      </c>
      <c r="K5" s="37"/>
      <c r="L5" s="231" t="s">
        <v>396</v>
      </c>
      <c r="M5" s="232" t="s">
        <v>397</v>
      </c>
      <c r="N5" s="232" t="s">
        <v>398</v>
      </c>
      <c r="O5" s="233"/>
      <c r="P5" s="387"/>
      <c r="Q5" s="388" t="s">
        <v>399</v>
      </c>
      <c r="R5" s="40" t="s">
        <v>772</v>
      </c>
      <c r="S5" s="40" t="s">
        <v>773</v>
      </c>
      <c r="T5" s="44" t="s">
        <v>402</v>
      </c>
      <c r="V5" s="45"/>
      <c r="W5" s="80"/>
    </row>
    <row r="6" customFormat="false" ht="12.75" hidden="false" customHeight="false" outlineLevel="0" collapsed="false">
      <c r="B6" s="32"/>
      <c r="C6" s="32"/>
      <c r="D6" s="33"/>
      <c r="E6" s="33"/>
      <c r="F6" s="33"/>
      <c r="G6" s="33"/>
      <c r="H6" s="229"/>
      <c r="I6" s="37"/>
      <c r="J6" s="386"/>
      <c r="K6" s="37"/>
      <c r="L6" s="236"/>
      <c r="M6" s="232"/>
      <c r="N6" s="232"/>
      <c r="O6" s="233"/>
      <c r="P6" s="46"/>
      <c r="Q6" s="388"/>
      <c r="R6" s="40"/>
      <c r="S6" s="40"/>
      <c r="T6" s="44"/>
      <c r="V6" s="28"/>
      <c r="W6" s="88"/>
    </row>
    <row r="7" customFormat="false" ht="12.75" hidden="false" customHeight="true" outlineLevel="0" collapsed="false">
      <c r="B7" s="32"/>
      <c r="C7" s="32"/>
      <c r="D7" s="33"/>
      <c r="E7" s="33"/>
      <c r="F7" s="33"/>
      <c r="G7" s="33"/>
      <c r="H7" s="229"/>
      <c r="I7" s="37"/>
      <c r="J7" s="386"/>
      <c r="K7" s="37"/>
      <c r="L7" s="238"/>
      <c r="M7" s="232"/>
      <c r="N7" s="232"/>
      <c r="O7" s="42"/>
      <c r="P7" s="389" t="s">
        <v>403</v>
      </c>
      <c r="Q7" s="388"/>
      <c r="R7" s="40"/>
      <c r="S7" s="40"/>
      <c r="T7" s="44"/>
      <c r="V7" s="50"/>
      <c r="W7" s="88"/>
    </row>
    <row r="8" customFormat="false" ht="12.75" hidden="false" customHeight="false" outlineLevel="0" collapsed="false">
      <c r="B8" s="32"/>
      <c r="C8" s="32"/>
      <c r="D8" s="33"/>
      <c r="E8" s="33"/>
      <c r="F8" s="33"/>
      <c r="G8" s="33"/>
      <c r="H8" s="229"/>
      <c r="I8" s="37"/>
      <c r="J8" s="386"/>
      <c r="K8" s="37"/>
      <c r="L8" s="239"/>
      <c r="M8" s="232"/>
      <c r="N8" s="232"/>
      <c r="O8" s="42"/>
      <c r="P8" s="389"/>
      <c r="Q8" s="388"/>
      <c r="R8" s="40"/>
      <c r="S8" s="40"/>
      <c r="T8" s="44"/>
      <c r="V8" s="50"/>
      <c r="W8" s="88"/>
    </row>
    <row r="9" customFormat="false" ht="12.75" hidden="false" customHeight="false" outlineLevel="0" collapsed="false">
      <c r="B9" s="32"/>
      <c r="C9" s="32"/>
      <c r="D9" s="33"/>
      <c r="E9" s="33"/>
      <c r="F9" s="33"/>
      <c r="G9" s="33"/>
      <c r="H9" s="229"/>
      <c r="I9" s="37"/>
      <c r="J9" s="386"/>
      <c r="K9" s="37"/>
      <c r="L9" s="238" t="s">
        <v>774</v>
      </c>
      <c r="M9" s="232"/>
      <c r="N9" s="232"/>
      <c r="O9" s="42"/>
      <c r="P9" s="389"/>
      <c r="Q9" s="388"/>
      <c r="R9" s="40"/>
      <c r="S9" s="40"/>
      <c r="T9" s="44"/>
      <c r="V9" s="50"/>
      <c r="W9" s="88"/>
    </row>
    <row r="10" customFormat="false" ht="12.75" hidden="false" customHeight="false" outlineLevel="0" collapsed="false">
      <c r="B10" s="32"/>
      <c r="C10" s="32"/>
      <c r="D10" s="33"/>
      <c r="E10" s="33"/>
      <c r="F10" s="33"/>
      <c r="G10" s="33"/>
      <c r="H10" s="229"/>
      <c r="I10" s="37"/>
      <c r="J10" s="386"/>
      <c r="K10" s="37"/>
      <c r="L10" s="239"/>
      <c r="M10" s="232"/>
      <c r="N10" s="232"/>
      <c r="O10" s="42"/>
      <c r="P10" s="389"/>
      <c r="Q10" s="388"/>
      <c r="R10" s="40"/>
      <c r="S10" s="40"/>
      <c r="T10" s="44"/>
      <c r="V10" s="28"/>
      <c r="W10" s="88"/>
    </row>
    <row r="11" customFormat="false" ht="12.75" hidden="false" customHeight="false" outlineLevel="0" collapsed="false">
      <c r="B11" s="32"/>
      <c r="C11" s="32"/>
      <c r="D11" s="33"/>
      <c r="E11" s="33"/>
      <c r="F11" s="33"/>
      <c r="G11" s="33"/>
      <c r="H11" s="229"/>
      <c r="I11" s="37"/>
      <c r="J11" s="386"/>
      <c r="K11" s="37"/>
      <c r="L11" s="238" t="s">
        <v>405</v>
      </c>
      <c r="M11" s="232"/>
      <c r="N11" s="232"/>
      <c r="O11" s="42"/>
      <c r="P11" s="389"/>
      <c r="Q11" s="388"/>
      <c r="R11" s="40"/>
      <c r="S11" s="40"/>
      <c r="T11" s="44"/>
      <c r="V11" s="28"/>
      <c r="W11" s="88"/>
    </row>
    <row r="12" customFormat="false" ht="13.5" hidden="false" customHeight="false" outlineLevel="0" collapsed="false">
      <c r="B12" s="32"/>
      <c r="C12" s="32"/>
      <c r="D12" s="33"/>
      <c r="E12" s="33"/>
      <c r="F12" s="33"/>
      <c r="G12" s="33"/>
      <c r="H12" s="229"/>
      <c r="I12" s="37"/>
      <c r="J12" s="386"/>
      <c r="K12" s="37"/>
      <c r="L12" s="240"/>
      <c r="M12" s="232"/>
      <c r="N12" s="232"/>
      <c r="O12" s="42"/>
      <c r="P12" s="389"/>
      <c r="Q12" s="388"/>
      <c r="R12" s="40"/>
      <c r="S12" s="40"/>
      <c r="T12" s="44"/>
      <c r="V12" s="28"/>
      <c r="W12" s="88"/>
    </row>
    <row r="13" customFormat="false" ht="48" hidden="false" customHeight="true" outlineLevel="0" collapsed="false">
      <c r="B13" s="32"/>
      <c r="C13" s="32"/>
      <c r="D13" s="54" t="s">
        <v>25</v>
      </c>
      <c r="E13" s="54"/>
      <c r="F13" s="54"/>
      <c r="G13" s="54"/>
      <c r="H13" s="242"/>
      <c r="I13" s="37"/>
      <c r="J13" s="390" t="s">
        <v>12</v>
      </c>
      <c r="K13" s="37"/>
      <c r="L13" s="391" t="s">
        <v>12</v>
      </c>
      <c r="M13" s="392" t="s">
        <v>397</v>
      </c>
      <c r="N13" s="392" t="s">
        <v>398</v>
      </c>
      <c r="O13" s="42"/>
      <c r="P13" s="393" t="s">
        <v>406</v>
      </c>
      <c r="Q13" s="394" t="s">
        <v>407</v>
      </c>
      <c r="R13" s="394" t="s">
        <v>775</v>
      </c>
      <c r="S13" s="394" t="s">
        <v>409</v>
      </c>
      <c r="T13" s="55" t="s">
        <v>410</v>
      </c>
      <c r="V13" s="28"/>
      <c r="W13" s="88"/>
    </row>
    <row r="14" customFormat="false" ht="60.75" hidden="false" customHeight="false" outlineLevel="0" collapsed="false">
      <c r="B14" s="32"/>
      <c r="C14" s="32"/>
      <c r="D14" s="54"/>
      <c r="E14" s="54"/>
      <c r="F14" s="54"/>
      <c r="G14" s="54"/>
      <c r="H14" s="247"/>
      <c r="I14" s="37"/>
      <c r="J14" s="395" t="s">
        <v>12</v>
      </c>
      <c r="K14" s="37"/>
      <c r="L14" s="396" t="s">
        <v>12</v>
      </c>
      <c r="M14" s="40" t="s">
        <v>12</v>
      </c>
      <c r="N14" s="40" t="s">
        <v>12</v>
      </c>
      <c r="O14" s="42"/>
      <c r="P14" s="397" t="s">
        <v>411</v>
      </c>
      <c r="Q14" s="397" t="s">
        <v>412</v>
      </c>
      <c r="R14" s="249"/>
      <c r="S14" s="249"/>
      <c r="T14" s="398"/>
      <c r="V14" s="28"/>
      <c r="W14" s="88"/>
    </row>
    <row r="15" customFormat="false" ht="26.25" hidden="false" customHeight="true" outlineLevel="0" collapsed="false">
      <c r="B15" s="32"/>
      <c r="C15" s="32"/>
      <c r="D15" s="72" t="s">
        <v>34</v>
      </c>
      <c r="E15" s="72"/>
      <c r="F15" s="72"/>
      <c r="G15" s="72"/>
      <c r="H15" s="253" t="s">
        <v>12</v>
      </c>
      <c r="I15" s="74"/>
      <c r="J15" s="87" t="s">
        <v>12</v>
      </c>
      <c r="K15" s="37"/>
      <c r="L15" s="76" t="s">
        <v>35</v>
      </c>
      <c r="M15" s="78" t="s">
        <v>36</v>
      </c>
      <c r="N15" s="78" t="s">
        <v>36</v>
      </c>
      <c r="O15" s="233"/>
      <c r="P15" s="76" t="s">
        <v>35</v>
      </c>
      <c r="Q15" s="77" t="s">
        <v>36</v>
      </c>
      <c r="R15" s="78" t="s">
        <v>36</v>
      </c>
      <c r="S15" s="78" t="s">
        <v>36</v>
      </c>
      <c r="T15" s="79" t="s">
        <v>36</v>
      </c>
      <c r="V15" s="80"/>
      <c r="W15" s="80"/>
    </row>
    <row r="16" customFormat="false" ht="64.5" hidden="false" customHeight="true" outlineLevel="0" collapsed="false">
      <c r="B16" s="32"/>
      <c r="C16" s="32"/>
      <c r="D16" s="72" t="s">
        <v>37</v>
      </c>
      <c r="E16" s="72"/>
      <c r="F16" s="72"/>
      <c r="G16" s="72"/>
      <c r="H16" s="253" t="s">
        <v>38</v>
      </c>
      <c r="I16" s="74"/>
      <c r="J16" s="387" t="s">
        <v>413</v>
      </c>
      <c r="K16" s="37"/>
      <c r="L16" s="82" t="s">
        <v>40</v>
      </c>
      <c r="M16" s="77" t="s">
        <v>41</v>
      </c>
      <c r="N16" s="77" t="s">
        <v>41</v>
      </c>
      <c r="O16" s="233"/>
      <c r="P16" s="82" t="s">
        <v>40</v>
      </c>
      <c r="Q16" s="77" t="s">
        <v>41</v>
      </c>
      <c r="R16" s="77" t="s">
        <v>41</v>
      </c>
      <c r="S16" s="77" t="s">
        <v>41</v>
      </c>
      <c r="T16" s="83" t="s">
        <v>41</v>
      </c>
      <c r="V16" s="80"/>
      <c r="W16" s="80"/>
    </row>
    <row r="17" customFormat="false" ht="16.5" hidden="false" customHeight="true" outlineLevel="0" collapsed="false">
      <c r="B17" s="32"/>
      <c r="C17" s="32"/>
      <c r="D17" s="84" t="s">
        <v>42</v>
      </c>
      <c r="E17" s="84"/>
      <c r="F17" s="84"/>
      <c r="G17" s="84"/>
      <c r="H17" s="255" t="s">
        <v>12</v>
      </c>
      <c r="I17" s="86"/>
      <c r="J17" s="87" t="s">
        <v>12</v>
      </c>
      <c r="K17" s="37"/>
      <c r="L17" s="87" t="s">
        <v>43</v>
      </c>
      <c r="M17" s="78" t="s">
        <v>43</v>
      </c>
      <c r="N17" s="78" t="s">
        <v>43</v>
      </c>
      <c r="O17" s="233"/>
      <c r="P17" s="87" t="s">
        <v>43</v>
      </c>
      <c r="Q17" s="78" t="s">
        <v>43</v>
      </c>
      <c r="R17" s="78" t="s">
        <v>43</v>
      </c>
      <c r="S17" s="78" t="s">
        <v>43</v>
      </c>
      <c r="T17" s="79" t="s">
        <v>43</v>
      </c>
      <c r="V17" s="88"/>
      <c r="W17" s="88"/>
    </row>
    <row r="18" customFormat="false" ht="23.25" hidden="false" customHeight="false" outlineLevel="0" collapsed="false">
      <c r="B18" s="257"/>
      <c r="C18" s="257"/>
      <c r="D18" s="258"/>
      <c r="E18" s="258"/>
      <c r="F18" s="259"/>
      <c r="G18" s="259"/>
      <c r="H18" s="260"/>
      <c r="I18" s="88"/>
      <c r="J18" s="262"/>
      <c r="K18" s="88"/>
      <c r="L18" s="263"/>
      <c r="M18" s="263"/>
      <c r="N18" s="263"/>
      <c r="O18" s="88"/>
      <c r="P18" s="263"/>
      <c r="Q18" s="263"/>
      <c r="R18" s="263"/>
      <c r="S18" s="263"/>
      <c r="T18" s="263"/>
      <c r="V18" s="88"/>
      <c r="W18" s="88"/>
    </row>
    <row r="19" customFormat="false" ht="18" hidden="false" customHeight="false" outlineLevel="0" collapsed="false">
      <c r="B19" s="95"/>
      <c r="C19" s="96"/>
    </row>
    <row r="20" customFormat="false" ht="14.25" hidden="false" customHeight="false" outlineLevel="0" collapsed="false">
      <c r="C20" s="96"/>
      <c r="D20" s="99"/>
      <c r="E20" s="99"/>
      <c r="I20" s="2"/>
      <c r="K20" s="2"/>
    </row>
    <row r="21" s="268" customFormat="true" ht="15.75" hidden="false" customHeight="false" outlineLevel="0" collapsed="false">
      <c r="C21" s="363" t="s">
        <v>769</v>
      </c>
      <c r="H21" s="270"/>
      <c r="W21" s="271"/>
    </row>
    <row r="22" customFormat="false" ht="18" hidden="false" customHeight="true" outlineLevel="0" collapsed="false">
      <c r="B22" s="101" t="s">
        <v>61</v>
      </c>
      <c r="C22" s="101"/>
      <c r="D22" s="101"/>
      <c r="E22" s="101"/>
      <c r="F22" s="101"/>
      <c r="G22" s="101"/>
      <c r="H22" s="273" t="s">
        <v>771</v>
      </c>
      <c r="J22" s="399" t="s">
        <v>62</v>
      </c>
      <c r="K22" s="6"/>
      <c r="L22" s="399" t="s">
        <v>63</v>
      </c>
      <c r="M22" s="399"/>
      <c r="N22" s="399"/>
      <c r="O22" s="399"/>
      <c r="P22" s="399"/>
      <c r="Q22" s="399"/>
      <c r="R22" s="399"/>
      <c r="S22" s="399"/>
      <c r="T22" s="399"/>
      <c r="V22" s="102" t="s">
        <v>65</v>
      </c>
    </row>
    <row r="23" customFormat="false" ht="18" hidden="false" customHeight="false" outlineLevel="0" collapsed="false">
      <c r="B23" s="101"/>
      <c r="C23" s="101"/>
      <c r="D23" s="101"/>
      <c r="E23" s="101"/>
      <c r="F23" s="101"/>
      <c r="G23" s="101"/>
      <c r="H23" s="273"/>
      <c r="J23" s="399"/>
      <c r="K23" s="6"/>
      <c r="L23" s="105"/>
      <c r="M23" s="6"/>
      <c r="N23" s="6"/>
      <c r="O23" s="6"/>
      <c r="P23" s="6"/>
      <c r="Q23" s="6"/>
      <c r="R23" s="6"/>
      <c r="S23" s="6"/>
      <c r="T23" s="6"/>
      <c r="V23" s="102"/>
    </row>
    <row r="24" customFormat="false" ht="18" hidden="false" customHeight="true" outlineLevel="0" collapsed="false">
      <c r="B24" s="101"/>
      <c r="C24" s="101"/>
      <c r="D24" s="101"/>
      <c r="E24" s="101"/>
      <c r="F24" s="101"/>
      <c r="G24" s="101"/>
      <c r="H24" s="273"/>
      <c r="J24" s="399"/>
      <c r="K24" s="21"/>
      <c r="L24" s="106" t="s">
        <v>68</v>
      </c>
      <c r="M24" s="106"/>
      <c r="N24" s="106"/>
      <c r="O24" s="14"/>
      <c r="P24" s="106" t="s">
        <v>418</v>
      </c>
      <c r="Q24" s="106"/>
      <c r="R24" s="106"/>
      <c r="S24" s="106"/>
      <c r="T24" s="106"/>
      <c r="V24" s="102"/>
    </row>
    <row r="25" s="1" customFormat="true" ht="18" hidden="false" customHeight="false" outlineLevel="0" collapsed="false">
      <c r="B25" s="101"/>
      <c r="C25" s="101"/>
      <c r="D25" s="101"/>
      <c r="E25" s="101"/>
      <c r="F25" s="101"/>
      <c r="G25" s="101"/>
      <c r="H25" s="273"/>
      <c r="J25" s="6"/>
      <c r="K25" s="21"/>
      <c r="L25" s="107"/>
      <c r="M25" s="14"/>
      <c r="N25" s="108"/>
      <c r="O25" s="14"/>
      <c r="P25" s="107"/>
      <c r="Q25" s="14"/>
      <c r="R25" s="14"/>
      <c r="S25" s="14"/>
      <c r="T25" s="108"/>
      <c r="U25" s="2"/>
      <c r="V25" s="102"/>
    </row>
    <row r="26" customFormat="false" ht="25.5" hidden="false" customHeight="false" outlineLevel="0" collapsed="false">
      <c r="B26" s="101"/>
      <c r="C26" s="101"/>
      <c r="D26" s="101"/>
      <c r="E26" s="101"/>
      <c r="F26" s="101"/>
      <c r="G26" s="101"/>
      <c r="H26" s="273"/>
      <c r="I26" s="110"/>
      <c r="J26" s="112" t="s">
        <v>4</v>
      </c>
      <c r="K26" s="21"/>
      <c r="L26" s="112" t="s">
        <v>4</v>
      </c>
      <c r="M26" s="112" t="s">
        <v>6</v>
      </c>
      <c r="N26" s="113" t="s">
        <v>7</v>
      </c>
      <c r="O26" s="21"/>
      <c r="P26" s="112" t="s">
        <v>70</v>
      </c>
      <c r="Q26" s="112" t="s">
        <v>71</v>
      </c>
      <c r="R26" s="112" t="s">
        <v>72</v>
      </c>
      <c r="S26" s="112" t="s">
        <v>72</v>
      </c>
      <c r="T26" s="113" t="s">
        <v>73</v>
      </c>
      <c r="V26" s="102"/>
      <c r="W26" s="110"/>
    </row>
    <row r="27" customFormat="false" ht="12.75" hidden="false" customHeight="false" outlineLevel="0" collapsed="false">
      <c r="B27" s="117"/>
      <c r="G27" s="120"/>
      <c r="H27" s="286"/>
      <c r="J27" s="119"/>
      <c r="L27" s="119"/>
      <c r="N27" s="120"/>
      <c r="P27" s="119"/>
      <c r="T27" s="120"/>
      <c r="V27" s="118"/>
    </row>
    <row r="28" customFormat="false" ht="38.25" hidden="false" customHeight="false" outlineLevel="0" collapsed="false">
      <c r="B28" s="369" t="s">
        <v>74</v>
      </c>
      <c r="C28" s="370" t="s">
        <v>420</v>
      </c>
      <c r="D28" s="371" t="s">
        <v>76</v>
      </c>
      <c r="E28" s="371" t="s">
        <v>77</v>
      </c>
      <c r="F28" s="370" t="s">
        <v>78</v>
      </c>
      <c r="G28" s="370" t="s">
        <v>79</v>
      </c>
      <c r="H28" s="400" t="s">
        <v>776</v>
      </c>
      <c r="I28" s="21"/>
      <c r="J28" s="124" t="s">
        <v>81</v>
      </c>
      <c r="K28" s="21"/>
      <c r="L28" s="372" t="s">
        <v>777</v>
      </c>
      <c r="M28" s="372" t="s">
        <v>777</v>
      </c>
      <c r="N28" s="372" t="s">
        <v>777</v>
      </c>
      <c r="O28" s="21"/>
      <c r="P28" s="372" t="s">
        <v>777</v>
      </c>
      <c r="Q28" s="372" t="s">
        <v>777</v>
      </c>
      <c r="R28" s="372" t="s">
        <v>777</v>
      </c>
      <c r="S28" s="124" t="s">
        <v>777</v>
      </c>
      <c r="T28" s="124" t="s">
        <v>777</v>
      </c>
      <c r="V28" s="372" t="s">
        <v>85</v>
      </c>
      <c r="W28" s="21"/>
    </row>
    <row r="29" customFormat="false" ht="12.75" hidden="false" customHeight="false" outlineLevel="0" collapsed="false">
      <c r="B29" s="304" t="s">
        <v>424</v>
      </c>
      <c r="C29" s="305" t="s">
        <v>425</v>
      </c>
      <c r="D29" s="306" t="n">
        <v>64</v>
      </c>
      <c r="E29" s="306" t="n">
        <v>1.1</v>
      </c>
      <c r="F29" s="306" t="s">
        <v>426</v>
      </c>
      <c r="G29" s="307" t="n">
        <v>24</v>
      </c>
      <c r="H29" s="308" t="n">
        <v>63.6363636363636</v>
      </c>
      <c r="I29" s="315"/>
      <c r="J29" s="144" t="s">
        <v>12</v>
      </c>
      <c r="K29" s="310"/>
      <c r="L29" s="311" t="n">
        <v>0</v>
      </c>
      <c r="M29" s="311" t="n">
        <v>0</v>
      </c>
      <c r="N29" s="144" t="n">
        <v>0</v>
      </c>
      <c r="O29" s="310"/>
      <c r="P29" s="311" t="n">
        <v>0</v>
      </c>
      <c r="Q29" s="311" t="n">
        <v>0</v>
      </c>
      <c r="R29" s="311" t="n">
        <v>0</v>
      </c>
      <c r="S29" s="311" t="n">
        <v>0</v>
      </c>
      <c r="T29" s="144" t="n">
        <v>0</v>
      </c>
      <c r="U29" s="310"/>
      <c r="V29" s="144" t="n">
        <v>0</v>
      </c>
      <c r="W29" s="315"/>
    </row>
    <row r="30" customFormat="false" ht="12.75" hidden="false" customHeight="false" outlineLevel="0" collapsed="false">
      <c r="B30" s="304" t="s">
        <v>424</v>
      </c>
      <c r="C30" s="305" t="s">
        <v>427</v>
      </c>
      <c r="D30" s="306" t="n">
        <v>77</v>
      </c>
      <c r="E30" s="306" t="n">
        <v>1.1</v>
      </c>
      <c r="F30" s="324" t="s">
        <v>426</v>
      </c>
      <c r="G30" s="144" t="n">
        <v>24</v>
      </c>
      <c r="H30" s="325" t="n">
        <v>76.8595041322314</v>
      </c>
      <c r="I30" s="315"/>
      <c r="J30" s="144" t="s">
        <v>12</v>
      </c>
      <c r="K30" s="310"/>
      <c r="L30" s="311" t="n">
        <v>0</v>
      </c>
      <c r="M30" s="311" t="n">
        <v>0</v>
      </c>
      <c r="N30" s="144" t="n">
        <v>0</v>
      </c>
      <c r="O30" s="310"/>
      <c r="P30" s="311" t="n">
        <v>0</v>
      </c>
      <c r="Q30" s="311" t="n">
        <v>0</v>
      </c>
      <c r="R30" s="311" t="n">
        <v>0</v>
      </c>
      <c r="S30" s="311" t="n">
        <v>0</v>
      </c>
      <c r="T30" s="144" t="n">
        <v>0</v>
      </c>
      <c r="U30" s="310"/>
      <c r="V30" s="144" t="n">
        <v>0</v>
      </c>
      <c r="W30" s="315"/>
    </row>
    <row r="31" customFormat="false" ht="12.75" hidden="false" customHeight="false" outlineLevel="0" collapsed="false">
      <c r="B31" s="304" t="s">
        <v>428</v>
      </c>
      <c r="C31" s="305" t="s">
        <v>429</v>
      </c>
      <c r="D31" s="306" t="n">
        <v>49</v>
      </c>
      <c r="E31" s="306" t="n">
        <v>1.1</v>
      </c>
      <c r="F31" s="306" t="s">
        <v>426</v>
      </c>
      <c r="G31" s="307" t="n">
        <v>24</v>
      </c>
      <c r="H31" s="308" t="n">
        <v>47.1074380165289</v>
      </c>
      <c r="I31" s="315"/>
      <c r="J31" s="144" t="s">
        <v>12</v>
      </c>
      <c r="K31" s="310"/>
      <c r="L31" s="311" t="n">
        <v>0</v>
      </c>
      <c r="M31" s="311" t="n">
        <v>0</v>
      </c>
      <c r="N31" s="144" t="n">
        <v>0</v>
      </c>
      <c r="O31" s="310"/>
      <c r="P31" s="311" t="n">
        <v>0</v>
      </c>
      <c r="Q31" s="311" t="n">
        <v>0</v>
      </c>
      <c r="R31" s="311" t="n">
        <v>0</v>
      </c>
      <c r="S31" s="311" t="n">
        <v>0</v>
      </c>
      <c r="T31" s="144" t="n">
        <v>0</v>
      </c>
      <c r="U31" s="310"/>
      <c r="V31" s="144" t="n">
        <v>2</v>
      </c>
      <c r="W31" s="315"/>
    </row>
    <row r="32" customFormat="false" ht="12.75" hidden="false" customHeight="false" outlineLevel="0" collapsed="false">
      <c r="B32" s="304" t="s">
        <v>428</v>
      </c>
      <c r="C32" s="305" t="s">
        <v>430</v>
      </c>
      <c r="D32" s="306" t="n">
        <v>60</v>
      </c>
      <c r="E32" s="306" t="n">
        <v>1.1</v>
      </c>
      <c r="F32" s="324" t="s">
        <v>426</v>
      </c>
      <c r="G32" s="144" t="n">
        <v>24</v>
      </c>
      <c r="H32" s="325" t="n">
        <v>59.504132231405</v>
      </c>
      <c r="I32" s="315"/>
      <c r="J32" s="144" t="s">
        <v>12</v>
      </c>
      <c r="K32" s="310"/>
      <c r="L32" s="311" t="n">
        <v>0</v>
      </c>
      <c r="M32" s="311" t="n">
        <v>0</v>
      </c>
      <c r="N32" s="144" t="n">
        <v>0</v>
      </c>
      <c r="O32" s="310"/>
      <c r="P32" s="311" t="n">
        <v>0</v>
      </c>
      <c r="Q32" s="311" t="n">
        <v>0</v>
      </c>
      <c r="R32" s="311" t="n">
        <v>0</v>
      </c>
      <c r="S32" s="311" t="n">
        <v>0</v>
      </c>
      <c r="T32" s="144" t="n">
        <v>0</v>
      </c>
      <c r="U32" s="310"/>
      <c r="V32" s="144" t="n">
        <v>0</v>
      </c>
      <c r="W32" s="315"/>
    </row>
    <row r="33" customFormat="false" ht="12.75" hidden="false" customHeight="false" outlineLevel="0" collapsed="false">
      <c r="B33" s="304" t="s">
        <v>112</v>
      </c>
      <c r="C33" s="305" t="s">
        <v>431</v>
      </c>
      <c r="D33" s="306" t="n">
        <v>883</v>
      </c>
      <c r="E33" s="306" t="n">
        <v>3.25</v>
      </c>
      <c r="F33" s="306" t="s">
        <v>432</v>
      </c>
      <c r="G33" s="307" t="n">
        <v>24</v>
      </c>
      <c r="H33" s="308" t="n">
        <v>673.553719008264</v>
      </c>
      <c r="I33" s="315"/>
      <c r="J33" s="144" t="s">
        <v>12</v>
      </c>
      <c r="K33" s="310"/>
      <c r="L33" s="311" t="n">
        <v>169</v>
      </c>
      <c r="M33" s="311" t="n">
        <v>0</v>
      </c>
      <c r="N33" s="144" t="n">
        <v>0</v>
      </c>
      <c r="O33" s="310"/>
      <c r="P33" s="311" t="n">
        <v>0</v>
      </c>
      <c r="Q33" s="311" t="n">
        <v>0</v>
      </c>
      <c r="R33" s="311" t="n">
        <v>0</v>
      </c>
      <c r="S33" s="311" t="n">
        <v>0</v>
      </c>
      <c r="T33" s="144" t="n">
        <v>0</v>
      </c>
      <c r="U33" s="310"/>
      <c r="V33" s="144" t="n">
        <v>209</v>
      </c>
      <c r="W33" s="315"/>
    </row>
    <row r="34" customFormat="false" ht="12.75" hidden="false" customHeight="false" outlineLevel="0" collapsed="false">
      <c r="B34" s="304" t="s">
        <v>112</v>
      </c>
      <c r="C34" s="305" t="s">
        <v>431</v>
      </c>
      <c r="D34" s="306" t="n">
        <v>883</v>
      </c>
      <c r="E34" s="306" t="n">
        <v>3.25</v>
      </c>
      <c r="F34" s="324" t="s">
        <v>432</v>
      </c>
      <c r="G34" s="144" t="n">
        <v>48</v>
      </c>
      <c r="H34" s="325" t="n">
        <v>673.553719008264</v>
      </c>
      <c r="I34" s="315"/>
      <c r="J34" s="144" t="s">
        <v>12</v>
      </c>
      <c r="K34" s="310"/>
      <c r="L34" s="311" t="n">
        <v>169</v>
      </c>
      <c r="M34" s="311" t="n">
        <v>0</v>
      </c>
      <c r="N34" s="144" t="n">
        <v>0</v>
      </c>
      <c r="O34" s="310"/>
      <c r="P34" s="311" t="n">
        <v>0</v>
      </c>
      <c r="Q34" s="311" t="n">
        <v>0</v>
      </c>
      <c r="R34" s="311" t="n">
        <v>0</v>
      </c>
      <c r="S34" s="311" t="n">
        <v>0</v>
      </c>
      <c r="T34" s="144" t="n">
        <v>0</v>
      </c>
      <c r="U34" s="310"/>
      <c r="V34" s="144" t="n">
        <v>209</v>
      </c>
      <c r="W34" s="315"/>
    </row>
    <row r="35" customFormat="false" ht="12.75" hidden="false" customHeight="false" outlineLevel="0" collapsed="false">
      <c r="B35" s="304" t="s">
        <v>112</v>
      </c>
      <c r="C35" s="305" t="s">
        <v>433</v>
      </c>
      <c r="D35" s="306" t="n">
        <v>639</v>
      </c>
      <c r="E35" s="306" t="n">
        <v>3.25</v>
      </c>
      <c r="F35" s="306" t="s">
        <v>432</v>
      </c>
      <c r="G35" s="307" t="n">
        <v>24</v>
      </c>
      <c r="H35" s="308" t="n">
        <v>586.776859504132</v>
      </c>
      <c r="I35" s="315"/>
      <c r="J35" s="144" t="s">
        <v>12</v>
      </c>
      <c r="K35" s="310"/>
      <c r="L35" s="311" t="n">
        <v>169</v>
      </c>
      <c r="M35" s="311" t="n">
        <v>0</v>
      </c>
      <c r="N35" s="144" t="n">
        <v>0</v>
      </c>
      <c r="O35" s="310"/>
      <c r="P35" s="311" t="n">
        <v>0</v>
      </c>
      <c r="Q35" s="311" t="n">
        <v>0</v>
      </c>
      <c r="R35" s="311" t="n">
        <v>0</v>
      </c>
      <c r="S35" s="311" t="n">
        <v>0</v>
      </c>
      <c r="T35" s="144" t="n">
        <v>0</v>
      </c>
      <c r="U35" s="310"/>
      <c r="V35" s="144" t="n">
        <v>52</v>
      </c>
      <c r="W35" s="315"/>
    </row>
    <row r="36" customFormat="false" ht="12.75" hidden="false" customHeight="false" outlineLevel="0" collapsed="false">
      <c r="B36" s="304" t="s">
        <v>112</v>
      </c>
      <c r="C36" s="305" t="s">
        <v>433</v>
      </c>
      <c r="D36" s="306" t="n">
        <v>639</v>
      </c>
      <c r="E36" s="306" t="n">
        <v>3.25</v>
      </c>
      <c r="F36" s="324" t="s">
        <v>432</v>
      </c>
      <c r="G36" s="144" t="n">
        <v>48</v>
      </c>
      <c r="H36" s="325" t="n">
        <v>586.776859504132</v>
      </c>
      <c r="I36" s="315"/>
      <c r="J36" s="144" t="s">
        <v>12</v>
      </c>
      <c r="K36" s="310"/>
      <c r="L36" s="311" t="n">
        <v>169</v>
      </c>
      <c r="M36" s="311" t="n">
        <v>0</v>
      </c>
      <c r="N36" s="144" t="n">
        <v>0</v>
      </c>
      <c r="O36" s="310"/>
      <c r="P36" s="311" t="n">
        <v>0</v>
      </c>
      <c r="Q36" s="311" t="n">
        <v>0</v>
      </c>
      <c r="R36" s="311" t="n">
        <v>0</v>
      </c>
      <c r="S36" s="311" t="n">
        <v>0</v>
      </c>
      <c r="T36" s="144" t="n">
        <v>0</v>
      </c>
      <c r="U36" s="310"/>
      <c r="V36" s="144" t="n">
        <v>52</v>
      </c>
      <c r="W36" s="315"/>
    </row>
    <row r="37" customFormat="false" ht="12.75" hidden="false" customHeight="false" outlineLevel="0" collapsed="false">
      <c r="B37" s="304" t="s">
        <v>112</v>
      </c>
      <c r="C37" s="305" t="s">
        <v>434</v>
      </c>
      <c r="D37" s="306" t="n">
        <v>779</v>
      </c>
      <c r="E37" s="306" t="n">
        <v>3.25</v>
      </c>
      <c r="F37" s="306" t="s">
        <v>432</v>
      </c>
      <c r="G37" s="307" t="n">
        <v>24</v>
      </c>
      <c r="H37" s="308" t="n">
        <v>697.520661157025</v>
      </c>
      <c r="I37" s="315"/>
      <c r="J37" s="144" t="s">
        <v>12</v>
      </c>
      <c r="K37" s="310"/>
      <c r="L37" s="311" t="n">
        <v>169</v>
      </c>
      <c r="M37" s="311" t="n">
        <v>0</v>
      </c>
      <c r="N37" s="144" t="n">
        <v>0</v>
      </c>
      <c r="O37" s="310"/>
      <c r="P37" s="311" t="n">
        <v>0</v>
      </c>
      <c r="Q37" s="311" t="n">
        <v>0</v>
      </c>
      <c r="R37" s="311" t="n">
        <v>0</v>
      </c>
      <c r="S37" s="311" t="n">
        <v>0</v>
      </c>
      <c r="T37" s="144" t="n">
        <v>0</v>
      </c>
      <c r="U37" s="310"/>
      <c r="V37" s="144" t="n">
        <v>81</v>
      </c>
      <c r="W37" s="315"/>
    </row>
    <row r="38" customFormat="false" ht="12.75" hidden="false" customHeight="false" outlineLevel="0" collapsed="false">
      <c r="B38" s="304" t="s">
        <v>112</v>
      </c>
      <c r="C38" s="305" t="s">
        <v>434</v>
      </c>
      <c r="D38" s="306" t="n">
        <v>779</v>
      </c>
      <c r="E38" s="306" t="n">
        <v>3.25</v>
      </c>
      <c r="F38" s="324" t="s">
        <v>432</v>
      </c>
      <c r="G38" s="144" t="n">
        <v>48</v>
      </c>
      <c r="H38" s="325" t="n">
        <v>697.520661157025</v>
      </c>
      <c r="I38" s="315"/>
      <c r="J38" s="144" t="s">
        <v>12</v>
      </c>
      <c r="K38" s="310"/>
      <c r="L38" s="311" t="n">
        <v>169</v>
      </c>
      <c r="M38" s="311" t="n">
        <v>0</v>
      </c>
      <c r="N38" s="144" t="n">
        <v>0</v>
      </c>
      <c r="O38" s="310"/>
      <c r="P38" s="311" t="n">
        <v>0</v>
      </c>
      <c r="Q38" s="311" t="n">
        <v>0</v>
      </c>
      <c r="R38" s="311" t="n">
        <v>0</v>
      </c>
      <c r="S38" s="311" t="n">
        <v>0</v>
      </c>
      <c r="T38" s="144" t="n">
        <v>0</v>
      </c>
      <c r="U38" s="310"/>
      <c r="V38" s="144" t="n">
        <v>81</v>
      </c>
      <c r="W38" s="315"/>
    </row>
    <row r="39" customFormat="false" ht="12.75" hidden="false" customHeight="false" outlineLevel="0" collapsed="false">
      <c r="B39" s="304" t="s">
        <v>112</v>
      </c>
      <c r="C39" s="305" t="s">
        <v>435</v>
      </c>
      <c r="D39" s="306" t="n">
        <v>883</v>
      </c>
      <c r="E39" s="306" t="n">
        <v>3.25</v>
      </c>
      <c r="F39" s="306" t="s">
        <v>432</v>
      </c>
      <c r="G39" s="307" t="n">
        <v>24</v>
      </c>
      <c r="H39" s="308" t="n">
        <v>789.256198347107</v>
      </c>
      <c r="I39" s="315"/>
      <c r="J39" s="144" t="s">
        <v>12</v>
      </c>
      <c r="K39" s="310"/>
      <c r="L39" s="311" t="n">
        <v>169</v>
      </c>
      <c r="M39" s="311" t="n">
        <v>0</v>
      </c>
      <c r="N39" s="144" t="n">
        <v>0</v>
      </c>
      <c r="O39" s="310"/>
      <c r="P39" s="311" t="n">
        <v>0</v>
      </c>
      <c r="Q39" s="311" t="n">
        <v>0</v>
      </c>
      <c r="R39" s="311" t="n">
        <v>0</v>
      </c>
      <c r="S39" s="311" t="n">
        <v>0</v>
      </c>
      <c r="T39" s="144" t="n">
        <v>0</v>
      </c>
      <c r="U39" s="310"/>
      <c r="V39" s="144" t="n">
        <v>94</v>
      </c>
      <c r="W39" s="315"/>
    </row>
    <row r="40" customFormat="false" ht="12.75" hidden="false" customHeight="false" outlineLevel="0" collapsed="false">
      <c r="B40" s="304" t="s">
        <v>112</v>
      </c>
      <c r="C40" s="305" t="s">
        <v>435</v>
      </c>
      <c r="D40" s="306" t="n">
        <v>883</v>
      </c>
      <c r="E40" s="306" t="n">
        <v>3.25</v>
      </c>
      <c r="F40" s="324" t="s">
        <v>432</v>
      </c>
      <c r="G40" s="144" t="n">
        <v>48</v>
      </c>
      <c r="H40" s="325" t="n">
        <v>789.256198347107</v>
      </c>
      <c r="I40" s="315"/>
      <c r="J40" s="144" t="s">
        <v>12</v>
      </c>
      <c r="K40" s="310"/>
      <c r="L40" s="311" t="n">
        <v>169</v>
      </c>
      <c r="M40" s="311" t="n">
        <v>0</v>
      </c>
      <c r="N40" s="144" t="n">
        <v>0</v>
      </c>
      <c r="O40" s="310"/>
      <c r="P40" s="311" t="n">
        <v>0</v>
      </c>
      <c r="Q40" s="311" t="n">
        <v>0</v>
      </c>
      <c r="R40" s="311" t="n">
        <v>0</v>
      </c>
      <c r="S40" s="311" t="n">
        <v>0</v>
      </c>
      <c r="T40" s="144" t="n">
        <v>0</v>
      </c>
      <c r="U40" s="310"/>
      <c r="V40" s="144" t="n">
        <v>94</v>
      </c>
      <c r="W40" s="315"/>
    </row>
    <row r="41" customFormat="false" ht="12.75" hidden="false" customHeight="false" outlineLevel="0" collapsed="false">
      <c r="B41" s="304" t="s">
        <v>112</v>
      </c>
      <c r="C41" s="305" t="s">
        <v>436</v>
      </c>
      <c r="D41" s="306" t="n">
        <v>983</v>
      </c>
      <c r="E41" s="306" t="n">
        <v>3.25</v>
      </c>
      <c r="F41" s="306" t="s">
        <v>432</v>
      </c>
      <c r="G41" s="307" t="n">
        <v>24</v>
      </c>
      <c r="H41" s="308" t="n">
        <v>902.479338842975</v>
      </c>
      <c r="I41" s="315"/>
      <c r="J41" s="144" t="s">
        <v>12</v>
      </c>
      <c r="K41" s="310"/>
      <c r="L41" s="311" t="n">
        <v>169</v>
      </c>
      <c r="M41" s="311" t="n">
        <v>0</v>
      </c>
      <c r="N41" s="144" t="n">
        <v>0</v>
      </c>
      <c r="O41" s="310"/>
      <c r="P41" s="311" t="n">
        <v>0</v>
      </c>
      <c r="Q41" s="311" t="n">
        <v>0</v>
      </c>
      <c r="R41" s="311" t="n">
        <v>0</v>
      </c>
      <c r="S41" s="311" t="n">
        <v>0</v>
      </c>
      <c r="T41" s="144" t="n">
        <v>0</v>
      </c>
      <c r="U41" s="310"/>
      <c r="V41" s="144" t="n">
        <v>81</v>
      </c>
      <c r="W41" s="315"/>
    </row>
    <row r="42" customFormat="false" ht="12.75" hidden="false" customHeight="false" outlineLevel="0" collapsed="false">
      <c r="B42" s="304" t="s">
        <v>112</v>
      </c>
      <c r="C42" s="305" t="s">
        <v>436</v>
      </c>
      <c r="D42" s="306" t="n">
        <v>983</v>
      </c>
      <c r="E42" s="306" t="n">
        <v>3.25</v>
      </c>
      <c r="F42" s="324" t="s">
        <v>432</v>
      </c>
      <c r="G42" s="144" t="n">
        <v>48</v>
      </c>
      <c r="H42" s="325" t="n">
        <v>902.479338842975</v>
      </c>
      <c r="I42" s="315"/>
      <c r="J42" s="144" t="s">
        <v>12</v>
      </c>
      <c r="K42" s="310"/>
      <c r="L42" s="311" t="n">
        <v>169</v>
      </c>
      <c r="M42" s="311" t="n">
        <v>0</v>
      </c>
      <c r="N42" s="144" t="n">
        <v>0</v>
      </c>
      <c r="O42" s="310"/>
      <c r="P42" s="311" t="n">
        <v>0</v>
      </c>
      <c r="Q42" s="311" t="n">
        <v>0</v>
      </c>
      <c r="R42" s="311" t="n">
        <v>0</v>
      </c>
      <c r="S42" s="311" t="n">
        <v>0</v>
      </c>
      <c r="T42" s="144" t="n">
        <v>0</v>
      </c>
      <c r="U42" s="310"/>
      <c r="V42" s="144" t="n">
        <v>81</v>
      </c>
      <c r="W42" s="315"/>
    </row>
    <row r="43" customFormat="false" ht="12.75" hidden="false" customHeight="false" outlineLevel="0" collapsed="false">
      <c r="B43" s="304" t="s">
        <v>112</v>
      </c>
      <c r="C43" s="305" t="s">
        <v>437</v>
      </c>
      <c r="D43" s="306" t="n">
        <v>998</v>
      </c>
      <c r="E43" s="306" t="n">
        <v>3.25</v>
      </c>
      <c r="F43" s="306" t="s">
        <v>432</v>
      </c>
      <c r="G43" s="307" t="n">
        <v>24</v>
      </c>
      <c r="H43" s="308" t="n">
        <v>917.355371900826</v>
      </c>
      <c r="I43" s="315"/>
      <c r="J43" s="144" t="s">
        <v>12</v>
      </c>
      <c r="K43" s="310"/>
      <c r="L43" s="311" t="n">
        <v>169</v>
      </c>
      <c r="M43" s="311" t="n">
        <v>0</v>
      </c>
      <c r="N43" s="144" t="n">
        <v>0</v>
      </c>
      <c r="O43" s="310"/>
      <c r="P43" s="311" t="n">
        <v>0</v>
      </c>
      <c r="Q43" s="311" t="n">
        <v>0</v>
      </c>
      <c r="R43" s="311" t="n">
        <v>0</v>
      </c>
      <c r="S43" s="311" t="n">
        <v>0</v>
      </c>
      <c r="T43" s="144" t="n">
        <v>0</v>
      </c>
      <c r="U43" s="310"/>
      <c r="V43" s="144" t="n">
        <v>81</v>
      </c>
      <c r="W43" s="315"/>
    </row>
    <row r="44" customFormat="false" ht="12.75" hidden="false" customHeight="false" outlineLevel="0" collapsed="false">
      <c r="B44" s="304" t="s">
        <v>112</v>
      </c>
      <c r="C44" s="305" t="s">
        <v>437</v>
      </c>
      <c r="D44" s="306" t="n">
        <v>998</v>
      </c>
      <c r="E44" s="306" t="n">
        <v>3.25</v>
      </c>
      <c r="F44" s="324" t="s">
        <v>432</v>
      </c>
      <c r="G44" s="144" t="n">
        <v>48</v>
      </c>
      <c r="H44" s="325" t="n">
        <v>917.355371900826</v>
      </c>
      <c r="I44" s="315"/>
      <c r="J44" s="144" t="s">
        <v>12</v>
      </c>
      <c r="K44" s="310"/>
      <c r="L44" s="311" t="n">
        <v>169</v>
      </c>
      <c r="M44" s="311" t="n">
        <v>0</v>
      </c>
      <c r="N44" s="144" t="n">
        <v>0</v>
      </c>
      <c r="O44" s="310"/>
      <c r="P44" s="311" t="n">
        <v>0</v>
      </c>
      <c r="Q44" s="311" t="n">
        <v>0</v>
      </c>
      <c r="R44" s="311" t="n">
        <v>0</v>
      </c>
      <c r="S44" s="311" t="n">
        <v>0</v>
      </c>
      <c r="T44" s="144" t="n">
        <v>0</v>
      </c>
      <c r="U44" s="310"/>
      <c r="V44" s="144" t="n">
        <v>81</v>
      </c>
      <c r="W44" s="315"/>
    </row>
    <row r="45" customFormat="false" ht="12.75" hidden="false" customHeight="false" outlineLevel="0" collapsed="false">
      <c r="B45" s="304" t="s">
        <v>112</v>
      </c>
      <c r="C45" s="305" t="s">
        <v>438</v>
      </c>
      <c r="D45" s="306" t="n">
        <v>1097</v>
      </c>
      <c r="E45" s="306" t="n">
        <v>3.25</v>
      </c>
      <c r="F45" s="306" t="s">
        <v>432</v>
      </c>
      <c r="G45" s="307" t="n">
        <v>24</v>
      </c>
      <c r="H45" s="308" t="n">
        <v>1016.52892561983</v>
      </c>
      <c r="I45" s="315"/>
      <c r="J45" s="144" t="s">
        <v>12</v>
      </c>
      <c r="K45" s="310"/>
      <c r="L45" s="311" t="n">
        <v>169</v>
      </c>
      <c r="M45" s="311" t="n">
        <v>0</v>
      </c>
      <c r="N45" s="144" t="n">
        <v>0</v>
      </c>
      <c r="O45" s="310"/>
      <c r="P45" s="311" t="n">
        <v>0</v>
      </c>
      <c r="Q45" s="311" t="n">
        <v>0</v>
      </c>
      <c r="R45" s="311" t="n">
        <v>0</v>
      </c>
      <c r="S45" s="311" t="n">
        <v>0</v>
      </c>
      <c r="T45" s="144" t="n">
        <v>0</v>
      </c>
      <c r="U45" s="310"/>
      <c r="V45" s="144" t="n">
        <v>80</v>
      </c>
      <c r="W45" s="315"/>
    </row>
    <row r="46" customFormat="false" ht="12.75" hidden="false" customHeight="false" outlineLevel="0" collapsed="false">
      <c r="B46" s="304" t="s">
        <v>112</v>
      </c>
      <c r="C46" s="305" t="s">
        <v>438</v>
      </c>
      <c r="D46" s="306" t="n">
        <v>1097</v>
      </c>
      <c r="E46" s="306" t="n">
        <v>3.25</v>
      </c>
      <c r="F46" s="324" t="s">
        <v>432</v>
      </c>
      <c r="G46" s="144" t="n">
        <v>48</v>
      </c>
      <c r="H46" s="325" t="n">
        <v>1016.52892561983</v>
      </c>
      <c r="I46" s="315"/>
      <c r="J46" s="144" t="s">
        <v>12</v>
      </c>
      <c r="K46" s="310"/>
      <c r="L46" s="311" t="n">
        <v>169</v>
      </c>
      <c r="M46" s="311" t="n">
        <v>0</v>
      </c>
      <c r="N46" s="144" t="n">
        <v>0</v>
      </c>
      <c r="O46" s="310"/>
      <c r="P46" s="311" t="n">
        <v>0</v>
      </c>
      <c r="Q46" s="311" t="n">
        <v>0</v>
      </c>
      <c r="R46" s="311" t="n">
        <v>0</v>
      </c>
      <c r="S46" s="311" t="n">
        <v>0</v>
      </c>
      <c r="T46" s="144" t="n">
        <v>0</v>
      </c>
      <c r="U46" s="310"/>
      <c r="V46" s="144" t="n">
        <v>80</v>
      </c>
      <c r="W46" s="315"/>
    </row>
    <row r="47" customFormat="false" ht="12.75" hidden="false" customHeight="false" outlineLevel="0" collapsed="false">
      <c r="B47" s="304" t="s">
        <v>112</v>
      </c>
      <c r="C47" s="305" t="s">
        <v>439</v>
      </c>
      <c r="D47" s="306" t="n">
        <v>1074</v>
      </c>
      <c r="E47" s="306" t="n">
        <v>3.25</v>
      </c>
      <c r="F47" s="306" t="s">
        <v>432</v>
      </c>
      <c r="G47" s="307" t="n">
        <v>24</v>
      </c>
      <c r="H47" s="308" t="n">
        <v>1001.65289256198</v>
      </c>
      <c r="I47" s="315"/>
      <c r="J47" s="144" t="s">
        <v>12</v>
      </c>
      <c r="K47" s="310"/>
      <c r="L47" s="311" t="n">
        <v>169</v>
      </c>
      <c r="M47" s="311" t="n">
        <v>0</v>
      </c>
      <c r="N47" s="144" t="n">
        <v>0</v>
      </c>
      <c r="O47" s="310"/>
      <c r="P47" s="311" t="n">
        <v>0</v>
      </c>
      <c r="Q47" s="311" t="n">
        <v>0</v>
      </c>
      <c r="R47" s="311" t="n">
        <v>0</v>
      </c>
      <c r="S47" s="311" t="n">
        <v>0</v>
      </c>
      <c r="T47" s="144" t="n">
        <v>0</v>
      </c>
      <c r="U47" s="310"/>
      <c r="V47" s="144" t="n">
        <v>72</v>
      </c>
      <c r="W47" s="315"/>
    </row>
    <row r="48" customFormat="false" ht="12.75" hidden="false" customHeight="false" outlineLevel="0" collapsed="false">
      <c r="B48" s="304" t="s">
        <v>112</v>
      </c>
      <c r="C48" s="305" t="s">
        <v>439</v>
      </c>
      <c r="D48" s="306" t="n">
        <v>1074</v>
      </c>
      <c r="E48" s="306" t="n">
        <v>3.25</v>
      </c>
      <c r="F48" s="324" t="s">
        <v>432</v>
      </c>
      <c r="G48" s="144" t="n">
        <v>48</v>
      </c>
      <c r="H48" s="325" t="n">
        <v>1001.65289256198</v>
      </c>
      <c r="I48" s="315"/>
      <c r="J48" s="144" t="s">
        <v>12</v>
      </c>
      <c r="K48" s="310"/>
      <c r="L48" s="311" t="n">
        <v>169</v>
      </c>
      <c r="M48" s="311" t="n">
        <v>0</v>
      </c>
      <c r="N48" s="144" t="n">
        <v>0</v>
      </c>
      <c r="O48" s="310"/>
      <c r="P48" s="311" t="n">
        <v>0</v>
      </c>
      <c r="Q48" s="311" t="n">
        <v>0</v>
      </c>
      <c r="R48" s="311" t="n">
        <v>0</v>
      </c>
      <c r="S48" s="311" t="n">
        <v>0</v>
      </c>
      <c r="T48" s="144" t="n">
        <v>0</v>
      </c>
      <c r="U48" s="310"/>
      <c r="V48" s="144" t="n">
        <v>72</v>
      </c>
      <c r="W48" s="315"/>
    </row>
    <row r="49" customFormat="false" ht="12.75" hidden="false" customHeight="false" outlineLevel="0" collapsed="false">
      <c r="B49" s="304" t="s">
        <v>112</v>
      </c>
      <c r="C49" s="305" t="s">
        <v>440</v>
      </c>
      <c r="D49" s="306" t="n">
        <v>1174</v>
      </c>
      <c r="E49" s="306" t="n">
        <v>3.25</v>
      </c>
      <c r="F49" s="306" t="s">
        <v>432</v>
      </c>
      <c r="G49" s="307" t="n">
        <v>24</v>
      </c>
      <c r="H49" s="308" t="n">
        <v>1101.65289256198</v>
      </c>
      <c r="I49" s="315"/>
      <c r="J49" s="144" t="s">
        <v>12</v>
      </c>
      <c r="K49" s="310"/>
      <c r="L49" s="311" t="n">
        <v>169</v>
      </c>
      <c r="M49" s="311" t="n">
        <v>0</v>
      </c>
      <c r="N49" s="144" t="n">
        <v>0</v>
      </c>
      <c r="O49" s="310"/>
      <c r="P49" s="311" t="n">
        <v>0</v>
      </c>
      <c r="Q49" s="311" t="n">
        <v>0</v>
      </c>
      <c r="R49" s="311" t="n">
        <v>0</v>
      </c>
      <c r="S49" s="311" t="n">
        <v>0</v>
      </c>
      <c r="T49" s="144" t="n">
        <v>0</v>
      </c>
      <c r="U49" s="310"/>
      <c r="V49" s="144" t="n">
        <v>72</v>
      </c>
      <c r="W49" s="315"/>
    </row>
    <row r="50" customFormat="false" ht="12.75" hidden="false" customHeight="false" outlineLevel="0" collapsed="false">
      <c r="B50" s="304" t="s">
        <v>112</v>
      </c>
      <c r="C50" s="305" t="s">
        <v>440</v>
      </c>
      <c r="D50" s="306" t="n">
        <v>1174</v>
      </c>
      <c r="E50" s="306" t="n">
        <v>3.25</v>
      </c>
      <c r="F50" s="324" t="s">
        <v>432</v>
      </c>
      <c r="G50" s="144" t="n">
        <v>48</v>
      </c>
      <c r="H50" s="325" t="n">
        <v>1101.65289256198</v>
      </c>
      <c r="I50" s="315"/>
      <c r="J50" s="144" t="s">
        <v>12</v>
      </c>
      <c r="K50" s="310"/>
      <c r="L50" s="311" t="n">
        <v>169</v>
      </c>
      <c r="M50" s="311" t="n">
        <v>0</v>
      </c>
      <c r="N50" s="144" t="n">
        <v>0</v>
      </c>
      <c r="O50" s="310"/>
      <c r="P50" s="311" t="n">
        <v>0</v>
      </c>
      <c r="Q50" s="311" t="n">
        <v>0</v>
      </c>
      <c r="R50" s="311" t="n">
        <v>0</v>
      </c>
      <c r="S50" s="311" t="n">
        <v>0</v>
      </c>
      <c r="T50" s="144" t="n">
        <v>0</v>
      </c>
      <c r="U50" s="310"/>
      <c r="V50" s="144" t="n">
        <v>72</v>
      </c>
      <c r="W50" s="315"/>
    </row>
    <row r="51" customFormat="false" ht="12.75" hidden="false" customHeight="false" outlineLevel="0" collapsed="false">
      <c r="B51" s="304" t="s">
        <v>112</v>
      </c>
      <c r="C51" s="305" t="s">
        <v>441</v>
      </c>
      <c r="D51" s="306" t="n">
        <v>1265</v>
      </c>
      <c r="E51" s="306" t="n">
        <v>3.25</v>
      </c>
      <c r="F51" s="306" t="s">
        <v>432</v>
      </c>
      <c r="G51" s="307" t="n">
        <v>24</v>
      </c>
      <c r="H51" s="308" t="n">
        <v>1192.56198347107</v>
      </c>
      <c r="I51" s="315"/>
      <c r="J51" s="144" t="s">
        <v>12</v>
      </c>
      <c r="K51" s="310"/>
      <c r="L51" s="311" t="n">
        <v>169</v>
      </c>
      <c r="M51" s="311" t="n">
        <v>0</v>
      </c>
      <c r="N51" s="144" t="n">
        <v>0</v>
      </c>
      <c r="O51" s="310"/>
      <c r="P51" s="311" t="n">
        <v>0</v>
      </c>
      <c r="Q51" s="311" t="n">
        <v>0</v>
      </c>
      <c r="R51" s="311" t="n">
        <v>0</v>
      </c>
      <c r="S51" s="311" t="n">
        <v>0</v>
      </c>
      <c r="T51" s="144" t="n">
        <v>0</v>
      </c>
      <c r="U51" s="310"/>
      <c r="V51" s="144" t="n">
        <v>72</v>
      </c>
      <c r="W51" s="315"/>
    </row>
    <row r="52" customFormat="false" ht="12.75" hidden="false" customHeight="false" outlineLevel="0" collapsed="false">
      <c r="B52" s="304" t="s">
        <v>112</v>
      </c>
      <c r="C52" s="305" t="s">
        <v>441</v>
      </c>
      <c r="D52" s="306" t="n">
        <v>1265</v>
      </c>
      <c r="E52" s="306" t="n">
        <v>3.25</v>
      </c>
      <c r="F52" s="324" t="s">
        <v>432</v>
      </c>
      <c r="G52" s="144" t="n">
        <v>48</v>
      </c>
      <c r="H52" s="325" t="n">
        <v>1192.56198347107</v>
      </c>
      <c r="I52" s="315"/>
      <c r="J52" s="144" t="s">
        <v>12</v>
      </c>
      <c r="K52" s="310"/>
      <c r="L52" s="311" t="n">
        <v>169</v>
      </c>
      <c r="M52" s="311" t="n">
        <v>0</v>
      </c>
      <c r="N52" s="144" t="n">
        <v>0</v>
      </c>
      <c r="O52" s="310"/>
      <c r="P52" s="311" t="n">
        <v>0</v>
      </c>
      <c r="Q52" s="311" t="n">
        <v>0</v>
      </c>
      <c r="R52" s="311" t="n">
        <v>0</v>
      </c>
      <c r="S52" s="311" t="n">
        <v>0</v>
      </c>
      <c r="T52" s="144" t="n">
        <v>0</v>
      </c>
      <c r="U52" s="310"/>
      <c r="V52" s="144" t="n">
        <v>72</v>
      </c>
      <c r="W52" s="315"/>
    </row>
    <row r="53" customFormat="false" ht="12.75" hidden="false" customHeight="false" outlineLevel="0" collapsed="false">
      <c r="B53" s="304" t="s">
        <v>112</v>
      </c>
      <c r="C53" s="305" t="s">
        <v>442</v>
      </c>
      <c r="D53" s="306" t="n">
        <v>1456</v>
      </c>
      <c r="E53" s="306" t="n">
        <v>3.25</v>
      </c>
      <c r="F53" s="306" t="s">
        <v>432</v>
      </c>
      <c r="G53" s="307" t="n">
        <v>24</v>
      </c>
      <c r="H53" s="308" t="n">
        <v>1383.47107438017</v>
      </c>
      <c r="I53" s="315"/>
      <c r="J53" s="144" t="s">
        <v>12</v>
      </c>
      <c r="K53" s="310"/>
      <c r="L53" s="311" t="n">
        <v>169</v>
      </c>
      <c r="M53" s="311" t="n">
        <v>0</v>
      </c>
      <c r="N53" s="144" t="n">
        <v>0</v>
      </c>
      <c r="O53" s="310"/>
      <c r="P53" s="311" t="n">
        <v>0</v>
      </c>
      <c r="Q53" s="311" t="n">
        <v>0</v>
      </c>
      <c r="R53" s="311" t="n">
        <v>0</v>
      </c>
      <c r="S53" s="311" t="n">
        <v>0</v>
      </c>
      <c r="T53" s="144" t="n">
        <v>0</v>
      </c>
      <c r="U53" s="310"/>
      <c r="V53" s="144" t="n">
        <v>73</v>
      </c>
      <c r="W53" s="315"/>
    </row>
    <row r="54" customFormat="false" ht="12.75" hidden="false" customHeight="false" outlineLevel="0" collapsed="false">
      <c r="B54" s="304" t="s">
        <v>112</v>
      </c>
      <c r="C54" s="305" t="s">
        <v>442</v>
      </c>
      <c r="D54" s="306" t="n">
        <v>1456</v>
      </c>
      <c r="E54" s="306" t="n">
        <v>3.25</v>
      </c>
      <c r="F54" s="324" t="s">
        <v>432</v>
      </c>
      <c r="G54" s="144" t="n">
        <v>48</v>
      </c>
      <c r="H54" s="325" t="n">
        <v>1383.47107438017</v>
      </c>
      <c r="I54" s="315"/>
      <c r="J54" s="144" t="s">
        <v>12</v>
      </c>
      <c r="K54" s="310"/>
      <c r="L54" s="311" t="n">
        <v>169</v>
      </c>
      <c r="M54" s="311" t="n">
        <v>0</v>
      </c>
      <c r="N54" s="144" t="n">
        <v>0</v>
      </c>
      <c r="O54" s="310"/>
      <c r="P54" s="311" t="n">
        <v>0</v>
      </c>
      <c r="Q54" s="311" t="n">
        <v>0</v>
      </c>
      <c r="R54" s="311" t="n">
        <v>0</v>
      </c>
      <c r="S54" s="311" t="n">
        <v>0</v>
      </c>
      <c r="T54" s="144" t="n">
        <v>0</v>
      </c>
      <c r="U54" s="310"/>
      <c r="V54" s="144" t="n">
        <v>73</v>
      </c>
      <c r="W54" s="315"/>
    </row>
    <row r="55" customFormat="false" ht="12.75" hidden="false" customHeight="false" outlineLevel="0" collapsed="false">
      <c r="B55" s="304" t="s">
        <v>124</v>
      </c>
      <c r="C55" s="305" t="s">
        <v>443</v>
      </c>
      <c r="D55" s="306" t="n">
        <v>520</v>
      </c>
      <c r="E55" s="306" t="n">
        <v>3.25</v>
      </c>
      <c r="F55" s="306" t="s">
        <v>432</v>
      </c>
      <c r="G55" s="307" t="n">
        <v>24</v>
      </c>
      <c r="H55" s="308" t="n">
        <v>378.512396694215</v>
      </c>
      <c r="I55" s="315"/>
      <c r="J55" s="144" t="s">
        <v>12</v>
      </c>
      <c r="K55" s="310"/>
      <c r="L55" s="311" t="n">
        <v>129</v>
      </c>
      <c r="M55" s="311" t="n">
        <v>19</v>
      </c>
      <c r="N55" s="144" t="n">
        <v>19</v>
      </c>
      <c r="O55" s="310"/>
      <c r="P55" s="311" t="n">
        <v>0</v>
      </c>
      <c r="Q55" s="311" t="n">
        <v>0</v>
      </c>
      <c r="R55" s="311" t="n">
        <v>0</v>
      </c>
      <c r="S55" s="311" t="n">
        <v>0</v>
      </c>
      <c r="T55" s="144" t="n">
        <v>0</v>
      </c>
      <c r="U55" s="310"/>
      <c r="V55" s="144" t="n">
        <v>141</v>
      </c>
      <c r="W55" s="315"/>
    </row>
    <row r="56" customFormat="false" ht="12.75" hidden="false" customHeight="false" outlineLevel="0" collapsed="false">
      <c r="B56" s="304" t="s">
        <v>124</v>
      </c>
      <c r="C56" s="305" t="s">
        <v>443</v>
      </c>
      <c r="D56" s="306" t="n">
        <v>520</v>
      </c>
      <c r="E56" s="306" t="n">
        <v>3.25</v>
      </c>
      <c r="F56" s="324" t="s">
        <v>432</v>
      </c>
      <c r="G56" s="144" t="n">
        <v>48</v>
      </c>
      <c r="H56" s="325" t="n">
        <v>378.512396694215</v>
      </c>
      <c r="I56" s="315"/>
      <c r="J56" s="144" t="s">
        <v>12</v>
      </c>
      <c r="K56" s="310"/>
      <c r="L56" s="311" t="n">
        <v>129</v>
      </c>
      <c r="M56" s="311" t="n">
        <v>19</v>
      </c>
      <c r="N56" s="144" t="n">
        <v>19</v>
      </c>
      <c r="O56" s="310"/>
      <c r="P56" s="311" t="n">
        <v>0</v>
      </c>
      <c r="Q56" s="311" t="n">
        <v>0</v>
      </c>
      <c r="R56" s="311" t="n">
        <v>0</v>
      </c>
      <c r="S56" s="311" t="n">
        <v>0</v>
      </c>
      <c r="T56" s="144" t="n">
        <v>0</v>
      </c>
      <c r="U56" s="310"/>
      <c r="V56" s="144" t="n">
        <v>141</v>
      </c>
      <c r="W56" s="315"/>
    </row>
    <row r="57" customFormat="false" ht="12.75" hidden="false" customHeight="false" outlineLevel="0" collapsed="false">
      <c r="B57" s="304" t="s">
        <v>124</v>
      </c>
      <c r="C57" s="305" t="s">
        <v>444</v>
      </c>
      <c r="D57" s="306" t="n">
        <v>564</v>
      </c>
      <c r="E57" s="306" t="n">
        <v>3.25</v>
      </c>
      <c r="F57" s="306" t="s">
        <v>432</v>
      </c>
      <c r="G57" s="307" t="n">
        <v>24</v>
      </c>
      <c r="H57" s="308" t="n">
        <v>433.884297520661</v>
      </c>
      <c r="I57" s="315"/>
      <c r="J57" s="144" t="s">
        <v>12</v>
      </c>
      <c r="K57" s="310"/>
      <c r="L57" s="311" t="n">
        <v>139</v>
      </c>
      <c r="M57" s="311" t="n">
        <v>19</v>
      </c>
      <c r="N57" s="144" t="n">
        <v>19</v>
      </c>
      <c r="O57" s="310"/>
      <c r="P57" s="311" t="n">
        <v>0</v>
      </c>
      <c r="Q57" s="311" t="n">
        <v>0</v>
      </c>
      <c r="R57" s="311" t="n">
        <v>0</v>
      </c>
      <c r="S57" s="311" t="n">
        <v>0</v>
      </c>
      <c r="T57" s="144" t="n">
        <v>0</v>
      </c>
      <c r="U57" s="310"/>
      <c r="V57" s="144" t="n">
        <v>130</v>
      </c>
      <c r="W57" s="315"/>
    </row>
    <row r="58" customFormat="false" ht="12.75" hidden="false" customHeight="false" outlineLevel="0" collapsed="false">
      <c r="B58" s="304" t="s">
        <v>124</v>
      </c>
      <c r="C58" s="305" t="s">
        <v>444</v>
      </c>
      <c r="D58" s="306" t="n">
        <v>564</v>
      </c>
      <c r="E58" s="306" t="n">
        <v>3.25</v>
      </c>
      <c r="F58" s="324" t="s">
        <v>432</v>
      </c>
      <c r="G58" s="144" t="n">
        <v>48</v>
      </c>
      <c r="H58" s="325" t="n">
        <v>433.884297520661</v>
      </c>
      <c r="I58" s="315"/>
      <c r="J58" s="144" t="s">
        <v>12</v>
      </c>
      <c r="K58" s="310"/>
      <c r="L58" s="311" t="n">
        <v>139</v>
      </c>
      <c r="M58" s="311" t="n">
        <v>19</v>
      </c>
      <c r="N58" s="144" t="n">
        <v>19</v>
      </c>
      <c r="O58" s="310"/>
      <c r="P58" s="311" t="n">
        <v>0</v>
      </c>
      <c r="Q58" s="311" t="n">
        <v>0</v>
      </c>
      <c r="R58" s="311" t="n">
        <v>0</v>
      </c>
      <c r="S58" s="311" t="n">
        <v>0</v>
      </c>
      <c r="T58" s="144" t="n">
        <v>0</v>
      </c>
      <c r="U58" s="310"/>
      <c r="V58" s="144" t="n">
        <v>130</v>
      </c>
      <c r="W58" s="315"/>
    </row>
    <row r="59" customFormat="false" ht="12.75" hidden="false" customHeight="false" outlineLevel="0" collapsed="false">
      <c r="B59" s="304" t="s">
        <v>124</v>
      </c>
      <c r="C59" s="305" t="s">
        <v>445</v>
      </c>
      <c r="D59" s="306" t="n">
        <v>823</v>
      </c>
      <c r="E59" s="306" t="n">
        <v>3.25</v>
      </c>
      <c r="F59" s="306" t="s">
        <v>432</v>
      </c>
      <c r="G59" s="307" t="n">
        <v>24</v>
      </c>
      <c r="H59" s="308" t="n">
        <v>657.02479338843</v>
      </c>
      <c r="I59" s="315"/>
      <c r="J59" s="144" t="s">
        <v>12</v>
      </c>
      <c r="K59" s="310"/>
      <c r="L59" s="311" t="n">
        <v>289</v>
      </c>
      <c r="M59" s="311" t="n">
        <v>179</v>
      </c>
      <c r="N59" s="144" t="n">
        <v>179</v>
      </c>
      <c r="O59" s="310"/>
      <c r="P59" s="311" t="n">
        <v>0</v>
      </c>
      <c r="Q59" s="311" t="n">
        <v>0</v>
      </c>
      <c r="R59" s="311" t="n">
        <v>0</v>
      </c>
      <c r="S59" s="311" t="n">
        <v>0</v>
      </c>
      <c r="T59" s="144" t="n">
        <v>0</v>
      </c>
      <c r="U59" s="310"/>
      <c r="V59" s="144" t="n">
        <v>166</v>
      </c>
      <c r="W59" s="315"/>
    </row>
    <row r="60" customFormat="false" ht="12.75" hidden="false" customHeight="false" outlineLevel="0" collapsed="false">
      <c r="B60" s="304" t="s">
        <v>124</v>
      </c>
      <c r="C60" s="305" t="s">
        <v>445</v>
      </c>
      <c r="D60" s="306" t="n">
        <v>823</v>
      </c>
      <c r="E60" s="306" t="n">
        <v>3.25</v>
      </c>
      <c r="F60" s="324" t="s">
        <v>432</v>
      </c>
      <c r="G60" s="144" t="n">
        <v>48</v>
      </c>
      <c r="H60" s="325" t="n">
        <v>657.02479338843</v>
      </c>
      <c r="I60" s="315"/>
      <c r="J60" s="144" t="s">
        <v>12</v>
      </c>
      <c r="K60" s="310"/>
      <c r="L60" s="311" t="n">
        <v>289</v>
      </c>
      <c r="M60" s="311" t="n">
        <v>179</v>
      </c>
      <c r="N60" s="144" t="n">
        <v>179</v>
      </c>
      <c r="O60" s="310"/>
      <c r="P60" s="311" t="n">
        <v>0</v>
      </c>
      <c r="Q60" s="311" t="n">
        <v>0</v>
      </c>
      <c r="R60" s="311" t="n">
        <v>0</v>
      </c>
      <c r="S60" s="311" t="n">
        <v>0</v>
      </c>
      <c r="T60" s="144" t="n">
        <v>0</v>
      </c>
      <c r="U60" s="310"/>
      <c r="V60" s="144" t="n">
        <v>166</v>
      </c>
      <c r="W60" s="315"/>
    </row>
    <row r="61" customFormat="false" ht="12.75" hidden="false" customHeight="false" outlineLevel="0" collapsed="false">
      <c r="B61" s="304" t="s">
        <v>124</v>
      </c>
      <c r="C61" s="305" t="s">
        <v>446</v>
      </c>
      <c r="D61" s="306" t="n">
        <v>520</v>
      </c>
      <c r="E61" s="306" t="n">
        <v>3.25</v>
      </c>
      <c r="F61" s="306" t="s">
        <v>432</v>
      </c>
      <c r="G61" s="307" t="n">
        <v>24</v>
      </c>
      <c r="H61" s="308" t="n">
        <v>409.090909090909</v>
      </c>
      <c r="I61" s="315"/>
      <c r="J61" s="144" t="s">
        <v>12</v>
      </c>
      <c r="K61" s="310"/>
      <c r="L61" s="311" t="n">
        <v>139</v>
      </c>
      <c r="M61" s="311" t="n">
        <v>19</v>
      </c>
      <c r="N61" s="144" t="n">
        <v>19</v>
      </c>
      <c r="O61" s="310"/>
      <c r="P61" s="311" t="n">
        <v>0</v>
      </c>
      <c r="Q61" s="311" t="n">
        <v>0</v>
      </c>
      <c r="R61" s="311" t="n">
        <v>0</v>
      </c>
      <c r="S61" s="311" t="n">
        <v>0</v>
      </c>
      <c r="T61" s="144" t="n">
        <v>0</v>
      </c>
      <c r="U61" s="310"/>
      <c r="V61" s="144" t="n">
        <v>111</v>
      </c>
      <c r="W61" s="315"/>
    </row>
    <row r="62" customFormat="false" ht="12.75" hidden="false" customHeight="false" outlineLevel="0" collapsed="false">
      <c r="B62" s="304" t="s">
        <v>124</v>
      </c>
      <c r="C62" s="305" t="s">
        <v>446</v>
      </c>
      <c r="D62" s="306" t="n">
        <v>520</v>
      </c>
      <c r="E62" s="306" t="n">
        <v>3.25</v>
      </c>
      <c r="F62" s="324" t="s">
        <v>432</v>
      </c>
      <c r="G62" s="144" t="n">
        <v>48</v>
      </c>
      <c r="H62" s="325" t="n">
        <v>409.090909090909</v>
      </c>
      <c r="I62" s="315"/>
      <c r="J62" s="144" t="s">
        <v>12</v>
      </c>
      <c r="K62" s="310"/>
      <c r="L62" s="311" t="n">
        <v>139</v>
      </c>
      <c r="M62" s="311" t="n">
        <v>19</v>
      </c>
      <c r="N62" s="144" t="n">
        <v>19</v>
      </c>
      <c r="O62" s="310"/>
      <c r="P62" s="311" t="n">
        <v>0</v>
      </c>
      <c r="Q62" s="311" t="n">
        <v>0</v>
      </c>
      <c r="R62" s="311" t="n">
        <v>0</v>
      </c>
      <c r="S62" s="311" t="n">
        <v>0</v>
      </c>
      <c r="T62" s="144" t="n">
        <v>0</v>
      </c>
      <c r="U62" s="310"/>
      <c r="V62" s="144" t="n">
        <v>111</v>
      </c>
      <c r="W62" s="315"/>
    </row>
    <row r="63" customFormat="false" ht="12.75" hidden="false" customHeight="false" outlineLevel="0" collapsed="false">
      <c r="B63" s="304" t="s">
        <v>124</v>
      </c>
      <c r="C63" s="305" t="s">
        <v>447</v>
      </c>
      <c r="D63" s="306" t="n">
        <v>595</v>
      </c>
      <c r="E63" s="306" t="n">
        <v>3.25</v>
      </c>
      <c r="F63" s="306" t="s">
        <v>432</v>
      </c>
      <c r="G63" s="307" t="n">
        <v>24</v>
      </c>
      <c r="H63" s="308" t="n">
        <v>463.636363636364</v>
      </c>
      <c r="I63" s="315"/>
      <c r="J63" s="144" t="s">
        <v>12</v>
      </c>
      <c r="K63" s="310"/>
      <c r="L63" s="311" t="n">
        <v>159</v>
      </c>
      <c r="M63" s="311" t="n">
        <v>19</v>
      </c>
      <c r="N63" s="144" t="n">
        <v>19</v>
      </c>
      <c r="O63" s="310"/>
      <c r="P63" s="311" t="n">
        <v>0</v>
      </c>
      <c r="Q63" s="311" t="n">
        <v>0</v>
      </c>
      <c r="R63" s="311" t="n">
        <v>0</v>
      </c>
      <c r="S63" s="311" t="n">
        <v>0</v>
      </c>
      <c r="T63" s="144" t="n">
        <v>0</v>
      </c>
      <c r="U63" s="310"/>
      <c r="V63" s="144" t="n">
        <v>131</v>
      </c>
      <c r="W63" s="315"/>
    </row>
    <row r="64" customFormat="false" ht="12.75" hidden="false" customHeight="false" outlineLevel="0" collapsed="false">
      <c r="B64" s="304" t="s">
        <v>124</v>
      </c>
      <c r="C64" s="305" t="s">
        <v>447</v>
      </c>
      <c r="D64" s="306" t="n">
        <v>595</v>
      </c>
      <c r="E64" s="306" t="n">
        <v>3.25</v>
      </c>
      <c r="F64" s="324" t="s">
        <v>432</v>
      </c>
      <c r="G64" s="144" t="n">
        <v>48</v>
      </c>
      <c r="H64" s="325" t="n">
        <v>463.636363636364</v>
      </c>
      <c r="I64" s="315"/>
      <c r="J64" s="144" t="s">
        <v>12</v>
      </c>
      <c r="K64" s="310"/>
      <c r="L64" s="311" t="n">
        <v>159</v>
      </c>
      <c r="M64" s="311" t="n">
        <v>19</v>
      </c>
      <c r="N64" s="144" t="n">
        <v>19</v>
      </c>
      <c r="O64" s="310"/>
      <c r="P64" s="311" t="n">
        <v>0</v>
      </c>
      <c r="Q64" s="311" t="n">
        <v>0</v>
      </c>
      <c r="R64" s="311" t="n">
        <v>0</v>
      </c>
      <c r="S64" s="311" t="n">
        <v>0</v>
      </c>
      <c r="T64" s="144" t="n">
        <v>0</v>
      </c>
      <c r="U64" s="310"/>
      <c r="V64" s="144" t="n">
        <v>131</v>
      </c>
      <c r="W64" s="315"/>
    </row>
    <row r="65" customFormat="false" ht="12.75" hidden="false" customHeight="false" outlineLevel="0" collapsed="false">
      <c r="B65" s="304" t="s">
        <v>124</v>
      </c>
      <c r="C65" s="305" t="s">
        <v>448</v>
      </c>
      <c r="D65" s="306" t="n">
        <v>1062</v>
      </c>
      <c r="E65" s="306" t="n">
        <v>3.25</v>
      </c>
      <c r="F65" s="306" t="s">
        <v>432</v>
      </c>
      <c r="G65" s="307" t="n">
        <v>24</v>
      </c>
      <c r="H65" s="308" t="n">
        <v>876.03305785124</v>
      </c>
      <c r="I65" s="315"/>
      <c r="J65" s="144" t="s">
        <v>12</v>
      </c>
      <c r="K65" s="310"/>
      <c r="L65" s="311" t="n">
        <v>369</v>
      </c>
      <c r="M65" s="311" t="n">
        <v>229</v>
      </c>
      <c r="N65" s="144" t="n">
        <v>229</v>
      </c>
      <c r="O65" s="310"/>
      <c r="P65" s="311" t="n">
        <v>0</v>
      </c>
      <c r="Q65" s="311" t="n">
        <v>0</v>
      </c>
      <c r="R65" s="311" t="n">
        <v>0</v>
      </c>
      <c r="S65" s="311" t="n">
        <v>0</v>
      </c>
      <c r="T65" s="144" t="n">
        <v>0</v>
      </c>
      <c r="U65" s="310"/>
      <c r="V65" s="144" t="n">
        <v>186</v>
      </c>
      <c r="W65" s="315"/>
    </row>
    <row r="66" customFormat="false" ht="12.75" hidden="false" customHeight="false" outlineLevel="0" collapsed="false">
      <c r="B66" s="304" t="s">
        <v>124</v>
      </c>
      <c r="C66" s="305" t="s">
        <v>448</v>
      </c>
      <c r="D66" s="306" t="n">
        <v>1062</v>
      </c>
      <c r="E66" s="306" t="n">
        <v>3.25</v>
      </c>
      <c r="F66" s="324" t="s">
        <v>432</v>
      </c>
      <c r="G66" s="144" t="n">
        <v>48</v>
      </c>
      <c r="H66" s="325" t="n">
        <v>876.03305785124</v>
      </c>
      <c r="I66" s="315"/>
      <c r="J66" s="144" t="s">
        <v>12</v>
      </c>
      <c r="K66" s="310"/>
      <c r="L66" s="311" t="n">
        <v>369</v>
      </c>
      <c r="M66" s="311" t="n">
        <v>229</v>
      </c>
      <c r="N66" s="144" t="n">
        <v>229</v>
      </c>
      <c r="O66" s="310"/>
      <c r="P66" s="311" t="n">
        <v>0</v>
      </c>
      <c r="Q66" s="311" t="n">
        <v>0</v>
      </c>
      <c r="R66" s="311" t="n">
        <v>0</v>
      </c>
      <c r="S66" s="311" t="n">
        <v>0</v>
      </c>
      <c r="T66" s="144" t="n">
        <v>0</v>
      </c>
      <c r="U66" s="310"/>
      <c r="V66" s="144" t="n">
        <v>186</v>
      </c>
      <c r="W66" s="315"/>
    </row>
    <row r="67" customFormat="false" ht="12.75" hidden="false" customHeight="false" outlineLevel="0" collapsed="false">
      <c r="B67" s="304" t="s">
        <v>124</v>
      </c>
      <c r="C67" s="305" t="s">
        <v>449</v>
      </c>
      <c r="D67" s="306" t="n">
        <v>1234</v>
      </c>
      <c r="E67" s="306" t="n">
        <v>3.25</v>
      </c>
      <c r="F67" s="306" t="s">
        <v>432</v>
      </c>
      <c r="G67" s="307" t="n">
        <v>24</v>
      </c>
      <c r="H67" s="308" t="n">
        <v>1019.00826446281</v>
      </c>
      <c r="I67" s="315"/>
      <c r="J67" s="144" t="s">
        <v>12</v>
      </c>
      <c r="K67" s="310"/>
      <c r="L67" s="311" t="n">
        <v>439</v>
      </c>
      <c r="M67" s="311" t="n">
        <v>269</v>
      </c>
      <c r="N67" s="144" t="n">
        <v>269</v>
      </c>
      <c r="O67" s="310"/>
      <c r="P67" s="311" t="n">
        <v>0</v>
      </c>
      <c r="Q67" s="311" t="n">
        <v>0</v>
      </c>
      <c r="R67" s="311" t="n">
        <v>0</v>
      </c>
      <c r="S67" s="311" t="n">
        <v>0</v>
      </c>
      <c r="T67" s="144" t="n">
        <v>0</v>
      </c>
      <c r="U67" s="310"/>
      <c r="V67" s="144" t="n">
        <v>215</v>
      </c>
      <c r="W67" s="315"/>
    </row>
    <row r="68" customFormat="false" ht="12.75" hidden="false" customHeight="false" outlineLevel="0" collapsed="false">
      <c r="B68" s="304" t="s">
        <v>124</v>
      </c>
      <c r="C68" s="305" t="s">
        <v>449</v>
      </c>
      <c r="D68" s="306" t="n">
        <v>1234</v>
      </c>
      <c r="E68" s="306" t="n">
        <v>3.25</v>
      </c>
      <c r="F68" s="324" t="s">
        <v>432</v>
      </c>
      <c r="G68" s="144" t="n">
        <v>48</v>
      </c>
      <c r="H68" s="325" t="n">
        <v>1019.00826446281</v>
      </c>
      <c r="I68" s="315"/>
      <c r="J68" s="144" t="s">
        <v>12</v>
      </c>
      <c r="K68" s="310"/>
      <c r="L68" s="311" t="n">
        <v>439</v>
      </c>
      <c r="M68" s="311" t="n">
        <v>269</v>
      </c>
      <c r="N68" s="144" t="n">
        <v>269</v>
      </c>
      <c r="O68" s="310"/>
      <c r="P68" s="311" t="n">
        <v>0</v>
      </c>
      <c r="Q68" s="311" t="n">
        <v>0</v>
      </c>
      <c r="R68" s="311" t="n">
        <v>0</v>
      </c>
      <c r="S68" s="311" t="n">
        <v>0</v>
      </c>
      <c r="T68" s="144" t="n">
        <v>0</v>
      </c>
      <c r="U68" s="310"/>
      <c r="V68" s="144" t="n">
        <v>215</v>
      </c>
      <c r="W68" s="315"/>
    </row>
    <row r="69" customFormat="false" ht="12.75" hidden="false" customHeight="false" outlineLevel="0" collapsed="false">
      <c r="B69" s="304" t="s">
        <v>450</v>
      </c>
      <c r="C69" s="305" t="s">
        <v>451</v>
      </c>
      <c r="D69" s="306" t="n">
        <v>539</v>
      </c>
      <c r="E69" s="306" t="n">
        <v>3.25</v>
      </c>
      <c r="F69" s="306" t="s">
        <v>432</v>
      </c>
      <c r="G69" s="307" t="n">
        <v>24</v>
      </c>
      <c r="H69" s="308" t="n">
        <v>428.099173553719</v>
      </c>
      <c r="I69" s="315"/>
      <c r="J69" s="144" t="s">
        <v>12</v>
      </c>
      <c r="K69" s="310"/>
      <c r="L69" s="311" t="n">
        <v>139</v>
      </c>
      <c r="M69" s="311" t="n">
        <v>19</v>
      </c>
      <c r="N69" s="144" t="n">
        <v>19</v>
      </c>
      <c r="O69" s="310"/>
      <c r="P69" s="311" t="n">
        <v>0</v>
      </c>
      <c r="Q69" s="311" t="n">
        <v>0</v>
      </c>
      <c r="R69" s="311" t="n">
        <v>0</v>
      </c>
      <c r="S69" s="311" t="n">
        <v>0</v>
      </c>
      <c r="T69" s="144" t="n">
        <v>0</v>
      </c>
      <c r="U69" s="310"/>
      <c r="V69" s="144" t="n">
        <v>111</v>
      </c>
      <c r="W69" s="315"/>
    </row>
    <row r="70" customFormat="false" ht="12.75" hidden="false" customHeight="false" outlineLevel="0" collapsed="false">
      <c r="B70" s="304" t="s">
        <v>450</v>
      </c>
      <c r="C70" s="305" t="s">
        <v>451</v>
      </c>
      <c r="D70" s="306" t="n">
        <v>539</v>
      </c>
      <c r="E70" s="306" t="n">
        <v>3.25</v>
      </c>
      <c r="F70" s="324" t="s">
        <v>432</v>
      </c>
      <c r="G70" s="144" t="n">
        <v>48</v>
      </c>
      <c r="H70" s="325" t="n">
        <v>428.099173553719</v>
      </c>
      <c r="I70" s="315"/>
      <c r="J70" s="144" t="s">
        <v>12</v>
      </c>
      <c r="K70" s="310"/>
      <c r="L70" s="311" t="n">
        <v>139</v>
      </c>
      <c r="M70" s="311" t="n">
        <v>19</v>
      </c>
      <c r="N70" s="144" t="n">
        <v>19</v>
      </c>
      <c r="O70" s="310"/>
      <c r="P70" s="311" t="n">
        <v>0</v>
      </c>
      <c r="Q70" s="311" t="n">
        <v>0</v>
      </c>
      <c r="R70" s="311" t="n">
        <v>0</v>
      </c>
      <c r="S70" s="311" t="n">
        <v>0</v>
      </c>
      <c r="T70" s="144" t="n">
        <v>0</v>
      </c>
      <c r="U70" s="310"/>
      <c r="V70" s="144" t="n">
        <v>111</v>
      </c>
      <c r="W70" s="315"/>
    </row>
    <row r="71" customFormat="false" ht="12.75" hidden="false" customHeight="false" outlineLevel="0" collapsed="false">
      <c r="B71" s="304" t="s">
        <v>450</v>
      </c>
      <c r="C71" s="305" t="s">
        <v>452</v>
      </c>
      <c r="D71" s="306" t="n">
        <v>309</v>
      </c>
      <c r="E71" s="306" t="n">
        <v>3.25</v>
      </c>
      <c r="F71" s="306" t="s">
        <v>432</v>
      </c>
      <c r="G71" s="307" t="n">
        <v>24</v>
      </c>
      <c r="H71" s="308" t="n">
        <v>240.495867768595</v>
      </c>
      <c r="I71" s="315"/>
      <c r="J71" s="144" t="s">
        <v>12</v>
      </c>
      <c r="K71" s="310"/>
      <c r="L71" s="311" t="n">
        <v>39</v>
      </c>
      <c r="M71" s="311" t="n">
        <v>0</v>
      </c>
      <c r="N71" s="144" t="n">
        <v>0</v>
      </c>
      <c r="O71" s="310"/>
      <c r="P71" s="311" t="n">
        <v>0</v>
      </c>
      <c r="Q71" s="311" t="n">
        <v>0</v>
      </c>
      <c r="R71" s="311" t="n">
        <v>0</v>
      </c>
      <c r="S71" s="311" t="n">
        <v>0</v>
      </c>
      <c r="T71" s="144" t="n">
        <v>0</v>
      </c>
      <c r="U71" s="310"/>
      <c r="V71" s="144" t="n">
        <v>69</v>
      </c>
      <c r="W71" s="315"/>
    </row>
    <row r="72" customFormat="false" ht="12.75" hidden="false" customHeight="false" outlineLevel="0" collapsed="false">
      <c r="B72" s="304" t="s">
        <v>450</v>
      </c>
      <c r="C72" s="305" t="s">
        <v>452</v>
      </c>
      <c r="D72" s="306" t="n">
        <v>309</v>
      </c>
      <c r="E72" s="306" t="n">
        <v>3.25</v>
      </c>
      <c r="F72" s="324" t="s">
        <v>432</v>
      </c>
      <c r="G72" s="144" t="n">
        <v>48</v>
      </c>
      <c r="H72" s="325" t="n">
        <v>240.495867768595</v>
      </c>
      <c r="I72" s="315"/>
      <c r="J72" s="144" t="s">
        <v>12</v>
      </c>
      <c r="K72" s="310"/>
      <c r="L72" s="311" t="n">
        <v>39</v>
      </c>
      <c r="M72" s="311" t="n">
        <v>0</v>
      </c>
      <c r="N72" s="144" t="n">
        <v>0</v>
      </c>
      <c r="O72" s="310"/>
      <c r="P72" s="311" t="n">
        <v>0</v>
      </c>
      <c r="Q72" s="311" t="n">
        <v>0</v>
      </c>
      <c r="R72" s="311" t="n">
        <v>0</v>
      </c>
      <c r="S72" s="311" t="n">
        <v>0</v>
      </c>
      <c r="T72" s="144" t="n">
        <v>0</v>
      </c>
      <c r="U72" s="310"/>
      <c r="V72" s="144" t="n">
        <v>69</v>
      </c>
      <c r="W72" s="315"/>
    </row>
    <row r="73" customFormat="false" ht="12.75" hidden="false" customHeight="false" outlineLevel="0" collapsed="false">
      <c r="B73" s="304" t="s">
        <v>450</v>
      </c>
      <c r="C73" s="305" t="s">
        <v>453</v>
      </c>
      <c r="D73" s="306" t="n">
        <v>661</v>
      </c>
      <c r="E73" s="306" t="n">
        <v>3.25</v>
      </c>
      <c r="F73" s="306" t="s">
        <v>432</v>
      </c>
      <c r="G73" s="307" t="n">
        <v>24</v>
      </c>
      <c r="H73" s="308" t="n">
        <v>547.933884297521</v>
      </c>
      <c r="I73" s="315"/>
      <c r="J73" s="144" t="s">
        <v>12</v>
      </c>
      <c r="K73" s="310"/>
      <c r="L73" s="311" t="n">
        <v>229</v>
      </c>
      <c r="M73" s="311" t="n">
        <v>139</v>
      </c>
      <c r="N73" s="144" t="n">
        <v>139</v>
      </c>
      <c r="O73" s="310"/>
      <c r="P73" s="311" t="n">
        <v>0</v>
      </c>
      <c r="Q73" s="311" t="n">
        <v>0</v>
      </c>
      <c r="R73" s="311" t="n">
        <v>0</v>
      </c>
      <c r="S73" s="311" t="n">
        <v>0</v>
      </c>
      <c r="T73" s="144" t="n">
        <v>0</v>
      </c>
      <c r="U73" s="310"/>
      <c r="V73" s="144" t="n">
        <v>113</v>
      </c>
      <c r="W73" s="315"/>
    </row>
    <row r="74" customFormat="false" ht="12.75" hidden="false" customHeight="false" outlineLevel="0" collapsed="false">
      <c r="B74" s="304" t="s">
        <v>450</v>
      </c>
      <c r="C74" s="305" t="s">
        <v>453</v>
      </c>
      <c r="D74" s="306" t="n">
        <v>661</v>
      </c>
      <c r="E74" s="306" t="n">
        <v>3.25</v>
      </c>
      <c r="F74" s="324" t="s">
        <v>432</v>
      </c>
      <c r="G74" s="144" t="n">
        <v>48</v>
      </c>
      <c r="H74" s="325" t="n">
        <v>547.933884297521</v>
      </c>
      <c r="I74" s="315"/>
      <c r="J74" s="144" t="s">
        <v>12</v>
      </c>
      <c r="K74" s="310"/>
      <c r="L74" s="311" t="n">
        <v>229</v>
      </c>
      <c r="M74" s="311" t="n">
        <v>139</v>
      </c>
      <c r="N74" s="144" t="n">
        <v>139</v>
      </c>
      <c r="O74" s="310"/>
      <c r="P74" s="311" t="n">
        <v>0</v>
      </c>
      <c r="Q74" s="311" t="n">
        <v>0</v>
      </c>
      <c r="R74" s="311" t="n">
        <v>0</v>
      </c>
      <c r="S74" s="311" t="n">
        <v>0</v>
      </c>
      <c r="T74" s="144" t="n">
        <v>0</v>
      </c>
      <c r="U74" s="310"/>
      <c r="V74" s="144" t="n">
        <v>113</v>
      </c>
      <c r="W74" s="315"/>
    </row>
    <row r="75" customFormat="false" ht="12.75" hidden="false" customHeight="false" outlineLevel="0" collapsed="false">
      <c r="B75" s="304" t="s">
        <v>450</v>
      </c>
      <c r="C75" s="305" t="s">
        <v>454</v>
      </c>
      <c r="D75" s="306" t="n">
        <v>181</v>
      </c>
      <c r="E75" s="306" t="n">
        <v>3.25</v>
      </c>
      <c r="F75" s="306" t="s">
        <v>432</v>
      </c>
      <c r="G75" s="307" t="n">
        <v>24</v>
      </c>
      <c r="H75" s="308" t="n">
        <v>135.537190082645</v>
      </c>
      <c r="I75" s="315"/>
      <c r="J75" s="144" t="s">
        <v>12</v>
      </c>
      <c r="K75" s="310"/>
      <c r="L75" s="311" t="n">
        <v>19</v>
      </c>
      <c r="M75" s="311" t="n">
        <v>0</v>
      </c>
      <c r="N75" s="144" t="n">
        <v>0</v>
      </c>
      <c r="O75" s="310"/>
      <c r="P75" s="311" t="n">
        <v>0</v>
      </c>
      <c r="Q75" s="311" t="n">
        <v>0</v>
      </c>
      <c r="R75" s="311" t="n">
        <v>0</v>
      </c>
      <c r="S75" s="311" t="n">
        <v>0</v>
      </c>
      <c r="T75" s="144" t="n">
        <v>0</v>
      </c>
      <c r="U75" s="310"/>
      <c r="V75" s="144" t="n">
        <v>45</v>
      </c>
      <c r="W75" s="315"/>
    </row>
    <row r="76" customFormat="false" ht="12.75" hidden="false" customHeight="false" outlineLevel="0" collapsed="false">
      <c r="B76" s="304" t="s">
        <v>450</v>
      </c>
      <c r="C76" s="305" t="s">
        <v>454</v>
      </c>
      <c r="D76" s="306" t="n">
        <v>181</v>
      </c>
      <c r="E76" s="306" t="n">
        <v>3.25</v>
      </c>
      <c r="F76" s="324" t="s">
        <v>432</v>
      </c>
      <c r="G76" s="144" t="n">
        <v>48</v>
      </c>
      <c r="H76" s="325" t="n">
        <v>135.537190082645</v>
      </c>
      <c r="I76" s="315"/>
      <c r="J76" s="144" t="s">
        <v>12</v>
      </c>
      <c r="K76" s="310"/>
      <c r="L76" s="311" t="n">
        <v>19</v>
      </c>
      <c r="M76" s="311" t="n">
        <v>0</v>
      </c>
      <c r="N76" s="144" t="n">
        <v>0</v>
      </c>
      <c r="O76" s="310"/>
      <c r="P76" s="311" t="n">
        <v>0</v>
      </c>
      <c r="Q76" s="311" t="n">
        <v>0</v>
      </c>
      <c r="R76" s="311" t="n">
        <v>0</v>
      </c>
      <c r="S76" s="311" t="n">
        <v>0</v>
      </c>
      <c r="T76" s="144" t="n">
        <v>0</v>
      </c>
      <c r="U76" s="310"/>
      <c r="V76" s="144" t="n">
        <v>45</v>
      </c>
      <c r="W76" s="315"/>
    </row>
    <row r="77" customFormat="false" ht="12.75" hidden="false" customHeight="false" outlineLevel="0" collapsed="false">
      <c r="B77" s="304" t="s">
        <v>450</v>
      </c>
      <c r="C77" s="305" t="s">
        <v>455</v>
      </c>
      <c r="D77" s="306" t="n">
        <v>1653</v>
      </c>
      <c r="E77" s="306" t="n">
        <v>3.25</v>
      </c>
      <c r="F77" s="306" t="s">
        <v>432</v>
      </c>
      <c r="G77" s="307" t="n">
        <v>24</v>
      </c>
      <c r="H77" s="308" t="n">
        <v>1282.64462809917</v>
      </c>
      <c r="I77" s="315"/>
      <c r="J77" s="144" t="s">
        <v>12</v>
      </c>
      <c r="K77" s="310"/>
      <c r="L77" s="311" t="n">
        <v>569</v>
      </c>
      <c r="M77" s="311" t="n">
        <v>339</v>
      </c>
      <c r="N77" s="144" t="n">
        <v>339</v>
      </c>
      <c r="O77" s="310"/>
      <c r="P77" s="311" t="n">
        <v>0</v>
      </c>
      <c r="Q77" s="311" t="n">
        <v>0</v>
      </c>
      <c r="R77" s="311" t="n">
        <v>0</v>
      </c>
      <c r="S77" s="311" t="n">
        <v>0</v>
      </c>
      <c r="T77" s="144" t="n">
        <v>0</v>
      </c>
      <c r="U77" s="310"/>
      <c r="V77" s="144" t="n">
        <v>370</v>
      </c>
      <c r="W77" s="315"/>
    </row>
    <row r="78" customFormat="false" ht="12.75" hidden="false" customHeight="false" outlineLevel="0" collapsed="false">
      <c r="B78" s="304" t="s">
        <v>450</v>
      </c>
      <c r="C78" s="305" t="s">
        <v>455</v>
      </c>
      <c r="D78" s="306" t="n">
        <v>1653</v>
      </c>
      <c r="E78" s="306" t="n">
        <v>3.25</v>
      </c>
      <c r="F78" s="324" t="s">
        <v>432</v>
      </c>
      <c r="G78" s="144" t="n">
        <v>48</v>
      </c>
      <c r="H78" s="325" t="n">
        <v>1282.64462809917</v>
      </c>
      <c r="I78" s="315"/>
      <c r="J78" s="144" t="s">
        <v>12</v>
      </c>
      <c r="K78" s="310"/>
      <c r="L78" s="311" t="n">
        <v>569</v>
      </c>
      <c r="M78" s="311" t="n">
        <v>339</v>
      </c>
      <c r="N78" s="144" t="n">
        <v>339</v>
      </c>
      <c r="O78" s="310"/>
      <c r="P78" s="311" t="n">
        <v>0</v>
      </c>
      <c r="Q78" s="311" t="n">
        <v>0</v>
      </c>
      <c r="R78" s="311" t="n">
        <v>0</v>
      </c>
      <c r="S78" s="311" t="n">
        <v>0</v>
      </c>
      <c r="T78" s="144" t="n">
        <v>0</v>
      </c>
      <c r="U78" s="310"/>
      <c r="V78" s="144" t="n">
        <v>370</v>
      </c>
      <c r="W78" s="315"/>
    </row>
    <row r="79" customFormat="false" ht="12.75" hidden="false" customHeight="false" outlineLevel="0" collapsed="false">
      <c r="B79" s="304" t="s">
        <v>450</v>
      </c>
      <c r="C79" s="305" t="s">
        <v>456</v>
      </c>
      <c r="D79" s="306" t="n">
        <v>405</v>
      </c>
      <c r="E79" s="306" t="n">
        <v>3.25</v>
      </c>
      <c r="F79" s="306" t="s">
        <v>432</v>
      </c>
      <c r="G79" s="307" t="n">
        <v>24</v>
      </c>
      <c r="H79" s="308" t="n">
        <v>338.842975206612</v>
      </c>
      <c r="I79" s="315"/>
      <c r="J79" s="144" t="s">
        <v>12</v>
      </c>
      <c r="K79" s="310"/>
      <c r="L79" s="311" t="n">
        <v>109</v>
      </c>
      <c r="M79" s="311" t="n">
        <v>19</v>
      </c>
      <c r="N79" s="144" t="n">
        <v>19</v>
      </c>
      <c r="O79" s="310"/>
      <c r="P79" s="311" t="n">
        <v>0</v>
      </c>
      <c r="Q79" s="311" t="n">
        <v>0</v>
      </c>
      <c r="R79" s="311" t="n">
        <v>0</v>
      </c>
      <c r="S79" s="311" t="n">
        <v>0</v>
      </c>
      <c r="T79" s="144" t="n">
        <v>0</v>
      </c>
      <c r="U79" s="310"/>
      <c r="V79" s="144" t="n">
        <v>66</v>
      </c>
      <c r="W79" s="315"/>
    </row>
    <row r="80" customFormat="false" ht="12.75" hidden="false" customHeight="false" outlineLevel="0" collapsed="false">
      <c r="B80" s="304" t="s">
        <v>450</v>
      </c>
      <c r="C80" s="305" t="s">
        <v>456</v>
      </c>
      <c r="D80" s="306" t="n">
        <v>405</v>
      </c>
      <c r="E80" s="306" t="n">
        <v>3.25</v>
      </c>
      <c r="F80" s="324" t="s">
        <v>432</v>
      </c>
      <c r="G80" s="144" t="n">
        <v>48</v>
      </c>
      <c r="H80" s="325" t="n">
        <v>338.842975206612</v>
      </c>
      <c r="I80" s="315"/>
      <c r="J80" s="144" t="s">
        <v>12</v>
      </c>
      <c r="K80" s="310"/>
      <c r="L80" s="311" t="n">
        <v>109</v>
      </c>
      <c r="M80" s="311" t="n">
        <v>19</v>
      </c>
      <c r="N80" s="144" t="n">
        <v>19</v>
      </c>
      <c r="O80" s="310"/>
      <c r="P80" s="311" t="n">
        <v>0</v>
      </c>
      <c r="Q80" s="311" t="n">
        <v>0</v>
      </c>
      <c r="R80" s="311" t="n">
        <v>0</v>
      </c>
      <c r="S80" s="311" t="n">
        <v>0</v>
      </c>
      <c r="T80" s="144" t="n">
        <v>0</v>
      </c>
      <c r="U80" s="310"/>
      <c r="V80" s="144" t="n">
        <v>66</v>
      </c>
      <c r="W80" s="315"/>
    </row>
    <row r="81" customFormat="false" ht="12.75" hidden="false" customHeight="false" outlineLevel="0" collapsed="false">
      <c r="B81" s="304" t="s">
        <v>450</v>
      </c>
      <c r="C81" s="305" t="s">
        <v>457</v>
      </c>
      <c r="D81" s="306" t="n">
        <v>1074</v>
      </c>
      <c r="E81" s="306" t="n">
        <v>3.25</v>
      </c>
      <c r="F81" s="306" t="s">
        <v>432</v>
      </c>
      <c r="G81" s="307" t="n">
        <v>24</v>
      </c>
      <c r="H81" s="308" t="n">
        <v>961.98347107438</v>
      </c>
      <c r="I81" s="315"/>
      <c r="J81" s="144" t="s">
        <v>12</v>
      </c>
      <c r="K81" s="310"/>
      <c r="L81" s="311" t="n">
        <v>409</v>
      </c>
      <c r="M81" s="311" t="n">
        <v>249</v>
      </c>
      <c r="N81" s="144" t="n">
        <v>249</v>
      </c>
      <c r="O81" s="310"/>
      <c r="P81" s="311" t="n">
        <v>0</v>
      </c>
      <c r="Q81" s="311" t="n">
        <v>0</v>
      </c>
      <c r="R81" s="311" t="n">
        <v>0</v>
      </c>
      <c r="S81" s="311" t="n">
        <v>0</v>
      </c>
      <c r="T81" s="144" t="n">
        <v>0</v>
      </c>
      <c r="U81" s="310"/>
      <c r="V81" s="144" t="n">
        <v>112</v>
      </c>
      <c r="W81" s="315"/>
    </row>
    <row r="82" customFormat="false" ht="12.75" hidden="false" customHeight="false" outlineLevel="0" collapsed="false">
      <c r="B82" s="304" t="s">
        <v>450</v>
      </c>
      <c r="C82" s="305" t="s">
        <v>457</v>
      </c>
      <c r="D82" s="306" t="n">
        <v>1074</v>
      </c>
      <c r="E82" s="306" t="n">
        <v>3.25</v>
      </c>
      <c r="F82" s="324" t="s">
        <v>432</v>
      </c>
      <c r="G82" s="144" t="n">
        <v>48</v>
      </c>
      <c r="H82" s="325" t="n">
        <v>961.98347107438</v>
      </c>
      <c r="I82" s="315"/>
      <c r="J82" s="144" t="s">
        <v>12</v>
      </c>
      <c r="K82" s="310"/>
      <c r="L82" s="311" t="n">
        <v>409</v>
      </c>
      <c r="M82" s="311" t="n">
        <v>249</v>
      </c>
      <c r="N82" s="144" t="n">
        <v>249</v>
      </c>
      <c r="O82" s="310"/>
      <c r="P82" s="311" t="n">
        <v>0</v>
      </c>
      <c r="Q82" s="311" t="n">
        <v>0</v>
      </c>
      <c r="R82" s="311" t="n">
        <v>0</v>
      </c>
      <c r="S82" s="311" t="n">
        <v>0</v>
      </c>
      <c r="T82" s="144" t="n">
        <v>0</v>
      </c>
      <c r="U82" s="310"/>
      <c r="V82" s="144" t="n">
        <v>112</v>
      </c>
      <c r="W82" s="315"/>
    </row>
    <row r="83" customFormat="false" ht="12.75" hidden="false" customHeight="false" outlineLevel="0" collapsed="false">
      <c r="B83" s="304" t="s">
        <v>211</v>
      </c>
      <c r="C83" s="305" t="s">
        <v>458</v>
      </c>
      <c r="D83" s="306" t="n">
        <v>481</v>
      </c>
      <c r="E83" s="306" t="n">
        <v>3.25</v>
      </c>
      <c r="F83" s="306" t="s">
        <v>432</v>
      </c>
      <c r="G83" s="307" t="n">
        <v>24</v>
      </c>
      <c r="H83" s="308" t="n">
        <v>420.661157024793</v>
      </c>
      <c r="I83" s="315"/>
      <c r="J83" s="144" t="s">
        <v>12</v>
      </c>
      <c r="K83" s="310"/>
      <c r="L83" s="311" t="n">
        <v>139</v>
      </c>
      <c r="M83" s="311" t="n">
        <v>19</v>
      </c>
      <c r="N83" s="144" t="n">
        <v>19</v>
      </c>
      <c r="O83" s="310"/>
      <c r="P83" s="311" t="n">
        <v>0</v>
      </c>
      <c r="Q83" s="311" t="n">
        <v>0</v>
      </c>
      <c r="R83" s="311" t="n">
        <v>0</v>
      </c>
      <c r="S83" s="311" t="n">
        <v>0</v>
      </c>
      <c r="T83" s="144" t="n">
        <v>0</v>
      </c>
      <c r="U83" s="310"/>
      <c r="V83" s="144" t="n">
        <v>60</v>
      </c>
      <c r="W83" s="315"/>
    </row>
    <row r="84" customFormat="false" ht="12.75" hidden="false" customHeight="false" outlineLevel="0" collapsed="false">
      <c r="B84" s="304" t="s">
        <v>211</v>
      </c>
      <c r="C84" s="305" t="s">
        <v>458</v>
      </c>
      <c r="D84" s="306" t="n">
        <v>481</v>
      </c>
      <c r="E84" s="306" t="n">
        <v>3.25</v>
      </c>
      <c r="F84" s="324" t="s">
        <v>432</v>
      </c>
      <c r="G84" s="144" t="n">
        <v>48</v>
      </c>
      <c r="H84" s="325" t="n">
        <v>420.661157024793</v>
      </c>
      <c r="I84" s="315"/>
      <c r="J84" s="144" t="s">
        <v>12</v>
      </c>
      <c r="K84" s="310"/>
      <c r="L84" s="311" t="n">
        <v>139</v>
      </c>
      <c r="M84" s="311" t="n">
        <v>19</v>
      </c>
      <c r="N84" s="144" t="n">
        <v>19</v>
      </c>
      <c r="O84" s="310"/>
      <c r="P84" s="311" t="n">
        <v>0</v>
      </c>
      <c r="Q84" s="311" t="n">
        <v>0</v>
      </c>
      <c r="R84" s="311" t="n">
        <v>0</v>
      </c>
      <c r="S84" s="311" t="n">
        <v>0</v>
      </c>
      <c r="T84" s="144" t="n">
        <v>0</v>
      </c>
      <c r="U84" s="310"/>
      <c r="V84" s="144" t="n">
        <v>60</v>
      </c>
      <c r="W84" s="315"/>
    </row>
    <row r="85" customFormat="false" ht="12.75" hidden="false" customHeight="false" outlineLevel="0" collapsed="false">
      <c r="B85" s="304" t="s">
        <v>211</v>
      </c>
      <c r="C85" s="305" t="s">
        <v>459</v>
      </c>
      <c r="D85" s="306" t="n">
        <v>658</v>
      </c>
      <c r="E85" s="306" t="n">
        <v>3.25</v>
      </c>
      <c r="F85" s="306" t="s">
        <v>432</v>
      </c>
      <c r="G85" s="307" t="n">
        <v>24</v>
      </c>
      <c r="H85" s="308" t="n">
        <v>429.752066115703</v>
      </c>
      <c r="I85" s="315"/>
      <c r="J85" s="144" t="s">
        <v>12</v>
      </c>
      <c r="K85" s="310"/>
      <c r="L85" s="311" t="n">
        <v>139</v>
      </c>
      <c r="M85" s="311" t="n">
        <v>19</v>
      </c>
      <c r="N85" s="144" t="n">
        <v>19</v>
      </c>
      <c r="O85" s="310"/>
      <c r="P85" s="311" t="n">
        <v>0</v>
      </c>
      <c r="Q85" s="311" t="n">
        <v>0</v>
      </c>
      <c r="R85" s="311" t="n">
        <v>0</v>
      </c>
      <c r="S85" s="311" t="n">
        <v>0</v>
      </c>
      <c r="T85" s="144" t="n">
        <v>0</v>
      </c>
      <c r="U85" s="310"/>
      <c r="V85" s="144" t="n">
        <v>228</v>
      </c>
      <c r="W85" s="315"/>
    </row>
    <row r="86" customFormat="false" ht="12.75" hidden="false" customHeight="false" outlineLevel="0" collapsed="false">
      <c r="B86" s="304" t="s">
        <v>211</v>
      </c>
      <c r="C86" s="305" t="s">
        <v>459</v>
      </c>
      <c r="D86" s="306" t="n">
        <v>658</v>
      </c>
      <c r="E86" s="306" t="n">
        <v>3.25</v>
      </c>
      <c r="F86" s="324" t="s">
        <v>432</v>
      </c>
      <c r="G86" s="144" t="n">
        <v>48</v>
      </c>
      <c r="H86" s="325" t="n">
        <v>429.752066115703</v>
      </c>
      <c r="I86" s="315"/>
      <c r="J86" s="144" t="s">
        <v>12</v>
      </c>
      <c r="K86" s="310"/>
      <c r="L86" s="311" t="n">
        <v>139</v>
      </c>
      <c r="M86" s="311" t="n">
        <v>19</v>
      </c>
      <c r="N86" s="144" t="n">
        <v>19</v>
      </c>
      <c r="O86" s="310"/>
      <c r="P86" s="311" t="n">
        <v>0</v>
      </c>
      <c r="Q86" s="311" t="n">
        <v>0</v>
      </c>
      <c r="R86" s="311" t="n">
        <v>0</v>
      </c>
      <c r="S86" s="311" t="n">
        <v>0</v>
      </c>
      <c r="T86" s="144" t="n">
        <v>0</v>
      </c>
      <c r="U86" s="310"/>
      <c r="V86" s="144" t="n">
        <v>228</v>
      </c>
      <c r="W86" s="315"/>
    </row>
    <row r="87" customFormat="false" ht="12.75" hidden="false" customHeight="false" outlineLevel="0" collapsed="false">
      <c r="B87" s="304" t="s">
        <v>211</v>
      </c>
      <c r="C87" s="305" t="s">
        <v>460</v>
      </c>
      <c r="D87" s="306" t="n">
        <v>183</v>
      </c>
      <c r="E87" s="306" t="n">
        <v>3.25</v>
      </c>
      <c r="F87" s="306" t="s">
        <v>432</v>
      </c>
      <c r="G87" s="307" t="n">
        <v>24</v>
      </c>
      <c r="H87" s="308" t="n">
        <v>132.231404958678</v>
      </c>
      <c r="I87" s="315"/>
      <c r="J87" s="144" t="s">
        <v>12</v>
      </c>
      <c r="K87" s="310"/>
      <c r="L87" s="311" t="n">
        <v>19</v>
      </c>
      <c r="M87" s="311" t="n">
        <v>0</v>
      </c>
      <c r="N87" s="144" t="n">
        <v>0</v>
      </c>
      <c r="O87" s="310"/>
      <c r="P87" s="311" t="n">
        <v>0</v>
      </c>
      <c r="Q87" s="311" t="n">
        <v>0</v>
      </c>
      <c r="R87" s="311" t="n">
        <v>0</v>
      </c>
      <c r="S87" s="311" t="n">
        <v>0</v>
      </c>
      <c r="T87" s="144" t="n">
        <v>0</v>
      </c>
      <c r="U87" s="310"/>
      <c r="V87" s="144" t="n">
        <v>51</v>
      </c>
      <c r="W87" s="315"/>
    </row>
    <row r="88" customFormat="false" ht="12.75" hidden="false" customHeight="false" outlineLevel="0" collapsed="false">
      <c r="B88" s="304" t="s">
        <v>211</v>
      </c>
      <c r="C88" s="305" t="s">
        <v>460</v>
      </c>
      <c r="D88" s="306" t="n">
        <v>183</v>
      </c>
      <c r="E88" s="306" t="n">
        <v>3.25</v>
      </c>
      <c r="F88" s="324" t="s">
        <v>432</v>
      </c>
      <c r="G88" s="144" t="n">
        <v>48</v>
      </c>
      <c r="H88" s="325" t="n">
        <v>132.231404958678</v>
      </c>
      <c r="I88" s="315"/>
      <c r="J88" s="144" t="s">
        <v>12</v>
      </c>
      <c r="K88" s="310"/>
      <c r="L88" s="311" t="n">
        <v>19</v>
      </c>
      <c r="M88" s="311" t="n">
        <v>0</v>
      </c>
      <c r="N88" s="144" t="n">
        <v>0</v>
      </c>
      <c r="O88" s="310"/>
      <c r="P88" s="311" t="n">
        <v>0</v>
      </c>
      <c r="Q88" s="311" t="n">
        <v>0</v>
      </c>
      <c r="R88" s="311" t="n">
        <v>0</v>
      </c>
      <c r="S88" s="311" t="n">
        <v>0</v>
      </c>
      <c r="T88" s="144" t="n">
        <v>0</v>
      </c>
      <c r="U88" s="310"/>
      <c r="V88" s="144" t="n">
        <v>51</v>
      </c>
      <c r="W88" s="315"/>
    </row>
    <row r="89" customFormat="false" ht="12.75" hidden="false" customHeight="false" outlineLevel="0" collapsed="false">
      <c r="B89" s="304" t="s">
        <v>211</v>
      </c>
      <c r="C89" s="305" t="s">
        <v>461</v>
      </c>
      <c r="D89" s="306" t="n">
        <v>255</v>
      </c>
      <c r="E89" s="306" t="n">
        <v>3.25</v>
      </c>
      <c r="F89" s="306" t="s">
        <v>432</v>
      </c>
      <c r="G89" s="307" t="n">
        <v>24</v>
      </c>
      <c r="H89" s="308" t="n">
        <v>177.685950413223</v>
      </c>
      <c r="I89" s="315"/>
      <c r="J89" s="144" t="s">
        <v>12</v>
      </c>
      <c r="K89" s="310"/>
      <c r="L89" s="311" t="n">
        <v>29</v>
      </c>
      <c r="M89" s="311" t="n">
        <v>0</v>
      </c>
      <c r="N89" s="144" t="n">
        <v>0</v>
      </c>
      <c r="O89" s="310"/>
      <c r="P89" s="311" t="n">
        <v>0</v>
      </c>
      <c r="Q89" s="311" t="n">
        <v>0</v>
      </c>
      <c r="R89" s="311" t="n">
        <v>0</v>
      </c>
      <c r="S89" s="311" t="n">
        <v>0</v>
      </c>
      <c r="T89" s="144" t="n">
        <v>0</v>
      </c>
      <c r="U89" s="310"/>
      <c r="V89" s="144" t="n">
        <v>77</v>
      </c>
      <c r="W89" s="315"/>
    </row>
    <row r="90" customFormat="false" ht="12.75" hidden="false" customHeight="false" outlineLevel="0" collapsed="false">
      <c r="B90" s="304" t="s">
        <v>211</v>
      </c>
      <c r="C90" s="305" t="s">
        <v>461</v>
      </c>
      <c r="D90" s="306" t="n">
        <v>255</v>
      </c>
      <c r="E90" s="306" t="n">
        <v>3.25</v>
      </c>
      <c r="F90" s="324" t="s">
        <v>432</v>
      </c>
      <c r="G90" s="144" t="n">
        <v>48</v>
      </c>
      <c r="H90" s="325" t="n">
        <v>177.685950413223</v>
      </c>
      <c r="I90" s="315"/>
      <c r="J90" s="144" t="s">
        <v>12</v>
      </c>
      <c r="K90" s="310"/>
      <c r="L90" s="311" t="n">
        <v>29</v>
      </c>
      <c r="M90" s="311" t="n">
        <v>0</v>
      </c>
      <c r="N90" s="144" t="n">
        <v>0</v>
      </c>
      <c r="O90" s="310"/>
      <c r="P90" s="311" t="n">
        <v>0</v>
      </c>
      <c r="Q90" s="311" t="n">
        <v>0</v>
      </c>
      <c r="R90" s="311" t="n">
        <v>0</v>
      </c>
      <c r="S90" s="311" t="n">
        <v>0</v>
      </c>
      <c r="T90" s="144" t="n">
        <v>0</v>
      </c>
      <c r="U90" s="310"/>
      <c r="V90" s="144" t="n">
        <v>77</v>
      </c>
      <c r="W90" s="315"/>
    </row>
    <row r="91" customFormat="false" ht="12.75" hidden="false" customHeight="false" outlineLevel="0" collapsed="false">
      <c r="B91" s="304" t="s">
        <v>211</v>
      </c>
      <c r="C91" s="305" t="s">
        <v>462</v>
      </c>
      <c r="D91" s="306" t="n">
        <v>353</v>
      </c>
      <c r="E91" s="306" t="n">
        <v>3.25</v>
      </c>
      <c r="F91" s="306" t="s">
        <v>432</v>
      </c>
      <c r="G91" s="307" t="n">
        <v>24</v>
      </c>
      <c r="H91" s="308" t="n">
        <v>312.396694214876</v>
      </c>
      <c r="I91" s="315"/>
      <c r="J91" s="144" t="s">
        <v>12</v>
      </c>
      <c r="K91" s="310"/>
      <c r="L91" s="311" t="n">
        <v>99</v>
      </c>
      <c r="M91" s="311" t="n">
        <v>19</v>
      </c>
      <c r="N91" s="144" t="n">
        <v>19</v>
      </c>
      <c r="O91" s="310"/>
      <c r="P91" s="311" t="n">
        <v>0</v>
      </c>
      <c r="Q91" s="311" t="n">
        <v>0</v>
      </c>
      <c r="R91" s="311" t="n">
        <v>0</v>
      </c>
      <c r="S91" s="311" t="n">
        <v>0</v>
      </c>
      <c r="T91" s="144" t="n">
        <v>0</v>
      </c>
      <c r="U91" s="310"/>
      <c r="V91" s="144" t="n">
        <v>41</v>
      </c>
      <c r="W91" s="315"/>
    </row>
    <row r="92" customFormat="false" ht="12.75" hidden="false" customHeight="false" outlineLevel="0" collapsed="false">
      <c r="B92" s="304" t="s">
        <v>211</v>
      </c>
      <c r="C92" s="305" t="s">
        <v>462</v>
      </c>
      <c r="D92" s="306" t="n">
        <v>353</v>
      </c>
      <c r="E92" s="306" t="n">
        <v>3.25</v>
      </c>
      <c r="F92" s="324" t="s">
        <v>432</v>
      </c>
      <c r="G92" s="144" t="n">
        <v>48</v>
      </c>
      <c r="H92" s="325" t="n">
        <v>312.396694214876</v>
      </c>
      <c r="I92" s="315"/>
      <c r="J92" s="144" t="s">
        <v>12</v>
      </c>
      <c r="K92" s="310"/>
      <c r="L92" s="311" t="n">
        <v>99</v>
      </c>
      <c r="M92" s="311" t="n">
        <v>19</v>
      </c>
      <c r="N92" s="144" t="n">
        <v>19</v>
      </c>
      <c r="O92" s="310"/>
      <c r="P92" s="311" t="n">
        <v>0</v>
      </c>
      <c r="Q92" s="311" t="n">
        <v>0</v>
      </c>
      <c r="R92" s="311" t="n">
        <v>0</v>
      </c>
      <c r="S92" s="311" t="n">
        <v>0</v>
      </c>
      <c r="T92" s="144" t="n">
        <v>0</v>
      </c>
      <c r="U92" s="310"/>
      <c r="V92" s="144" t="n">
        <v>41</v>
      </c>
      <c r="W92" s="315"/>
    </row>
    <row r="93" customFormat="false" ht="12.75" hidden="false" customHeight="false" outlineLevel="0" collapsed="false">
      <c r="B93" s="304" t="s">
        <v>211</v>
      </c>
      <c r="C93" s="305" t="s">
        <v>463</v>
      </c>
      <c r="D93" s="306" t="n">
        <v>869</v>
      </c>
      <c r="E93" s="306" t="n">
        <v>3.25</v>
      </c>
      <c r="F93" s="306" t="s">
        <v>432</v>
      </c>
      <c r="G93" s="307" t="n">
        <v>24</v>
      </c>
      <c r="H93" s="308" t="n">
        <v>655.371900826446</v>
      </c>
      <c r="I93" s="315"/>
      <c r="J93" s="144" t="s">
        <v>12</v>
      </c>
      <c r="K93" s="310"/>
      <c r="L93" s="311" t="n">
        <v>289</v>
      </c>
      <c r="M93" s="311" t="n">
        <v>169</v>
      </c>
      <c r="N93" s="144" t="n">
        <v>169</v>
      </c>
      <c r="O93" s="310"/>
      <c r="P93" s="311" t="n">
        <v>0</v>
      </c>
      <c r="Q93" s="311" t="n">
        <v>0</v>
      </c>
      <c r="R93" s="311" t="n">
        <v>0</v>
      </c>
      <c r="S93" s="311" t="n">
        <v>0</v>
      </c>
      <c r="T93" s="144" t="n">
        <v>0</v>
      </c>
      <c r="U93" s="310"/>
      <c r="V93" s="144" t="n">
        <v>214</v>
      </c>
      <c r="W93" s="315"/>
    </row>
    <row r="94" customFormat="false" ht="12.75" hidden="false" customHeight="false" outlineLevel="0" collapsed="false">
      <c r="B94" s="304" t="s">
        <v>211</v>
      </c>
      <c r="C94" s="305" t="s">
        <v>463</v>
      </c>
      <c r="D94" s="306" t="n">
        <v>869</v>
      </c>
      <c r="E94" s="306" t="n">
        <v>3.25</v>
      </c>
      <c r="F94" s="324" t="s">
        <v>432</v>
      </c>
      <c r="G94" s="144" t="n">
        <v>48</v>
      </c>
      <c r="H94" s="325" t="n">
        <v>655.371900826446</v>
      </c>
      <c r="I94" s="315"/>
      <c r="J94" s="144" t="s">
        <v>12</v>
      </c>
      <c r="K94" s="310"/>
      <c r="L94" s="311" t="n">
        <v>289</v>
      </c>
      <c r="M94" s="311" t="n">
        <v>169</v>
      </c>
      <c r="N94" s="144" t="n">
        <v>169</v>
      </c>
      <c r="O94" s="310"/>
      <c r="P94" s="311" t="n">
        <v>0</v>
      </c>
      <c r="Q94" s="311" t="n">
        <v>0</v>
      </c>
      <c r="R94" s="311" t="n">
        <v>0</v>
      </c>
      <c r="S94" s="311" t="n">
        <v>0</v>
      </c>
      <c r="T94" s="144" t="n">
        <v>0</v>
      </c>
      <c r="U94" s="310"/>
      <c r="V94" s="144" t="n">
        <v>214</v>
      </c>
      <c r="W94" s="315"/>
    </row>
    <row r="95" customFormat="false" ht="12.75" hidden="false" customHeight="false" outlineLevel="0" collapsed="false">
      <c r="B95" s="304" t="s">
        <v>465</v>
      </c>
      <c r="C95" s="305" t="s">
        <v>466</v>
      </c>
      <c r="D95" s="306" t="n">
        <v>160</v>
      </c>
      <c r="E95" s="306" t="n">
        <v>3.25</v>
      </c>
      <c r="F95" s="306" t="s">
        <v>432</v>
      </c>
      <c r="G95" s="307" t="n">
        <v>24</v>
      </c>
      <c r="H95" s="308" t="n">
        <v>88.4297520661157</v>
      </c>
      <c r="I95" s="315"/>
      <c r="J95" s="144" t="s">
        <v>12</v>
      </c>
      <c r="K95" s="310"/>
      <c r="L95" s="311" t="n">
        <v>0</v>
      </c>
      <c r="M95" s="311" t="n">
        <v>0</v>
      </c>
      <c r="N95" s="144" t="n">
        <v>0</v>
      </c>
      <c r="O95" s="310"/>
      <c r="P95" s="311" t="n">
        <v>0</v>
      </c>
      <c r="Q95" s="311" t="n">
        <v>0</v>
      </c>
      <c r="R95" s="311" t="n">
        <v>0</v>
      </c>
      <c r="S95" s="311" t="n">
        <v>0</v>
      </c>
      <c r="T95" s="144" t="n">
        <v>0</v>
      </c>
      <c r="U95" s="310"/>
      <c r="V95" s="144" t="n">
        <v>72</v>
      </c>
      <c r="W95" s="315"/>
    </row>
    <row r="96" customFormat="false" ht="12.75" hidden="false" customHeight="false" outlineLevel="0" collapsed="false">
      <c r="B96" s="304" t="s">
        <v>465</v>
      </c>
      <c r="C96" s="305" t="s">
        <v>467</v>
      </c>
      <c r="D96" s="306" t="n">
        <v>176</v>
      </c>
      <c r="E96" s="306" t="n">
        <v>3.25</v>
      </c>
      <c r="F96" s="324" t="s">
        <v>432</v>
      </c>
      <c r="G96" s="144" t="n">
        <v>24</v>
      </c>
      <c r="H96" s="325" t="n">
        <v>157.851239669422</v>
      </c>
      <c r="I96" s="315"/>
      <c r="J96" s="144" t="s">
        <v>12</v>
      </c>
      <c r="K96" s="310"/>
      <c r="L96" s="311" t="n">
        <v>0</v>
      </c>
      <c r="M96" s="311" t="n">
        <v>0</v>
      </c>
      <c r="N96" s="144" t="n">
        <v>0</v>
      </c>
      <c r="O96" s="310"/>
      <c r="P96" s="311" t="n">
        <v>0</v>
      </c>
      <c r="Q96" s="311" t="n">
        <v>0</v>
      </c>
      <c r="R96" s="311" t="n">
        <v>0</v>
      </c>
      <c r="S96" s="311" t="n">
        <v>0</v>
      </c>
      <c r="T96" s="144" t="n">
        <v>0</v>
      </c>
      <c r="U96" s="310"/>
      <c r="V96" s="144" t="n">
        <v>18</v>
      </c>
      <c r="W96" s="315"/>
    </row>
    <row r="97" customFormat="false" ht="12.75" hidden="false" customHeight="false" outlineLevel="0" collapsed="false">
      <c r="B97" s="304" t="s">
        <v>465</v>
      </c>
      <c r="C97" s="305" t="s">
        <v>467</v>
      </c>
      <c r="D97" s="306" t="n">
        <v>176</v>
      </c>
      <c r="E97" s="306" t="n">
        <v>3.25</v>
      </c>
      <c r="F97" s="306" t="s">
        <v>432</v>
      </c>
      <c r="G97" s="307" t="n">
        <v>48</v>
      </c>
      <c r="H97" s="308" t="n">
        <v>157.851239669422</v>
      </c>
      <c r="I97" s="315"/>
      <c r="J97" s="144" t="s">
        <v>12</v>
      </c>
      <c r="K97" s="310"/>
      <c r="L97" s="311" t="n">
        <v>0</v>
      </c>
      <c r="M97" s="311" t="n">
        <v>0</v>
      </c>
      <c r="N97" s="144" t="n">
        <v>0</v>
      </c>
      <c r="O97" s="310"/>
      <c r="P97" s="311" t="n">
        <v>0</v>
      </c>
      <c r="Q97" s="311" t="n">
        <v>0</v>
      </c>
      <c r="R97" s="311" t="n">
        <v>0</v>
      </c>
      <c r="S97" s="311" t="n">
        <v>0</v>
      </c>
      <c r="T97" s="144" t="n">
        <v>0</v>
      </c>
      <c r="U97" s="310"/>
      <c r="V97" s="144" t="n">
        <v>18</v>
      </c>
      <c r="W97" s="315"/>
    </row>
    <row r="98" customFormat="false" ht="12.75" hidden="false" customHeight="false" outlineLevel="0" collapsed="false">
      <c r="B98" s="304" t="s">
        <v>465</v>
      </c>
      <c r="C98" s="305" t="s">
        <v>468</v>
      </c>
      <c r="D98" s="306" t="n">
        <v>245</v>
      </c>
      <c r="E98" s="306" t="n">
        <v>3.25</v>
      </c>
      <c r="F98" s="324" t="s">
        <v>432</v>
      </c>
      <c r="G98" s="144" t="n">
        <v>24</v>
      </c>
      <c r="H98" s="325" t="n">
        <v>188.429752066116</v>
      </c>
      <c r="I98" s="315"/>
      <c r="J98" s="144" t="s">
        <v>12</v>
      </c>
      <c r="K98" s="310"/>
      <c r="L98" s="311" t="n">
        <v>29</v>
      </c>
      <c r="M98" s="311" t="n">
        <v>0</v>
      </c>
      <c r="N98" s="144" t="n">
        <v>0</v>
      </c>
      <c r="O98" s="310"/>
      <c r="P98" s="311" t="n">
        <v>0</v>
      </c>
      <c r="Q98" s="311" t="n">
        <v>0</v>
      </c>
      <c r="R98" s="311" t="n">
        <v>0</v>
      </c>
      <c r="S98" s="311" t="n">
        <v>0</v>
      </c>
      <c r="T98" s="144" t="n">
        <v>0</v>
      </c>
      <c r="U98" s="310"/>
      <c r="V98" s="144" t="n">
        <v>57</v>
      </c>
      <c r="W98" s="315"/>
    </row>
    <row r="99" customFormat="false" ht="12.75" hidden="false" customHeight="false" outlineLevel="0" collapsed="false">
      <c r="B99" s="304" t="s">
        <v>465</v>
      </c>
      <c r="C99" s="305" t="s">
        <v>468</v>
      </c>
      <c r="D99" s="306" t="n">
        <v>245</v>
      </c>
      <c r="E99" s="306" t="n">
        <v>3.25</v>
      </c>
      <c r="F99" s="306" t="s">
        <v>432</v>
      </c>
      <c r="G99" s="307" t="n">
        <v>48</v>
      </c>
      <c r="H99" s="308" t="n">
        <v>188.429752066116</v>
      </c>
      <c r="I99" s="315"/>
      <c r="J99" s="144" t="s">
        <v>12</v>
      </c>
      <c r="K99" s="310"/>
      <c r="L99" s="311" t="n">
        <v>29</v>
      </c>
      <c r="M99" s="311" t="n">
        <v>0</v>
      </c>
      <c r="N99" s="144" t="n">
        <v>0</v>
      </c>
      <c r="O99" s="310"/>
      <c r="P99" s="311" t="n">
        <v>0</v>
      </c>
      <c r="Q99" s="311" t="n">
        <v>0</v>
      </c>
      <c r="R99" s="311" t="n">
        <v>0</v>
      </c>
      <c r="S99" s="311" t="n">
        <v>0</v>
      </c>
      <c r="T99" s="144" t="n">
        <v>0</v>
      </c>
      <c r="U99" s="310"/>
      <c r="V99" s="144" t="n">
        <v>57</v>
      </c>
      <c r="W99" s="315"/>
    </row>
    <row r="100" customFormat="false" ht="12.75" hidden="false" customHeight="false" outlineLevel="0" collapsed="false">
      <c r="B100" s="304" t="s">
        <v>465</v>
      </c>
      <c r="C100" s="305" t="s">
        <v>469</v>
      </c>
      <c r="D100" s="306" t="n">
        <v>1072</v>
      </c>
      <c r="E100" s="306" t="n">
        <v>3.25</v>
      </c>
      <c r="F100" s="324" t="s">
        <v>432</v>
      </c>
      <c r="G100" s="144" t="n">
        <v>24</v>
      </c>
      <c r="H100" s="325" t="n">
        <v>935.537190082645</v>
      </c>
      <c r="I100" s="315"/>
      <c r="J100" s="144" t="s">
        <v>12</v>
      </c>
      <c r="K100" s="310"/>
      <c r="L100" s="311" t="n">
        <v>389</v>
      </c>
      <c r="M100" s="311" t="n">
        <v>239</v>
      </c>
      <c r="N100" s="144" t="n">
        <v>239</v>
      </c>
      <c r="O100" s="310"/>
      <c r="P100" s="311" t="n">
        <v>0</v>
      </c>
      <c r="Q100" s="311" t="n">
        <v>0</v>
      </c>
      <c r="R100" s="311" t="n">
        <v>0</v>
      </c>
      <c r="S100" s="311" t="n">
        <v>0</v>
      </c>
      <c r="T100" s="144" t="n">
        <v>0</v>
      </c>
      <c r="U100" s="310"/>
      <c r="V100" s="144" t="n">
        <v>136</v>
      </c>
      <c r="W100" s="315"/>
    </row>
    <row r="101" customFormat="false" ht="12.75" hidden="false" customHeight="false" outlineLevel="0" collapsed="false">
      <c r="B101" s="304" t="s">
        <v>465</v>
      </c>
      <c r="C101" s="305" t="s">
        <v>469</v>
      </c>
      <c r="D101" s="306" t="n">
        <v>1072</v>
      </c>
      <c r="E101" s="306" t="n">
        <v>3.25</v>
      </c>
      <c r="F101" s="306" t="s">
        <v>432</v>
      </c>
      <c r="G101" s="307" t="n">
        <v>48</v>
      </c>
      <c r="H101" s="308" t="n">
        <v>935.537190082645</v>
      </c>
      <c r="I101" s="315"/>
      <c r="J101" s="144" t="s">
        <v>12</v>
      </c>
      <c r="K101" s="310"/>
      <c r="L101" s="311" t="n">
        <v>389</v>
      </c>
      <c r="M101" s="311" t="n">
        <v>239</v>
      </c>
      <c r="N101" s="144" t="n">
        <v>239</v>
      </c>
      <c r="O101" s="310"/>
      <c r="P101" s="311" t="n">
        <v>0</v>
      </c>
      <c r="Q101" s="311" t="n">
        <v>0</v>
      </c>
      <c r="R101" s="311" t="n">
        <v>0</v>
      </c>
      <c r="S101" s="311" t="n">
        <v>0</v>
      </c>
      <c r="T101" s="144" t="n">
        <v>0</v>
      </c>
      <c r="U101" s="310"/>
      <c r="V101" s="144" t="n">
        <v>136</v>
      </c>
      <c r="W101" s="315"/>
    </row>
    <row r="102" customFormat="false" ht="12.75" hidden="false" customHeight="false" outlineLevel="0" collapsed="false">
      <c r="B102" s="304" t="s">
        <v>465</v>
      </c>
      <c r="C102" s="305" t="s">
        <v>470</v>
      </c>
      <c r="D102" s="306" t="n">
        <v>524</v>
      </c>
      <c r="E102" s="306" t="n">
        <v>3.25</v>
      </c>
      <c r="F102" s="324" t="s">
        <v>432</v>
      </c>
      <c r="G102" s="144" t="n">
        <v>24</v>
      </c>
      <c r="H102" s="325" t="n">
        <v>433.05785123967</v>
      </c>
      <c r="I102" s="315"/>
      <c r="J102" s="144" t="s">
        <v>12</v>
      </c>
      <c r="K102" s="310"/>
      <c r="L102" s="311" t="n">
        <v>139</v>
      </c>
      <c r="M102" s="311" t="n">
        <v>19</v>
      </c>
      <c r="N102" s="144" t="n">
        <v>19</v>
      </c>
      <c r="O102" s="310"/>
      <c r="P102" s="311" t="n">
        <v>0</v>
      </c>
      <c r="Q102" s="311" t="n">
        <v>0</v>
      </c>
      <c r="R102" s="311" t="n">
        <v>0</v>
      </c>
      <c r="S102" s="311" t="n">
        <v>0</v>
      </c>
      <c r="T102" s="144" t="n">
        <v>0</v>
      </c>
      <c r="U102" s="310"/>
      <c r="V102" s="144" t="n">
        <v>91</v>
      </c>
      <c r="W102" s="315"/>
    </row>
    <row r="103" customFormat="false" ht="12.75" hidden="false" customHeight="false" outlineLevel="0" collapsed="false">
      <c r="B103" s="304" t="s">
        <v>465</v>
      </c>
      <c r="C103" s="305" t="s">
        <v>470</v>
      </c>
      <c r="D103" s="306" t="n">
        <v>524</v>
      </c>
      <c r="E103" s="306" t="n">
        <v>3.25</v>
      </c>
      <c r="F103" s="306" t="s">
        <v>432</v>
      </c>
      <c r="G103" s="307" t="n">
        <v>48</v>
      </c>
      <c r="H103" s="308" t="n">
        <v>433.05785123967</v>
      </c>
      <c r="I103" s="315"/>
      <c r="J103" s="144" t="s">
        <v>12</v>
      </c>
      <c r="K103" s="310"/>
      <c r="L103" s="311" t="n">
        <v>139</v>
      </c>
      <c r="M103" s="311" t="n">
        <v>19</v>
      </c>
      <c r="N103" s="144" t="n">
        <v>19</v>
      </c>
      <c r="O103" s="310"/>
      <c r="P103" s="311" t="n">
        <v>0</v>
      </c>
      <c r="Q103" s="311" t="n">
        <v>0</v>
      </c>
      <c r="R103" s="311" t="n">
        <v>0</v>
      </c>
      <c r="S103" s="311" t="n">
        <v>0</v>
      </c>
      <c r="T103" s="144" t="n">
        <v>0</v>
      </c>
      <c r="U103" s="310"/>
      <c r="V103" s="144" t="n">
        <v>91</v>
      </c>
      <c r="W103" s="315"/>
    </row>
    <row r="104" customFormat="false" ht="12.75" hidden="false" customHeight="false" outlineLevel="0" collapsed="false">
      <c r="B104" s="304" t="s">
        <v>465</v>
      </c>
      <c r="C104" s="305" t="s">
        <v>471</v>
      </c>
      <c r="D104" s="306" t="n">
        <v>364</v>
      </c>
      <c r="E104" s="306" t="n">
        <v>3.25</v>
      </c>
      <c r="F104" s="324" t="s">
        <v>432</v>
      </c>
      <c r="G104" s="144" t="n">
        <v>24</v>
      </c>
      <c r="H104" s="325" t="n">
        <v>303.305785123967</v>
      </c>
      <c r="I104" s="315"/>
      <c r="J104" s="144" t="s">
        <v>12</v>
      </c>
      <c r="K104" s="310"/>
      <c r="L104" s="311" t="n">
        <v>99</v>
      </c>
      <c r="M104" s="311" t="n">
        <v>19</v>
      </c>
      <c r="N104" s="144" t="n">
        <v>19</v>
      </c>
      <c r="O104" s="310"/>
      <c r="P104" s="311" t="n">
        <v>0</v>
      </c>
      <c r="Q104" s="311" t="n">
        <v>0</v>
      </c>
      <c r="R104" s="311" t="n">
        <v>0</v>
      </c>
      <c r="S104" s="311" t="n">
        <v>0</v>
      </c>
      <c r="T104" s="144" t="n">
        <v>0</v>
      </c>
      <c r="U104" s="310"/>
      <c r="V104" s="144" t="n">
        <v>61</v>
      </c>
      <c r="W104" s="315"/>
    </row>
    <row r="105" customFormat="false" ht="12.75" hidden="false" customHeight="false" outlineLevel="0" collapsed="false">
      <c r="B105" s="304" t="s">
        <v>465</v>
      </c>
      <c r="C105" s="305" t="s">
        <v>471</v>
      </c>
      <c r="D105" s="306" t="n">
        <v>364</v>
      </c>
      <c r="E105" s="306" t="n">
        <v>3.25</v>
      </c>
      <c r="F105" s="306" t="s">
        <v>432</v>
      </c>
      <c r="G105" s="307" t="n">
        <v>48</v>
      </c>
      <c r="H105" s="308" t="n">
        <v>303.305785123967</v>
      </c>
      <c r="I105" s="315"/>
      <c r="J105" s="144" t="s">
        <v>12</v>
      </c>
      <c r="K105" s="310"/>
      <c r="L105" s="311" t="n">
        <v>99</v>
      </c>
      <c r="M105" s="311" t="n">
        <v>19</v>
      </c>
      <c r="N105" s="144" t="n">
        <v>19</v>
      </c>
      <c r="O105" s="310"/>
      <c r="P105" s="311" t="n">
        <v>0</v>
      </c>
      <c r="Q105" s="311" t="n">
        <v>0</v>
      </c>
      <c r="R105" s="311" t="n">
        <v>0</v>
      </c>
      <c r="S105" s="311" t="n">
        <v>0</v>
      </c>
      <c r="T105" s="144" t="n">
        <v>0</v>
      </c>
      <c r="U105" s="310"/>
      <c r="V105" s="144" t="n">
        <v>61</v>
      </c>
      <c r="W105" s="315"/>
    </row>
    <row r="106" customFormat="false" ht="12.75" hidden="false" customHeight="false" outlineLevel="0" collapsed="false">
      <c r="B106" s="304" t="s">
        <v>465</v>
      </c>
      <c r="C106" s="305" t="s">
        <v>472</v>
      </c>
      <c r="D106" s="306" t="n">
        <v>754</v>
      </c>
      <c r="E106" s="306" t="n">
        <v>3.25</v>
      </c>
      <c r="F106" s="324" t="s">
        <v>432</v>
      </c>
      <c r="G106" s="144" t="n">
        <v>24</v>
      </c>
      <c r="H106" s="325" t="n">
        <v>613.223140495868</v>
      </c>
      <c r="I106" s="315"/>
      <c r="J106" s="144" t="s">
        <v>12</v>
      </c>
      <c r="K106" s="310"/>
      <c r="L106" s="311" t="n">
        <v>259</v>
      </c>
      <c r="M106" s="311" t="n">
        <v>159</v>
      </c>
      <c r="N106" s="144" t="n">
        <v>159</v>
      </c>
      <c r="O106" s="310"/>
      <c r="P106" s="311" t="n">
        <v>0</v>
      </c>
      <c r="Q106" s="311" t="n">
        <v>0</v>
      </c>
      <c r="R106" s="311" t="n">
        <v>0</v>
      </c>
      <c r="S106" s="311" t="n">
        <v>0</v>
      </c>
      <c r="T106" s="144" t="n">
        <v>0</v>
      </c>
      <c r="U106" s="310"/>
      <c r="V106" s="144" t="n">
        <v>141</v>
      </c>
      <c r="W106" s="315"/>
    </row>
    <row r="107" customFormat="false" ht="12.75" hidden="false" customHeight="false" outlineLevel="0" collapsed="false">
      <c r="B107" s="304" t="s">
        <v>465</v>
      </c>
      <c r="C107" s="305" t="s">
        <v>472</v>
      </c>
      <c r="D107" s="306" t="n">
        <v>754</v>
      </c>
      <c r="E107" s="306" t="n">
        <v>3.25</v>
      </c>
      <c r="F107" s="306" t="s">
        <v>432</v>
      </c>
      <c r="G107" s="307" t="n">
        <v>48</v>
      </c>
      <c r="H107" s="308" t="n">
        <v>613.223140495868</v>
      </c>
      <c r="I107" s="315"/>
      <c r="J107" s="144" t="s">
        <v>12</v>
      </c>
      <c r="K107" s="310"/>
      <c r="L107" s="311" t="n">
        <v>259</v>
      </c>
      <c r="M107" s="311" t="n">
        <v>159</v>
      </c>
      <c r="N107" s="144" t="n">
        <v>159</v>
      </c>
      <c r="O107" s="310"/>
      <c r="P107" s="311" t="n">
        <v>0</v>
      </c>
      <c r="Q107" s="311" t="n">
        <v>0</v>
      </c>
      <c r="R107" s="311" t="n">
        <v>0</v>
      </c>
      <c r="S107" s="311" t="n">
        <v>0</v>
      </c>
      <c r="T107" s="144" t="n">
        <v>0</v>
      </c>
      <c r="U107" s="310"/>
      <c r="V107" s="144" t="n">
        <v>141</v>
      </c>
      <c r="W107" s="315"/>
    </row>
    <row r="108" customFormat="false" ht="12.75" hidden="false" customHeight="false" outlineLevel="0" collapsed="false">
      <c r="B108" s="304" t="s">
        <v>200</v>
      </c>
      <c r="C108" s="305" t="s">
        <v>473</v>
      </c>
      <c r="D108" s="306" t="n">
        <v>186</v>
      </c>
      <c r="E108" s="306" t="n">
        <v>3.25</v>
      </c>
      <c r="F108" s="324" t="s">
        <v>432</v>
      </c>
      <c r="G108" s="144" t="n">
        <v>24</v>
      </c>
      <c r="H108" s="325" t="n">
        <v>166.115702479339</v>
      </c>
      <c r="I108" s="315"/>
      <c r="J108" s="144" t="s">
        <v>12</v>
      </c>
      <c r="K108" s="310"/>
      <c r="L108" s="311" t="n">
        <v>29</v>
      </c>
      <c r="M108" s="311" t="n">
        <v>0</v>
      </c>
      <c r="N108" s="144" t="n">
        <v>0</v>
      </c>
      <c r="O108" s="310"/>
      <c r="P108" s="311" t="n">
        <v>0</v>
      </c>
      <c r="Q108" s="311" t="n">
        <v>0</v>
      </c>
      <c r="R108" s="311" t="n">
        <v>0</v>
      </c>
      <c r="S108" s="311" t="n">
        <v>0</v>
      </c>
      <c r="T108" s="144" t="n">
        <v>0</v>
      </c>
      <c r="U108" s="310"/>
      <c r="V108" s="144" t="n">
        <v>20</v>
      </c>
      <c r="W108" s="315"/>
    </row>
    <row r="109" customFormat="false" ht="12.75" hidden="false" customHeight="false" outlineLevel="0" collapsed="false">
      <c r="B109" s="304" t="s">
        <v>200</v>
      </c>
      <c r="C109" s="305" t="s">
        <v>474</v>
      </c>
      <c r="D109" s="306" t="n">
        <v>248</v>
      </c>
      <c r="E109" s="306" t="n">
        <v>3.25</v>
      </c>
      <c r="F109" s="306" t="s">
        <v>432</v>
      </c>
      <c r="G109" s="307" t="n">
        <v>24</v>
      </c>
      <c r="H109" s="308" t="n">
        <v>190.909090909091</v>
      </c>
      <c r="I109" s="315"/>
      <c r="J109" s="144" t="s">
        <v>12</v>
      </c>
      <c r="K109" s="310"/>
      <c r="L109" s="311" t="n">
        <v>29</v>
      </c>
      <c r="M109" s="311" t="n">
        <v>0</v>
      </c>
      <c r="N109" s="144" t="n">
        <v>0</v>
      </c>
      <c r="O109" s="310"/>
      <c r="P109" s="311" t="n">
        <v>0</v>
      </c>
      <c r="Q109" s="311" t="n">
        <v>0</v>
      </c>
      <c r="R109" s="311" t="n">
        <v>0</v>
      </c>
      <c r="S109" s="311" t="n">
        <v>0</v>
      </c>
      <c r="T109" s="144" t="n">
        <v>0</v>
      </c>
      <c r="U109" s="310"/>
      <c r="V109" s="144" t="n">
        <v>57</v>
      </c>
      <c r="W109" s="315"/>
    </row>
    <row r="110" customFormat="false" ht="12.75" hidden="false" customHeight="false" outlineLevel="0" collapsed="false">
      <c r="B110" s="304" t="s">
        <v>200</v>
      </c>
      <c r="C110" s="305" t="s">
        <v>474</v>
      </c>
      <c r="D110" s="306" t="n">
        <v>248</v>
      </c>
      <c r="E110" s="306" t="n">
        <v>3.25</v>
      </c>
      <c r="F110" s="324" t="s">
        <v>432</v>
      </c>
      <c r="G110" s="144" t="n">
        <v>48</v>
      </c>
      <c r="H110" s="325" t="n">
        <v>190.909090909091</v>
      </c>
      <c r="I110" s="315"/>
      <c r="J110" s="144" t="s">
        <v>12</v>
      </c>
      <c r="K110" s="310"/>
      <c r="L110" s="311" t="n">
        <v>29</v>
      </c>
      <c r="M110" s="311" t="n">
        <v>0</v>
      </c>
      <c r="N110" s="144" t="n">
        <v>0</v>
      </c>
      <c r="O110" s="310"/>
      <c r="P110" s="311" t="n">
        <v>0</v>
      </c>
      <c r="Q110" s="311" t="n">
        <v>0</v>
      </c>
      <c r="R110" s="311" t="n">
        <v>0</v>
      </c>
      <c r="S110" s="311" t="n">
        <v>0</v>
      </c>
      <c r="T110" s="144" t="n">
        <v>0</v>
      </c>
      <c r="U110" s="310"/>
      <c r="V110" s="144" t="n">
        <v>57</v>
      </c>
      <c r="W110" s="315"/>
    </row>
    <row r="111" customFormat="false" ht="12.75" hidden="false" customHeight="false" outlineLevel="0" collapsed="false">
      <c r="B111" s="304" t="s">
        <v>200</v>
      </c>
      <c r="C111" s="305" t="s">
        <v>475</v>
      </c>
      <c r="D111" s="306" t="n">
        <v>308</v>
      </c>
      <c r="E111" s="306" t="n">
        <v>3.25</v>
      </c>
      <c r="F111" s="306" t="s">
        <v>432</v>
      </c>
      <c r="G111" s="307" t="n">
        <v>24</v>
      </c>
      <c r="H111" s="308" t="n">
        <v>278.512396694215</v>
      </c>
      <c r="I111" s="315"/>
      <c r="J111" s="144" t="s">
        <v>12</v>
      </c>
      <c r="K111" s="310"/>
      <c r="L111" s="311" t="n">
        <v>39</v>
      </c>
      <c r="M111" s="311" t="n">
        <v>0</v>
      </c>
      <c r="N111" s="144" t="n">
        <v>0</v>
      </c>
      <c r="O111" s="310"/>
      <c r="P111" s="311" t="n">
        <v>0</v>
      </c>
      <c r="Q111" s="311" t="n">
        <v>0</v>
      </c>
      <c r="R111" s="311" t="n">
        <v>0</v>
      </c>
      <c r="S111" s="311" t="n">
        <v>0</v>
      </c>
      <c r="T111" s="144" t="n">
        <v>0</v>
      </c>
      <c r="U111" s="310"/>
      <c r="V111" s="144" t="n">
        <v>29</v>
      </c>
      <c r="W111" s="315"/>
    </row>
    <row r="112" customFormat="false" ht="12.75" hidden="false" customHeight="false" outlineLevel="0" collapsed="false">
      <c r="B112" s="304" t="s">
        <v>200</v>
      </c>
      <c r="C112" s="305" t="s">
        <v>475</v>
      </c>
      <c r="D112" s="306" t="n">
        <v>308</v>
      </c>
      <c r="E112" s="306" t="n">
        <v>3.25</v>
      </c>
      <c r="F112" s="324" t="s">
        <v>432</v>
      </c>
      <c r="G112" s="144" t="n">
        <v>48</v>
      </c>
      <c r="H112" s="325" t="n">
        <v>278.512396694215</v>
      </c>
      <c r="I112" s="315"/>
      <c r="J112" s="144" t="s">
        <v>12</v>
      </c>
      <c r="K112" s="310"/>
      <c r="L112" s="311" t="n">
        <v>39</v>
      </c>
      <c r="M112" s="311" t="n">
        <v>0</v>
      </c>
      <c r="N112" s="144" t="n">
        <v>0</v>
      </c>
      <c r="O112" s="310"/>
      <c r="P112" s="311" t="n">
        <v>0</v>
      </c>
      <c r="Q112" s="311" t="n">
        <v>0</v>
      </c>
      <c r="R112" s="311" t="n">
        <v>0</v>
      </c>
      <c r="S112" s="311" t="n">
        <v>0</v>
      </c>
      <c r="T112" s="144" t="n">
        <v>0</v>
      </c>
      <c r="U112" s="310"/>
      <c r="V112" s="144" t="n">
        <v>29</v>
      </c>
      <c r="W112" s="315"/>
    </row>
    <row r="113" customFormat="false" ht="12.75" hidden="false" customHeight="false" outlineLevel="0" collapsed="false">
      <c r="B113" s="304" t="s">
        <v>200</v>
      </c>
      <c r="C113" s="305" t="s">
        <v>476</v>
      </c>
      <c r="D113" s="306" t="n">
        <v>369</v>
      </c>
      <c r="E113" s="306" t="n">
        <v>3.25</v>
      </c>
      <c r="F113" s="306" t="s">
        <v>432</v>
      </c>
      <c r="G113" s="307" t="n">
        <v>24</v>
      </c>
      <c r="H113" s="308" t="n">
        <v>336.363636363636</v>
      </c>
      <c r="I113" s="315"/>
      <c r="J113" s="144" t="s">
        <v>12</v>
      </c>
      <c r="K113" s="310"/>
      <c r="L113" s="311" t="n">
        <v>109</v>
      </c>
      <c r="M113" s="311" t="n">
        <v>19</v>
      </c>
      <c r="N113" s="144" t="n">
        <v>19</v>
      </c>
      <c r="O113" s="310"/>
      <c r="P113" s="311" t="n">
        <v>0</v>
      </c>
      <c r="Q113" s="311" t="n">
        <v>0</v>
      </c>
      <c r="R113" s="311" t="n">
        <v>0</v>
      </c>
      <c r="S113" s="311" t="n">
        <v>0</v>
      </c>
      <c r="T113" s="144" t="n">
        <v>0</v>
      </c>
      <c r="U113" s="310"/>
      <c r="V113" s="144" t="n">
        <v>33</v>
      </c>
      <c r="W113" s="315"/>
    </row>
    <row r="114" customFormat="false" ht="12.75" hidden="false" customHeight="false" outlineLevel="0" collapsed="false">
      <c r="B114" s="304" t="s">
        <v>200</v>
      </c>
      <c r="C114" s="305" t="s">
        <v>476</v>
      </c>
      <c r="D114" s="306" t="n">
        <v>369</v>
      </c>
      <c r="E114" s="306" t="n">
        <v>3.25</v>
      </c>
      <c r="F114" s="324" t="s">
        <v>432</v>
      </c>
      <c r="G114" s="144" t="n">
        <v>48</v>
      </c>
      <c r="H114" s="325" t="n">
        <v>336.363636363636</v>
      </c>
      <c r="I114" s="315"/>
      <c r="J114" s="144" t="s">
        <v>12</v>
      </c>
      <c r="K114" s="310"/>
      <c r="L114" s="311" t="n">
        <v>109</v>
      </c>
      <c r="M114" s="311" t="n">
        <v>19</v>
      </c>
      <c r="N114" s="144" t="n">
        <v>19</v>
      </c>
      <c r="O114" s="310"/>
      <c r="P114" s="311" t="n">
        <v>0</v>
      </c>
      <c r="Q114" s="311" t="n">
        <v>0</v>
      </c>
      <c r="R114" s="311" t="n">
        <v>0</v>
      </c>
      <c r="S114" s="311" t="n">
        <v>0</v>
      </c>
      <c r="T114" s="144" t="n">
        <v>0</v>
      </c>
      <c r="U114" s="310"/>
      <c r="V114" s="144" t="n">
        <v>33</v>
      </c>
      <c r="W114" s="315"/>
    </row>
    <row r="115" customFormat="false" ht="12.75" hidden="false" customHeight="false" outlineLevel="0" collapsed="false">
      <c r="B115" s="304" t="s">
        <v>200</v>
      </c>
      <c r="C115" s="305" t="s">
        <v>477</v>
      </c>
      <c r="D115" s="306" t="n">
        <v>457</v>
      </c>
      <c r="E115" s="306" t="n">
        <v>3.25</v>
      </c>
      <c r="F115" s="306" t="s">
        <v>432</v>
      </c>
      <c r="G115" s="307" t="n">
        <v>24</v>
      </c>
      <c r="H115" s="308" t="n">
        <v>380.99173553719</v>
      </c>
      <c r="I115" s="315"/>
      <c r="J115" s="144" t="s">
        <v>12</v>
      </c>
      <c r="K115" s="310"/>
      <c r="L115" s="311" t="n">
        <v>129</v>
      </c>
      <c r="M115" s="311" t="n">
        <v>19</v>
      </c>
      <c r="N115" s="144" t="n">
        <v>19</v>
      </c>
      <c r="O115" s="310"/>
      <c r="P115" s="311" t="n">
        <v>0</v>
      </c>
      <c r="Q115" s="311" t="n">
        <v>0</v>
      </c>
      <c r="R115" s="311" t="n">
        <v>0</v>
      </c>
      <c r="S115" s="311" t="n">
        <v>0</v>
      </c>
      <c r="T115" s="144" t="n">
        <v>0</v>
      </c>
      <c r="U115" s="310"/>
      <c r="V115" s="144" t="n">
        <v>76</v>
      </c>
      <c r="W115" s="315"/>
    </row>
    <row r="116" customFormat="false" ht="12.75" hidden="false" customHeight="false" outlineLevel="0" collapsed="false">
      <c r="B116" s="304" t="s">
        <v>200</v>
      </c>
      <c r="C116" s="305" t="s">
        <v>477</v>
      </c>
      <c r="D116" s="306" t="n">
        <v>457</v>
      </c>
      <c r="E116" s="306" t="n">
        <v>3.25</v>
      </c>
      <c r="F116" s="324" t="s">
        <v>432</v>
      </c>
      <c r="G116" s="144" t="n">
        <v>48</v>
      </c>
      <c r="H116" s="325" t="n">
        <v>380.99173553719</v>
      </c>
      <c r="I116" s="315"/>
      <c r="J116" s="144" t="s">
        <v>12</v>
      </c>
      <c r="K116" s="310"/>
      <c r="L116" s="311" t="n">
        <v>129</v>
      </c>
      <c r="M116" s="311" t="n">
        <v>19</v>
      </c>
      <c r="N116" s="144" t="n">
        <v>19</v>
      </c>
      <c r="O116" s="310"/>
      <c r="P116" s="311" t="n">
        <v>0</v>
      </c>
      <c r="Q116" s="311" t="n">
        <v>0</v>
      </c>
      <c r="R116" s="311" t="n">
        <v>0</v>
      </c>
      <c r="S116" s="311" t="n">
        <v>0</v>
      </c>
      <c r="T116" s="144" t="n">
        <v>0</v>
      </c>
      <c r="U116" s="310"/>
      <c r="V116" s="144" t="n">
        <v>76</v>
      </c>
      <c r="W116" s="315"/>
    </row>
    <row r="117" customFormat="false" ht="12.75" hidden="false" customHeight="false" outlineLevel="0" collapsed="false">
      <c r="B117" s="304" t="s">
        <v>200</v>
      </c>
      <c r="C117" s="305" t="s">
        <v>478</v>
      </c>
      <c r="D117" s="306" t="n">
        <v>938</v>
      </c>
      <c r="E117" s="306" t="n">
        <v>3.25</v>
      </c>
      <c r="F117" s="306" t="s">
        <v>432</v>
      </c>
      <c r="G117" s="307" t="n">
        <v>24</v>
      </c>
      <c r="H117" s="308" t="n">
        <v>570.247933884297</v>
      </c>
      <c r="I117" s="315"/>
      <c r="J117" s="144" t="s">
        <v>12</v>
      </c>
      <c r="K117" s="310"/>
      <c r="L117" s="311" t="n">
        <v>239</v>
      </c>
      <c r="M117" s="311" t="n">
        <v>139</v>
      </c>
      <c r="N117" s="144" t="n">
        <v>139</v>
      </c>
      <c r="O117" s="310"/>
      <c r="P117" s="311" t="n">
        <v>0</v>
      </c>
      <c r="Q117" s="311" t="n">
        <v>0</v>
      </c>
      <c r="R117" s="311" t="n">
        <v>0</v>
      </c>
      <c r="S117" s="311" t="n">
        <v>0</v>
      </c>
      <c r="T117" s="144" t="n">
        <v>0</v>
      </c>
      <c r="U117" s="310"/>
      <c r="V117" s="144" t="n">
        <v>368</v>
      </c>
      <c r="W117" s="315"/>
    </row>
    <row r="118" customFormat="false" ht="12.75" hidden="false" customHeight="false" outlineLevel="0" collapsed="false">
      <c r="B118" s="304" t="s">
        <v>200</v>
      </c>
      <c r="C118" s="305" t="s">
        <v>478</v>
      </c>
      <c r="D118" s="306" t="n">
        <v>938</v>
      </c>
      <c r="E118" s="306" t="n">
        <v>3.25</v>
      </c>
      <c r="F118" s="324" t="s">
        <v>432</v>
      </c>
      <c r="G118" s="144" t="n">
        <v>48</v>
      </c>
      <c r="H118" s="325" t="n">
        <v>570.247933884297</v>
      </c>
      <c r="I118" s="315"/>
      <c r="J118" s="144" t="s">
        <v>12</v>
      </c>
      <c r="K118" s="310"/>
      <c r="L118" s="311" t="n">
        <v>239</v>
      </c>
      <c r="M118" s="311" t="n">
        <v>139</v>
      </c>
      <c r="N118" s="144" t="n">
        <v>139</v>
      </c>
      <c r="O118" s="310"/>
      <c r="P118" s="311" t="n">
        <v>0</v>
      </c>
      <c r="Q118" s="311" t="n">
        <v>0</v>
      </c>
      <c r="R118" s="311" t="n">
        <v>0</v>
      </c>
      <c r="S118" s="311" t="n">
        <v>0</v>
      </c>
      <c r="T118" s="144" t="n">
        <v>0</v>
      </c>
      <c r="U118" s="310"/>
      <c r="V118" s="144" t="n">
        <v>368</v>
      </c>
      <c r="W118" s="315"/>
    </row>
    <row r="119" customFormat="false" ht="12.75" hidden="false" customHeight="false" outlineLevel="0" collapsed="false">
      <c r="B119" s="304" t="s">
        <v>200</v>
      </c>
      <c r="C119" s="305" t="s">
        <v>479</v>
      </c>
      <c r="D119" s="306" t="n">
        <v>842</v>
      </c>
      <c r="E119" s="306" t="n">
        <v>3.25</v>
      </c>
      <c r="F119" s="306" t="s">
        <v>432</v>
      </c>
      <c r="G119" s="307" t="n">
        <v>24</v>
      </c>
      <c r="H119" s="308" t="n">
        <v>651.239669421488</v>
      </c>
      <c r="I119" s="315"/>
      <c r="J119" s="144" t="s">
        <v>12</v>
      </c>
      <c r="K119" s="310"/>
      <c r="L119" s="311" t="n">
        <v>279</v>
      </c>
      <c r="M119" s="311" t="n">
        <v>169</v>
      </c>
      <c r="N119" s="144" t="n">
        <v>169</v>
      </c>
      <c r="O119" s="310"/>
      <c r="P119" s="311" t="n">
        <v>0</v>
      </c>
      <c r="Q119" s="311" t="n">
        <v>0</v>
      </c>
      <c r="R119" s="311" t="n">
        <v>0</v>
      </c>
      <c r="S119" s="311" t="n">
        <v>0</v>
      </c>
      <c r="T119" s="144" t="n">
        <v>0</v>
      </c>
      <c r="U119" s="310"/>
      <c r="V119" s="144" t="n">
        <v>191</v>
      </c>
      <c r="W119" s="315"/>
    </row>
    <row r="120" customFormat="false" ht="12.75" hidden="false" customHeight="false" outlineLevel="0" collapsed="false">
      <c r="B120" s="304" t="s">
        <v>200</v>
      </c>
      <c r="C120" s="305" t="s">
        <v>479</v>
      </c>
      <c r="D120" s="306" t="n">
        <v>842</v>
      </c>
      <c r="E120" s="306" t="n">
        <v>3.25</v>
      </c>
      <c r="F120" s="324" t="s">
        <v>432</v>
      </c>
      <c r="G120" s="144" t="n">
        <v>48</v>
      </c>
      <c r="H120" s="325" t="n">
        <v>651.239669421488</v>
      </c>
      <c r="I120" s="315"/>
      <c r="J120" s="144" t="s">
        <v>12</v>
      </c>
      <c r="K120" s="310"/>
      <c r="L120" s="311" t="n">
        <v>279</v>
      </c>
      <c r="M120" s="311" t="n">
        <v>169</v>
      </c>
      <c r="N120" s="144" t="n">
        <v>169</v>
      </c>
      <c r="O120" s="310"/>
      <c r="P120" s="311" t="n">
        <v>0</v>
      </c>
      <c r="Q120" s="311" t="n">
        <v>0</v>
      </c>
      <c r="R120" s="311" t="n">
        <v>0</v>
      </c>
      <c r="S120" s="311" t="n">
        <v>0</v>
      </c>
      <c r="T120" s="144" t="n">
        <v>0</v>
      </c>
      <c r="U120" s="310"/>
      <c r="V120" s="144" t="n">
        <v>191</v>
      </c>
      <c r="W120" s="315"/>
    </row>
    <row r="121" customFormat="false" ht="12.75" hidden="false" customHeight="false" outlineLevel="0" collapsed="false">
      <c r="B121" s="304" t="s">
        <v>200</v>
      </c>
      <c r="C121" s="305" t="s">
        <v>480</v>
      </c>
      <c r="D121" s="306" t="n">
        <v>902</v>
      </c>
      <c r="E121" s="306" t="n">
        <v>3.25</v>
      </c>
      <c r="F121" s="306" t="s">
        <v>432</v>
      </c>
      <c r="G121" s="307" t="n">
        <v>24</v>
      </c>
      <c r="H121" s="308" t="n">
        <v>670.247933884298</v>
      </c>
      <c r="I121" s="315"/>
      <c r="J121" s="144" t="s">
        <v>12</v>
      </c>
      <c r="K121" s="310"/>
      <c r="L121" s="311" t="n">
        <v>289</v>
      </c>
      <c r="M121" s="311" t="n">
        <v>179</v>
      </c>
      <c r="N121" s="144" t="n">
        <v>179</v>
      </c>
      <c r="O121" s="310"/>
      <c r="P121" s="311" t="n">
        <v>0</v>
      </c>
      <c r="Q121" s="311" t="n">
        <v>0</v>
      </c>
      <c r="R121" s="311" t="n">
        <v>0</v>
      </c>
      <c r="S121" s="311" t="n">
        <v>0</v>
      </c>
      <c r="T121" s="144" t="n">
        <v>0</v>
      </c>
      <c r="U121" s="310"/>
      <c r="V121" s="144" t="n">
        <v>232</v>
      </c>
      <c r="W121" s="315"/>
    </row>
    <row r="122" customFormat="false" ht="12.75" hidden="false" customHeight="false" outlineLevel="0" collapsed="false">
      <c r="B122" s="304" t="s">
        <v>200</v>
      </c>
      <c r="C122" s="305" t="s">
        <v>480</v>
      </c>
      <c r="D122" s="306" t="n">
        <v>902</v>
      </c>
      <c r="E122" s="306" t="n">
        <v>3.25</v>
      </c>
      <c r="F122" s="324" t="s">
        <v>432</v>
      </c>
      <c r="G122" s="144" t="n">
        <v>48</v>
      </c>
      <c r="H122" s="325" t="n">
        <v>670.247933884298</v>
      </c>
      <c r="I122" s="315"/>
      <c r="J122" s="144" t="s">
        <v>12</v>
      </c>
      <c r="K122" s="310"/>
      <c r="L122" s="311" t="n">
        <v>289</v>
      </c>
      <c r="M122" s="311" t="n">
        <v>179</v>
      </c>
      <c r="N122" s="144" t="n">
        <v>179</v>
      </c>
      <c r="O122" s="310"/>
      <c r="P122" s="311" t="n">
        <v>0</v>
      </c>
      <c r="Q122" s="311" t="n">
        <v>0</v>
      </c>
      <c r="R122" s="311" t="n">
        <v>0</v>
      </c>
      <c r="S122" s="311" t="n">
        <v>0</v>
      </c>
      <c r="T122" s="144" t="n">
        <v>0</v>
      </c>
      <c r="U122" s="310"/>
      <c r="V122" s="144" t="n">
        <v>232</v>
      </c>
      <c r="W122" s="315"/>
    </row>
    <row r="123" customFormat="false" ht="12.75" hidden="false" customHeight="false" outlineLevel="0" collapsed="false">
      <c r="B123" s="304" t="s">
        <v>200</v>
      </c>
      <c r="C123" s="305" t="s">
        <v>481</v>
      </c>
      <c r="D123" s="306" t="n">
        <v>686</v>
      </c>
      <c r="E123" s="306" t="n">
        <v>3.25</v>
      </c>
      <c r="F123" s="306" t="s">
        <v>432</v>
      </c>
      <c r="G123" s="307" t="n">
        <v>24</v>
      </c>
      <c r="H123" s="308" t="n">
        <v>626.446280991736</v>
      </c>
      <c r="I123" s="315"/>
      <c r="J123" s="144" t="s">
        <v>12</v>
      </c>
      <c r="K123" s="310"/>
      <c r="L123" s="311" t="n">
        <v>159</v>
      </c>
      <c r="M123" s="311" t="n">
        <v>19</v>
      </c>
      <c r="N123" s="144" t="n">
        <v>19</v>
      </c>
      <c r="O123" s="310"/>
      <c r="P123" s="311" t="n">
        <v>0</v>
      </c>
      <c r="Q123" s="311" t="n">
        <v>0</v>
      </c>
      <c r="R123" s="311" t="n">
        <v>0</v>
      </c>
      <c r="S123" s="311" t="n">
        <v>0</v>
      </c>
      <c r="T123" s="144" t="n">
        <v>0</v>
      </c>
      <c r="U123" s="310"/>
      <c r="V123" s="144" t="n">
        <v>60</v>
      </c>
      <c r="W123" s="315"/>
    </row>
    <row r="124" customFormat="false" ht="12.75" hidden="false" customHeight="false" outlineLevel="0" collapsed="false">
      <c r="B124" s="304" t="s">
        <v>200</v>
      </c>
      <c r="C124" s="305" t="s">
        <v>481</v>
      </c>
      <c r="D124" s="306" t="n">
        <v>686</v>
      </c>
      <c r="E124" s="306" t="n">
        <v>3.25</v>
      </c>
      <c r="F124" s="324" t="s">
        <v>432</v>
      </c>
      <c r="G124" s="144" t="n">
        <v>48</v>
      </c>
      <c r="H124" s="325" t="n">
        <v>626.446280991736</v>
      </c>
      <c r="I124" s="315"/>
      <c r="J124" s="144" t="s">
        <v>12</v>
      </c>
      <c r="K124" s="310"/>
      <c r="L124" s="311" t="n">
        <v>159</v>
      </c>
      <c r="M124" s="311" t="n">
        <v>19</v>
      </c>
      <c r="N124" s="144" t="n">
        <v>19</v>
      </c>
      <c r="O124" s="310"/>
      <c r="P124" s="311" t="n">
        <v>0</v>
      </c>
      <c r="Q124" s="311" t="n">
        <v>0</v>
      </c>
      <c r="R124" s="311" t="n">
        <v>0</v>
      </c>
      <c r="S124" s="311" t="n">
        <v>0</v>
      </c>
      <c r="T124" s="144" t="n">
        <v>0</v>
      </c>
      <c r="U124" s="310"/>
      <c r="V124" s="144" t="n">
        <v>60</v>
      </c>
      <c r="W124" s="315"/>
    </row>
    <row r="125" customFormat="false" ht="12.75" hidden="false" customHeight="false" outlineLevel="0" collapsed="false">
      <c r="B125" s="304" t="s">
        <v>200</v>
      </c>
      <c r="C125" s="305" t="s">
        <v>482</v>
      </c>
      <c r="D125" s="306" t="n">
        <v>843</v>
      </c>
      <c r="E125" s="306" t="n">
        <v>3.25</v>
      </c>
      <c r="F125" s="306" t="s">
        <v>432</v>
      </c>
      <c r="G125" s="307" t="n">
        <v>24</v>
      </c>
      <c r="H125" s="308" t="n">
        <v>792.561983471074</v>
      </c>
      <c r="I125" s="315"/>
      <c r="J125" s="144" t="s">
        <v>12</v>
      </c>
      <c r="K125" s="310"/>
      <c r="L125" s="311" t="n">
        <v>329</v>
      </c>
      <c r="M125" s="311" t="n">
        <v>199</v>
      </c>
      <c r="N125" s="144" t="n">
        <v>199</v>
      </c>
      <c r="O125" s="310"/>
      <c r="P125" s="311" t="n">
        <v>0</v>
      </c>
      <c r="Q125" s="311" t="n">
        <v>0</v>
      </c>
      <c r="R125" s="311" t="n">
        <v>0</v>
      </c>
      <c r="S125" s="311" t="n">
        <v>0</v>
      </c>
      <c r="T125" s="144" t="n">
        <v>0</v>
      </c>
      <c r="U125" s="310"/>
      <c r="V125" s="144" t="n">
        <v>50</v>
      </c>
      <c r="W125" s="315"/>
    </row>
    <row r="126" customFormat="false" ht="12.75" hidden="false" customHeight="false" outlineLevel="0" collapsed="false">
      <c r="B126" s="304" t="s">
        <v>200</v>
      </c>
      <c r="C126" s="305" t="s">
        <v>482</v>
      </c>
      <c r="D126" s="306" t="n">
        <v>843</v>
      </c>
      <c r="E126" s="306" t="n">
        <v>3.25</v>
      </c>
      <c r="F126" s="324" t="s">
        <v>432</v>
      </c>
      <c r="G126" s="144" t="n">
        <v>48</v>
      </c>
      <c r="H126" s="325" t="n">
        <v>792.561983471074</v>
      </c>
      <c r="I126" s="315"/>
      <c r="J126" s="144" t="s">
        <v>12</v>
      </c>
      <c r="K126" s="310"/>
      <c r="L126" s="311" t="n">
        <v>329</v>
      </c>
      <c r="M126" s="311" t="n">
        <v>199</v>
      </c>
      <c r="N126" s="144" t="n">
        <v>199</v>
      </c>
      <c r="O126" s="310"/>
      <c r="P126" s="311" t="n">
        <v>0</v>
      </c>
      <c r="Q126" s="311" t="n">
        <v>0</v>
      </c>
      <c r="R126" s="311" t="n">
        <v>0</v>
      </c>
      <c r="S126" s="311" t="n">
        <v>0</v>
      </c>
      <c r="T126" s="144" t="n">
        <v>0</v>
      </c>
      <c r="U126" s="310"/>
      <c r="V126" s="144" t="n">
        <v>50</v>
      </c>
      <c r="W126" s="315"/>
    </row>
    <row r="127" customFormat="false" ht="12.75" hidden="false" customHeight="false" outlineLevel="0" collapsed="false">
      <c r="B127" s="304" t="s">
        <v>200</v>
      </c>
      <c r="C127" s="305" t="s">
        <v>483</v>
      </c>
      <c r="D127" s="306" t="n">
        <v>902</v>
      </c>
      <c r="E127" s="306" t="n">
        <v>3.25</v>
      </c>
      <c r="F127" s="306" t="s">
        <v>432</v>
      </c>
      <c r="G127" s="307" t="n">
        <v>24</v>
      </c>
      <c r="H127" s="308" t="n">
        <v>798.347107438017</v>
      </c>
      <c r="I127" s="315"/>
      <c r="J127" s="144" t="s">
        <v>12</v>
      </c>
      <c r="K127" s="310"/>
      <c r="L127" s="311" t="n">
        <v>329</v>
      </c>
      <c r="M127" s="311" t="n">
        <v>199</v>
      </c>
      <c r="N127" s="144" t="n">
        <v>199</v>
      </c>
      <c r="O127" s="310"/>
      <c r="P127" s="311" t="n">
        <v>0</v>
      </c>
      <c r="Q127" s="311" t="n">
        <v>0</v>
      </c>
      <c r="R127" s="311" t="n">
        <v>0</v>
      </c>
      <c r="S127" s="311" t="n">
        <v>0</v>
      </c>
      <c r="T127" s="144" t="n">
        <v>0</v>
      </c>
      <c r="U127" s="310"/>
      <c r="V127" s="144" t="n">
        <v>104</v>
      </c>
      <c r="W127" s="315"/>
    </row>
    <row r="128" customFormat="false" ht="12.75" hidden="false" customHeight="false" outlineLevel="0" collapsed="false">
      <c r="B128" s="304" t="s">
        <v>200</v>
      </c>
      <c r="C128" s="305" t="s">
        <v>483</v>
      </c>
      <c r="D128" s="306" t="n">
        <v>902</v>
      </c>
      <c r="E128" s="306" t="n">
        <v>3.25</v>
      </c>
      <c r="F128" s="324" t="s">
        <v>432</v>
      </c>
      <c r="G128" s="144" t="n">
        <v>48</v>
      </c>
      <c r="H128" s="325" t="n">
        <v>798.347107438017</v>
      </c>
      <c r="I128" s="315"/>
      <c r="J128" s="144" t="s">
        <v>12</v>
      </c>
      <c r="K128" s="310"/>
      <c r="L128" s="311" t="n">
        <v>329</v>
      </c>
      <c r="M128" s="311" t="n">
        <v>199</v>
      </c>
      <c r="N128" s="144" t="n">
        <v>199</v>
      </c>
      <c r="O128" s="310"/>
      <c r="P128" s="311" t="n">
        <v>0</v>
      </c>
      <c r="Q128" s="311" t="n">
        <v>0</v>
      </c>
      <c r="R128" s="311" t="n">
        <v>0</v>
      </c>
      <c r="S128" s="311" t="n">
        <v>0</v>
      </c>
      <c r="T128" s="144" t="n">
        <v>0</v>
      </c>
      <c r="U128" s="310"/>
      <c r="V128" s="144" t="n">
        <v>104</v>
      </c>
      <c r="W128" s="315"/>
    </row>
    <row r="129" customFormat="false" ht="12.75" hidden="false" customHeight="false" outlineLevel="0" collapsed="false">
      <c r="B129" s="304" t="s">
        <v>200</v>
      </c>
      <c r="C129" s="305" t="s">
        <v>484</v>
      </c>
      <c r="D129" s="306" t="n">
        <v>1556</v>
      </c>
      <c r="E129" s="306" t="n">
        <v>3.25</v>
      </c>
      <c r="F129" s="306" t="s">
        <v>432</v>
      </c>
      <c r="G129" s="307" t="n">
        <v>24</v>
      </c>
      <c r="H129" s="308" t="n">
        <v>1345.45454545455</v>
      </c>
      <c r="I129" s="315"/>
      <c r="J129" s="144" t="s">
        <v>12</v>
      </c>
      <c r="K129" s="310"/>
      <c r="L129" s="311" t="n">
        <v>599</v>
      </c>
      <c r="M129" s="311" t="n">
        <v>369</v>
      </c>
      <c r="N129" s="144" t="n">
        <v>369</v>
      </c>
      <c r="O129" s="310"/>
      <c r="P129" s="311" t="n">
        <v>0</v>
      </c>
      <c r="Q129" s="311" t="n">
        <v>0</v>
      </c>
      <c r="R129" s="311" t="n">
        <v>0</v>
      </c>
      <c r="S129" s="311" t="n">
        <v>0</v>
      </c>
      <c r="T129" s="144" t="n">
        <v>0</v>
      </c>
      <c r="U129" s="310"/>
      <c r="V129" s="144" t="n">
        <v>211</v>
      </c>
      <c r="W129" s="315"/>
    </row>
    <row r="130" customFormat="false" ht="12.75" hidden="false" customHeight="false" outlineLevel="0" collapsed="false">
      <c r="B130" s="304" t="s">
        <v>200</v>
      </c>
      <c r="C130" s="305" t="s">
        <v>484</v>
      </c>
      <c r="D130" s="306" t="n">
        <v>1556</v>
      </c>
      <c r="E130" s="306" t="n">
        <v>3.25</v>
      </c>
      <c r="F130" s="324" t="s">
        <v>432</v>
      </c>
      <c r="G130" s="144" t="n">
        <v>48</v>
      </c>
      <c r="H130" s="325" t="n">
        <v>1345.45454545455</v>
      </c>
      <c r="I130" s="315"/>
      <c r="J130" s="144" t="s">
        <v>12</v>
      </c>
      <c r="K130" s="310"/>
      <c r="L130" s="311" t="n">
        <v>599</v>
      </c>
      <c r="M130" s="311" t="n">
        <v>369</v>
      </c>
      <c r="N130" s="144" t="n">
        <v>369</v>
      </c>
      <c r="O130" s="310"/>
      <c r="P130" s="311" t="n">
        <v>0</v>
      </c>
      <c r="Q130" s="311" t="n">
        <v>0</v>
      </c>
      <c r="R130" s="311" t="n">
        <v>0</v>
      </c>
      <c r="S130" s="311" t="n">
        <v>0</v>
      </c>
      <c r="T130" s="144" t="n">
        <v>0</v>
      </c>
      <c r="U130" s="310"/>
      <c r="V130" s="144" t="n">
        <v>211</v>
      </c>
      <c r="W130" s="315"/>
    </row>
    <row r="131" customFormat="false" ht="12.75" hidden="false" customHeight="false" outlineLevel="0" collapsed="false">
      <c r="B131" s="304" t="s">
        <v>200</v>
      </c>
      <c r="C131" s="305" t="s">
        <v>485</v>
      </c>
      <c r="D131" s="306" t="n">
        <v>1279</v>
      </c>
      <c r="E131" s="306" t="n">
        <v>3.25</v>
      </c>
      <c r="F131" s="306" t="s">
        <v>432</v>
      </c>
      <c r="G131" s="307" t="n">
        <v>24</v>
      </c>
      <c r="H131" s="308" t="n">
        <v>1128.92561983471</v>
      </c>
      <c r="I131" s="315"/>
      <c r="J131" s="144" t="s">
        <v>12</v>
      </c>
      <c r="K131" s="310"/>
      <c r="L131" s="311" t="n">
        <v>489</v>
      </c>
      <c r="M131" s="311" t="n">
        <v>299</v>
      </c>
      <c r="N131" s="144" t="n">
        <v>299</v>
      </c>
      <c r="O131" s="310"/>
      <c r="P131" s="311" t="n">
        <v>0</v>
      </c>
      <c r="Q131" s="311" t="n">
        <v>0</v>
      </c>
      <c r="R131" s="311" t="n">
        <v>0</v>
      </c>
      <c r="S131" s="311" t="n">
        <v>0</v>
      </c>
      <c r="T131" s="144" t="n">
        <v>0</v>
      </c>
      <c r="U131" s="310"/>
      <c r="V131" s="144" t="n">
        <v>150</v>
      </c>
      <c r="W131" s="315"/>
    </row>
    <row r="132" customFormat="false" ht="12.75" hidden="false" customHeight="false" outlineLevel="0" collapsed="false">
      <c r="B132" s="304" t="s">
        <v>200</v>
      </c>
      <c r="C132" s="305" t="s">
        <v>485</v>
      </c>
      <c r="D132" s="306" t="n">
        <v>1279</v>
      </c>
      <c r="E132" s="306" t="n">
        <v>3.25</v>
      </c>
      <c r="F132" s="324" t="s">
        <v>432</v>
      </c>
      <c r="G132" s="144" t="n">
        <v>48</v>
      </c>
      <c r="H132" s="325" t="n">
        <v>1128.92561983471</v>
      </c>
      <c r="I132" s="315"/>
      <c r="J132" s="144" t="s">
        <v>12</v>
      </c>
      <c r="K132" s="310"/>
      <c r="L132" s="311" t="n">
        <v>489</v>
      </c>
      <c r="M132" s="311" t="n">
        <v>299</v>
      </c>
      <c r="N132" s="144" t="n">
        <v>299</v>
      </c>
      <c r="O132" s="310"/>
      <c r="P132" s="311" t="n">
        <v>0</v>
      </c>
      <c r="Q132" s="311" t="n">
        <v>0</v>
      </c>
      <c r="R132" s="311" t="n">
        <v>0</v>
      </c>
      <c r="S132" s="311" t="n">
        <v>0</v>
      </c>
      <c r="T132" s="144" t="n">
        <v>0</v>
      </c>
      <c r="U132" s="310"/>
      <c r="V132" s="144" t="n">
        <v>150</v>
      </c>
      <c r="W132" s="315"/>
    </row>
    <row r="133" customFormat="false" ht="12.75" hidden="false" customHeight="false" outlineLevel="0" collapsed="false">
      <c r="B133" s="304" t="s">
        <v>200</v>
      </c>
      <c r="C133" s="305" t="s">
        <v>486</v>
      </c>
      <c r="D133" s="306" t="n">
        <v>1372</v>
      </c>
      <c r="E133" s="306" t="n">
        <v>3.25</v>
      </c>
      <c r="F133" s="306" t="s">
        <v>432</v>
      </c>
      <c r="G133" s="307" t="n">
        <v>24</v>
      </c>
      <c r="H133" s="308" t="n">
        <v>1120.66115702479</v>
      </c>
      <c r="I133" s="315"/>
      <c r="J133" s="144" t="s">
        <v>12</v>
      </c>
      <c r="K133" s="310"/>
      <c r="L133" s="311" t="n">
        <v>489</v>
      </c>
      <c r="M133" s="311" t="n">
        <v>289</v>
      </c>
      <c r="N133" s="144" t="n">
        <v>289</v>
      </c>
      <c r="O133" s="310"/>
      <c r="P133" s="311" t="n">
        <v>0</v>
      </c>
      <c r="Q133" s="311" t="n">
        <v>0</v>
      </c>
      <c r="R133" s="311" t="n">
        <v>0</v>
      </c>
      <c r="S133" s="311" t="n">
        <v>0</v>
      </c>
      <c r="T133" s="144" t="n">
        <v>0</v>
      </c>
      <c r="U133" s="310"/>
      <c r="V133" s="144" t="n">
        <v>251</v>
      </c>
      <c r="W133" s="315"/>
    </row>
    <row r="134" customFormat="false" ht="12.75" hidden="false" customHeight="false" outlineLevel="0" collapsed="false">
      <c r="B134" s="304" t="s">
        <v>200</v>
      </c>
      <c r="C134" s="305" t="s">
        <v>486</v>
      </c>
      <c r="D134" s="306" t="n">
        <v>1372</v>
      </c>
      <c r="E134" s="306" t="n">
        <v>3.25</v>
      </c>
      <c r="F134" s="324" t="s">
        <v>432</v>
      </c>
      <c r="G134" s="144" t="n">
        <v>48</v>
      </c>
      <c r="H134" s="325" t="n">
        <v>1120.66115702479</v>
      </c>
      <c r="I134" s="315"/>
      <c r="J134" s="144" t="s">
        <v>12</v>
      </c>
      <c r="K134" s="310"/>
      <c r="L134" s="311" t="n">
        <v>489</v>
      </c>
      <c r="M134" s="311" t="n">
        <v>289</v>
      </c>
      <c r="N134" s="144" t="n">
        <v>289</v>
      </c>
      <c r="O134" s="310"/>
      <c r="P134" s="311" t="n">
        <v>0</v>
      </c>
      <c r="Q134" s="311" t="n">
        <v>0</v>
      </c>
      <c r="R134" s="311" t="n">
        <v>0</v>
      </c>
      <c r="S134" s="311" t="n">
        <v>0</v>
      </c>
      <c r="T134" s="144" t="n">
        <v>0</v>
      </c>
      <c r="U134" s="310"/>
      <c r="V134" s="144" t="n">
        <v>251</v>
      </c>
      <c r="W134" s="315"/>
    </row>
    <row r="135" customFormat="false" ht="12.75" hidden="false" customHeight="false" outlineLevel="0" collapsed="false">
      <c r="B135" s="304" t="s">
        <v>200</v>
      </c>
      <c r="C135" s="305" t="s">
        <v>487</v>
      </c>
      <c r="D135" s="306" t="n">
        <v>1048</v>
      </c>
      <c r="E135" s="306" t="n">
        <v>3.25</v>
      </c>
      <c r="F135" s="306" t="s">
        <v>432</v>
      </c>
      <c r="G135" s="307" t="n">
        <v>24</v>
      </c>
      <c r="H135" s="308" t="n">
        <v>938.01652892562</v>
      </c>
      <c r="I135" s="315"/>
      <c r="J135" s="144" t="s">
        <v>12</v>
      </c>
      <c r="K135" s="310"/>
      <c r="L135" s="311" t="n">
        <v>399</v>
      </c>
      <c r="M135" s="311" t="n">
        <v>239</v>
      </c>
      <c r="N135" s="144" t="n">
        <v>239</v>
      </c>
      <c r="O135" s="310"/>
      <c r="P135" s="311" t="n">
        <v>0</v>
      </c>
      <c r="Q135" s="311" t="n">
        <v>0</v>
      </c>
      <c r="R135" s="311" t="n">
        <v>0</v>
      </c>
      <c r="S135" s="311" t="n">
        <v>0</v>
      </c>
      <c r="T135" s="144" t="n">
        <v>0</v>
      </c>
      <c r="U135" s="310"/>
      <c r="V135" s="144" t="n">
        <v>110</v>
      </c>
      <c r="W135" s="315"/>
    </row>
    <row r="136" customFormat="false" ht="12.75" hidden="false" customHeight="false" outlineLevel="0" collapsed="false">
      <c r="B136" s="304" t="s">
        <v>200</v>
      </c>
      <c r="C136" s="305" t="s">
        <v>487</v>
      </c>
      <c r="D136" s="306" t="n">
        <v>1048</v>
      </c>
      <c r="E136" s="306" t="n">
        <v>3.25</v>
      </c>
      <c r="F136" s="324" t="s">
        <v>432</v>
      </c>
      <c r="G136" s="144" t="n">
        <v>48</v>
      </c>
      <c r="H136" s="325" t="n">
        <v>938.01652892562</v>
      </c>
      <c r="I136" s="315"/>
      <c r="J136" s="144" t="s">
        <v>12</v>
      </c>
      <c r="K136" s="310"/>
      <c r="L136" s="311" t="n">
        <v>399</v>
      </c>
      <c r="M136" s="311" t="n">
        <v>239</v>
      </c>
      <c r="N136" s="144" t="n">
        <v>239</v>
      </c>
      <c r="O136" s="310"/>
      <c r="P136" s="311" t="n">
        <v>0</v>
      </c>
      <c r="Q136" s="311" t="n">
        <v>0</v>
      </c>
      <c r="R136" s="311" t="n">
        <v>0</v>
      </c>
      <c r="S136" s="311" t="n">
        <v>0</v>
      </c>
      <c r="T136" s="144" t="n">
        <v>0</v>
      </c>
      <c r="U136" s="310"/>
      <c r="V136" s="144" t="n">
        <v>110</v>
      </c>
      <c r="W136" s="315"/>
    </row>
    <row r="137" customFormat="false" ht="12.75" hidden="false" customHeight="false" outlineLevel="0" collapsed="false">
      <c r="B137" s="304" t="s">
        <v>200</v>
      </c>
      <c r="C137" s="305" t="s">
        <v>488</v>
      </c>
      <c r="D137" s="306" t="n">
        <v>1140</v>
      </c>
      <c r="E137" s="306" t="n">
        <v>3.25</v>
      </c>
      <c r="F137" s="306" t="s">
        <v>432</v>
      </c>
      <c r="G137" s="307" t="n">
        <v>24</v>
      </c>
      <c r="H137" s="308" t="n">
        <v>1029.7520661157</v>
      </c>
      <c r="I137" s="315"/>
      <c r="J137" s="144" t="s">
        <v>12</v>
      </c>
      <c r="K137" s="310"/>
      <c r="L137" s="311" t="n">
        <v>439</v>
      </c>
      <c r="M137" s="311" t="n">
        <v>269</v>
      </c>
      <c r="N137" s="144" t="n">
        <v>269</v>
      </c>
      <c r="O137" s="310"/>
      <c r="P137" s="311" t="n">
        <v>0</v>
      </c>
      <c r="Q137" s="311" t="n">
        <v>0</v>
      </c>
      <c r="R137" s="311" t="n">
        <v>0</v>
      </c>
      <c r="S137" s="311" t="n">
        <v>0</v>
      </c>
      <c r="T137" s="144" t="n">
        <v>0</v>
      </c>
      <c r="U137" s="310"/>
      <c r="V137" s="144" t="n">
        <v>110</v>
      </c>
      <c r="W137" s="315"/>
    </row>
    <row r="138" customFormat="false" ht="12.75" hidden="false" customHeight="false" outlineLevel="0" collapsed="false">
      <c r="B138" s="304" t="s">
        <v>200</v>
      </c>
      <c r="C138" s="305" t="s">
        <v>488</v>
      </c>
      <c r="D138" s="306" t="n">
        <v>1140</v>
      </c>
      <c r="E138" s="306" t="n">
        <v>3.25</v>
      </c>
      <c r="F138" s="324" t="s">
        <v>432</v>
      </c>
      <c r="G138" s="144" t="n">
        <v>48</v>
      </c>
      <c r="H138" s="325" t="n">
        <v>1029.7520661157</v>
      </c>
      <c r="I138" s="315"/>
      <c r="J138" s="144" t="s">
        <v>12</v>
      </c>
      <c r="K138" s="310"/>
      <c r="L138" s="311" t="n">
        <v>439</v>
      </c>
      <c r="M138" s="311" t="n">
        <v>269</v>
      </c>
      <c r="N138" s="144" t="n">
        <v>269</v>
      </c>
      <c r="O138" s="310"/>
      <c r="P138" s="311" t="n">
        <v>0</v>
      </c>
      <c r="Q138" s="311" t="n">
        <v>0</v>
      </c>
      <c r="R138" s="311" t="n">
        <v>0</v>
      </c>
      <c r="S138" s="311" t="n">
        <v>0</v>
      </c>
      <c r="T138" s="144" t="n">
        <v>0</v>
      </c>
      <c r="U138" s="310"/>
      <c r="V138" s="144" t="n">
        <v>110</v>
      </c>
      <c r="W138" s="315"/>
    </row>
    <row r="139" customFormat="false" ht="12.75" hidden="false" customHeight="false" outlineLevel="0" collapsed="false">
      <c r="B139" s="304" t="s">
        <v>200</v>
      </c>
      <c r="C139" s="305" t="s">
        <v>489</v>
      </c>
      <c r="D139" s="306" t="n">
        <v>1086</v>
      </c>
      <c r="E139" s="306" t="n">
        <v>3.25</v>
      </c>
      <c r="F139" s="306" t="s">
        <v>432</v>
      </c>
      <c r="G139" s="307" t="n">
        <v>24</v>
      </c>
      <c r="H139" s="308" t="n">
        <v>985.950413223141</v>
      </c>
      <c r="I139" s="315"/>
      <c r="J139" s="144" t="s">
        <v>12</v>
      </c>
      <c r="K139" s="310"/>
      <c r="L139" s="311" t="n">
        <v>419</v>
      </c>
      <c r="M139" s="311" t="n">
        <v>249</v>
      </c>
      <c r="N139" s="144" t="n">
        <v>249</v>
      </c>
      <c r="O139" s="310"/>
      <c r="P139" s="311" t="n">
        <v>0</v>
      </c>
      <c r="Q139" s="311" t="n">
        <v>0</v>
      </c>
      <c r="R139" s="311" t="n">
        <v>0</v>
      </c>
      <c r="S139" s="311" t="n">
        <v>0</v>
      </c>
      <c r="T139" s="144" t="n">
        <v>0</v>
      </c>
      <c r="U139" s="310"/>
      <c r="V139" s="144" t="n">
        <v>100</v>
      </c>
      <c r="W139" s="315"/>
    </row>
    <row r="140" customFormat="false" ht="12.75" hidden="false" customHeight="false" outlineLevel="0" collapsed="false">
      <c r="B140" s="304" t="s">
        <v>200</v>
      </c>
      <c r="C140" s="305" t="s">
        <v>489</v>
      </c>
      <c r="D140" s="306" t="n">
        <v>1086</v>
      </c>
      <c r="E140" s="306" t="n">
        <v>3.25</v>
      </c>
      <c r="F140" s="324" t="s">
        <v>432</v>
      </c>
      <c r="G140" s="144" t="n">
        <v>48</v>
      </c>
      <c r="H140" s="325" t="n">
        <v>985.950413223141</v>
      </c>
      <c r="I140" s="315"/>
      <c r="J140" s="144" t="s">
        <v>12</v>
      </c>
      <c r="K140" s="310"/>
      <c r="L140" s="311" t="n">
        <v>419</v>
      </c>
      <c r="M140" s="311" t="n">
        <v>249</v>
      </c>
      <c r="N140" s="144" t="n">
        <v>249</v>
      </c>
      <c r="O140" s="310"/>
      <c r="P140" s="311" t="n">
        <v>0</v>
      </c>
      <c r="Q140" s="311" t="n">
        <v>0</v>
      </c>
      <c r="R140" s="311" t="n">
        <v>0</v>
      </c>
      <c r="S140" s="311" t="n">
        <v>0</v>
      </c>
      <c r="T140" s="144" t="n">
        <v>0</v>
      </c>
      <c r="U140" s="310"/>
      <c r="V140" s="144" t="n">
        <v>100</v>
      </c>
      <c r="W140" s="315"/>
    </row>
    <row r="141" customFormat="false" ht="12.75" hidden="false" customHeight="false" outlineLevel="0" collapsed="false">
      <c r="B141" s="304" t="s">
        <v>200</v>
      </c>
      <c r="C141" s="305" t="s">
        <v>490</v>
      </c>
      <c r="D141" s="306" t="n">
        <v>1179</v>
      </c>
      <c r="E141" s="306" t="n">
        <v>3.25</v>
      </c>
      <c r="F141" s="306" t="s">
        <v>432</v>
      </c>
      <c r="G141" s="307" t="n">
        <v>24</v>
      </c>
      <c r="H141" s="308" t="n">
        <v>1078.51239669422</v>
      </c>
      <c r="I141" s="315"/>
      <c r="J141" s="144" t="s">
        <v>12</v>
      </c>
      <c r="K141" s="310"/>
      <c r="L141" s="311" t="n">
        <v>469</v>
      </c>
      <c r="M141" s="311" t="n">
        <v>289</v>
      </c>
      <c r="N141" s="144" t="n">
        <v>289</v>
      </c>
      <c r="O141" s="310"/>
      <c r="P141" s="311" t="n">
        <v>0</v>
      </c>
      <c r="Q141" s="311" t="n">
        <v>0</v>
      </c>
      <c r="R141" s="311" t="n">
        <v>0</v>
      </c>
      <c r="S141" s="311" t="n">
        <v>0</v>
      </c>
      <c r="T141" s="144" t="n">
        <v>0</v>
      </c>
      <c r="U141" s="310"/>
      <c r="V141" s="144" t="n">
        <v>100</v>
      </c>
      <c r="W141" s="315"/>
    </row>
    <row r="142" customFormat="false" ht="12.75" hidden="false" customHeight="false" outlineLevel="0" collapsed="false">
      <c r="B142" s="304" t="s">
        <v>200</v>
      </c>
      <c r="C142" s="305" t="s">
        <v>490</v>
      </c>
      <c r="D142" s="306" t="n">
        <v>1179</v>
      </c>
      <c r="E142" s="306" t="n">
        <v>3.25</v>
      </c>
      <c r="F142" s="324" t="s">
        <v>432</v>
      </c>
      <c r="G142" s="144" t="n">
        <v>48</v>
      </c>
      <c r="H142" s="325" t="n">
        <v>1078.51239669422</v>
      </c>
      <c r="I142" s="315"/>
      <c r="J142" s="144" t="s">
        <v>12</v>
      </c>
      <c r="K142" s="310"/>
      <c r="L142" s="311" t="n">
        <v>469</v>
      </c>
      <c r="M142" s="311" t="n">
        <v>289</v>
      </c>
      <c r="N142" s="144" t="n">
        <v>289</v>
      </c>
      <c r="O142" s="310"/>
      <c r="P142" s="311" t="n">
        <v>0</v>
      </c>
      <c r="Q142" s="311" t="n">
        <v>0</v>
      </c>
      <c r="R142" s="311" t="n">
        <v>0</v>
      </c>
      <c r="S142" s="311" t="n">
        <v>0</v>
      </c>
      <c r="T142" s="144" t="n">
        <v>0</v>
      </c>
      <c r="U142" s="310"/>
      <c r="V142" s="144" t="n">
        <v>100</v>
      </c>
      <c r="W142" s="315"/>
    </row>
    <row r="143" customFormat="false" ht="12.75" hidden="false" customHeight="false" outlineLevel="0" collapsed="false">
      <c r="B143" s="304" t="s">
        <v>200</v>
      </c>
      <c r="C143" s="305" t="s">
        <v>491</v>
      </c>
      <c r="D143" s="306" t="n">
        <v>1703</v>
      </c>
      <c r="E143" s="306" t="n">
        <v>3.25</v>
      </c>
      <c r="F143" s="306" t="s">
        <v>432</v>
      </c>
      <c r="G143" s="307" t="n">
        <v>24</v>
      </c>
      <c r="H143" s="308" t="n">
        <v>1552.89256198347</v>
      </c>
      <c r="I143" s="315"/>
      <c r="J143" s="144" t="s">
        <v>12</v>
      </c>
      <c r="K143" s="310"/>
      <c r="L143" s="311" t="n">
        <v>709</v>
      </c>
      <c r="M143" s="311" t="n">
        <v>429</v>
      </c>
      <c r="N143" s="144" t="n">
        <v>429</v>
      </c>
      <c r="O143" s="310"/>
      <c r="P143" s="311" t="n">
        <v>0</v>
      </c>
      <c r="Q143" s="311" t="n">
        <v>0</v>
      </c>
      <c r="R143" s="311" t="n">
        <v>0</v>
      </c>
      <c r="S143" s="311" t="n">
        <v>0</v>
      </c>
      <c r="T143" s="144" t="n">
        <v>0</v>
      </c>
      <c r="U143" s="310"/>
      <c r="V143" s="144" t="n">
        <v>150</v>
      </c>
      <c r="W143" s="315"/>
    </row>
    <row r="144" customFormat="false" ht="12.75" hidden="false" customHeight="false" outlineLevel="0" collapsed="false">
      <c r="B144" s="304" t="s">
        <v>200</v>
      </c>
      <c r="C144" s="305" t="s">
        <v>491</v>
      </c>
      <c r="D144" s="306" t="n">
        <v>1703</v>
      </c>
      <c r="E144" s="306" t="n">
        <v>3.25</v>
      </c>
      <c r="F144" s="324" t="s">
        <v>432</v>
      </c>
      <c r="G144" s="144" t="n">
        <v>48</v>
      </c>
      <c r="H144" s="325" t="n">
        <v>1552.89256198347</v>
      </c>
      <c r="I144" s="315"/>
      <c r="J144" s="144" t="s">
        <v>12</v>
      </c>
      <c r="K144" s="310"/>
      <c r="L144" s="311" t="n">
        <v>709</v>
      </c>
      <c r="M144" s="311" t="n">
        <v>429</v>
      </c>
      <c r="N144" s="144" t="n">
        <v>429</v>
      </c>
      <c r="O144" s="310"/>
      <c r="P144" s="311" t="n">
        <v>0</v>
      </c>
      <c r="Q144" s="311" t="n">
        <v>0</v>
      </c>
      <c r="R144" s="311" t="n">
        <v>0</v>
      </c>
      <c r="S144" s="311" t="n">
        <v>0</v>
      </c>
      <c r="T144" s="144" t="n">
        <v>0</v>
      </c>
      <c r="U144" s="310"/>
      <c r="V144" s="144" t="n">
        <v>150</v>
      </c>
      <c r="W144" s="315"/>
    </row>
    <row r="145" customFormat="false" ht="12.75" hidden="false" customHeight="false" outlineLevel="0" collapsed="false">
      <c r="B145" s="304" t="s">
        <v>200</v>
      </c>
      <c r="C145" s="305" t="s">
        <v>492</v>
      </c>
      <c r="D145" s="306" t="n">
        <v>1796</v>
      </c>
      <c r="E145" s="306" t="n">
        <v>3.25</v>
      </c>
      <c r="F145" s="306" t="s">
        <v>432</v>
      </c>
      <c r="G145" s="307" t="n">
        <v>24</v>
      </c>
      <c r="H145" s="308" t="n">
        <v>1644.62809917355</v>
      </c>
      <c r="I145" s="315"/>
      <c r="J145" s="144" t="s">
        <v>12</v>
      </c>
      <c r="K145" s="310"/>
      <c r="L145" s="311" t="n">
        <v>749</v>
      </c>
      <c r="M145" s="311" t="n">
        <v>449</v>
      </c>
      <c r="N145" s="144" t="n">
        <v>449</v>
      </c>
      <c r="O145" s="310"/>
      <c r="P145" s="311" t="n">
        <v>0</v>
      </c>
      <c r="Q145" s="311" t="n">
        <v>0</v>
      </c>
      <c r="R145" s="311" t="n">
        <v>0</v>
      </c>
      <c r="S145" s="311" t="n">
        <v>0</v>
      </c>
      <c r="T145" s="144" t="n">
        <v>0</v>
      </c>
      <c r="U145" s="310"/>
      <c r="V145" s="144" t="n">
        <v>151</v>
      </c>
      <c r="W145" s="315"/>
    </row>
    <row r="146" customFormat="false" ht="12.75" hidden="false" customHeight="false" outlineLevel="0" collapsed="false">
      <c r="B146" s="304" t="s">
        <v>200</v>
      </c>
      <c r="C146" s="305" t="s">
        <v>492</v>
      </c>
      <c r="D146" s="306" t="n">
        <v>1796</v>
      </c>
      <c r="E146" s="306" t="n">
        <v>3.25</v>
      </c>
      <c r="F146" s="324" t="s">
        <v>432</v>
      </c>
      <c r="G146" s="144" t="n">
        <v>48</v>
      </c>
      <c r="H146" s="325" t="n">
        <v>1644.62809917355</v>
      </c>
      <c r="I146" s="315"/>
      <c r="J146" s="144" t="s">
        <v>12</v>
      </c>
      <c r="K146" s="310"/>
      <c r="L146" s="311" t="n">
        <v>749</v>
      </c>
      <c r="M146" s="311" t="n">
        <v>449</v>
      </c>
      <c r="N146" s="144" t="n">
        <v>449</v>
      </c>
      <c r="O146" s="310"/>
      <c r="P146" s="311" t="n">
        <v>0</v>
      </c>
      <c r="Q146" s="311" t="n">
        <v>0</v>
      </c>
      <c r="R146" s="311" t="n">
        <v>0</v>
      </c>
      <c r="S146" s="311" t="n">
        <v>0</v>
      </c>
      <c r="T146" s="144" t="n">
        <v>0</v>
      </c>
      <c r="U146" s="310"/>
      <c r="V146" s="144" t="n">
        <v>151</v>
      </c>
      <c r="W146" s="315"/>
    </row>
    <row r="147" customFormat="false" ht="12.75" hidden="false" customHeight="false" outlineLevel="0" collapsed="false">
      <c r="B147" s="304" t="s">
        <v>428</v>
      </c>
      <c r="C147" s="305" t="s">
        <v>494</v>
      </c>
      <c r="D147" s="306" t="n">
        <v>162</v>
      </c>
      <c r="E147" s="306" t="n">
        <v>3.25</v>
      </c>
      <c r="F147" s="306" t="s">
        <v>432</v>
      </c>
      <c r="G147" s="307" t="n">
        <v>24</v>
      </c>
      <c r="H147" s="308" t="n">
        <v>114.04958677686</v>
      </c>
      <c r="I147" s="315"/>
      <c r="J147" s="144" t="s">
        <v>12</v>
      </c>
      <c r="K147" s="310"/>
      <c r="L147" s="311" t="n">
        <v>0</v>
      </c>
      <c r="M147" s="311" t="n">
        <v>0</v>
      </c>
      <c r="N147" s="144" t="n">
        <v>0</v>
      </c>
      <c r="O147" s="310"/>
      <c r="P147" s="311" t="n">
        <v>0</v>
      </c>
      <c r="Q147" s="311" t="n">
        <v>0</v>
      </c>
      <c r="R147" s="311" t="n">
        <v>0</v>
      </c>
      <c r="S147" s="311" t="n">
        <v>0</v>
      </c>
      <c r="T147" s="144" t="n">
        <v>0</v>
      </c>
      <c r="U147" s="310"/>
      <c r="V147" s="144" t="n">
        <v>48</v>
      </c>
      <c r="W147" s="315"/>
    </row>
    <row r="148" customFormat="false" ht="12.75" hidden="false" customHeight="false" outlineLevel="0" collapsed="false">
      <c r="B148" s="304" t="s">
        <v>428</v>
      </c>
      <c r="C148" s="305" t="s">
        <v>495</v>
      </c>
      <c r="D148" s="306" t="n">
        <v>161</v>
      </c>
      <c r="E148" s="306" t="n">
        <v>3.25</v>
      </c>
      <c r="F148" s="324" t="s">
        <v>432</v>
      </c>
      <c r="G148" s="144" t="n">
        <v>24</v>
      </c>
      <c r="H148" s="325" t="n">
        <v>134.710743801653</v>
      </c>
      <c r="I148" s="315"/>
      <c r="J148" s="144" t="s">
        <v>12</v>
      </c>
      <c r="K148" s="310"/>
      <c r="L148" s="311" t="n">
        <v>19</v>
      </c>
      <c r="M148" s="311" t="n">
        <v>0</v>
      </c>
      <c r="N148" s="144" t="n">
        <v>0</v>
      </c>
      <c r="O148" s="310"/>
      <c r="P148" s="311" t="n">
        <v>0</v>
      </c>
      <c r="Q148" s="311" t="n">
        <v>0</v>
      </c>
      <c r="R148" s="311" t="n">
        <v>0</v>
      </c>
      <c r="S148" s="311" t="n">
        <v>0</v>
      </c>
      <c r="T148" s="144" t="n">
        <v>0</v>
      </c>
      <c r="U148" s="310"/>
      <c r="V148" s="144" t="n">
        <v>26</v>
      </c>
      <c r="W148" s="315"/>
    </row>
    <row r="149" customFormat="false" ht="12.75" hidden="false" customHeight="false" outlineLevel="0" collapsed="false">
      <c r="B149" s="304" t="s">
        <v>428</v>
      </c>
      <c r="C149" s="305" t="s">
        <v>495</v>
      </c>
      <c r="D149" s="306" t="n">
        <v>161</v>
      </c>
      <c r="E149" s="306" t="n">
        <v>3.25</v>
      </c>
      <c r="F149" s="306" t="s">
        <v>432</v>
      </c>
      <c r="G149" s="307" t="n">
        <v>48</v>
      </c>
      <c r="H149" s="308" t="n">
        <v>134.710743801653</v>
      </c>
      <c r="I149" s="315"/>
      <c r="J149" s="144" t="s">
        <v>12</v>
      </c>
      <c r="K149" s="310"/>
      <c r="L149" s="311" t="n">
        <v>19</v>
      </c>
      <c r="M149" s="311" t="n">
        <v>0</v>
      </c>
      <c r="N149" s="144" t="n">
        <v>0</v>
      </c>
      <c r="O149" s="310"/>
      <c r="P149" s="311" t="n">
        <v>0</v>
      </c>
      <c r="Q149" s="311" t="n">
        <v>0</v>
      </c>
      <c r="R149" s="311" t="n">
        <v>0</v>
      </c>
      <c r="S149" s="311" t="n">
        <v>0</v>
      </c>
      <c r="T149" s="144" t="n">
        <v>0</v>
      </c>
      <c r="U149" s="310"/>
      <c r="V149" s="144" t="n">
        <v>26</v>
      </c>
      <c r="W149" s="315"/>
    </row>
    <row r="150" customFormat="false" ht="12.75" hidden="false" customHeight="false" outlineLevel="0" collapsed="false">
      <c r="B150" s="304" t="s">
        <v>428</v>
      </c>
      <c r="C150" s="305" t="s">
        <v>496</v>
      </c>
      <c r="D150" s="306" t="n">
        <v>294</v>
      </c>
      <c r="E150" s="306" t="n">
        <v>3.25</v>
      </c>
      <c r="F150" s="324" t="s">
        <v>432</v>
      </c>
      <c r="G150" s="144" t="n">
        <v>24</v>
      </c>
      <c r="H150" s="325" t="n">
        <v>248.760330578512</v>
      </c>
      <c r="I150" s="315"/>
      <c r="J150" s="144" t="s">
        <v>12</v>
      </c>
      <c r="K150" s="310"/>
      <c r="L150" s="311" t="n">
        <v>39</v>
      </c>
      <c r="M150" s="311" t="n">
        <v>0</v>
      </c>
      <c r="N150" s="144" t="n">
        <v>0</v>
      </c>
      <c r="O150" s="310"/>
      <c r="P150" s="311" t="n">
        <v>0</v>
      </c>
      <c r="Q150" s="311" t="n">
        <v>0</v>
      </c>
      <c r="R150" s="311" t="n">
        <v>0</v>
      </c>
      <c r="S150" s="311" t="n">
        <v>0</v>
      </c>
      <c r="T150" s="144" t="n">
        <v>0</v>
      </c>
      <c r="U150" s="310"/>
      <c r="V150" s="144" t="n">
        <v>45</v>
      </c>
      <c r="W150" s="315"/>
    </row>
    <row r="151" customFormat="false" ht="12.75" hidden="false" customHeight="false" outlineLevel="0" collapsed="false">
      <c r="B151" s="304" t="s">
        <v>428</v>
      </c>
      <c r="C151" s="305" t="s">
        <v>496</v>
      </c>
      <c r="D151" s="306" t="n">
        <v>294</v>
      </c>
      <c r="E151" s="306" t="n">
        <v>3.25</v>
      </c>
      <c r="F151" s="306" t="s">
        <v>432</v>
      </c>
      <c r="G151" s="307" t="n">
        <v>48</v>
      </c>
      <c r="H151" s="308" t="n">
        <v>248.760330578512</v>
      </c>
      <c r="I151" s="315"/>
      <c r="J151" s="144" t="s">
        <v>12</v>
      </c>
      <c r="K151" s="310"/>
      <c r="L151" s="311" t="n">
        <v>39</v>
      </c>
      <c r="M151" s="311" t="n">
        <v>0</v>
      </c>
      <c r="N151" s="144" t="n">
        <v>0</v>
      </c>
      <c r="O151" s="310"/>
      <c r="P151" s="311" t="n">
        <v>0</v>
      </c>
      <c r="Q151" s="311" t="n">
        <v>0</v>
      </c>
      <c r="R151" s="311" t="n">
        <v>0</v>
      </c>
      <c r="S151" s="311" t="n">
        <v>0</v>
      </c>
      <c r="T151" s="144" t="n">
        <v>0</v>
      </c>
      <c r="U151" s="310"/>
      <c r="V151" s="144" t="n">
        <v>45</v>
      </c>
      <c r="W151" s="315"/>
    </row>
    <row r="152" customFormat="false" ht="12.75" hidden="false" customHeight="false" outlineLevel="0" collapsed="false">
      <c r="B152" s="304" t="s">
        <v>497</v>
      </c>
      <c r="C152" s="305" t="s">
        <v>498</v>
      </c>
      <c r="D152" s="306" t="n">
        <v>174</v>
      </c>
      <c r="E152" s="306" t="n">
        <v>3.25</v>
      </c>
      <c r="F152" s="324" t="s">
        <v>432</v>
      </c>
      <c r="G152" s="144" t="n">
        <v>24</v>
      </c>
      <c r="H152" s="325" t="n">
        <v>88.4297520661157</v>
      </c>
      <c r="I152" s="315"/>
      <c r="J152" s="144" t="s">
        <v>12</v>
      </c>
      <c r="K152" s="310"/>
      <c r="L152" s="311" t="n">
        <v>0</v>
      </c>
      <c r="M152" s="311" t="n">
        <v>0</v>
      </c>
      <c r="N152" s="144" t="n">
        <v>0</v>
      </c>
      <c r="O152" s="310"/>
      <c r="P152" s="311" t="n">
        <v>0</v>
      </c>
      <c r="Q152" s="311" t="n">
        <v>0</v>
      </c>
      <c r="R152" s="311" t="n">
        <v>0</v>
      </c>
      <c r="S152" s="311" t="n">
        <v>0</v>
      </c>
      <c r="T152" s="144" t="n">
        <v>0</v>
      </c>
      <c r="U152" s="310"/>
      <c r="V152" s="144" t="n">
        <v>86</v>
      </c>
      <c r="W152" s="315"/>
    </row>
    <row r="153" customFormat="false" ht="12.75" hidden="false" customHeight="false" outlineLevel="0" collapsed="false">
      <c r="B153" s="304" t="s">
        <v>497</v>
      </c>
      <c r="C153" s="305" t="s">
        <v>499</v>
      </c>
      <c r="D153" s="306" t="n">
        <v>638</v>
      </c>
      <c r="E153" s="306" t="n">
        <v>3.25</v>
      </c>
      <c r="F153" s="306" t="s">
        <v>432</v>
      </c>
      <c r="G153" s="307" t="n">
        <v>24</v>
      </c>
      <c r="H153" s="308" t="n">
        <v>507.438016528926</v>
      </c>
      <c r="I153" s="315"/>
      <c r="J153" s="144" t="s">
        <v>12</v>
      </c>
      <c r="K153" s="310"/>
      <c r="L153" s="311" t="n">
        <v>169</v>
      </c>
      <c r="M153" s="311" t="n">
        <v>19</v>
      </c>
      <c r="N153" s="144" t="n">
        <v>19</v>
      </c>
      <c r="O153" s="310"/>
      <c r="P153" s="311" t="n">
        <v>0</v>
      </c>
      <c r="Q153" s="311" t="n">
        <v>0</v>
      </c>
      <c r="R153" s="311" t="n">
        <v>0</v>
      </c>
      <c r="S153" s="311" t="n">
        <v>0</v>
      </c>
      <c r="T153" s="144" t="n">
        <v>0</v>
      </c>
      <c r="U153" s="310"/>
      <c r="V153" s="144" t="n">
        <v>131</v>
      </c>
      <c r="W153" s="315"/>
    </row>
    <row r="154" customFormat="false" ht="12.75" hidden="false" customHeight="false" outlineLevel="0" collapsed="false">
      <c r="B154" s="304" t="s">
        <v>497</v>
      </c>
      <c r="C154" s="305" t="s">
        <v>499</v>
      </c>
      <c r="D154" s="306" t="n">
        <v>638</v>
      </c>
      <c r="E154" s="306" t="n">
        <v>3.25</v>
      </c>
      <c r="F154" s="324" t="s">
        <v>432</v>
      </c>
      <c r="G154" s="144" t="n">
        <v>48</v>
      </c>
      <c r="H154" s="325" t="n">
        <v>507.438016528926</v>
      </c>
      <c r="I154" s="315"/>
      <c r="J154" s="144" t="s">
        <v>12</v>
      </c>
      <c r="K154" s="310"/>
      <c r="L154" s="311" t="n">
        <v>169</v>
      </c>
      <c r="M154" s="311" t="n">
        <v>19</v>
      </c>
      <c r="N154" s="144" t="n">
        <v>19</v>
      </c>
      <c r="O154" s="310"/>
      <c r="P154" s="311" t="n">
        <v>0</v>
      </c>
      <c r="Q154" s="311" t="n">
        <v>0</v>
      </c>
      <c r="R154" s="311" t="n">
        <v>0</v>
      </c>
      <c r="S154" s="311" t="n">
        <v>0</v>
      </c>
      <c r="T154" s="144" t="n">
        <v>0</v>
      </c>
      <c r="U154" s="310"/>
      <c r="V154" s="144" t="n">
        <v>131</v>
      </c>
      <c r="W154" s="315"/>
    </row>
    <row r="155" customFormat="false" ht="12.75" hidden="false" customHeight="false" outlineLevel="0" collapsed="false">
      <c r="B155" s="304" t="s">
        <v>497</v>
      </c>
      <c r="C155" s="305" t="s">
        <v>500</v>
      </c>
      <c r="D155" s="306" t="n">
        <v>801</v>
      </c>
      <c r="E155" s="306" t="n">
        <v>3.25</v>
      </c>
      <c r="F155" s="306" t="s">
        <v>432</v>
      </c>
      <c r="G155" s="307" t="n">
        <v>24</v>
      </c>
      <c r="H155" s="308" t="n">
        <v>529.752066115703</v>
      </c>
      <c r="I155" s="315"/>
      <c r="J155" s="144" t="s">
        <v>12</v>
      </c>
      <c r="K155" s="310"/>
      <c r="L155" s="311" t="n">
        <v>219</v>
      </c>
      <c r="M155" s="311" t="n">
        <v>139</v>
      </c>
      <c r="N155" s="144" t="n">
        <v>139</v>
      </c>
      <c r="O155" s="310"/>
      <c r="P155" s="311" t="n">
        <v>0</v>
      </c>
      <c r="Q155" s="311" t="n">
        <v>0</v>
      </c>
      <c r="R155" s="311" t="n">
        <v>0</v>
      </c>
      <c r="S155" s="311" t="n">
        <v>0</v>
      </c>
      <c r="T155" s="144" t="n">
        <v>0</v>
      </c>
      <c r="U155" s="310"/>
      <c r="V155" s="144" t="n">
        <v>271</v>
      </c>
      <c r="W155" s="315"/>
    </row>
    <row r="156" customFormat="false" ht="12.75" hidden="false" customHeight="false" outlineLevel="0" collapsed="false">
      <c r="B156" s="304" t="s">
        <v>497</v>
      </c>
      <c r="C156" s="305" t="s">
        <v>500</v>
      </c>
      <c r="D156" s="306" t="n">
        <v>801</v>
      </c>
      <c r="E156" s="306" t="n">
        <v>3.25</v>
      </c>
      <c r="F156" s="324" t="s">
        <v>432</v>
      </c>
      <c r="G156" s="144" t="n">
        <v>48</v>
      </c>
      <c r="H156" s="325" t="n">
        <v>529.752066115703</v>
      </c>
      <c r="I156" s="315"/>
      <c r="J156" s="144" t="s">
        <v>12</v>
      </c>
      <c r="K156" s="310"/>
      <c r="L156" s="311" t="n">
        <v>219</v>
      </c>
      <c r="M156" s="311" t="n">
        <v>139</v>
      </c>
      <c r="N156" s="144" t="n">
        <v>139</v>
      </c>
      <c r="O156" s="310"/>
      <c r="P156" s="311" t="n">
        <v>0</v>
      </c>
      <c r="Q156" s="311" t="n">
        <v>0</v>
      </c>
      <c r="R156" s="311" t="n">
        <v>0</v>
      </c>
      <c r="S156" s="311" t="n">
        <v>0</v>
      </c>
      <c r="T156" s="144" t="n">
        <v>0</v>
      </c>
      <c r="U156" s="310"/>
      <c r="V156" s="144" t="n">
        <v>271</v>
      </c>
      <c r="W156" s="315"/>
    </row>
    <row r="157" customFormat="false" ht="12.75" hidden="false" customHeight="false" outlineLevel="0" collapsed="false">
      <c r="B157" s="304" t="s">
        <v>497</v>
      </c>
      <c r="C157" s="305" t="s">
        <v>501</v>
      </c>
      <c r="D157" s="306" t="n">
        <v>895</v>
      </c>
      <c r="E157" s="306" t="n">
        <v>3.25</v>
      </c>
      <c r="F157" s="306" t="s">
        <v>432</v>
      </c>
      <c r="G157" s="307" t="n">
        <v>24</v>
      </c>
      <c r="H157" s="308" t="n">
        <v>761.157024793388</v>
      </c>
      <c r="I157" s="315"/>
      <c r="J157" s="144" t="s">
        <v>12</v>
      </c>
      <c r="K157" s="310"/>
      <c r="L157" s="311" t="n">
        <v>319</v>
      </c>
      <c r="M157" s="311" t="n">
        <v>189</v>
      </c>
      <c r="N157" s="144" t="n">
        <v>189</v>
      </c>
      <c r="O157" s="310"/>
      <c r="P157" s="311" t="n">
        <v>0</v>
      </c>
      <c r="Q157" s="311" t="n">
        <v>0</v>
      </c>
      <c r="R157" s="311" t="n">
        <v>0</v>
      </c>
      <c r="S157" s="311" t="n">
        <v>0</v>
      </c>
      <c r="T157" s="144" t="n">
        <v>0</v>
      </c>
      <c r="U157" s="310"/>
      <c r="V157" s="144" t="n">
        <v>134</v>
      </c>
      <c r="W157" s="315"/>
    </row>
    <row r="158" customFormat="false" ht="12.75" hidden="false" customHeight="false" outlineLevel="0" collapsed="false">
      <c r="B158" s="304" t="s">
        <v>497</v>
      </c>
      <c r="C158" s="305" t="s">
        <v>501</v>
      </c>
      <c r="D158" s="306" t="n">
        <v>895</v>
      </c>
      <c r="E158" s="306" t="n">
        <v>3.25</v>
      </c>
      <c r="F158" s="324" t="s">
        <v>432</v>
      </c>
      <c r="G158" s="144" t="n">
        <v>48</v>
      </c>
      <c r="H158" s="325" t="n">
        <v>761.157024793388</v>
      </c>
      <c r="I158" s="315"/>
      <c r="J158" s="144" t="s">
        <v>12</v>
      </c>
      <c r="K158" s="310"/>
      <c r="L158" s="311" t="n">
        <v>319</v>
      </c>
      <c r="M158" s="311" t="n">
        <v>189</v>
      </c>
      <c r="N158" s="144" t="n">
        <v>189</v>
      </c>
      <c r="O158" s="310"/>
      <c r="P158" s="311" t="n">
        <v>0</v>
      </c>
      <c r="Q158" s="311" t="n">
        <v>0</v>
      </c>
      <c r="R158" s="311" t="n">
        <v>0</v>
      </c>
      <c r="S158" s="311" t="n">
        <v>0</v>
      </c>
      <c r="T158" s="144" t="n">
        <v>0</v>
      </c>
      <c r="U158" s="310"/>
      <c r="V158" s="144" t="n">
        <v>134</v>
      </c>
      <c r="W158" s="315"/>
    </row>
    <row r="159" customFormat="false" ht="12.75" hidden="false" customHeight="false" outlineLevel="0" collapsed="false">
      <c r="B159" s="304" t="s">
        <v>497</v>
      </c>
      <c r="C159" s="305" t="s">
        <v>502</v>
      </c>
      <c r="D159" s="306" t="n">
        <v>1139</v>
      </c>
      <c r="E159" s="306" t="n">
        <v>3.25</v>
      </c>
      <c r="F159" s="306" t="s">
        <v>432</v>
      </c>
      <c r="G159" s="307" t="n">
        <v>24</v>
      </c>
      <c r="H159" s="308" t="n">
        <v>942.97520661157</v>
      </c>
      <c r="I159" s="315"/>
      <c r="J159" s="144" t="s">
        <v>12</v>
      </c>
      <c r="K159" s="310"/>
      <c r="L159" s="311" t="n">
        <v>399</v>
      </c>
      <c r="M159" s="311" t="n">
        <v>239</v>
      </c>
      <c r="N159" s="144" t="n">
        <v>239</v>
      </c>
      <c r="O159" s="310"/>
      <c r="P159" s="311" t="n">
        <v>0</v>
      </c>
      <c r="Q159" s="311" t="n">
        <v>0</v>
      </c>
      <c r="R159" s="311" t="n">
        <v>0</v>
      </c>
      <c r="S159" s="311" t="n">
        <v>0</v>
      </c>
      <c r="T159" s="144" t="n">
        <v>0</v>
      </c>
      <c r="U159" s="310"/>
      <c r="V159" s="144" t="n">
        <v>196</v>
      </c>
      <c r="W159" s="315"/>
    </row>
    <row r="160" customFormat="false" ht="12.75" hidden="false" customHeight="false" outlineLevel="0" collapsed="false">
      <c r="B160" s="304" t="s">
        <v>497</v>
      </c>
      <c r="C160" s="305" t="s">
        <v>502</v>
      </c>
      <c r="D160" s="306" t="n">
        <v>1139</v>
      </c>
      <c r="E160" s="306" t="n">
        <v>3.25</v>
      </c>
      <c r="F160" s="324" t="s">
        <v>432</v>
      </c>
      <c r="G160" s="144" t="n">
        <v>48</v>
      </c>
      <c r="H160" s="325" t="n">
        <v>942.97520661157</v>
      </c>
      <c r="I160" s="315"/>
      <c r="J160" s="144" t="s">
        <v>12</v>
      </c>
      <c r="K160" s="310"/>
      <c r="L160" s="311" t="n">
        <v>399</v>
      </c>
      <c r="M160" s="311" t="n">
        <v>239</v>
      </c>
      <c r="N160" s="144" t="n">
        <v>239</v>
      </c>
      <c r="O160" s="310"/>
      <c r="P160" s="311" t="n">
        <v>0</v>
      </c>
      <c r="Q160" s="311" t="n">
        <v>0</v>
      </c>
      <c r="R160" s="311" t="n">
        <v>0</v>
      </c>
      <c r="S160" s="311" t="n">
        <v>0</v>
      </c>
      <c r="T160" s="144" t="n">
        <v>0</v>
      </c>
      <c r="U160" s="310"/>
      <c r="V160" s="144" t="n">
        <v>196</v>
      </c>
      <c r="W160" s="315"/>
    </row>
    <row r="161" customFormat="false" ht="12.75" hidden="false" customHeight="false" outlineLevel="0" collapsed="false">
      <c r="B161" s="304" t="s">
        <v>497</v>
      </c>
      <c r="C161" s="305" t="s">
        <v>503</v>
      </c>
      <c r="D161" s="306" t="n">
        <v>1465</v>
      </c>
      <c r="E161" s="306" t="n">
        <v>3.25</v>
      </c>
      <c r="F161" s="306" t="s">
        <v>432</v>
      </c>
      <c r="G161" s="307" t="n">
        <v>24</v>
      </c>
      <c r="H161" s="308" t="n">
        <v>1086.77685950413</v>
      </c>
      <c r="I161" s="315"/>
      <c r="J161" s="144" t="s">
        <v>12</v>
      </c>
      <c r="K161" s="310"/>
      <c r="L161" s="311" t="n">
        <v>479</v>
      </c>
      <c r="M161" s="311" t="n">
        <v>289</v>
      </c>
      <c r="N161" s="144" t="n">
        <v>289</v>
      </c>
      <c r="O161" s="310"/>
      <c r="P161" s="311" t="n">
        <v>0</v>
      </c>
      <c r="Q161" s="311" t="n">
        <v>0</v>
      </c>
      <c r="R161" s="311" t="n">
        <v>0</v>
      </c>
      <c r="S161" s="311" t="n">
        <v>0</v>
      </c>
      <c r="T161" s="144" t="n">
        <v>0</v>
      </c>
      <c r="U161" s="310"/>
      <c r="V161" s="144" t="n">
        <v>378</v>
      </c>
      <c r="W161" s="315"/>
    </row>
    <row r="162" customFormat="false" ht="12.75" hidden="false" customHeight="false" outlineLevel="0" collapsed="false">
      <c r="B162" s="304" t="s">
        <v>497</v>
      </c>
      <c r="C162" s="305" t="s">
        <v>503</v>
      </c>
      <c r="D162" s="306" t="n">
        <v>1465</v>
      </c>
      <c r="E162" s="306" t="n">
        <v>3.25</v>
      </c>
      <c r="F162" s="324" t="s">
        <v>432</v>
      </c>
      <c r="G162" s="144" t="n">
        <v>48</v>
      </c>
      <c r="H162" s="325" t="n">
        <v>1086.77685950413</v>
      </c>
      <c r="I162" s="315"/>
      <c r="J162" s="144" t="s">
        <v>12</v>
      </c>
      <c r="K162" s="310"/>
      <c r="L162" s="311" t="n">
        <v>479</v>
      </c>
      <c r="M162" s="311" t="n">
        <v>289</v>
      </c>
      <c r="N162" s="144" t="n">
        <v>289</v>
      </c>
      <c r="O162" s="310"/>
      <c r="P162" s="311" t="n">
        <v>0</v>
      </c>
      <c r="Q162" s="311" t="n">
        <v>0</v>
      </c>
      <c r="R162" s="311" t="n">
        <v>0</v>
      </c>
      <c r="S162" s="311" t="n">
        <v>0</v>
      </c>
      <c r="T162" s="144" t="n">
        <v>0</v>
      </c>
      <c r="U162" s="310"/>
      <c r="V162" s="144" t="n">
        <v>378</v>
      </c>
      <c r="W162" s="315"/>
    </row>
    <row r="163" customFormat="false" ht="12.75" hidden="false" customHeight="false" outlineLevel="0" collapsed="false">
      <c r="B163" s="304" t="s">
        <v>497</v>
      </c>
      <c r="C163" s="305" t="s">
        <v>504</v>
      </c>
      <c r="D163" s="306" t="n">
        <v>205</v>
      </c>
      <c r="E163" s="306" t="n">
        <v>3.25</v>
      </c>
      <c r="F163" s="306" t="s">
        <v>432</v>
      </c>
      <c r="G163" s="307" t="n">
        <v>24</v>
      </c>
      <c r="H163" s="308" t="n">
        <v>128.925619834711</v>
      </c>
      <c r="I163" s="315"/>
      <c r="J163" s="144" t="s">
        <v>12</v>
      </c>
      <c r="K163" s="310"/>
      <c r="L163" s="311" t="n">
        <v>19</v>
      </c>
      <c r="M163" s="311" t="n">
        <v>0</v>
      </c>
      <c r="N163" s="144" t="n">
        <v>0</v>
      </c>
      <c r="O163" s="310"/>
      <c r="P163" s="311" t="n">
        <v>0</v>
      </c>
      <c r="Q163" s="311" t="n">
        <v>0</v>
      </c>
      <c r="R163" s="311" t="n">
        <v>0</v>
      </c>
      <c r="S163" s="311" t="n">
        <v>0</v>
      </c>
      <c r="T163" s="144" t="n">
        <v>0</v>
      </c>
      <c r="U163" s="310"/>
      <c r="V163" s="144" t="n">
        <v>76</v>
      </c>
      <c r="W163" s="315"/>
    </row>
    <row r="164" customFormat="false" ht="12.75" hidden="false" customHeight="false" outlineLevel="0" collapsed="false">
      <c r="B164" s="304" t="s">
        <v>497</v>
      </c>
      <c r="C164" s="305" t="s">
        <v>504</v>
      </c>
      <c r="D164" s="306" t="n">
        <v>205</v>
      </c>
      <c r="E164" s="306" t="n">
        <v>3.25</v>
      </c>
      <c r="F164" s="324" t="s">
        <v>432</v>
      </c>
      <c r="G164" s="144" t="n">
        <v>48</v>
      </c>
      <c r="H164" s="325" t="n">
        <v>128.925619834711</v>
      </c>
      <c r="I164" s="315"/>
      <c r="J164" s="144" t="s">
        <v>12</v>
      </c>
      <c r="K164" s="310"/>
      <c r="L164" s="311" t="n">
        <v>19</v>
      </c>
      <c r="M164" s="311" t="n">
        <v>0</v>
      </c>
      <c r="N164" s="144" t="n">
        <v>0</v>
      </c>
      <c r="O164" s="310"/>
      <c r="P164" s="311" t="n">
        <v>0</v>
      </c>
      <c r="Q164" s="311" t="n">
        <v>0</v>
      </c>
      <c r="R164" s="311" t="n">
        <v>0</v>
      </c>
      <c r="S164" s="311" t="n">
        <v>0</v>
      </c>
      <c r="T164" s="144" t="n">
        <v>0</v>
      </c>
      <c r="U164" s="310"/>
      <c r="V164" s="144" t="n">
        <v>76</v>
      </c>
      <c r="W164" s="315"/>
    </row>
    <row r="165" customFormat="false" ht="12.75" hidden="false" customHeight="false" outlineLevel="0" collapsed="false">
      <c r="B165" s="304" t="s">
        <v>497</v>
      </c>
      <c r="C165" s="305" t="s">
        <v>505</v>
      </c>
      <c r="D165" s="306" t="n">
        <v>281</v>
      </c>
      <c r="E165" s="306" t="n">
        <v>3.25</v>
      </c>
      <c r="F165" s="306" t="s">
        <v>432</v>
      </c>
      <c r="G165" s="307" t="n">
        <v>24</v>
      </c>
      <c r="H165" s="308" t="n">
        <v>154.545454545455</v>
      </c>
      <c r="I165" s="315"/>
      <c r="J165" s="144" t="s">
        <v>12</v>
      </c>
      <c r="K165" s="310"/>
      <c r="L165" s="311" t="n">
        <v>29</v>
      </c>
      <c r="M165" s="311" t="n">
        <v>0</v>
      </c>
      <c r="N165" s="144" t="n">
        <v>0</v>
      </c>
      <c r="O165" s="310"/>
      <c r="P165" s="311" t="n">
        <v>0</v>
      </c>
      <c r="Q165" s="311" t="n">
        <v>0</v>
      </c>
      <c r="R165" s="311" t="n">
        <v>0</v>
      </c>
      <c r="S165" s="311" t="n">
        <v>0</v>
      </c>
      <c r="T165" s="144" t="n">
        <v>0</v>
      </c>
      <c r="U165" s="310"/>
      <c r="V165" s="144" t="n">
        <v>126</v>
      </c>
      <c r="W165" s="315"/>
    </row>
    <row r="166" customFormat="false" ht="12.75" hidden="false" customHeight="false" outlineLevel="0" collapsed="false">
      <c r="B166" s="304" t="s">
        <v>497</v>
      </c>
      <c r="C166" s="305" t="s">
        <v>505</v>
      </c>
      <c r="D166" s="306" t="n">
        <v>281</v>
      </c>
      <c r="E166" s="306" t="n">
        <v>3.25</v>
      </c>
      <c r="F166" s="324" t="s">
        <v>432</v>
      </c>
      <c r="G166" s="144" t="n">
        <v>48</v>
      </c>
      <c r="H166" s="325" t="n">
        <v>154.545454545455</v>
      </c>
      <c r="I166" s="315"/>
      <c r="J166" s="144" t="s">
        <v>12</v>
      </c>
      <c r="K166" s="310"/>
      <c r="L166" s="311" t="n">
        <v>29</v>
      </c>
      <c r="M166" s="311" t="n">
        <v>0</v>
      </c>
      <c r="N166" s="144" t="n">
        <v>0</v>
      </c>
      <c r="O166" s="310"/>
      <c r="P166" s="311" t="n">
        <v>0</v>
      </c>
      <c r="Q166" s="311" t="n">
        <v>0</v>
      </c>
      <c r="R166" s="311" t="n">
        <v>0</v>
      </c>
      <c r="S166" s="311" t="n">
        <v>0</v>
      </c>
      <c r="T166" s="144" t="n">
        <v>0</v>
      </c>
      <c r="U166" s="310"/>
      <c r="V166" s="144" t="n">
        <v>126</v>
      </c>
      <c r="W166" s="315"/>
    </row>
    <row r="167" customFormat="false" ht="12.75" hidden="false" customHeight="false" outlineLevel="0" collapsed="false">
      <c r="B167" s="304" t="s">
        <v>497</v>
      </c>
      <c r="C167" s="327" t="s">
        <v>506</v>
      </c>
      <c r="D167" s="306" t="n">
        <v>164</v>
      </c>
      <c r="E167" s="306" t="n">
        <v>3.25</v>
      </c>
      <c r="F167" s="306" t="s">
        <v>432</v>
      </c>
      <c r="G167" s="307" t="n">
        <v>24</v>
      </c>
      <c r="H167" s="308" t="n">
        <v>87.603305785124</v>
      </c>
      <c r="I167" s="315"/>
      <c r="J167" s="144" t="s">
        <v>12</v>
      </c>
      <c r="K167" s="310"/>
      <c r="L167" s="311" t="n">
        <v>0</v>
      </c>
      <c r="M167" s="311" t="n">
        <v>0</v>
      </c>
      <c r="N167" s="144" t="n">
        <v>0</v>
      </c>
      <c r="O167" s="310"/>
      <c r="P167" s="311" t="n">
        <v>0</v>
      </c>
      <c r="Q167" s="311" t="n">
        <v>0</v>
      </c>
      <c r="R167" s="311" t="n">
        <v>0</v>
      </c>
      <c r="S167" s="311" t="n">
        <v>0</v>
      </c>
      <c r="T167" s="144" t="n">
        <v>0</v>
      </c>
      <c r="U167" s="310"/>
      <c r="V167" s="144" t="n">
        <v>76</v>
      </c>
      <c r="W167" s="315"/>
    </row>
    <row r="168" customFormat="false" ht="12.75" hidden="false" customHeight="false" outlineLevel="0" collapsed="false">
      <c r="B168" s="304" t="s">
        <v>497</v>
      </c>
      <c r="C168" s="305" t="s">
        <v>507</v>
      </c>
      <c r="D168" s="306" t="n">
        <v>323</v>
      </c>
      <c r="E168" s="306" t="n">
        <v>3.25</v>
      </c>
      <c r="F168" s="324" t="s">
        <v>432</v>
      </c>
      <c r="G168" s="144" t="n">
        <v>24</v>
      </c>
      <c r="H168" s="325" t="n">
        <v>286.776859504132</v>
      </c>
      <c r="I168" s="315"/>
      <c r="J168" s="144" t="s">
        <v>12</v>
      </c>
      <c r="K168" s="310"/>
      <c r="L168" s="311" t="n">
        <v>99</v>
      </c>
      <c r="M168" s="311" t="n">
        <v>19</v>
      </c>
      <c r="N168" s="144" t="n">
        <v>19</v>
      </c>
      <c r="O168" s="310"/>
      <c r="P168" s="311" t="n">
        <v>0</v>
      </c>
      <c r="Q168" s="311" t="n">
        <v>0</v>
      </c>
      <c r="R168" s="311" t="n">
        <v>0</v>
      </c>
      <c r="S168" s="311" t="n">
        <v>0</v>
      </c>
      <c r="T168" s="144" t="n">
        <v>0</v>
      </c>
      <c r="U168" s="310"/>
      <c r="V168" s="144" t="n">
        <v>36</v>
      </c>
      <c r="W168" s="315"/>
    </row>
    <row r="169" customFormat="false" ht="12.75" hidden="false" customHeight="false" outlineLevel="0" collapsed="false">
      <c r="B169" s="304" t="s">
        <v>497</v>
      </c>
      <c r="C169" s="305" t="s">
        <v>507</v>
      </c>
      <c r="D169" s="306" t="n">
        <v>323</v>
      </c>
      <c r="E169" s="306" t="n">
        <v>3.25</v>
      </c>
      <c r="F169" s="306" t="s">
        <v>432</v>
      </c>
      <c r="G169" s="307" t="n">
        <v>48</v>
      </c>
      <c r="H169" s="308" t="n">
        <v>286.776859504132</v>
      </c>
      <c r="I169" s="315"/>
      <c r="J169" s="144" t="s">
        <v>12</v>
      </c>
      <c r="K169" s="310"/>
      <c r="L169" s="311" t="n">
        <v>99</v>
      </c>
      <c r="M169" s="311" t="n">
        <v>19</v>
      </c>
      <c r="N169" s="144" t="n">
        <v>19</v>
      </c>
      <c r="O169" s="310"/>
      <c r="P169" s="311" t="n">
        <v>0</v>
      </c>
      <c r="Q169" s="311" t="n">
        <v>0</v>
      </c>
      <c r="R169" s="311" t="n">
        <v>0</v>
      </c>
      <c r="S169" s="311" t="n">
        <v>0</v>
      </c>
      <c r="T169" s="144" t="n">
        <v>0</v>
      </c>
      <c r="U169" s="310"/>
      <c r="V169" s="144" t="n">
        <v>36</v>
      </c>
      <c r="W169" s="315"/>
    </row>
    <row r="170" customFormat="false" ht="12.75" hidden="false" customHeight="false" outlineLevel="0" collapsed="false">
      <c r="B170" s="304" t="s">
        <v>497</v>
      </c>
      <c r="C170" s="305" t="s">
        <v>508</v>
      </c>
      <c r="D170" s="306" t="n">
        <v>415</v>
      </c>
      <c r="E170" s="306" t="n">
        <v>3.25</v>
      </c>
      <c r="F170" s="324" t="s">
        <v>432</v>
      </c>
      <c r="G170" s="144" t="n">
        <v>24</v>
      </c>
      <c r="H170" s="325" t="n">
        <v>303.305785123967</v>
      </c>
      <c r="I170" s="315"/>
      <c r="J170" s="144" t="s">
        <v>12</v>
      </c>
      <c r="K170" s="310"/>
      <c r="L170" s="311" t="n">
        <v>99</v>
      </c>
      <c r="M170" s="311" t="n">
        <v>19</v>
      </c>
      <c r="N170" s="144" t="n">
        <v>19</v>
      </c>
      <c r="O170" s="310"/>
      <c r="P170" s="311" t="n">
        <v>0</v>
      </c>
      <c r="Q170" s="311" t="n">
        <v>0</v>
      </c>
      <c r="R170" s="311" t="n">
        <v>0</v>
      </c>
      <c r="S170" s="311" t="n">
        <v>0</v>
      </c>
      <c r="T170" s="144" t="n">
        <v>0</v>
      </c>
      <c r="U170" s="310"/>
      <c r="V170" s="144" t="n">
        <v>112</v>
      </c>
      <c r="W170" s="315"/>
    </row>
    <row r="171" customFormat="false" ht="12.75" hidden="false" customHeight="false" outlineLevel="0" collapsed="false">
      <c r="B171" s="304" t="s">
        <v>497</v>
      </c>
      <c r="C171" s="305" t="s">
        <v>508</v>
      </c>
      <c r="D171" s="306" t="n">
        <v>415</v>
      </c>
      <c r="E171" s="306" t="n">
        <v>3.25</v>
      </c>
      <c r="F171" s="306" t="s">
        <v>432</v>
      </c>
      <c r="G171" s="307" t="n">
        <v>48</v>
      </c>
      <c r="H171" s="308" t="n">
        <v>303.305785123967</v>
      </c>
      <c r="I171" s="315"/>
      <c r="J171" s="144" t="s">
        <v>12</v>
      </c>
      <c r="K171" s="310"/>
      <c r="L171" s="311" t="n">
        <v>99</v>
      </c>
      <c r="M171" s="311" t="n">
        <v>19</v>
      </c>
      <c r="N171" s="144" t="n">
        <v>19</v>
      </c>
      <c r="O171" s="310"/>
      <c r="P171" s="311" t="n">
        <v>0</v>
      </c>
      <c r="Q171" s="311" t="n">
        <v>0</v>
      </c>
      <c r="R171" s="311" t="n">
        <v>0</v>
      </c>
      <c r="S171" s="311" t="n">
        <v>0</v>
      </c>
      <c r="T171" s="144" t="n">
        <v>0</v>
      </c>
      <c r="U171" s="310"/>
      <c r="V171" s="144" t="n">
        <v>112</v>
      </c>
      <c r="W171" s="315"/>
    </row>
    <row r="172" customFormat="false" ht="12.75" hidden="false" customHeight="false" outlineLevel="0" collapsed="false">
      <c r="B172" s="304" t="s">
        <v>497</v>
      </c>
      <c r="C172" s="305" t="s">
        <v>509</v>
      </c>
      <c r="D172" s="306" t="n">
        <v>516</v>
      </c>
      <c r="E172" s="306" t="n">
        <v>3.25</v>
      </c>
      <c r="F172" s="324" t="s">
        <v>432</v>
      </c>
      <c r="G172" s="144" t="n">
        <v>24</v>
      </c>
      <c r="H172" s="325" t="n">
        <v>385.123966942149</v>
      </c>
      <c r="I172" s="315"/>
      <c r="J172" s="144" t="s">
        <v>12</v>
      </c>
      <c r="K172" s="310"/>
      <c r="L172" s="311" t="n">
        <v>129</v>
      </c>
      <c r="M172" s="311" t="n">
        <v>19</v>
      </c>
      <c r="N172" s="144" t="n">
        <v>19</v>
      </c>
      <c r="O172" s="310"/>
      <c r="P172" s="311" t="n">
        <v>0</v>
      </c>
      <c r="Q172" s="311" t="n">
        <v>0</v>
      </c>
      <c r="R172" s="311" t="n">
        <v>0</v>
      </c>
      <c r="S172" s="311" t="n">
        <v>0</v>
      </c>
      <c r="T172" s="144" t="n">
        <v>0</v>
      </c>
      <c r="U172" s="310"/>
      <c r="V172" s="144" t="n">
        <v>131</v>
      </c>
      <c r="W172" s="315"/>
    </row>
    <row r="173" customFormat="false" ht="12.75" hidden="false" customHeight="false" outlineLevel="0" collapsed="false">
      <c r="B173" s="304" t="s">
        <v>497</v>
      </c>
      <c r="C173" s="305" t="s">
        <v>509</v>
      </c>
      <c r="D173" s="306" t="n">
        <v>516</v>
      </c>
      <c r="E173" s="306" t="n">
        <v>3.25</v>
      </c>
      <c r="F173" s="306" t="s">
        <v>432</v>
      </c>
      <c r="G173" s="307" t="n">
        <v>48</v>
      </c>
      <c r="H173" s="308" t="n">
        <v>385.123966942149</v>
      </c>
      <c r="I173" s="315"/>
      <c r="J173" s="144" t="s">
        <v>12</v>
      </c>
      <c r="K173" s="310"/>
      <c r="L173" s="311" t="n">
        <v>129</v>
      </c>
      <c r="M173" s="311" t="n">
        <v>19</v>
      </c>
      <c r="N173" s="144" t="n">
        <v>19</v>
      </c>
      <c r="O173" s="310"/>
      <c r="P173" s="311" t="n">
        <v>0</v>
      </c>
      <c r="Q173" s="311" t="n">
        <v>0</v>
      </c>
      <c r="R173" s="311" t="n">
        <v>0</v>
      </c>
      <c r="S173" s="311" t="n">
        <v>0</v>
      </c>
      <c r="T173" s="144" t="n">
        <v>0</v>
      </c>
      <c r="U173" s="310"/>
      <c r="V173" s="144" t="n">
        <v>131</v>
      </c>
      <c r="W173" s="315"/>
    </row>
    <row r="174" customFormat="false" ht="12.75" hidden="false" customHeight="false" outlineLevel="0" collapsed="false">
      <c r="B174" s="304" t="s">
        <v>510</v>
      </c>
      <c r="C174" s="305" t="s">
        <v>511</v>
      </c>
      <c r="D174" s="306" t="n">
        <v>148</v>
      </c>
      <c r="E174" s="306" t="n">
        <v>3.25</v>
      </c>
      <c r="F174" s="324" t="s">
        <v>432</v>
      </c>
      <c r="G174" s="144" t="n">
        <v>24</v>
      </c>
      <c r="H174" s="325" t="n">
        <v>96.6942148760331</v>
      </c>
      <c r="I174" s="315"/>
      <c r="J174" s="144" t="s">
        <v>12</v>
      </c>
      <c r="K174" s="310"/>
      <c r="L174" s="311" t="n">
        <v>0</v>
      </c>
      <c r="M174" s="311" t="n">
        <v>0</v>
      </c>
      <c r="N174" s="144" t="n">
        <v>0</v>
      </c>
      <c r="O174" s="310"/>
      <c r="P174" s="311" t="n">
        <v>0</v>
      </c>
      <c r="Q174" s="311" t="n">
        <v>0</v>
      </c>
      <c r="R174" s="311" t="n">
        <v>0</v>
      </c>
      <c r="S174" s="311" t="n">
        <v>0</v>
      </c>
      <c r="T174" s="144" t="n">
        <v>0</v>
      </c>
      <c r="U174" s="310"/>
      <c r="V174" s="144" t="n">
        <v>51</v>
      </c>
      <c r="W174" s="315"/>
    </row>
    <row r="175" customFormat="false" ht="12.75" hidden="false" customHeight="false" outlineLevel="0" collapsed="false">
      <c r="B175" s="304" t="s">
        <v>510</v>
      </c>
      <c r="C175" s="305" t="s">
        <v>511</v>
      </c>
      <c r="D175" s="306" t="n">
        <v>148</v>
      </c>
      <c r="E175" s="306" t="n">
        <v>3.25</v>
      </c>
      <c r="F175" s="306" t="s">
        <v>432</v>
      </c>
      <c r="G175" s="307" t="n">
        <v>48</v>
      </c>
      <c r="H175" s="308" t="n">
        <v>96.6942148760331</v>
      </c>
      <c r="I175" s="315"/>
      <c r="J175" s="144" t="s">
        <v>12</v>
      </c>
      <c r="K175" s="310"/>
      <c r="L175" s="311" t="n">
        <v>0</v>
      </c>
      <c r="M175" s="311" t="n">
        <v>0</v>
      </c>
      <c r="N175" s="144" t="n">
        <v>0</v>
      </c>
      <c r="O175" s="310"/>
      <c r="P175" s="311" t="n">
        <v>0</v>
      </c>
      <c r="Q175" s="311" t="n">
        <v>0</v>
      </c>
      <c r="R175" s="311" t="n">
        <v>0</v>
      </c>
      <c r="S175" s="311" t="n">
        <v>0</v>
      </c>
      <c r="T175" s="144" t="n">
        <v>0</v>
      </c>
      <c r="U175" s="310"/>
      <c r="V175" s="144" t="n">
        <v>51</v>
      </c>
      <c r="W175" s="315"/>
    </row>
    <row r="176" customFormat="false" ht="12.75" hidden="false" customHeight="false" outlineLevel="0" collapsed="false">
      <c r="B176" s="304" t="s">
        <v>510</v>
      </c>
      <c r="C176" s="327" t="s">
        <v>512</v>
      </c>
      <c r="D176" s="306" t="n">
        <v>647</v>
      </c>
      <c r="E176" s="306" t="n">
        <v>3.25</v>
      </c>
      <c r="F176" s="324" t="s">
        <v>432</v>
      </c>
      <c r="G176" s="144" t="n">
        <v>24</v>
      </c>
      <c r="H176" s="325" t="n">
        <v>571.900826446281</v>
      </c>
      <c r="I176" s="315"/>
      <c r="J176" s="144" t="s">
        <v>12</v>
      </c>
      <c r="K176" s="310"/>
      <c r="L176" s="311" t="n">
        <v>239</v>
      </c>
      <c r="M176" s="311" t="n">
        <v>139</v>
      </c>
      <c r="N176" s="144" t="n">
        <v>139</v>
      </c>
      <c r="O176" s="310"/>
      <c r="P176" s="311" t="n">
        <v>0</v>
      </c>
      <c r="Q176" s="311" t="n">
        <v>0</v>
      </c>
      <c r="R176" s="311" t="n">
        <v>0</v>
      </c>
      <c r="S176" s="311" t="n">
        <v>0</v>
      </c>
      <c r="T176" s="144" t="n">
        <v>0</v>
      </c>
      <c r="U176" s="310"/>
      <c r="V176" s="144" t="n">
        <v>75</v>
      </c>
      <c r="W176" s="315"/>
    </row>
    <row r="177" customFormat="false" ht="12.75" hidden="false" customHeight="false" outlineLevel="0" collapsed="false">
      <c r="B177" s="304" t="s">
        <v>510</v>
      </c>
      <c r="C177" s="327" t="s">
        <v>512</v>
      </c>
      <c r="D177" s="306" t="n">
        <v>647</v>
      </c>
      <c r="E177" s="306" t="n">
        <v>3.25</v>
      </c>
      <c r="F177" s="306" t="s">
        <v>432</v>
      </c>
      <c r="G177" s="307" t="n">
        <v>48</v>
      </c>
      <c r="H177" s="308" t="n">
        <v>571.900826446281</v>
      </c>
      <c r="I177" s="315"/>
      <c r="J177" s="144" t="s">
        <v>12</v>
      </c>
      <c r="K177" s="310"/>
      <c r="L177" s="311" t="n">
        <v>239</v>
      </c>
      <c r="M177" s="311" t="n">
        <v>139</v>
      </c>
      <c r="N177" s="144" t="n">
        <v>139</v>
      </c>
      <c r="O177" s="310"/>
      <c r="P177" s="311" t="n">
        <v>0</v>
      </c>
      <c r="Q177" s="311" t="n">
        <v>0</v>
      </c>
      <c r="R177" s="311" t="n">
        <v>0</v>
      </c>
      <c r="S177" s="311" t="n">
        <v>0</v>
      </c>
      <c r="T177" s="144" t="n">
        <v>0</v>
      </c>
      <c r="U177" s="310"/>
      <c r="V177" s="144" t="n">
        <v>75</v>
      </c>
      <c r="W177" s="315"/>
    </row>
    <row r="178" customFormat="false" ht="12.75" hidden="false" customHeight="false" outlineLevel="0" collapsed="false">
      <c r="B178" s="304" t="s">
        <v>190</v>
      </c>
      <c r="C178" s="305" t="s">
        <v>513</v>
      </c>
      <c r="D178" s="306" t="n">
        <v>215</v>
      </c>
      <c r="E178" s="306" t="n">
        <v>0</v>
      </c>
      <c r="F178" s="324" t="s">
        <v>514</v>
      </c>
      <c r="G178" s="144" t="n">
        <v>24</v>
      </c>
      <c r="H178" s="325" t="n">
        <v>214.04958677686</v>
      </c>
      <c r="I178" s="315"/>
      <c r="J178" s="144" t="s">
        <v>12</v>
      </c>
      <c r="K178" s="310"/>
      <c r="L178" s="311" t="n">
        <v>29</v>
      </c>
      <c r="M178" s="311" t="n">
        <v>0</v>
      </c>
      <c r="N178" s="144" t="n">
        <v>0</v>
      </c>
      <c r="O178" s="310"/>
      <c r="P178" s="311" t="n">
        <v>0</v>
      </c>
      <c r="Q178" s="311" t="n">
        <v>0</v>
      </c>
      <c r="R178" s="311" t="n">
        <v>0</v>
      </c>
      <c r="S178" s="311" t="n">
        <v>0</v>
      </c>
      <c r="T178" s="144" t="n">
        <v>0</v>
      </c>
      <c r="U178" s="310"/>
      <c r="V178" s="144" t="n">
        <v>1</v>
      </c>
      <c r="W178" s="315"/>
    </row>
    <row r="179" customFormat="false" ht="12.75" hidden="false" customHeight="false" outlineLevel="0" collapsed="false">
      <c r="B179" s="304" t="s">
        <v>190</v>
      </c>
      <c r="C179" s="305" t="s">
        <v>515</v>
      </c>
      <c r="D179" s="306" t="n">
        <v>396</v>
      </c>
      <c r="E179" s="306" t="n">
        <v>0</v>
      </c>
      <c r="F179" s="306" t="s">
        <v>514</v>
      </c>
      <c r="G179" s="307" t="n">
        <v>24</v>
      </c>
      <c r="H179" s="308" t="n">
        <v>395.867768595041</v>
      </c>
      <c r="I179" s="315"/>
      <c r="J179" s="144" t="s">
        <v>12</v>
      </c>
      <c r="K179" s="310"/>
      <c r="L179" s="311" t="n">
        <v>109</v>
      </c>
      <c r="M179" s="311" t="n">
        <v>19</v>
      </c>
      <c r="N179" s="144" t="n">
        <v>19</v>
      </c>
      <c r="O179" s="310"/>
      <c r="P179" s="311" t="n">
        <v>0</v>
      </c>
      <c r="Q179" s="311" t="n">
        <v>0</v>
      </c>
      <c r="R179" s="311" t="n">
        <v>0</v>
      </c>
      <c r="S179" s="311" t="n">
        <v>0</v>
      </c>
      <c r="T179" s="144" t="n">
        <v>0</v>
      </c>
      <c r="U179" s="310"/>
      <c r="V179" s="144" t="n">
        <v>0</v>
      </c>
      <c r="W179" s="315"/>
    </row>
    <row r="180" customFormat="false" ht="12.75" hidden="false" customHeight="false" outlineLevel="0" collapsed="false">
      <c r="B180" s="304" t="s">
        <v>190</v>
      </c>
      <c r="C180" s="305" t="s">
        <v>515</v>
      </c>
      <c r="D180" s="306" t="n">
        <v>396</v>
      </c>
      <c r="E180" s="306" t="n">
        <v>0</v>
      </c>
      <c r="F180" s="324" t="s">
        <v>514</v>
      </c>
      <c r="G180" s="144" t="n">
        <v>48</v>
      </c>
      <c r="H180" s="325" t="n">
        <v>395.867768595041</v>
      </c>
      <c r="I180" s="315"/>
      <c r="J180" s="144" t="s">
        <v>12</v>
      </c>
      <c r="K180" s="310"/>
      <c r="L180" s="311" t="n">
        <v>109</v>
      </c>
      <c r="M180" s="311" t="n">
        <v>19</v>
      </c>
      <c r="N180" s="144" t="n">
        <v>19</v>
      </c>
      <c r="O180" s="310"/>
      <c r="P180" s="311" t="n">
        <v>0</v>
      </c>
      <c r="Q180" s="311" t="n">
        <v>0</v>
      </c>
      <c r="R180" s="311" t="n">
        <v>0</v>
      </c>
      <c r="S180" s="311" t="n">
        <v>0</v>
      </c>
      <c r="T180" s="144" t="n">
        <v>0</v>
      </c>
      <c r="U180" s="310"/>
      <c r="V180" s="144" t="n">
        <v>0</v>
      </c>
      <c r="W180" s="315"/>
    </row>
    <row r="181" customFormat="false" ht="12.75" hidden="false" customHeight="false" outlineLevel="0" collapsed="false">
      <c r="B181" s="304" t="s">
        <v>190</v>
      </c>
      <c r="C181" s="305" t="s">
        <v>516</v>
      </c>
      <c r="D181" s="306" t="n">
        <v>479</v>
      </c>
      <c r="E181" s="306" t="n">
        <v>0</v>
      </c>
      <c r="F181" s="306" t="s">
        <v>514</v>
      </c>
      <c r="G181" s="307" t="n">
        <v>24</v>
      </c>
      <c r="H181" s="308" t="n">
        <v>478.512396694215</v>
      </c>
      <c r="I181" s="315"/>
      <c r="J181" s="144" t="s">
        <v>12</v>
      </c>
      <c r="K181" s="310"/>
      <c r="L181" s="311" t="n">
        <v>139</v>
      </c>
      <c r="M181" s="311" t="n">
        <v>19</v>
      </c>
      <c r="N181" s="144" t="n">
        <v>19</v>
      </c>
      <c r="O181" s="310"/>
      <c r="P181" s="311" t="n">
        <v>0</v>
      </c>
      <c r="Q181" s="311" t="n">
        <v>0</v>
      </c>
      <c r="R181" s="311" t="n">
        <v>0</v>
      </c>
      <c r="S181" s="311" t="n">
        <v>0</v>
      </c>
      <c r="T181" s="144" t="n">
        <v>0</v>
      </c>
      <c r="U181" s="310"/>
      <c r="V181" s="144" t="n">
        <v>0</v>
      </c>
      <c r="W181" s="315"/>
    </row>
    <row r="182" customFormat="false" ht="12.75" hidden="false" customHeight="false" outlineLevel="0" collapsed="false">
      <c r="B182" s="304" t="s">
        <v>190</v>
      </c>
      <c r="C182" s="305" t="s">
        <v>516</v>
      </c>
      <c r="D182" s="306" t="n">
        <v>479</v>
      </c>
      <c r="E182" s="306" t="n">
        <v>0</v>
      </c>
      <c r="F182" s="324" t="s">
        <v>514</v>
      </c>
      <c r="G182" s="144" t="n">
        <v>48</v>
      </c>
      <c r="H182" s="325" t="n">
        <v>478.512396694215</v>
      </c>
      <c r="I182" s="315"/>
      <c r="J182" s="144" t="s">
        <v>12</v>
      </c>
      <c r="K182" s="310"/>
      <c r="L182" s="311" t="n">
        <v>139</v>
      </c>
      <c r="M182" s="311" t="n">
        <v>19</v>
      </c>
      <c r="N182" s="144" t="n">
        <v>19</v>
      </c>
      <c r="O182" s="310"/>
      <c r="P182" s="311" t="n">
        <v>0</v>
      </c>
      <c r="Q182" s="311" t="n">
        <v>0</v>
      </c>
      <c r="R182" s="311" t="n">
        <v>0</v>
      </c>
      <c r="S182" s="311" t="n">
        <v>0</v>
      </c>
      <c r="T182" s="144" t="n">
        <v>0</v>
      </c>
      <c r="U182" s="310"/>
      <c r="V182" s="144" t="n">
        <v>0</v>
      </c>
      <c r="W182" s="315"/>
    </row>
    <row r="183" customFormat="false" ht="12.75" hidden="false" customHeight="false" outlineLevel="0" collapsed="false">
      <c r="B183" s="304" t="s">
        <v>190</v>
      </c>
      <c r="C183" s="305" t="s">
        <v>517</v>
      </c>
      <c r="D183" s="306" t="n">
        <v>1735</v>
      </c>
      <c r="E183" s="306" t="n">
        <v>0</v>
      </c>
      <c r="F183" s="306" t="s">
        <v>514</v>
      </c>
      <c r="G183" s="307" t="n">
        <v>24</v>
      </c>
      <c r="H183" s="308" t="n">
        <v>1569.42148760331</v>
      </c>
      <c r="I183" s="315"/>
      <c r="J183" s="144" t="s">
        <v>12</v>
      </c>
      <c r="K183" s="310"/>
      <c r="L183" s="311" t="n">
        <v>469</v>
      </c>
      <c r="M183" s="311" t="n">
        <v>289</v>
      </c>
      <c r="N183" s="144" t="n">
        <v>289</v>
      </c>
      <c r="O183" s="310"/>
      <c r="P183" s="311" t="n">
        <v>39</v>
      </c>
      <c r="Q183" s="311" t="n">
        <v>39</v>
      </c>
      <c r="R183" s="311" t="n">
        <v>39</v>
      </c>
      <c r="S183" s="311" t="n">
        <v>39</v>
      </c>
      <c r="T183" s="144" t="n">
        <v>39</v>
      </c>
      <c r="U183" s="310"/>
      <c r="V183" s="144" t="n">
        <v>166</v>
      </c>
      <c r="W183" s="315"/>
    </row>
    <row r="184" customFormat="false" ht="12.75" hidden="false" customHeight="false" outlineLevel="0" collapsed="false">
      <c r="B184" s="304" t="s">
        <v>190</v>
      </c>
      <c r="C184" s="305" t="s">
        <v>517</v>
      </c>
      <c r="D184" s="306" t="n">
        <v>1735</v>
      </c>
      <c r="E184" s="306" t="n">
        <v>0</v>
      </c>
      <c r="F184" s="324" t="s">
        <v>514</v>
      </c>
      <c r="G184" s="144" t="n">
        <v>48</v>
      </c>
      <c r="H184" s="325" t="n">
        <v>1569.42148760331</v>
      </c>
      <c r="I184" s="315"/>
      <c r="J184" s="144" t="s">
        <v>12</v>
      </c>
      <c r="K184" s="310"/>
      <c r="L184" s="311" t="n">
        <v>469</v>
      </c>
      <c r="M184" s="311" t="n">
        <v>289</v>
      </c>
      <c r="N184" s="144" t="n">
        <v>289</v>
      </c>
      <c r="O184" s="310"/>
      <c r="P184" s="311" t="n">
        <v>39</v>
      </c>
      <c r="Q184" s="311" t="n">
        <v>39</v>
      </c>
      <c r="R184" s="311" t="n">
        <v>39</v>
      </c>
      <c r="S184" s="311" t="n">
        <v>39</v>
      </c>
      <c r="T184" s="144" t="n">
        <v>39</v>
      </c>
      <c r="U184" s="310"/>
      <c r="V184" s="144" t="n">
        <v>166</v>
      </c>
      <c r="W184" s="315"/>
    </row>
    <row r="185" customFormat="false" ht="12.75" hidden="false" customHeight="false" outlineLevel="0" collapsed="false">
      <c r="B185" s="304" t="s">
        <v>190</v>
      </c>
      <c r="C185" s="305" t="s">
        <v>518</v>
      </c>
      <c r="D185" s="306" t="n">
        <v>537</v>
      </c>
      <c r="E185" s="306" t="n">
        <v>0</v>
      </c>
      <c r="F185" s="306" t="s">
        <v>514</v>
      </c>
      <c r="G185" s="307" t="n">
        <v>24</v>
      </c>
      <c r="H185" s="308" t="n">
        <v>519.834710743802</v>
      </c>
      <c r="I185" s="315"/>
      <c r="J185" s="144" t="s">
        <v>12</v>
      </c>
      <c r="K185" s="310"/>
      <c r="L185" s="311" t="n">
        <v>159</v>
      </c>
      <c r="M185" s="311" t="n">
        <v>19</v>
      </c>
      <c r="N185" s="144" t="n">
        <v>19</v>
      </c>
      <c r="O185" s="310"/>
      <c r="P185" s="311" t="n">
        <v>0</v>
      </c>
      <c r="Q185" s="311" t="n">
        <v>0</v>
      </c>
      <c r="R185" s="311" t="n">
        <v>0</v>
      </c>
      <c r="S185" s="311" t="n">
        <v>0</v>
      </c>
      <c r="T185" s="144" t="n">
        <v>0</v>
      </c>
      <c r="U185" s="310"/>
      <c r="V185" s="144" t="n">
        <v>17</v>
      </c>
      <c r="W185" s="315"/>
    </row>
    <row r="186" customFormat="false" ht="12.75" hidden="false" customHeight="false" outlineLevel="0" collapsed="false">
      <c r="B186" s="304" t="s">
        <v>190</v>
      </c>
      <c r="C186" s="305" t="s">
        <v>518</v>
      </c>
      <c r="D186" s="306" t="n">
        <v>537</v>
      </c>
      <c r="E186" s="306" t="n">
        <v>0</v>
      </c>
      <c r="F186" s="324" t="s">
        <v>514</v>
      </c>
      <c r="G186" s="144" t="n">
        <v>48</v>
      </c>
      <c r="H186" s="325" t="n">
        <v>519.834710743802</v>
      </c>
      <c r="I186" s="315"/>
      <c r="J186" s="144" t="s">
        <v>12</v>
      </c>
      <c r="K186" s="310"/>
      <c r="L186" s="311" t="n">
        <v>159</v>
      </c>
      <c r="M186" s="311" t="n">
        <v>19</v>
      </c>
      <c r="N186" s="144" t="n">
        <v>19</v>
      </c>
      <c r="O186" s="310"/>
      <c r="P186" s="311" t="n">
        <v>0</v>
      </c>
      <c r="Q186" s="311" t="n">
        <v>0</v>
      </c>
      <c r="R186" s="311" t="n">
        <v>0</v>
      </c>
      <c r="S186" s="311" t="n">
        <v>0</v>
      </c>
      <c r="T186" s="144" t="n">
        <v>0</v>
      </c>
      <c r="U186" s="310"/>
      <c r="V186" s="144" t="n">
        <v>17</v>
      </c>
      <c r="W186" s="315"/>
    </row>
    <row r="187" customFormat="false" ht="12.75" hidden="false" customHeight="false" outlineLevel="0" collapsed="false">
      <c r="B187" s="304" t="s">
        <v>190</v>
      </c>
      <c r="C187" s="305" t="s">
        <v>519</v>
      </c>
      <c r="D187" s="306" t="n">
        <v>2396</v>
      </c>
      <c r="E187" s="306" t="n">
        <v>0</v>
      </c>
      <c r="F187" s="306" t="s">
        <v>514</v>
      </c>
      <c r="G187" s="307" t="n">
        <v>24</v>
      </c>
      <c r="H187" s="308" t="n">
        <v>2230.57851239669</v>
      </c>
      <c r="I187" s="315"/>
      <c r="J187" s="144" t="s">
        <v>12</v>
      </c>
      <c r="K187" s="310"/>
      <c r="L187" s="311" t="n">
        <v>629</v>
      </c>
      <c r="M187" s="311" t="n">
        <v>379</v>
      </c>
      <c r="N187" s="144" t="n">
        <v>379</v>
      </c>
      <c r="O187" s="310"/>
      <c r="P187" s="311" t="n">
        <v>49</v>
      </c>
      <c r="Q187" s="311" t="n">
        <v>49</v>
      </c>
      <c r="R187" s="311" t="n">
        <v>49</v>
      </c>
      <c r="S187" s="311" t="n">
        <v>49</v>
      </c>
      <c r="T187" s="144" t="n">
        <v>49</v>
      </c>
      <c r="U187" s="310"/>
      <c r="V187" s="144" t="n">
        <v>165</v>
      </c>
      <c r="W187" s="315"/>
    </row>
    <row r="188" customFormat="false" ht="12.75" hidden="false" customHeight="false" outlineLevel="0" collapsed="false">
      <c r="B188" s="304" t="s">
        <v>190</v>
      </c>
      <c r="C188" s="305" t="s">
        <v>519</v>
      </c>
      <c r="D188" s="306" t="n">
        <v>2396</v>
      </c>
      <c r="E188" s="306" t="n">
        <v>0</v>
      </c>
      <c r="F188" s="324" t="s">
        <v>514</v>
      </c>
      <c r="G188" s="144" t="n">
        <v>48</v>
      </c>
      <c r="H188" s="325" t="n">
        <v>2230.57851239669</v>
      </c>
      <c r="I188" s="315"/>
      <c r="J188" s="144" t="s">
        <v>12</v>
      </c>
      <c r="K188" s="310"/>
      <c r="L188" s="311" t="n">
        <v>629</v>
      </c>
      <c r="M188" s="311" t="n">
        <v>379</v>
      </c>
      <c r="N188" s="144" t="n">
        <v>379</v>
      </c>
      <c r="O188" s="310"/>
      <c r="P188" s="311" t="n">
        <v>49</v>
      </c>
      <c r="Q188" s="311" t="n">
        <v>49</v>
      </c>
      <c r="R188" s="311" t="n">
        <v>49</v>
      </c>
      <c r="S188" s="311" t="n">
        <v>49</v>
      </c>
      <c r="T188" s="144" t="n">
        <v>49</v>
      </c>
      <c r="U188" s="310"/>
      <c r="V188" s="144" t="n">
        <v>165</v>
      </c>
      <c r="W188" s="315"/>
    </row>
    <row r="189" customFormat="false" ht="12.75" hidden="false" customHeight="false" outlineLevel="0" collapsed="false">
      <c r="B189" s="304" t="s">
        <v>190</v>
      </c>
      <c r="C189" s="305" t="s">
        <v>520</v>
      </c>
      <c r="D189" s="306" t="n">
        <v>686</v>
      </c>
      <c r="E189" s="306" t="n">
        <v>0</v>
      </c>
      <c r="F189" s="306" t="s">
        <v>514</v>
      </c>
      <c r="G189" s="307" t="n">
        <v>24</v>
      </c>
      <c r="H189" s="308" t="n">
        <v>685.123966942149</v>
      </c>
      <c r="I189" s="315"/>
      <c r="J189" s="144" t="s">
        <v>12</v>
      </c>
      <c r="K189" s="310"/>
      <c r="L189" s="311" t="n">
        <v>239</v>
      </c>
      <c r="M189" s="311" t="n">
        <v>139</v>
      </c>
      <c r="N189" s="144" t="n">
        <v>139</v>
      </c>
      <c r="O189" s="310"/>
      <c r="P189" s="311" t="n">
        <v>19</v>
      </c>
      <c r="Q189" s="311" t="n">
        <v>0</v>
      </c>
      <c r="R189" s="311" t="n">
        <v>0</v>
      </c>
      <c r="S189" s="311" t="n">
        <v>0</v>
      </c>
      <c r="T189" s="144" t="n">
        <v>0</v>
      </c>
      <c r="U189" s="310"/>
      <c r="V189" s="144" t="n">
        <v>1</v>
      </c>
      <c r="W189" s="315"/>
    </row>
    <row r="190" customFormat="false" ht="12.75" hidden="false" customHeight="false" outlineLevel="0" collapsed="false">
      <c r="B190" s="304" t="s">
        <v>190</v>
      </c>
      <c r="C190" s="305" t="s">
        <v>520</v>
      </c>
      <c r="D190" s="306" t="n">
        <v>686</v>
      </c>
      <c r="E190" s="306" t="n">
        <v>0</v>
      </c>
      <c r="F190" s="324" t="s">
        <v>514</v>
      </c>
      <c r="G190" s="144" t="n">
        <v>48</v>
      </c>
      <c r="H190" s="325" t="n">
        <v>685.123966942149</v>
      </c>
      <c r="I190" s="315"/>
      <c r="J190" s="144" t="s">
        <v>12</v>
      </c>
      <c r="K190" s="310"/>
      <c r="L190" s="311" t="n">
        <v>239</v>
      </c>
      <c r="M190" s="311" t="n">
        <v>139</v>
      </c>
      <c r="N190" s="144" t="n">
        <v>139</v>
      </c>
      <c r="O190" s="310"/>
      <c r="P190" s="311" t="n">
        <v>19</v>
      </c>
      <c r="Q190" s="311" t="n">
        <v>0</v>
      </c>
      <c r="R190" s="311" t="n">
        <v>0</v>
      </c>
      <c r="S190" s="311" t="n">
        <v>0</v>
      </c>
      <c r="T190" s="144" t="n">
        <v>0</v>
      </c>
      <c r="U190" s="310"/>
      <c r="V190" s="144" t="n">
        <v>1</v>
      </c>
      <c r="W190" s="315"/>
    </row>
    <row r="191" customFormat="false" ht="12.75" hidden="false" customHeight="false" outlineLevel="0" collapsed="false">
      <c r="B191" s="304" t="s">
        <v>190</v>
      </c>
      <c r="C191" s="305" t="s">
        <v>521</v>
      </c>
      <c r="D191" s="306" t="n">
        <v>1157</v>
      </c>
      <c r="E191" s="306" t="n">
        <v>0</v>
      </c>
      <c r="F191" s="306" t="s">
        <v>514</v>
      </c>
      <c r="G191" s="307" t="n">
        <v>24</v>
      </c>
      <c r="H191" s="308" t="n">
        <v>1032.23140495868</v>
      </c>
      <c r="I191" s="315"/>
      <c r="J191" s="144" t="s">
        <v>12</v>
      </c>
      <c r="K191" s="310"/>
      <c r="L191" s="311" t="n">
        <v>369</v>
      </c>
      <c r="M191" s="311" t="n">
        <v>219</v>
      </c>
      <c r="N191" s="144" t="n">
        <v>219</v>
      </c>
      <c r="O191" s="310"/>
      <c r="P191" s="311" t="n">
        <v>29</v>
      </c>
      <c r="Q191" s="311" t="n">
        <v>29</v>
      </c>
      <c r="R191" s="311" t="n">
        <v>29</v>
      </c>
      <c r="S191" s="311" t="n">
        <v>29</v>
      </c>
      <c r="T191" s="144" t="n">
        <v>29</v>
      </c>
      <c r="U191" s="310"/>
      <c r="V191" s="144" t="n">
        <v>125</v>
      </c>
      <c r="W191" s="315"/>
    </row>
    <row r="192" customFormat="false" ht="12.75" hidden="false" customHeight="false" outlineLevel="0" collapsed="false">
      <c r="B192" s="304" t="s">
        <v>190</v>
      </c>
      <c r="C192" s="305" t="s">
        <v>521</v>
      </c>
      <c r="D192" s="306" t="n">
        <v>1157</v>
      </c>
      <c r="E192" s="306" t="n">
        <v>0</v>
      </c>
      <c r="F192" s="324" t="s">
        <v>514</v>
      </c>
      <c r="G192" s="144" t="n">
        <v>48</v>
      </c>
      <c r="H192" s="325" t="n">
        <v>1032.23140495868</v>
      </c>
      <c r="I192" s="315"/>
      <c r="J192" s="144" t="s">
        <v>12</v>
      </c>
      <c r="K192" s="310"/>
      <c r="L192" s="311" t="n">
        <v>369</v>
      </c>
      <c r="M192" s="311" t="n">
        <v>219</v>
      </c>
      <c r="N192" s="144" t="n">
        <v>219</v>
      </c>
      <c r="O192" s="310"/>
      <c r="P192" s="311" t="n">
        <v>29</v>
      </c>
      <c r="Q192" s="311" t="n">
        <v>29</v>
      </c>
      <c r="R192" s="311" t="n">
        <v>29</v>
      </c>
      <c r="S192" s="311" t="n">
        <v>29</v>
      </c>
      <c r="T192" s="144" t="n">
        <v>29</v>
      </c>
      <c r="U192" s="310"/>
      <c r="V192" s="144" t="n">
        <v>125</v>
      </c>
      <c r="W192" s="315"/>
    </row>
    <row r="193" customFormat="false" ht="12.75" hidden="false" customHeight="false" outlineLevel="0" collapsed="false">
      <c r="B193" s="304" t="s">
        <v>190</v>
      </c>
      <c r="C193" s="327" t="s">
        <v>522</v>
      </c>
      <c r="D193" s="306" t="n">
        <v>1239</v>
      </c>
      <c r="E193" s="306" t="n">
        <v>0</v>
      </c>
      <c r="F193" s="306" t="s">
        <v>514</v>
      </c>
      <c r="G193" s="307" t="n">
        <v>24</v>
      </c>
      <c r="H193" s="308" t="n">
        <v>1238.84297520661</v>
      </c>
      <c r="I193" s="315"/>
      <c r="J193" s="144" t="s">
        <v>12</v>
      </c>
      <c r="K193" s="310"/>
      <c r="L193" s="311" t="n">
        <v>379</v>
      </c>
      <c r="M193" s="311" t="n">
        <v>239</v>
      </c>
      <c r="N193" s="144" t="n">
        <v>239</v>
      </c>
      <c r="O193" s="310"/>
      <c r="P193" s="311" t="n">
        <v>39</v>
      </c>
      <c r="Q193" s="311" t="n">
        <v>39</v>
      </c>
      <c r="R193" s="311" t="n">
        <v>39</v>
      </c>
      <c r="S193" s="311" t="n">
        <v>39</v>
      </c>
      <c r="T193" s="144" t="n">
        <v>39</v>
      </c>
      <c r="U193" s="310"/>
      <c r="V193" s="144" t="n">
        <v>0</v>
      </c>
      <c r="W193" s="315"/>
    </row>
    <row r="194" customFormat="false" ht="12.75" hidden="false" customHeight="false" outlineLevel="0" collapsed="false">
      <c r="B194" s="304" t="s">
        <v>190</v>
      </c>
      <c r="C194" s="327" t="s">
        <v>522</v>
      </c>
      <c r="D194" s="306" t="n">
        <v>1239</v>
      </c>
      <c r="E194" s="306" t="n">
        <v>0</v>
      </c>
      <c r="F194" s="324" t="s">
        <v>514</v>
      </c>
      <c r="G194" s="144" t="n">
        <v>48</v>
      </c>
      <c r="H194" s="325" t="n">
        <v>1238.84297520661</v>
      </c>
      <c r="I194" s="315"/>
      <c r="J194" s="144" t="s">
        <v>12</v>
      </c>
      <c r="K194" s="310"/>
      <c r="L194" s="311" t="n">
        <v>379</v>
      </c>
      <c r="M194" s="311" t="n">
        <v>239</v>
      </c>
      <c r="N194" s="144" t="n">
        <v>239</v>
      </c>
      <c r="O194" s="310"/>
      <c r="P194" s="311" t="n">
        <v>39</v>
      </c>
      <c r="Q194" s="311" t="n">
        <v>39</v>
      </c>
      <c r="R194" s="311" t="n">
        <v>39</v>
      </c>
      <c r="S194" s="311" t="n">
        <v>39</v>
      </c>
      <c r="T194" s="144" t="n">
        <v>39</v>
      </c>
      <c r="U194" s="310"/>
      <c r="V194" s="144" t="n">
        <v>0</v>
      </c>
      <c r="W194" s="315"/>
    </row>
    <row r="195" customFormat="false" ht="12.75" hidden="false" customHeight="false" outlineLevel="0" collapsed="false">
      <c r="B195" s="304" t="s">
        <v>190</v>
      </c>
      <c r="C195" s="327" t="s">
        <v>523</v>
      </c>
      <c r="D195" s="306" t="n">
        <v>2396</v>
      </c>
      <c r="E195" s="306" t="n">
        <v>0</v>
      </c>
      <c r="F195" s="306" t="s">
        <v>514</v>
      </c>
      <c r="G195" s="307" t="n">
        <v>24</v>
      </c>
      <c r="H195" s="308" t="n">
        <v>2395.86776859504</v>
      </c>
      <c r="I195" s="315"/>
      <c r="J195" s="144" t="s">
        <v>12</v>
      </c>
      <c r="K195" s="310"/>
      <c r="L195" s="311" t="n">
        <v>659</v>
      </c>
      <c r="M195" s="311" t="n">
        <v>399</v>
      </c>
      <c r="N195" s="144" t="n">
        <v>399</v>
      </c>
      <c r="O195" s="310"/>
      <c r="P195" s="311" t="n">
        <v>49</v>
      </c>
      <c r="Q195" s="311" t="n">
        <v>49</v>
      </c>
      <c r="R195" s="311" t="n">
        <v>49</v>
      </c>
      <c r="S195" s="311" t="n">
        <v>49</v>
      </c>
      <c r="T195" s="144" t="n">
        <v>49</v>
      </c>
      <c r="U195" s="310"/>
      <c r="V195" s="144" t="n">
        <v>0</v>
      </c>
      <c r="W195" s="315"/>
    </row>
    <row r="196" customFormat="false" ht="12.75" hidden="false" customHeight="false" outlineLevel="0" collapsed="false">
      <c r="B196" s="304" t="s">
        <v>190</v>
      </c>
      <c r="C196" s="327" t="s">
        <v>523</v>
      </c>
      <c r="D196" s="306" t="n">
        <v>2396</v>
      </c>
      <c r="E196" s="306" t="n">
        <v>0</v>
      </c>
      <c r="F196" s="324" t="s">
        <v>514</v>
      </c>
      <c r="G196" s="144" t="n">
        <v>48</v>
      </c>
      <c r="H196" s="325" t="n">
        <v>2395.86776859504</v>
      </c>
      <c r="I196" s="315"/>
      <c r="J196" s="144" t="s">
        <v>12</v>
      </c>
      <c r="K196" s="310"/>
      <c r="L196" s="311" t="n">
        <v>659</v>
      </c>
      <c r="M196" s="311" t="n">
        <v>399</v>
      </c>
      <c r="N196" s="144" t="n">
        <v>399</v>
      </c>
      <c r="O196" s="310"/>
      <c r="P196" s="311" t="n">
        <v>49</v>
      </c>
      <c r="Q196" s="311" t="n">
        <v>49</v>
      </c>
      <c r="R196" s="311" t="n">
        <v>49</v>
      </c>
      <c r="S196" s="311" t="n">
        <v>49</v>
      </c>
      <c r="T196" s="144" t="n">
        <v>49</v>
      </c>
      <c r="U196" s="310"/>
      <c r="V196" s="144" t="n">
        <v>0</v>
      </c>
      <c r="W196" s="315"/>
    </row>
    <row r="197" customFormat="false" ht="12.75" hidden="false" customHeight="false" outlineLevel="0" collapsed="false">
      <c r="B197" s="304" t="s">
        <v>190</v>
      </c>
      <c r="C197" s="327" t="s">
        <v>524</v>
      </c>
      <c r="D197" s="306" t="n">
        <v>1735</v>
      </c>
      <c r="E197" s="306" t="n">
        <v>0</v>
      </c>
      <c r="F197" s="306" t="s">
        <v>514</v>
      </c>
      <c r="G197" s="307" t="n">
        <v>24</v>
      </c>
      <c r="H197" s="308" t="n">
        <v>1734.71074380165</v>
      </c>
      <c r="I197" s="315"/>
      <c r="J197" s="144" t="s">
        <v>12</v>
      </c>
      <c r="K197" s="310"/>
      <c r="L197" s="311" t="n">
        <v>489</v>
      </c>
      <c r="M197" s="311" t="n">
        <v>299</v>
      </c>
      <c r="N197" s="144" t="n">
        <v>299</v>
      </c>
      <c r="O197" s="310"/>
      <c r="P197" s="311" t="n">
        <v>39</v>
      </c>
      <c r="Q197" s="311" t="n">
        <v>39</v>
      </c>
      <c r="R197" s="311" t="n">
        <v>39</v>
      </c>
      <c r="S197" s="311" t="n">
        <v>39</v>
      </c>
      <c r="T197" s="144" t="n">
        <v>39</v>
      </c>
      <c r="U197" s="310"/>
      <c r="V197" s="144" t="n">
        <v>0</v>
      </c>
      <c r="W197" s="315"/>
    </row>
    <row r="198" customFormat="false" ht="12.75" hidden="false" customHeight="false" outlineLevel="0" collapsed="false">
      <c r="B198" s="304" t="s">
        <v>190</v>
      </c>
      <c r="C198" s="327" t="s">
        <v>524</v>
      </c>
      <c r="D198" s="306" t="n">
        <v>1735</v>
      </c>
      <c r="E198" s="306" t="n">
        <v>0</v>
      </c>
      <c r="F198" s="324" t="s">
        <v>514</v>
      </c>
      <c r="G198" s="144" t="n">
        <v>48</v>
      </c>
      <c r="H198" s="325" t="n">
        <v>1734.71074380165</v>
      </c>
      <c r="I198" s="315"/>
      <c r="J198" s="144" t="s">
        <v>12</v>
      </c>
      <c r="K198" s="310"/>
      <c r="L198" s="311" t="n">
        <v>489</v>
      </c>
      <c r="M198" s="311" t="n">
        <v>299</v>
      </c>
      <c r="N198" s="144" t="n">
        <v>299</v>
      </c>
      <c r="O198" s="310"/>
      <c r="P198" s="311" t="n">
        <v>39</v>
      </c>
      <c r="Q198" s="311" t="n">
        <v>39</v>
      </c>
      <c r="R198" s="311" t="n">
        <v>39</v>
      </c>
      <c r="S198" s="311" t="n">
        <v>39</v>
      </c>
      <c r="T198" s="144" t="n">
        <v>39</v>
      </c>
      <c r="U198" s="310"/>
      <c r="V198" s="144" t="n">
        <v>0</v>
      </c>
      <c r="W198" s="315"/>
    </row>
    <row r="199" customFormat="false" ht="12.75" hidden="false" customHeight="false" outlineLevel="0" collapsed="false">
      <c r="B199" s="304" t="s">
        <v>200</v>
      </c>
      <c r="C199" s="305" t="s">
        <v>525</v>
      </c>
      <c r="D199" s="306" t="n">
        <v>429</v>
      </c>
      <c r="E199" s="306" t="n">
        <v>0</v>
      </c>
      <c r="F199" s="306" t="s">
        <v>514</v>
      </c>
      <c r="G199" s="307" t="n">
        <v>24</v>
      </c>
      <c r="H199" s="308" t="n">
        <v>354.545454545455</v>
      </c>
      <c r="I199" s="315"/>
      <c r="J199" s="144" t="s">
        <v>12</v>
      </c>
      <c r="K199" s="310"/>
      <c r="L199" s="311" t="n">
        <v>109</v>
      </c>
      <c r="M199" s="311" t="n">
        <v>19</v>
      </c>
      <c r="N199" s="144" t="n">
        <v>19</v>
      </c>
      <c r="O199" s="310"/>
      <c r="P199" s="311" t="n">
        <v>0</v>
      </c>
      <c r="Q199" s="311" t="n">
        <v>0</v>
      </c>
      <c r="R199" s="311" t="n">
        <v>0</v>
      </c>
      <c r="S199" s="311" t="n">
        <v>0</v>
      </c>
      <c r="T199" s="144" t="n">
        <v>0</v>
      </c>
      <c r="U199" s="310"/>
      <c r="V199" s="144" t="n">
        <v>74</v>
      </c>
      <c r="W199" s="315"/>
    </row>
    <row r="200" customFormat="false" ht="12.75" hidden="false" customHeight="false" outlineLevel="0" collapsed="false">
      <c r="B200" s="304" t="s">
        <v>200</v>
      </c>
      <c r="C200" s="305" t="s">
        <v>525</v>
      </c>
      <c r="D200" s="306" t="n">
        <v>429</v>
      </c>
      <c r="E200" s="306" t="n">
        <v>0</v>
      </c>
      <c r="F200" s="324" t="s">
        <v>514</v>
      </c>
      <c r="G200" s="144" t="n">
        <v>48</v>
      </c>
      <c r="H200" s="325" t="n">
        <v>354.545454545455</v>
      </c>
      <c r="I200" s="315"/>
      <c r="J200" s="144" t="s">
        <v>12</v>
      </c>
      <c r="K200" s="310"/>
      <c r="L200" s="311" t="n">
        <v>109</v>
      </c>
      <c r="M200" s="311" t="n">
        <v>19</v>
      </c>
      <c r="N200" s="144" t="n">
        <v>19</v>
      </c>
      <c r="O200" s="310"/>
      <c r="P200" s="311" t="n">
        <v>0</v>
      </c>
      <c r="Q200" s="311" t="n">
        <v>0</v>
      </c>
      <c r="R200" s="311" t="n">
        <v>0</v>
      </c>
      <c r="S200" s="311" t="n">
        <v>0</v>
      </c>
      <c r="T200" s="144" t="n">
        <v>0</v>
      </c>
      <c r="U200" s="310"/>
      <c r="V200" s="144" t="n">
        <v>74</v>
      </c>
      <c r="W200" s="315"/>
    </row>
    <row r="201" customFormat="false" ht="12.75" hidden="false" customHeight="false" outlineLevel="0" collapsed="false">
      <c r="B201" s="304" t="s">
        <v>200</v>
      </c>
      <c r="C201" s="305" t="s">
        <v>526</v>
      </c>
      <c r="D201" s="306" t="n">
        <v>537</v>
      </c>
      <c r="E201" s="306" t="n">
        <v>0</v>
      </c>
      <c r="F201" s="306" t="s">
        <v>514</v>
      </c>
      <c r="G201" s="307" t="n">
        <v>24</v>
      </c>
      <c r="H201" s="308" t="n">
        <v>495.04132231405</v>
      </c>
      <c r="I201" s="315"/>
      <c r="J201" s="144" t="s">
        <v>12</v>
      </c>
      <c r="K201" s="310"/>
      <c r="L201" s="311" t="n">
        <v>169</v>
      </c>
      <c r="M201" s="311" t="n">
        <v>19</v>
      </c>
      <c r="N201" s="144" t="n">
        <v>19</v>
      </c>
      <c r="O201" s="310"/>
      <c r="P201" s="311" t="n">
        <v>0</v>
      </c>
      <c r="Q201" s="311" t="n">
        <v>0</v>
      </c>
      <c r="R201" s="311" t="n">
        <v>0</v>
      </c>
      <c r="S201" s="311" t="n">
        <v>0</v>
      </c>
      <c r="T201" s="144" t="n">
        <v>0</v>
      </c>
      <c r="U201" s="310"/>
      <c r="V201" s="144" t="n">
        <v>42</v>
      </c>
      <c r="W201" s="315"/>
    </row>
    <row r="202" customFormat="false" ht="12.75" hidden="false" customHeight="false" outlineLevel="0" collapsed="false">
      <c r="B202" s="304" t="s">
        <v>200</v>
      </c>
      <c r="C202" s="305" t="s">
        <v>526</v>
      </c>
      <c r="D202" s="306" t="n">
        <v>537</v>
      </c>
      <c r="E202" s="306" t="n">
        <v>0</v>
      </c>
      <c r="F202" s="324" t="s">
        <v>514</v>
      </c>
      <c r="G202" s="144" t="n">
        <v>48</v>
      </c>
      <c r="H202" s="325" t="n">
        <v>495.04132231405</v>
      </c>
      <c r="I202" s="315"/>
      <c r="J202" s="144" t="s">
        <v>12</v>
      </c>
      <c r="K202" s="310"/>
      <c r="L202" s="311" t="n">
        <v>169</v>
      </c>
      <c r="M202" s="311" t="n">
        <v>19</v>
      </c>
      <c r="N202" s="144" t="n">
        <v>19</v>
      </c>
      <c r="O202" s="310"/>
      <c r="P202" s="311" t="n">
        <v>0</v>
      </c>
      <c r="Q202" s="311" t="n">
        <v>0</v>
      </c>
      <c r="R202" s="311" t="n">
        <v>0</v>
      </c>
      <c r="S202" s="311" t="n">
        <v>0</v>
      </c>
      <c r="T202" s="144" t="n">
        <v>0</v>
      </c>
      <c r="U202" s="310"/>
      <c r="V202" s="144" t="n">
        <v>42</v>
      </c>
      <c r="W202" s="315"/>
    </row>
    <row r="203" customFormat="false" ht="12.75" hidden="false" customHeight="false" outlineLevel="0" collapsed="false">
      <c r="B203" s="304" t="s">
        <v>200</v>
      </c>
      <c r="C203" s="305" t="s">
        <v>527</v>
      </c>
      <c r="D203" s="306" t="n">
        <v>702</v>
      </c>
      <c r="E203" s="306" t="n">
        <v>0</v>
      </c>
      <c r="F203" s="306" t="s">
        <v>514</v>
      </c>
      <c r="G203" s="307" t="n">
        <v>24</v>
      </c>
      <c r="H203" s="308" t="n">
        <v>660.330578512397</v>
      </c>
      <c r="I203" s="315"/>
      <c r="J203" s="144" t="s">
        <v>12</v>
      </c>
      <c r="K203" s="310"/>
      <c r="L203" s="311" t="n">
        <v>249</v>
      </c>
      <c r="M203" s="311" t="n">
        <v>149</v>
      </c>
      <c r="N203" s="144" t="n">
        <v>149</v>
      </c>
      <c r="O203" s="310"/>
      <c r="P203" s="311" t="n">
        <v>19</v>
      </c>
      <c r="Q203" s="311" t="n">
        <v>0</v>
      </c>
      <c r="R203" s="311" t="n">
        <v>0</v>
      </c>
      <c r="S203" s="311" t="n">
        <v>0</v>
      </c>
      <c r="T203" s="144" t="n">
        <v>0</v>
      </c>
      <c r="U203" s="310"/>
      <c r="V203" s="144" t="n">
        <v>42</v>
      </c>
      <c r="W203" s="315"/>
    </row>
    <row r="204" customFormat="false" ht="12.75" hidden="false" customHeight="false" outlineLevel="0" collapsed="false">
      <c r="B204" s="304" t="s">
        <v>200</v>
      </c>
      <c r="C204" s="305" t="s">
        <v>527</v>
      </c>
      <c r="D204" s="306" t="n">
        <v>702</v>
      </c>
      <c r="E204" s="306" t="n">
        <v>0</v>
      </c>
      <c r="F204" s="324" t="s">
        <v>514</v>
      </c>
      <c r="G204" s="144" t="n">
        <v>48</v>
      </c>
      <c r="H204" s="325" t="n">
        <v>660.330578512397</v>
      </c>
      <c r="I204" s="315"/>
      <c r="J204" s="144" t="s">
        <v>12</v>
      </c>
      <c r="K204" s="310"/>
      <c r="L204" s="311" t="n">
        <v>249</v>
      </c>
      <c r="M204" s="311" t="n">
        <v>149</v>
      </c>
      <c r="N204" s="144" t="n">
        <v>149</v>
      </c>
      <c r="O204" s="310"/>
      <c r="P204" s="311" t="n">
        <v>19</v>
      </c>
      <c r="Q204" s="311" t="n">
        <v>0</v>
      </c>
      <c r="R204" s="311" t="n">
        <v>0</v>
      </c>
      <c r="S204" s="311" t="n">
        <v>0</v>
      </c>
      <c r="T204" s="144" t="n">
        <v>0</v>
      </c>
      <c r="U204" s="310"/>
      <c r="V204" s="144" t="n">
        <v>42</v>
      </c>
      <c r="W204" s="315"/>
    </row>
    <row r="205" customFormat="false" ht="12.75" hidden="false" customHeight="false" outlineLevel="0" collapsed="false">
      <c r="B205" s="304" t="s">
        <v>200</v>
      </c>
      <c r="C205" s="305" t="s">
        <v>528</v>
      </c>
      <c r="D205" s="306" t="n">
        <v>1012</v>
      </c>
      <c r="E205" s="306" t="n">
        <v>0</v>
      </c>
      <c r="F205" s="306" t="s">
        <v>514</v>
      </c>
      <c r="G205" s="307" t="n">
        <v>24</v>
      </c>
      <c r="H205" s="308" t="n">
        <v>908.264462809917</v>
      </c>
      <c r="I205" s="315"/>
      <c r="J205" s="144" t="s">
        <v>12</v>
      </c>
      <c r="K205" s="310"/>
      <c r="L205" s="311" t="n">
        <v>359</v>
      </c>
      <c r="M205" s="311" t="n">
        <v>219</v>
      </c>
      <c r="N205" s="144" t="n">
        <v>219</v>
      </c>
      <c r="O205" s="310"/>
      <c r="P205" s="311" t="n">
        <v>29</v>
      </c>
      <c r="Q205" s="311" t="n">
        <v>29</v>
      </c>
      <c r="R205" s="311" t="n">
        <v>29</v>
      </c>
      <c r="S205" s="311" t="n">
        <v>29</v>
      </c>
      <c r="T205" s="144" t="n">
        <v>29</v>
      </c>
      <c r="U205" s="310"/>
      <c r="V205" s="144" t="n">
        <v>104</v>
      </c>
      <c r="W205" s="315"/>
    </row>
    <row r="206" customFormat="false" ht="12.75" hidden="false" customHeight="false" outlineLevel="0" collapsed="false">
      <c r="B206" s="304" t="s">
        <v>200</v>
      </c>
      <c r="C206" s="305" t="s">
        <v>528</v>
      </c>
      <c r="D206" s="306" t="n">
        <v>1012</v>
      </c>
      <c r="E206" s="306" t="n">
        <v>0</v>
      </c>
      <c r="F206" s="324" t="s">
        <v>514</v>
      </c>
      <c r="G206" s="144" t="n">
        <v>48</v>
      </c>
      <c r="H206" s="325" t="n">
        <v>908.264462809917</v>
      </c>
      <c r="I206" s="315"/>
      <c r="J206" s="144" t="s">
        <v>12</v>
      </c>
      <c r="K206" s="310"/>
      <c r="L206" s="311" t="n">
        <v>359</v>
      </c>
      <c r="M206" s="311" t="n">
        <v>219</v>
      </c>
      <c r="N206" s="144" t="n">
        <v>219</v>
      </c>
      <c r="O206" s="310"/>
      <c r="P206" s="311" t="n">
        <v>29</v>
      </c>
      <c r="Q206" s="311" t="n">
        <v>29</v>
      </c>
      <c r="R206" s="311" t="n">
        <v>29</v>
      </c>
      <c r="S206" s="311" t="n">
        <v>29</v>
      </c>
      <c r="T206" s="144" t="n">
        <v>29</v>
      </c>
      <c r="U206" s="310"/>
      <c r="V206" s="144" t="n">
        <v>104</v>
      </c>
      <c r="W206" s="315"/>
    </row>
    <row r="207" customFormat="false" ht="12.75" hidden="false" customHeight="false" outlineLevel="0" collapsed="false">
      <c r="B207" s="304" t="s">
        <v>428</v>
      </c>
      <c r="C207" s="305" t="s">
        <v>529</v>
      </c>
      <c r="D207" s="306" t="n">
        <v>159</v>
      </c>
      <c r="E207" s="306" t="n">
        <v>0</v>
      </c>
      <c r="F207" s="306" t="s">
        <v>514</v>
      </c>
      <c r="G207" s="307" t="n">
        <v>24</v>
      </c>
      <c r="H207" s="308" t="n">
        <v>158.677685950413</v>
      </c>
      <c r="I207" s="315"/>
      <c r="J207" s="144" t="s">
        <v>12</v>
      </c>
      <c r="K207" s="310"/>
      <c r="L207" s="311" t="n">
        <v>29</v>
      </c>
      <c r="M207" s="311" t="n">
        <v>0</v>
      </c>
      <c r="N207" s="144" t="n">
        <v>0</v>
      </c>
      <c r="O207" s="310"/>
      <c r="P207" s="311" t="n">
        <v>0</v>
      </c>
      <c r="Q207" s="311" t="n">
        <v>0</v>
      </c>
      <c r="R207" s="311" t="n">
        <v>0</v>
      </c>
      <c r="S207" s="311" t="n">
        <v>0</v>
      </c>
      <c r="T207" s="144" t="n">
        <v>0</v>
      </c>
      <c r="U207" s="310"/>
      <c r="V207" s="144" t="n">
        <v>0</v>
      </c>
      <c r="W207" s="315"/>
    </row>
    <row r="208" customFormat="false" ht="12.75" hidden="false" customHeight="false" outlineLevel="0" collapsed="false">
      <c r="B208" s="304" t="s">
        <v>428</v>
      </c>
      <c r="C208" s="305" t="s">
        <v>530</v>
      </c>
      <c r="D208" s="306" t="n">
        <v>315</v>
      </c>
      <c r="E208" s="306" t="n">
        <v>0</v>
      </c>
      <c r="F208" s="324" t="s">
        <v>514</v>
      </c>
      <c r="G208" s="144" t="n">
        <v>24</v>
      </c>
      <c r="H208" s="325" t="n">
        <v>288.429752066116</v>
      </c>
      <c r="I208" s="315"/>
      <c r="J208" s="144" t="s">
        <v>12</v>
      </c>
      <c r="K208" s="310"/>
      <c r="L208" s="311" t="n">
        <v>99</v>
      </c>
      <c r="M208" s="311" t="n">
        <v>19</v>
      </c>
      <c r="N208" s="144" t="n">
        <v>19</v>
      </c>
      <c r="O208" s="310"/>
      <c r="P208" s="311" t="n">
        <v>0</v>
      </c>
      <c r="Q208" s="311" t="n">
        <v>0</v>
      </c>
      <c r="R208" s="311" t="n">
        <v>0</v>
      </c>
      <c r="S208" s="311" t="n">
        <v>0</v>
      </c>
      <c r="T208" s="144" t="n">
        <v>0</v>
      </c>
      <c r="U208" s="310"/>
      <c r="V208" s="144" t="n">
        <v>27</v>
      </c>
      <c r="W208" s="315"/>
    </row>
    <row r="209" customFormat="false" ht="12.75" hidden="false" customHeight="false" outlineLevel="0" collapsed="false">
      <c r="B209" s="304" t="s">
        <v>428</v>
      </c>
      <c r="C209" s="305" t="s">
        <v>530</v>
      </c>
      <c r="D209" s="306" t="n">
        <v>315</v>
      </c>
      <c r="E209" s="306" t="n">
        <v>0</v>
      </c>
      <c r="F209" s="306" t="s">
        <v>514</v>
      </c>
      <c r="G209" s="307" t="n">
        <v>48</v>
      </c>
      <c r="H209" s="308" t="n">
        <v>288.429752066116</v>
      </c>
      <c r="I209" s="315"/>
      <c r="J209" s="144" t="s">
        <v>12</v>
      </c>
      <c r="K209" s="310"/>
      <c r="L209" s="311" t="n">
        <v>99</v>
      </c>
      <c r="M209" s="311" t="n">
        <v>19</v>
      </c>
      <c r="N209" s="144" t="n">
        <v>19</v>
      </c>
      <c r="O209" s="310"/>
      <c r="P209" s="311" t="n">
        <v>0</v>
      </c>
      <c r="Q209" s="311" t="n">
        <v>0</v>
      </c>
      <c r="R209" s="311" t="n">
        <v>0</v>
      </c>
      <c r="S209" s="311" t="n">
        <v>0</v>
      </c>
      <c r="T209" s="144" t="n">
        <v>0</v>
      </c>
      <c r="U209" s="310"/>
      <c r="V209" s="144" t="n">
        <v>27</v>
      </c>
      <c r="W209" s="315"/>
    </row>
    <row r="210" customFormat="false" ht="12.75" hidden="false" customHeight="false" outlineLevel="0" collapsed="false">
      <c r="B210" s="304" t="s">
        <v>428</v>
      </c>
      <c r="C210" s="305" t="s">
        <v>531</v>
      </c>
      <c r="D210" s="306" t="n">
        <v>421</v>
      </c>
      <c r="E210" s="306" t="n">
        <v>0</v>
      </c>
      <c r="F210" s="324" t="s">
        <v>514</v>
      </c>
      <c r="G210" s="144" t="n">
        <v>24</v>
      </c>
      <c r="H210" s="325" t="n">
        <v>420.661157024793</v>
      </c>
      <c r="I210" s="315"/>
      <c r="J210" s="144" t="s">
        <v>12</v>
      </c>
      <c r="K210" s="310"/>
      <c r="L210" s="311" t="n">
        <v>139</v>
      </c>
      <c r="M210" s="311" t="n">
        <v>19</v>
      </c>
      <c r="N210" s="144" t="n">
        <v>19</v>
      </c>
      <c r="O210" s="310"/>
      <c r="P210" s="311" t="n">
        <v>0</v>
      </c>
      <c r="Q210" s="311" t="n">
        <v>0</v>
      </c>
      <c r="R210" s="311" t="n">
        <v>0</v>
      </c>
      <c r="S210" s="311" t="n">
        <v>0</v>
      </c>
      <c r="T210" s="144" t="n">
        <v>0</v>
      </c>
      <c r="U210" s="310"/>
      <c r="V210" s="144" t="n">
        <v>0</v>
      </c>
      <c r="W210" s="315"/>
    </row>
    <row r="211" customFormat="false" ht="12.75" hidden="false" customHeight="false" outlineLevel="0" collapsed="false">
      <c r="B211" s="304" t="s">
        <v>428</v>
      </c>
      <c r="C211" s="305" t="s">
        <v>531</v>
      </c>
      <c r="D211" s="306" t="n">
        <v>421</v>
      </c>
      <c r="E211" s="306" t="n">
        <v>0</v>
      </c>
      <c r="F211" s="306" t="s">
        <v>514</v>
      </c>
      <c r="G211" s="307" t="n">
        <v>48</v>
      </c>
      <c r="H211" s="308" t="n">
        <v>420.661157024793</v>
      </c>
      <c r="I211" s="315"/>
      <c r="J211" s="144" t="s">
        <v>12</v>
      </c>
      <c r="K211" s="310"/>
      <c r="L211" s="311" t="n">
        <v>139</v>
      </c>
      <c r="M211" s="311" t="n">
        <v>19</v>
      </c>
      <c r="N211" s="144" t="n">
        <v>19</v>
      </c>
      <c r="O211" s="310"/>
      <c r="P211" s="311" t="n">
        <v>0</v>
      </c>
      <c r="Q211" s="311" t="n">
        <v>0</v>
      </c>
      <c r="R211" s="311" t="n">
        <v>0</v>
      </c>
      <c r="S211" s="311" t="n">
        <v>0</v>
      </c>
      <c r="T211" s="144" t="n">
        <v>0</v>
      </c>
      <c r="U211" s="310"/>
      <c r="V211" s="144" t="n">
        <v>0</v>
      </c>
      <c r="W211" s="315"/>
    </row>
    <row r="212" customFormat="false" ht="12.75" hidden="false" customHeight="false" outlineLevel="0" collapsed="false">
      <c r="B212" s="304" t="s">
        <v>428</v>
      </c>
      <c r="C212" s="305" t="s">
        <v>532</v>
      </c>
      <c r="D212" s="306" t="n">
        <v>467</v>
      </c>
      <c r="E212" s="306" t="n">
        <v>0</v>
      </c>
      <c r="F212" s="324" t="s">
        <v>514</v>
      </c>
      <c r="G212" s="144" t="n">
        <v>24</v>
      </c>
      <c r="H212" s="325" t="n">
        <v>453.719008264463</v>
      </c>
      <c r="I212" s="315"/>
      <c r="J212" s="144" t="s">
        <v>12</v>
      </c>
      <c r="K212" s="310"/>
      <c r="L212" s="311" t="n">
        <v>149</v>
      </c>
      <c r="M212" s="311" t="n">
        <v>19</v>
      </c>
      <c r="N212" s="144" t="n">
        <v>19</v>
      </c>
      <c r="O212" s="310"/>
      <c r="P212" s="311" t="n">
        <v>0</v>
      </c>
      <c r="Q212" s="311" t="n">
        <v>0</v>
      </c>
      <c r="R212" s="311" t="n">
        <v>0</v>
      </c>
      <c r="S212" s="311" t="n">
        <v>0</v>
      </c>
      <c r="T212" s="144" t="n">
        <v>0</v>
      </c>
      <c r="U212" s="310"/>
      <c r="V212" s="144" t="n">
        <v>13</v>
      </c>
      <c r="W212" s="315"/>
    </row>
    <row r="213" customFormat="false" ht="12.75" hidden="false" customHeight="false" outlineLevel="0" collapsed="false">
      <c r="B213" s="304" t="s">
        <v>428</v>
      </c>
      <c r="C213" s="305" t="s">
        <v>532</v>
      </c>
      <c r="D213" s="306" t="n">
        <v>467</v>
      </c>
      <c r="E213" s="306" t="n">
        <v>0</v>
      </c>
      <c r="F213" s="306" t="s">
        <v>514</v>
      </c>
      <c r="G213" s="307" t="n">
        <v>48</v>
      </c>
      <c r="H213" s="308" t="n">
        <v>453.719008264463</v>
      </c>
      <c r="I213" s="315"/>
      <c r="J213" s="144" t="s">
        <v>12</v>
      </c>
      <c r="K213" s="310"/>
      <c r="L213" s="311" t="n">
        <v>149</v>
      </c>
      <c r="M213" s="311" t="n">
        <v>19</v>
      </c>
      <c r="N213" s="144" t="n">
        <v>19</v>
      </c>
      <c r="O213" s="310"/>
      <c r="P213" s="311" t="n">
        <v>0</v>
      </c>
      <c r="Q213" s="311" t="n">
        <v>0</v>
      </c>
      <c r="R213" s="311" t="n">
        <v>0</v>
      </c>
      <c r="S213" s="311" t="n">
        <v>0</v>
      </c>
      <c r="T213" s="144" t="n">
        <v>0</v>
      </c>
      <c r="U213" s="310"/>
      <c r="V213" s="144" t="n">
        <v>13</v>
      </c>
      <c r="W213" s="315"/>
    </row>
    <row r="214" customFormat="false" ht="12.75" hidden="false" customHeight="false" outlineLevel="0" collapsed="false">
      <c r="B214" s="304" t="s">
        <v>428</v>
      </c>
      <c r="C214" s="305" t="s">
        <v>533</v>
      </c>
      <c r="D214" s="306" t="n">
        <v>567</v>
      </c>
      <c r="E214" s="306" t="n">
        <v>0</v>
      </c>
      <c r="F214" s="324" t="s">
        <v>514</v>
      </c>
      <c r="G214" s="144" t="n">
        <v>24</v>
      </c>
      <c r="H214" s="325" t="n">
        <v>536.363636363636</v>
      </c>
      <c r="I214" s="315"/>
      <c r="J214" s="144" t="s">
        <v>12</v>
      </c>
      <c r="K214" s="310"/>
      <c r="L214" s="311" t="n">
        <v>169</v>
      </c>
      <c r="M214" s="311" t="n">
        <v>19</v>
      </c>
      <c r="N214" s="144" t="n">
        <v>19</v>
      </c>
      <c r="O214" s="310"/>
      <c r="P214" s="311" t="n">
        <v>0</v>
      </c>
      <c r="Q214" s="311" t="n">
        <v>0</v>
      </c>
      <c r="R214" s="311" t="n">
        <v>0</v>
      </c>
      <c r="S214" s="311" t="n">
        <v>0</v>
      </c>
      <c r="T214" s="144" t="n">
        <v>0</v>
      </c>
      <c r="U214" s="310"/>
      <c r="V214" s="144" t="n">
        <v>31</v>
      </c>
      <c r="W214" s="315"/>
    </row>
    <row r="215" customFormat="false" ht="12.75" hidden="false" customHeight="false" outlineLevel="0" collapsed="false">
      <c r="B215" s="304" t="s">
        <v>428</v>
      </c>
      <c r="C215" s="305" t="s">
        <v>533</v>
      </c>
      <c r="D215" s="306" t="n">
        <v>567</v>
      </c>
      <c r="E215" s="306" t="n">
        <v>0</v>
      </c>
      <c r="F215" s="306" t="s">
        <v>514</v>
      </c>
      <c r="G215" s="307" t="n">
        <v>48</v>
      </c>
      <c r="H215" s="308" t="n">
        <v>536.363636363636</v>
      </c>
      <c r="I215" s="315"/>
      <c r="J215" s="144" t="s">
        <v>12</v>
      </c>
      <c r="K215" s="310"/>
      <c r="L215" s="311" t="n">
        <v>169</v>
      </c>
      <c r="M215" s="311" t="n">
        <v>19</v>
      </c>
      <c r="N215" s="144" t="n">
        <v>19</v>
      </c>
      <c r="O215" s="310"/>
      <c r="P215" s="311" t="n">
        <v>0</v>
      </c>
      <c r="Q215" s="311" t="n">
        <v>0</v>
      </c>
      <c r="R215" s="311" t="n">
        <v>0</v>
      </c>
      <c r="S215" s="311" t="n">
        <v>0</v>
      </c>
      <c r="T215" s="144" t="n">
        <v>0</v>
      </c>
      <c r="U215" s="310"/>
      <c r="V215" s="144" t="n">
        <v>31</v>
      </c>
      <c r="W215" s="315"/>
    </row>
    <row r="216" customFormat="false" ht="12.75" hidden="false" customHeight="false" outlineLevel="0" collapsed="false">
      <c r="B216" s="304" t="s">
        <v>428</v>
      </c>
      <c r="C216" s="327" t="s">
        <v>534</v>
      </c>
      <c r="D216" s="306" t="n">
        <v>876</v>
      </c>
      <c r="E216" s="306" t="n">
        <v>0</v>
      </c>
      <c r="F216" s="324" t="s">
        <v>514</v>
      </c>
      <c r="G216" s="144" t="n">
        <v>24</v>
      </c>
      <c r="H216" s="325" t="n">
        <v>875.206611570248</v>
      </c>
      <c r="I216" s="315"/>
      <c r="J216" s="144" t="s">
        <v>12</v>
      </c>
      <c r="K216" s="310"/>
      <c r="L216" s="311" t="n">
        <v>339</v>
      </c>
      <c r="M216" s="311" t="n">
        <v>209</v>
      </c>
      <c r="N216" s="144" t="n">
        <v>209</v>
      </c>
      <c r="O216" s="310"/>
      <c r="P216" s="311" t="n">
        <v>29</v>
      </c>
      <c r="Q216" s="311" t="n">
        <v>29</v>
      </c>
      <c r="R216" s="311" t="n">
        <v>29</v>
      </c>
      <c r="S216" s="311" t="n">
        <v>29</v>
      </c>
      <c r="T216" s="144" t="n">
        <v>29</v>
      </c>
      <c r="U216" s="310"/>
      <c r="V216" s="144" t="n">
        <v>1</v>
      </c>
      <c r="W216" s="315"/>
    </row>
    <row r="217" customFormat="false" ht="12.75" hidden="false" customHeight="false" outlineLevel="0" collapsed="false">
      <c r="B217" s="304" t="s">
        <v>428</v>
      </c>
      <c r="C217" s="327" t="s">
        <v>534</v>
      </c>
      <c r="D217" s="306" t="n">
        <v>876</v>
      </c>
      <c r="E217" s="306" t="n">
        <v>0</v>
      </c>
      <c r="F217" s="306" t="s">
        <v>514</v>
      </c>
      <c r="G217" s="307" t="n">
        <v>48</v>
      </c>
      <c r="H217" s="308" t="n">
        <v>875.206611570248</v>
      </c>
      <c r="I217" s="315"/>
      <c r="J217" s="144" t="s">
        <v>12</v>
      </c>
      <c r="K217" s="310"/>
      <c r="L217" s="311" t="n">
        <v>339</v>
      </c>
      <c r="M217" s="311" t="n">
        <v>209</v>
      </c>
      <c r="N217" s="144" t="n">
        <v>209</v>
      </c>
      <c r="O217" s="310"/>
      <c r="P217" s="311" t="n">
        <v>29</v>
      </c>
      <c r="Q217" s="311" t="n">
        <v>29</v>
      </c>
      <c r="R217" s="311" t="n">
        <v>29</v>
      </c>
      <c r="S217" s="311" t="n">
        <v>29</v>
      </c>
      <c r="T217" s="144" t="n">
        <v>29</v>
      </c>
      <c r="U217" s="310"/>
      <c r="V217" s="144" t="n">
        <v>1</v>
      </c>
      <c r="W217" s="315"/>
    </row>
    <row r="218" customFormat="false" ht="12.75" hidden="false" customHeight="false" outlineLevel="0" collapsed="false">
      <c r="B218" s="304" t="s">
        <v>497</v>
      </c>
      <c r="C218" s="305" t="s">
        <v>535</v>
      </c>
      <c r="D218" s="306" t="n">
        <v>298</v>
      </c>
      <c r="E218" s="306" t="n">
        <v>0</v>
      </c>
      <c r="F218" s="324" t="s">
        <v>514</v>
      </c>
      <c r="G218" s="144" t="n">
        <v>24</v>
      </c>
      <c r="H218" s="325" t="n">
        <v>247.107438016529</v>
      </c>
      <c r="I218" s="315"/>
      <c r="J218" s="144" t="s">
        <v>12</v>
      </c>
      <c r="K218" s="310"/>
      <c r="L218" s="311" t="n">
        <v>99</v>
      </c>
      <c r="M218" s="311" t="n">
        <v>19</v>
      </c>
      <c r="N218" s="144" t="n">
        <v>19</v>
      </c>
      <c r="O218" s="310"/>
      <c r="P218" s="311" t="n">
        <v>0</v>
      </c>
      <c r="Q218" s="311" t="n">
        <v>0</v>
      </c>
      <c r="R218" s="311" t="n">
        <v>0</v>
      </c>
      <c r="S218" s="311" t="n">
        <v>0</v>
      </c>
      <c r="T218" s="144" t="n">
        <v>0</v>
      </c>
      <c r="U218" s="310"/>
      <c r="V218" s="144" t="n">
        <v>51</v>
      </c>
      <c r="W218" s="315"/>
    </row>
    <row r="219" customFormat="false" ht="12.75" hidden="false" customHeight="false" outlineLevel="0" collapsed="false">
      <c r="B219" s="304" t="s">
        <v>497</v>
      </c>
      <c r="C219" s="305" t="s">
        <v>535</v>
      </c>
      <c r="D219" s="306" t="n">
        <v>298</v>
      </c>
      <c r="E219" s="306" t="n">
        <v>0</v>
      </c>
      <c r="F219" s="306" t="s">
        <v>514</v>
      </c>
      <c r="G219" s="307" t="n">
        <v>48</v>
      </c>
      <c r="H219" s="308" t="n">
        <v>247.107438016529</v>
      </c>
      <c r="I219" s="315"/>
      <c r="J219" s="144" t="s">
        <v>12</v>
      </c>
      <c r="K219" s="310"/>
      <c r="L219" s="311" t="n">
        <v>99</v>
      </c>
      <c r="M219" s="311" t="n">
        <v>19</v>
      </c>
      <c r="N219" s="144" t="n">
        <v>19</v>
      </c>
      <c r="O219" s="310"/>
      <c r="P219" s="311" t="n">
        <v>0</v>
      </c>
      <c r="Q219" s="311" t="n">
        <v>0</v>
      </c>
      <c r="R219" s="311" t="n">
        <v>0</v>
      </c>
      <c r="S219" s="311" t="n">
        <v>0</v>
      </c>
      <c r="T219" s="144" t="n">
        <v>0</v>
      </c>
      <c r="U219" s="310"/>
      <c r="V219" s="144" t="n">
        <v>51</v>
      </c>
      <c r="W219" s="315"/>
    </row>
    <row r="220" customFormat="false" ht="12.75" hidden="false" customHeight="false" outlineLevel="0" collapsed="false">
      <c r="B220" s="304" t="s">
        <v>497</v>
      </c>
      <c r="C220" s="305" t="s">
        <v>536</v>
      </c>
      <c r="D220" s="306" t="n">
        <v>445</v>
      </c>
      <c r="E220" s="306" t="n">
        <v>0</v>
      </c>
      <c r="F220" s="324" t="s">
        <v>514</v>
      </c>
      <c r="G220" s="144" t="n">
        <v>24</v>
      </c>
      <c r="H220" s="325" t="n">
        <v>409.917355371901</v>
      </c>
      <c r="I220" s="315"/>
      <c r="J220" s="144" t="s">
        <v>12</v>
      </c>
      <c r="K220" s="310"/>
      <c r="L220" s="311" t="n">
        <v>139</v>
      </c>
      <c r="M220" s="311" t="n">
        <v>19</v>
      </c>
      <c r="N220" s="144" t="n">
        <v>19</v>
      </c>
      <c r="O220" s="310"/>
      <c r="P220" s="311" t="n">
        <v>0</v>
      </c>
      <c r="Q220" s="311" t="n">
        <v>0</v>
      </c>
      <c r="R220" s="311" t="n">
        <v>0</v>
      </c>
      <c r="S220" s="311" t="n">
        <v>0</v>
      </c>
      <c r="T220" s="144" t="n">
        <v>0</v>
      </c>
      <c r="U220" s="310"/>
      <c r="V220" s="144" t="n">
        <v>35</v>
      </c>
      <c r="W220" s="315"/>
    </row>
    <row r="221" customFormat="false" ht="12.75" hidden="false" customHeight="false" outlineLevel="0" collapsed="false">
      <c r="B221" s="304" t="s">
        <v>497</v>
      </c>
      <c r="C221" s="305" t="s">
        <v>536</v>
      </c>
      <c r="D221" s="306" t="n">
        <v>445</v>
      </c>
      <c r="E221" s="306" t="n">
        <v>0</v>
      </c>
      <c r="F221" s="306" t="s">
        <v>514</v>
      </c>
      <c r="G221" s="307" t="n">
        <v>48</v>
      </c>
      <c r="H221" s="308" t="n">
        <v>409.917355371901</v>
      </c>
      <c r="I221" s="315"/>
      <c r="J221" s="144" t="s">
        <v>12</v>
      </c>
      <c r="K221" s="310"/>
      <c r="L221" s="311" t="n">
        <v>139</v>
      </c>
      <c r="M221" s="311" t="n">
        <v>19</v>
      </c>
      <c r="N221" s="144" t="n">
        <v>19</v>
      </c>
      <c r="O221" s="310"/>
      <c r="P221" s="311" t="n">
        <v>0</v>
      </c>
      <c r="Q221" s="311" t="n">
        <v>0</v>
      </c>
      <c r="R221" s="311" t="n">
        <v>0</v>
      </c>
      <c r="S221" s="311" t="n">
        <v>0</v>
      </c>
      <c r="T221" s="144" t="n">
        <v>0</v>
      </c>
      <c r="U221" s="310"/>
      <c r="V221" s="144" t="n">
        <v>35</v>
      </c>
      <c r="W221" s="315"/>
    </row>
    <row r="222" customFormat="false" ht="12.75" hidden="false" customHeight="false" outlineLevel="0" collapsed="false">
      <c r="B222" s="304" t="s">
        <v>497</v>
      </c>
      <c r="C222" s="305" t="s">
        <v>537</v>
      </c>
      <c r="D222" s="306" t="n">
        <v>577</v>
      </c>
      <c r="E222" s="306" t="n">
        <v>0</v>
      </c>
      <c r="F222" s="324" t="s">
        <v>514</v>
      </c>
      <c r="G222" s="144" t="n">
        <v>24</v>
      </c>
      <c r="H222" s="325" t="n">
        <v>516.528925619835</v>
      </c>
      <c r="I222" s="315"/>
      <c r="J222" s="144" t="s">
        <v>12</v>
      </c>
      <c r="K222" s="310"/>
      <c r="L222" s="311" t="n">
        <v>169</v>
      </c>
      <c r="M222" s="311" t="n">
        <v>19</v>
      </c>
      <c r="N222" s="144" t="n">
        <v>19</v>
      </c>
      <c r="O222" s="310"/>
      <c r="P222" s="311" t="n">
        <v>0</v>
      </c>
      <c r="Q222" s="311" t="n">
        <v>0</v>
      </c>
      <c r="R222" s="311" t="n">
        <v>0</v>
      </c>
      <c r="S222" s="311" t="n">
        <v>0</v>
      </c>
      <c r="T222" s="144" t="n">
        <v>0</v>
      </c>
      <c r="U222" s="310"/>
      <c r="V222" s="144" t="n">
        <v>60</v>
      </c>
      <c r="W222" s="315"/>
    </row>
    <row r="223" customFormat="false" ht="12.75" hidden="false" customHeight="false" outlineLevel="0" collapsed="false">
      <c r="B223" s="304" t="s">
        <v>497</v>
      </c>
      <c r="C223" s="305" t="s">
        <v>537</v>
      </c>
      <c r="D223" s="306" t="n">
        <v>577</v>
      </c>
      <c r="E223" s="306" t="n">
        <v>0</v>
      </c>
      <c r="F223" s="306" t="s">
        <v>514</v>
      </c>
      <c r="G223" s="307" t="n">
        <v>48</v>
      </c>
      <c r="H223" s="308" t="n">
        <v>516.528925619835</v>
      </c>
      <c r="I223" s="315"/>
      <c r="J223" s="144" t="s">
        <v>12</v>
      </c>
      <c r="K223" s="310"/>
      <c r="L223" s="311" t="n">
        <v>169</v>
      </c>
      <c r="M223" s="311" t="n">
        <v>19</v>
      </c>
      <c r="N223" s="144" t="n">
        <v>19</v>
      </c>
      <c r="O223" s="310"/>
      <c r="P223" s="311" t="n">
        <v>0</v>
      </c>
      <c r="Q223" s="311" t="n">
        <v>0</v>
      </c>
      <c r="R223" s="311" t="n">
        <v>0</v>
      </c>
      <c r="S223" s="311" t="n">
        <v>0</v>
      </c>
      <c r="T223" s="144" t="n">
        <v>0</v>
      </c>
      <c r="U223" s="310"/>
      <c r="V223" s="144" t="n">
        <v>60</v>
      </c>
      <c r="W223" s="315"/>
    </row>
    <row r="224" customFormat="false" ht="12.75" hidden="false" customHeight="false" outlineLevel="0" collapsed="false">
      <c r="B224" s="304" t="s">
        <v>497</v>
      </c>
      <c r="C224" s="305" t="s">
        <v>538</v>
      </c>
      <c r="D224" s="306" t="n">
        <v>165</v>
      </c>
      <c r="E224" s="306" t="n">
        <v>0</v>
      </c>
      <c r="F224" s="324" t="s">
        <v>514</v>
      </c>
      <c r="G224" s="144" t="n">
        <v>24</v>
      </c>
      <c r="H224" s="325" t="n">
        <v>158.677685950413</v>
      </c>
      <c r="I224" s="315"/>
      <c r="J224" s="144" t="s">
        <v>12</v>
      </c>
      <c r="K224" s="310"/>
      <c r="L224" s="311" t="n">
        <v>29</v>
      </c>
      <c r="M224" s="311" t="n">
        <v>0</v>
      </c>
      <c r="N224" s="144" t="n">
        <v>0</v>
      </c>
      <c r="O224" s="310"/>
      <c r="P224" s="311" t="n">
        <v>0</v>
      </c>
      <c r="Q224" s="311" t="n">
        <v>0</v>
      </c>
      <c r="R224" s="311" t="n">
        <v>0</v>
      </c>
      <c r="S224" s="311" t="n">
        <v>0</v>
      </c>
      <c r="T224" s="144" t="n">
        <v>0</v>
      </c>
      <c r="U224" s="310"/>
      <c r="V224" s="144" t="n">
        <v>6</v>
      </c>
      <c r="W224" s="315"/>
    </row>
    <row r="225" customFormat="false" ht="12.75" hidden="false" customHeight="false" outlineLevel="0" collapsed="false">
      <c r="B225" s="304" t="s">
        <v>497</v>
      </c>
      <c r="C225" s="327" t="s">
        <v>539</v>
      </c>
      <c r="D225" s="306" t="n">
        <v>981</v>
      </c>
      <c r="E225" s="306" t="n">
        <v>0</v>
      </c>
      <c r="F225" s="306" t="s">
        <v>514</v>
      </c>
      <c r="G225" s="307" t="n">
        <v>24</v>
      </c>
      <c r="H225" s="308" t="n">
        <v>980.165289256198</v>
      </c>
      <c r="I225" s="315"/>
      <c r="J225" s="144" t="s">
        <v>12</v>
      </c>
      <c r="K225" s="310"/>
      <c r="L225" s="311" t="n">
        <v>419</v>
      </c>
      <c r="M225" s="311" t="n">
        <v>249</v>
      </c>
      <c r="N225" s="144" t="n">
        <v>249</v>
      </c>
      <c r="O225" s="310"/>
      <c r="P225" s="311" t="n">
        <v>39</v>
      </c>
      <c r="Q225" s="311" t="n">
        <v>39</v>
      </c>
      <c r="R225" s="311" t="n">
        <v>39</v>
      </c>
      <c r="S225" s="311" t="n">
        <v>39</v>
      </c>
      <c r="T225" s="144" t="n">
        <v>39</v>
      </c>
      <c r="U225" s="310"/>
      <c r="V225" s="144" t="n">
        <v>1</v>
      </c>
      <c r="W225" s="315"/>
    </row>
    <row r="226" customFormat="false" ht="12.75" hidden="false" customHeight="false" outlineLevel="0" collapsed="false">
      <c r="B226" s="304" t="s">
        <v>497</v>
      </c>
      <c r="C226" s="327" t="s">
        <v>539</v>
      </c>
      <c r="D226" s="306" t="n">
        <v>981</v>
      </c>
      <c r="E226" s="306" t="n">
        <v>0</v>
      </c>
      <c r="F226" s="324" t="s">
        <v>514</v>
      </c>
      <c r="G226" s="144" t="n">
        <v>48</v>
      </c>
      <c r="H226" s="325" t="n">
        <v>980.165289256198</v>
      </c>
      <c r="I226" s="315"/>
      <c r="J226" s="144" t="s">
        <v>12</v>
      </c>
      <c r="K226" s="310"/>
      <c r="L226" s="311" t="n">
        <v>419</v>
      </c>
      <c r="M226" s="311" t="n">
        <v>249</v>
      </c>
      <c r="N226" s="144" t="n">
        <v>249</v>
      </c>
      <c r="O226" s="310"/>
      <c r="P226" s="311" t="n">
        <v>39</v>
      </c>
      <c r="Q226" s="311" t="n">
        <v>39</v>
      </c>
      <c r="R226" s="311" t="n">
        <v>39</v>
      </c>
      <c r="S226" s="311" t="n">
        <v>39</v>
      </c>
      <c r="T226" s="144" t="n">
        <v>39</v>
      </c>
      <c r="U226" s="310"/>
      <c r="V226" s="144" t="n">
        <v>1</v>
      </c>
      <c r="W226" s="315"/>
    </row>
    <row r="227" customFormat="false" ht="12.75" hidden="false" customHeight="false" outlineLevel="0" collapsed="false">
      <c r="B227" s="304" t="s">
        <v>112</v>
      </c>
      <c r="C227" s="305" t="s">
        <v>540</v>
      </c>
      <c r="D227" s="306" t="n">
        <v>623</v>
      </c>
      <c r="E227" s="306" t="n">
        <v>3.75</v>
      </c>
      <c r="F227" s="306" t="s">
        <v>541</v>
      </c>
      <c r="G227" s="307" t="n">
        <v>24</v>
      </c>
      <c r="H227" s="308" t="n">
        <v>622.314049586777</v>
      </c>
      <c r="I227" s="315"/>
      <c r="J227" s="144" t="s">
        <v>12</v>
      </c>
      <c r="K227" s="310"/>
      <c r="L227" s="311" t="n">
        <v>269</v>
      </c>
      <c r="M227" s="311" t="n">
        <v>159</v>
      </c>
      <c r="N227" s="144" t="n">
        <v>159</v>
      </c>
      <c r="O227" s="310"/>
      <c r="P227" s="311" t="n">
        <v>0</v>
      </c>
      <c r="Q227" s="311" t="n">
        <v>0</v>
      </c>
      <c r="R227" s="311" t="n">
        <v>0</v>
      </c>
      <c r="S227" s="311" t="n">
        <v>0</v>
      </c>
      <c r="T227" s="144" t="n">
        <v>0</v>
      </c>
      <c r="U227" s="310"/>
      <c r="V227" s="144" t="n">
        <v>1</v>
      </c>
      <c r="W227" s="315"/>
    </row>
    <row r="228" customFormat="false" ht="12.75" hidden="false" customHeight="false" outlineLevel="0" collapsed="false">
      <c r="B228" s="304" t="s">
        <v>112</v>
      </c>
      <c r="C228" s="305" t="s">
        <v>540</v>
      </c>
      <c r="D228" s="306" t="n">
        <v>623</v>
      </c>
      <c r="E228" s="306" t="n">
        <v>3.75</v>
      </c>
      <c r="F228" s="324" t="s">
        <v>541</v>
      </c>
      <c r="G228" s="144" t="n">
        <v>48</v>
      </c>
      <c r="H228" s="325" t="n">
        <v>622.314049586777</v>
      </c>
      <c r="I228" s="315"/>
      <c r="J228" s="144" t="s">
        <v>12</v>
      </c>
      <c r="K228" s="310"/>
      <c r="L228" s="311" t="n">
        <v>269</v>
      </c>
      <c r="M228" s="311" t="n">
        <v>159</v>
      </c>
      <c r="N228" s="144" t="n">
        <v>159</v>
      </c>
      <c r="O228" s="310"/>
      <c r="P228" s="311" t="n">
        <v>0</v>
      </c>
      <c r="Q228" s="311" t="n">
        <v>0</v>
      </c>
      <c r="R228" s="311" t="n">
        <v>0</v>
      </c>
      <c r="S228" s="311" t="n">
        <v>0</v>
      </c>
      <c r="T228" s="144" t="n">
        <v>0</v>
      </c>
      <c r="U228" s="310"/>
      <c r="V228" s="144" t="n">
        <v>1</v>
      </c>
      <c r="W228" s="315"/>
    </row>
    <row r="229" customFormat="false" ht="12.75" hidden="false" customHeight="false" outlineLevel="0" collapsed="false">
      <c r="B229" s="304" t="s">
        <v>112</v>
      </c>
      <c r="C229" s="305" t="s">
        <v>542</v>
      </c>
      <c r="D229" s="306" t="n">
        <v>847</v>
      </c>
      <c r="E229" s="306" t="n">
        <v>3.75</v>
      </c>
      <c r="F229" s="306" t="s">
        <v>541</v>
      </c>
      <c r="G229" s="307" t="n">
        <v>24</v>
      </c>
      <c r="H229" s="308" t="n">
        <v>846.280991735537</v>
      </c>
      <c r="I229" s="315"/>
      <c r="J229" s="144" t="s">
        <v>12</v>
      </c>
      <c r="K229" s="310"/>
      <c r="L229" s="311" t="n">
        <v>359</v>
      </c>
      <c r="M229" s="311" t="n">
        <v>219</v>
      </c>
      <c r="N229" s="144" t="n">
        <v>219</v>
      </c>
      <c r="O229" s="310"/>
      <c r="P229" s="311" t="n">
        <v>0</v>
      </c>
      <c r="Q229" s="311" t="n">
        <v>0</v>
      </c>
      <c r="R229" s="311" t="n">
        <v>0</v>
      </c>
      <c r="S229" s="311" t="n">
        <v>0</v>
      </c>
      <c r="T229" s="144" t="n">
        <v>0</v>
      </c>
      <c r="U229" s="310"/>
      <c r="V229" s="144" t="n">
        <v>1</v>
      </c>
      <c r="W229" s="315"/>
    </row>
    <row r="230" customFormat="false" ht="12.75" hidden="false" customHeight="false" outlineLevel="0" collapsed="false">
      <c r="B230" s="304" t="s">
        <v>112</v>
      </c>
      <c r="C230" s="305" t="s">
        <v>542</v>
      </c>
      <c r="D230" s="306" t="n">
        <v>847</v>
      </c>
      <c r="E230" s="306" t="n">
        <v>3.75</v>
      </c>
      <c r="F230" s="324" t="s">
        <v>541</v>
      </c>
      <c r="G230" s="144" t="n">
        <v>48</v>
      </c>
      <c r="H230" s="325" t="n">
        <v>846.280991735537</v>
      </c>
      <c r="I230" s="315"/>
      <c r="J230" s="144" t="s">
        <v>12</v>
      </c>
      <c r="K230" s="310"/>
      <c r="L230" s="311" t="n">
        <v>359</v>
      </c>
      <c r="M230" s="311" t="n">
        <v>219</v>
      </c>
      <c r="N230" s="144" t="n">
        <v>219</v>
      </c>
      <c r="O230" s="310"/>
      <c r="P230" s="311" t="n">
        <v>0</v>
      </c>
      <c r="Q230" s="311" t="n">
        <v>0</v>
      </c>
      <c r="R230" s="311" t="n">
        <v>0</v>
      </c>
      <c r="S230" s="311" t="n">
        <v>0</v>
      </c>
      <c r="T230" s="144" t="n">
        <v>0</v>
      </c>
      <c r="U230" s="310"/>
      <c r="V230" s="144" t="n">
        <v>1</v>
      </c>
      <c r="W230" s="315"/>
    </row>
    <row r="231" customFormat="false" ht="12.75" hidden="false" customHeight="false" outlineLevel="0" collapsed="false">
      <c r="B231" s="304" t="s">
        <v>112</v>
      </c>
      <c r="C231" s="305" t="s">
        <v>543</v>
      </c>
      <c r="D231" s="306" t="n">
        <v>1044</v>
      </c>
      <c r="E231" s="306" t="n">
        <v>3.75</v>
      </c>
      <c r="F231" s="306" t="s">
        <v>541</v>
      </c>
      <c r="G231" s="307" t="n">
        <v>24</v>
      </c>
      <c r="H231" s="308" t="n">
        <v>1043.80165289256</v>
      </c>
      <c r="I231" s="315"/>
      <c r="J231" s="144" t="s">
        <v>12</v>
      </c>
      <c r="K231" s="310"/>
      <c r="L231" s="311" t="n">
        <v>449</v>
      </c>
      <c r="M231" s="311" t="n">
        <v>279</v>
      </c>
      <c r="N231" s="144" t="n">
        <v>279</v>
      </c>
      <c r="O231" s="310"/>
      <c r="P231" s="311" t="n">
        <v>0</v>
      </c>
      <c r="Q231" s="311" t="n">
        <v>0</v>
      </c>
      <c r="R231" s="311" t="n">
        <v>0</v>
      </c>
      <c r="S231" s="311" t="n">
        <v>0</v>
      </c>
      <c r="T231" s="144" t="n">
        <v>0</v>
      </c>
      <c r="U231" s="310"/>
      <c r="V231" s="144" t="n">
        <v>0</v>
      </c>
      <c r="W231" s="315"/>
    </row>
    <row r="232" customFormat="false" ht="12.75" hidden="false" customHeight="false" outlineLevel="0" collapsed="false">
      <c r="B232" s="304" t="s">
        <v>112</v>
      </c>
      <c r="C232" s="305" t="s">
        <v>543</v>
      </c>
      <c r="D232" s="306" t="n">
        <v>1044</v>
      </c>
      <c r="E232" s="306" t="n">
        <v>3.75</v>
      </c>
      <c r="F232" s="324" t="s">
        <v>541</v>
      </c>
      <c r="G232" s="144" t="n">
        <v>48</v>
      </c>
      <c r="H232" s="325" t="n">
        <v>1043.80165289256</v>
      </c>
      <c r="I232" s="315"/>
      <c r="J232" s="144" t="s">
        <v>12</v>
      </c>
      <c r="K232" s="310"/>
      <c r="L232" s="311" t="n">
        <v>449</v>
      </c>
      <c r="M232" s="311" t="n">
        <v>279</v>
      </c>
      <c r="N232" s="144" t="n">
        <v>279</v>
      </c>
      <c r="O232" s="310"/>
      <c r="P232" s="311" t="n">
        <v>0</v>
      </c>
      <c r="Q232" s="311" t="n">
        <v>0</v>
      </c>
      <c r="R232" s="311" t="n">
        <v>0</v>
      </c>
      <c r="S232" s="311" t="n">
        <v>0</v>
      </c>
      <c r="T232" s="144" t="n">
        <v>0</v>
      </c>
      <c r="U232" s="310"/>
      <c r="V232" s="144" t="n">
        <v>0</v>
      </c>
      <c r="W232" s="315"/>
    </row>
    <row r="233" customFormat="false" ht="12.75" hidden="false" customHeight="false" outlineLevel="0" collapsed="false">
      <c r="B233" s="304" t="s">
        <v>112</v>
      </c>
      <c r="C233" s="327" t="s">
        <v>544</v>
      </c>
      <c r="D233" s="306" t="n">
        <v>526</v>
      </c>
      <c r="E233" s="306" t="n">
        <v>3.75</v>
      </c>
      <c r="F233" s="306" t="s">
        <v>541</v>
      </c>
      <c r="G233" s="307" t="n">
        <v>24</v>
      </c>
      <c r="H233" s="308" t="n">
        <v>525.619834710744</v>
      </c>
      <c r="I233" s="315"/>
      <c r="J233" s="144" t="s">
        <v>12</v>
      </c>
      <c r="K233" s="310"/>
      <c r="L233" s="311" t="n">
        <v>219</v>
      </c>
      <c r="M233" s="311" t="n">
        <v>139</v>
      </c>
      <c r="N233" s="144" t="n">
        <v>139</v>
      </c>
      <c r="O233" s="310"/>
      <c r="P233" s="311" t="n">
        <v>0</v>
      </c>
      <c r="Q233" s="311" t="n">
        <v>0</v>
      </c>
      <c r="R233" s="311" t="n">
        <v>0</v>
      </c>
      <c r="S233" s="311" t="n">
        <v>0</v>
      </c>
      <c r="T233" s="144" t="n">
        <v>0</v>
      </c>
      <c r="U233" s="310"/>
      <c r="V233" s="144" t="n">
        <v>0</v>
      </c>
      <c r="W233" s="315"/>
    </row>
    <row r="234" customFormat="false" ht="12.75" hidden="false" customHeight="false" outlineLevel="0" collapsed="false">
      <c r="B234" s="304" t="s">
        <v>112</v>
      </c>
      <c r="C234" s="327" t="s">
        <v>544</v>
      </c>
      <c r="D234" s="306" t="n">
        <v>526</v>
      </c>
      <c r="E234" s="306" t="n">
        <v>3.75</v>
      </c>
      <c r="F234" s="324" t="s">
        <v>541</v>
      </c>
      <c r="G234" s="144" t="n">
        <v>48</v>
      </c>
      <c r="H234" s="325" t="n">
        <v>525.619834710744</v>
      </c>
      <c r="I234" s="315"/>
      <c r="J234" s="144" t="s">
        <v>12</v>
      </c>
      <c r="K234" s="310"/>
      <c r="L234" s="311" t="n">
        <v>219</v>
      </c>
      <c r="M234" s="311" t="n">
        <v>139</v>
      </c>
      <c r="N234" s="144" t="n">
        <v>139</v>
      </c>
      <c r="O234" s="310"/>
      <c r="P234" s="311" t="n">
        <v>0</v>
      </c>
      <c r="Q234" s="311" t="n">
        <v>0</v>
      </c>
      <c r="R234" s="311" t="n">
        <v>0</v>
      </c>
      <c r="S234" s="311" t="n">
        <v>0</v>
      </c>
      <c r="T234" s="144" t="n">
        <v>0</v>
      </c>
      <c r="U234" s="310"/>
      <c r="V234" s="144" t="n">
        <v>0</v>
      </c>
      <c r="W234" s="315"/>
    </row>
    <row r="235" customFormat="false" ht="12.75" hidden="false" customHeight="false" outlineLevel="0" collapsed="false">
      <c r="B235" s="304" t="s">
        <v>112</v>
      </c>
      <c r="C235" s="327" t="s">
        <v>545</v>
      </c>
      <c r="D235" s="306" t="n">
        <v>371</v>
      </c>
      <c r="E235" s="306" t="n">
        <v>3.75</v>
      </c>
      <c r="F235" s="306" t="s">
        <v>541</v>
      </c>
      <c r="G235" s="307" t="n">
        <v>24</v>
      </c>
      <c r="H235" s="308" t="n">
        <v>370.247933884298</v>
      </c>
      <c r="I235" s="315"/>
      <c r="J235" s="144" t="s">
        <v>12</v>
      </c>
      <c r="K235" s="310"/>
      <c r="L235" s="311" t="n">
        <v>129</v>
      </c>
      <c r="M235" s="311" t="n">
        <v>19</v>
      </c>
      <c r="N235" s="144" t="n">
        <v>19</v>
      </c>
      <c r="O235" s="310"/>
      <c r="P235" s="311" t="n">
        <v>0</v>
      </c>
      <c r="Q235" s="311" t="n">
        <v>0</v>
      </c>
      <c r="R235" s="311" t="n">
        <v>0</v>
      </c>
      <c r="S235" s="311" t="n">
        <v>0</v>
      </c>
      <c r="T235" s="144" t="n">
        <v>0</v>
      </c>
      <c r="U235" s="310"/>
      <c r="V235" s="144" t="n">
        <v>1</v>
      </c>
      <c r="W235" s="315"/>
    </row>
    <row r="236" customFormat="false" ht="12.75" hidden="false" customHeight="false" outlineLevel="0" collapsed="false">
      <c r="B236" s="304" t="s">
        <v>112</v>
      </c>
      <c r="C236" s="327" t="s">
        <v>545</v>
      </c>
      <c r="D236" s="306" t="n">
        <v>371</v>
      </c>
      <c r="E236" s="306" t="n">
        <v>3.75</v>
      </c>
      <c r="F236" s="324" t="s">
        <v>541</v>
      </c>
      <c r="G236" s="144" t="n">
        <v>48</v>
      </c>
      <c r="H236" s="325" t="n">
        <v>370.247933884298</v>
      </c>
      <c r="I236" s="315"/>
      <c r="J236" s="144" t="s">
        <v>12</v>
      </c>
      <c r="K236" s="310"/>
      <c r="L236" s="311" t="n">
        <v>129</v>
      </c>
      <c r="M236" s="311" t="n">
        <v>19</v>
      </c>
      <c r="N236" s="144" t="n">
        <v>19</v>
      </c>
      <c r="O236" s="310"/>
      <c r="P236" s="311" t="n">
        <v>0</v>
      </c>
      <c r="Q236" s="311" t="n">
        <v>0</v>
      </c>
      <c r="R236" s="311" t="n">
        <v>0</v>
      </c>
      <c r="S236" s="311" t="n">
        <v>0</v>
      </c>
      <c r="T236" s="144" t="n">
        <v>0</v>
      </c>
      <c r="U236" s="310"/>
      <c r="V236" s="144" t="n">
        <v>1</v>
      </c>
      <c r="W236" s="315"/>
    </row>
    <row r="237" customFormat="false" ht="12.75" hidden="false" customHeight="false" outlineLevel="0" collapsed="false">
      <c r="B237" s="304" t="s">
        <v>112</v>
      </c>
      <c r="C237" s="327" t="s">
        <v>546</v>
      </c>
      <c r="D237" s="306" t="n">
        <v>477</v>
      </c>
      <c r="E237" s="306" t="n">
        <v>3.75</v>
      </c>
      <c r="F237" s="306" t="s">
        <v>541</v>
      </c>
      <c r="G237" s="307" t="n">
        <v>24</v>
      </c>
      <c r="H237" s="308" t="n">
        <v>476.859504132231</v>
      </c>
      <c r="I237" s="315"/>
      <c r="J237" s="144" t="s">
        <v>12</v>
      </c>
      <c r="K237" s="310"/>
      <c r="L237" s="311" t="n">
        <v>159</v>
      </c>
      <c r="M237" s="311" t="n">
        <v>19</v>
      </c>
      <c r="N237" s="144" t="n">
        <v>19</v>
      </c>
      <c r="O237" s="310"/>
      <c r="P237" s="311" t="n">
        <v>0</v>
      </c>
      <c r="Q237" s="311" t="n">
        <v>0</v>
      </c>
      <c r="R237" s="311" t="n">
        <v>0</v>
      </c>
      <c r="S237" s="311" t="n">
        <v>0</v>
      </c>
      <c r="T237" s="144" t="n">
        <v>0</v>
      </c>
      <c r="U237" s="310"/>
      <c r="V237" s="144" t="n">
        <v>0</v>
      </c>
      <c r="W237" s="315"/>
    </row>
    <row r="238" customFormat="false" ht="12.75" hidden="false" customHeight="false" outlineLevel="0" collapsed="false">
      <c r="B238" s="304" t="s">
        <v>112</v>
      </c>
      <c r="C238" s="327" t="s">
        <v>546</v>
      </c>
      <c r="D238" s="306" t="n">
        <v>477</v>
      </c>
      <c r="E238" s="306" t="n">
        <v>3.75</v>
      </c>
      <c r="F238" s="324" t="s">
        <v>541</v>
      </c>
      <c r="G238" s="144" t="n">
        <v>48</v>
      </c>
      <c r="H238" s="325" t="n">
        <v>476.859504132231</v>
      </c>
      <c r="I238" s="315"/>
      <c r="J238" s="144" t="s">
        <v>12</v>
      </c>
      <c r="K238" s="310"/>
      <c r="L238" s="311" t="n">
        <v>159</v>
      </c>
      <c r="M238" s="311" t="n">
        <v>19</v>
      </c>
      <c r="N238" s="144" t="n">
        <v>19</v>
      </c>
      <c r="O238" s="310"/>
      <c r="P238" s="311" t="n">
        <v>0</v>
      </c>
      <c r="Q238" s="311" t="n">
        <v>0</v>
      </c>
      <c r="R238" s="311" t="n">
        <v>0</v>
      </c>
      <c r="S238" s="311" t="n">
        <v>0</v>
      </c>
      <c r="T238" s="144" t="n">
        <v>0</v>
      </c>
      <c r="U238" s="310"/>
      <c r="V238" s="144" t="n">
        <v>0</v>
      </c>
      <c r="W238" s="315"/>
    </row>
    <row r="239" customFormat="false" ht="12.75" hidden="false" customHeight="false" outlineLevel="0" collapsed="false">
      <c r="B239" s="304" t="s">
        <v>112</v>
      </c>
      <c r="C239" s="327" t="s">
        <v>547</v>
      </c>
      <c r="D239" s="306" t="n">
        <v>758</v>
      </c>
      <c r="E239" s="306" t="n">
        <v>3.75</v>
      </c>
      <c r="F239" s="306" t="s">
        <v>541</v>
      </c>
      <c r="G239" s="307" t="n">
        <v>24</v>
      </c>
      <c r="H239" s="308" t="n">
        <v>757.851239669422</v>
      </c>
      <c r="I239" s="315"/>
      <c r="J239" s="144" t="s">
        <v>12</v>
      </c>
      <c r="K239" s="310"/>
      <c r="L239" s="311" t="n">
        <v>319</v>
      </c>
      <c r="M239" s="311" t="n">
        <v>189</v>
      </c>
      <c r="N239" s="144" t="n">
        <v>189</v>
      </c>
      <c r="O239" s="310"/>
      <c r="P239" s="311" t="n">
        <v>0</v>
      </c>
      <c r="Q239" s="311" t="n">
        <v>0</v>
      </c>
      <c r="R239" s="311" t="n">
        <v>0</v>
      </c>
      <c r="S239" s="311" t="n">
        <v>0</v>
      </c>
      <c r="T239" s="144" t="n">
        <v>0</v>
      </c>
      <c r="U239" s="310"/>
      <c r="V239" s="144" t="n">
        <v>0</v>
      </c>
      <c r="W239" s="315"/>
    </row>
    <row r="240" customFormat="false" ht="12.75" hidden="false" customHeight="false" outlineLevel="0" collapsed="false">
      <c r="B240" s="304" t="s">
        <v>112</v>
      </c>
      <c r="C240" s="327" t="s">
        <v>547</v>
      </c>
      <c r="D240" s="306" t="n">
        <v>758</v>
      </c>
      <c r="E240" s="306" t="n">
        <v>3.75</v>
      </c>
      <c r="F240" s="324" t="s">
        <v>541</v>
      </c>
      <c r="G240" s="144" t="n">
        <v>48</v>
      </c>
      <c r="H240" s="325" t="n">
        <v>757.851239669422</v>
      </c>
      <c r="I240" s="315"/>
      <c r="J240" s="144" t="s">
        <v>12</v>
      </c>
      <c r="K240" s="310"/>
      <c r="L240" s="311" t="n">
        <v>319</v>
      </c>
      <c r="M240" s="311" t="n">
        <v>189</v>
      </c>
      <c r="N240" s="144" t="n">
        <v>189</v>
      </c>
      <c r="O240" s="310"/>
      <c r="P240" s="311" t="n">
        <v>0</v>
      </c>
      <c r="Q240" s="311" t="n">
        <v>0</v>
      </c>
      <c r="R240" s="311" t="n">
        <v>0</v>
      </c>
      <c r="S240" s="311" t="n">
        <v>0</v>
      </c>
      <c r="T240" s="144" t="n">
        <v>0</v>
      </c>
      <c r="U240" s="310"/>
      <c r="V240" s="144" t="n">
        <v>0</v>
      </c>
      <c r="W240" s="315"/>
    </row>
    <row r="241" customFormat="false" ht="12.75" hidden="false" customHeight="false" outlineLevel="0" collapsed="false">
      <c r="B241" s="304" t="s">
        <v>112</v>
      </c>
      <c r="C241" s="327" t="s">
        <v>548</v>
      </c>
      <c r="D241" s="306" t="n">
        <v>847</v>
      </c>
      <c r="E241" s="306" t="n">
        <v>3.75</v>
      </c>
      <c r="F241" s="306" t="s">
        <v>541</v>
      </c>
      <c r="G241" s="307" t="n">
        <v>24</v>
      </c>
      <c r="H241" s="308" t="n">
        <v>846.280991735537</v>
      </c>
      <c r="I241" s="315"/>
      <c r="J241" s="144" t="s">
        <v>12</v>
      </c>
      <c r="K241" s="310"/>
      <c r="L241" s="311" t="n">
        <v>359</v>
      </c>
      <c r="M241" s="311" t="n">
        <v>219</v>
      </c>
      <c r="N241" s="144" t="n">
        <v>219</v>
      </c>
      <c r="O241" s="310"/>
      <c r="P241" s="311" t="n">
        <v>0</v>
      </c>
      <c r="Q241" s="311" t="n">
        <v>0</v>
      </c>
      <c r="R241" s="311" t="n">
        <v>0</v>
      </c>
      <c r="S241" s="311" t="n">
        <v>0</v>
      </c>
      <c r="T241" s="144" t="n">
        <v>0</v>
      </c>
      <c r="U241" s="310"/>
      <c r="V241" s="144" t="n">
        <v>1</v>
      </c>
      <c r="W241" s="315"/>
    </row>
    <row r="242" customFormat="false" ht="12.75" hidden="false" customHeight="false" outlineLevel="0" collapsed="false">
      <c r="B242" s="304" t="s">
        <v>112</v>
      </c>
      <c r="C242" s="327" t="s">
        <v>548</v>
      </c>
      <c r="D242" s="306" t="n">
        <v>847</v>
      </c>
      <c r="E242" s="306" t="n">
        <v>3.75</v>
      </c>
      <c r="F242" s="324" t="s">
        <v>541</v>
      </c>
      <c r="G242" s="144" t="n">
        <v>48</v>
      </c>
      <c r="H242" s="325" t="n">
        <v>846.280991735537</v>
      </c>
      <c r="I242" s="315"/>
      <c r="J242" s="144" t="s">
        <v>12</v>
      </c>
      <c r="K242" s="310"/>
      <c r="L242" s="311" t="n">
        <v>359</v>
      </c>
      <c r="M242" s="311" t="n">
        <v>219</v>
      </c>
      <c r="N242" s="144" t="n">
        <v>219</v>
      </c>
      <c r="O242" s="310"/>
      <c r="P242" s="311" t="n">
        <v>0</v>
      </c>
      <c r="Q242" s="311" t="n">
        <v>0</v>
      </c>
      <c r="R242" s="311" t="n">
        <v>0</v>
      </c>
      <c r="S242" s="311" t="n">
        <v>0</v>
      </c>
      <c r="T242" s="144" t="n">
        <v>0</v>
      </c>
      <c r="U242" s="310"/>
      <c r="V242" s="144" t="n">
        <v>1</v>
      </c>
      <c r="W242" s="315"/>
    </row>
    <row r="243" customFormat="false" ht="12.75" hidden="false" customHeight="false" outlineLevel="0" collapsed="false">
      <c r="B243" s="304" t="s">
        <v>112</v>
      </c>
      <c r="C243" s="327" t="s">
        <v>549</v>
      </c>
      <c r="D243" s="306" t="n">
        <v>623</v>
      </c>
      <c r="E243" s="306" t="n">
        <v>3.75</v>
      </c>
      <c r="F243" s="306" t="s">
        <v>541</v>
      </c>
      <c r="G243" s="307" t="n">
        <v>24</v>
      </c>
      <c r="H243" s="308" t="n">
        <v>622.314049586777</v>
      </c>
      <c r="I243" s="315"/>
      <c r="J243" s="144" t="s">
        <v>12</v>
      </c>
      <c r="K243" s="310"/>
      <c r="L243" s="311" t="n">
        <v>269</v>
      </c>
      <c r="M243" s="311" t="n">
        <v>159</v>
      </c>
      <c r="N243" s="144" t="n">
        <v>159</v>
      </c>
      <c r="O243" s="310"/>
      <c r="P243" s="311" t="n">
        <v>0</v>
      </c>
      <c r="Q243" s="311" t="n">
        <v>0</v>
      </c>
      <c r="R243" s="311" t="n">
        <v>0</v>
      </c>
      <c r="S243" s="311" t="n">
        <v>0</v>
      </c>
      <c r="T243" s="144" t="n">
        <v>0</v>
      </c>
      <c r="U243" s="310"/>
      <c r="V243" s="144" t="n">
        <v>1</v>
      </c>
      <c r="W243" s="315"/>
    </row>
    <row r="244" customFormat="false" ht="12.75" hidden="false" customHeight="false" outlineLevel="0" collapsed="false">
      <c r="B244" s="304" t="s">
        <v>112</v>
      </c>
      <c r="C244" s="327" t="s">
        <v>549</v>
      </c>
      <c r="D244" s="306" t="n">
        <v>623</v>
      </c>
      <c r="E244" s="306" t="n">
        <v>3.75</v>
      </c>
      <c r="F244" s="324" t="s">
        <v>541</v>
      </c>
      <c r="G244" s="144" t="n">
        <v>48</v>
      </c>
      <c r="H244" s="325" t="n">
        <v>622.314049586777</v>
      </c>
      <c r="I244" s="315"/>
      <c r="J244" s="144" t="s">
        <v>12</v>
      </c>
      <c r="K244" s="310"/>
      <c r="L244" s="311" t="n">
        <v>269</v>
      </c>
      <c r="M244" s="311" t="n">
        <v>159</v>
      </c>
      <c r="N244" s="144" t="n">
        <v>159</v>
      </c>
      <c r="O244" s="310"/>
      <c r="P244" s="311" t="n">
        <v>0</v>
      </c>
      <c r="Q244" s="311" t="n">
        <v>0</v>
      </c>
      <c r="R244" s="311" t="n">
        <v>0</v>
      </c>
      <c r="S244" s="311" t="n">
        <v>0</v>
      </c>
      <c r="T244" s="144" t="n">
        <v>0</v>
      </c>
      <c r="U244" s="310"/>
      <c r="V244" s="144" t="n">
        <v>1</v>
      </c>
      <c r="W244" s="315"/>
    </row>
    <row r="245" customFormat="false" ht="12.75" hidden="false" customHeight="false" outlineLevel="0" collapsed="false">
      <c r="B245" s="304" t="s">
        <v>112</v>
      </c>
      <c r="C245" s="305" t="s">
        <v>543</v>
      </c>
      <c r="D245" s="306" t="n">
        <v>1044</v>
      </c>
      <c r="E245" s="306" t="n">
        <v>3.75</v>
      </c>
      <c r="F245" s="306" t="s">
        <v>541</v>
      </c>
      <c r="G245" s="307" t="n">
        <v>24</v>
      </c>
      <c r="H245" s="308" t="n">
        <v>1043.80165289256</v>
      </c>
      <c r="I245" s="315"/>
      <c r="J245" s="144" t="s">
        <v>12</v>
      </c>
      <c r="K245" s="310"/>
      <c r="L245" s="311" t="n">
        <v>449</v>
      </c>
      <c r="M245" s="311" t="n">
        <v>279</v>
      </c>
      <c r="N245" s="144" t="n">
        <v>279</v>
      </c>
      <c r="O245" s="310"/>
      <c r="P245" s="311" t="n">
        <v>0</v>
      </c>
      <c r="Q245" s="311" t="n">
        <v>0</v>
      </c>
      <c r="R245" s="311" t="n">
        <v>0</v>
      </c>
      <c r="S245" s="311" t="n">
        <v>0</v>
      </c>
      <c r="T245" s="144" t="n">
        <v>0</v>
      </c>
      <c r="U245" s="310"/>
      <c r="V245" s="144" t="n">
        <v>0</v>
      </c>
      <c r="W245" s="315"/>
    </row>
    <row r="246" customFormat="false" ht="12.75" hidden="false" customHeight="false" outlineLevel="0" collapsed="false">
      <c r="B246" s="304" t="s">
        <v>112</v>
      </c>
      <c r="C246" s="305" t="s">
        <v>543</v>
      </c>
      <c r="D246" s="306" t="n">
        <v>1044</v>
      </c>
      <c r="E246" s="306" t="n">
        <v>3.75</v>
      </c>
      <c r="F246" s="324" t="s">
        <v>541</v>
      </c>
      <c r="G246" s="144" t="n">
        <v>48</v>
      </c>
      <c r="H246" s="325" t="n">
        <v>1043.80165289256</v>
      </c>
      <c r="I246" s="315"/>
      <c r="J246" s="144" t="s">
        <v>12</v>
      </c>
      <c r="K246" s="310"/>
      <c r="L246" s="311" t="n">
        <v>449</v>
      </c>
      <c r="M246" s="311" t="n">
        <v>279</v>
      </c>
      <c r="N246" s="144" t="n">
        <v>279</v>
      </c>
      <c r="O246" s="310"/>
      <c r="P246" s="311" t="n">
        <v>0</v>
      </c>
      <c r="Q246" s="311" t="n">
        <v>0</v>
      </c>
      <c r="R246" s="311" t="n">
        <v>0</v>
      </c>
      <c r="S246" s="311" t="n">
        <v>0</v>
      </c>
      <c r="T246" s="144" t="n">
        <v>0</v>
      </c>
      <c r="U246" s="310"/>
      <c r="V246" s="144" t="n">
        <v>0</v>
      </c>
      <c r="W246" s="315"/>
    </row>
    <row r="247" customFormat="false" ht="12.75" hidden="false" customHeight="false" outlineLevel="0" collapsed="false">
      <c r="B247" s="304" t="s">
        <v>428</v>
      </c>
      <c r="C247" s="327" t="s">
        <v>550</v>
      </c>
      <c r="D247" s="306" t="n">
        <v>255</v>
      </c>
      <c r="E247" s="306" t="n">
        <v>3.75</v>
      </c>
      <c r="F247" s="306" t="s">
        <v>541</v>
      </c>
      <c r="G247" s="307" t="n">
        <v>24</v>
      </c>
      <c r="H247" s="308" t="n">
        <v>254.545454545455</v>
      </c>
      <c r="I247" s="315"/>
      <c r="J247" s="144" t="s">
        <v>12</v>
      </c>
      <c r="K247" s="310"/>
      <c r="L247" s="311" t="n">
        <v>39</v>
      </c>
      <c r="M247" s="311" t="n">
        <v>0</v>
      </c>
      <c r="N247" s="144" t="n">
        <v>0</v>
      </c>
      <c r="O247" s="310"/>
      <c r="P247" s="311" t="n">
        <v>0</v>
      </c>
      <c r="Q247" s="311" t="n">
        <v>0</v>
      </c>
      <c r="R247" s="311" t="n">
        <v>0</v>
      </c>
      <c r="S247" s="311" t="n">
        <v>0</v>
      </c>
      <c r="T247" s="144" t="n">
        <v>0</v>
      </c>
      <c r="U247" s="310"/>
      <c r="V247" s="144" t="n">
        <v>0</v>
      </c>
      <c r="W247" s="315"/>
    </row>
    <row r="248" customFormat="false" ht="12.75" hidden="false" customHeight="false" outlineLevel="0" collapsed="false">
      <c r="B248" s="304" t="s">
        <v>184</v>
      </c>
      <c r="C248" s="305" t="s">
        <v>551</v>
      </c>
      <c r="D248" s="306" t="n">
        <v>191</v>
      </c>
      <c r="E248" s="306" t="n">
        <v>3.75</v>
      </c>
      <c r="F248" s="324" t="s">
        <v>541</v>
      </c>
      <c r="G248" s="144" t="n">
        <v>24</v>
      </c>
      <c r="H248" s="325" t="n">
        <v>166.115702479339</v>
      </c>
      <c r="I248" s="315"/>
      <c r="J248" s="144" t="s">
        <v>12</v>
      </c>
      <c r="K248" s="310"/>
      <c r="L248" s="311" t="n">
        <v>29</v>
      </c>
      <c r="M248" s="311" t="n">
        <v>0</v>
      </c>
      <c r="N248" s="144" t="n">
        <v>0</v>
      </c>
      <c r="O248" s="310"/>
      <c r="P248" s="311" t="n">
        <v>0</v>
      </c>
      <c r="Q248" s="311" t="n">
        <v>0</v>
      </c>
      <c r="R248" s="311" t="n">
        <v>0</v>
      </c>
      <c r="S248" s="311" t="n">
        <v>0</v>
      </c>
      <c r="T248" s="144" t="n">
        <v>0</v>
      </c>
      <c r="U248" s="310"/>
      <c r="V248" s="144" t="n">
        <v>25</v>
      </c>
      <c r="W248" s="315"/>
    </row>
    <row r="249" customFormat="false" ht="12.75" hidden="false" customHeight="false" outlineLevel="0" collapsed="false">
      <c r="B249" s="304" t="s">
        <v>200</v>
      </c>
      <c r="C249" s="305" t="s">
        <v>552</v>
      </c>
      <c r="D249" s="306" t="n">
        <v>182</v>
      </c>
      <c r="E249" s="306" t="n">
        <v>3.75</v>
      </c>
      <c r="F249" s="306" t="s">
        <v>541</v>
      </c>
      <c r="G249" s="307" t="n">
        <v>24</v>
      </c>
      <c r="H249" s="308" t="n">
        <v>176.859504132231</v>
      </c>
      <c r="I249" s="315"/>
      <c r="J249" s="144" t="s">
        <v>12</v>
      </c>
      <c r="K249" s="310"/>
      <c r="L249" s="311" t="n">
        <v>29</v>
      </c>
      <c r="M249" s="311" t="n">
        <v>0</v>
      </c>
      <c r="N249" s="144" t="n">
        <v>0</v>
      </c>
      <c r="O249" s="310"/>
      <c r="P249" s="311" t="n">
        <v>0</v>
      </c>
      <c r="Q249" s="311" t="n">
        <v>0</v>
      </c>
      <c r="R249" s="311" t="n">
        <v>0</v>
      </c>
      <c r="S249" s="311" t="n">
        <v>0</v>
      </c>
      <c r="T249" s="144" t="n">
        <v>0</v>
      </c>
      <c r="U249" s="310"/>
      <c r="V249" s="144" t="n">
        <v>5</v>
      </c>
      <c r="W249" s="315"/>
    </row>
    <row r="250" customFormat="false" ht="12.75" hidden="false" customHeight="false" outlineLevel="0" collapsed="false">
      <c r="B250" s="304" t="s">
        <v>200</v>
      </c>
      <c r="C250" s="305" t="s">
        <v>553</v>
      </c>
      <c r="D250" s="306" t="n">
        <v>310</v>
      </c>
      <c r="E250" s="306" t="n">
        <v>3.75</v>
      </c>
      <c r="F250" s="324" t="s">
        <v>541</v>
      </c>
      <c r="G250" s="144" t="n">
        <v>24</v>
      </c>
      <c r="H250" s="325" t="n">
        <v>250.413223140496</v>
      </c>
      <c r="I250" s="315"/>
      <c r="J250" s="144" t="s">
        <v>12</v>
      </c>
      <c r="K250" s="310"/>
      <c r="L250" s="311" t="n">
        <v>39</v>
      </c>
      <c r="M250" s="311" t="n">
        <v>0</v>
      </c>
      <c r="N250" s="144" t="n">
        <v>0</v>
      </c>
      <c r="O250" s="310"/>
      <c r="P250" s="311" t="n">
        <v>0</v>
      </c>
      <c r="Q250" s="311" t="n">
        <v>0</v>
      </c>
      <c r="R250" s="311" t="n">
        <v>0</v>
      </c>
      <c r="S250" s="311" t="n">
        <v>0</v>
      </c>
      <c r="T250" s="144" t="n">
        <v>0</v>
      </c>
      <c r="U250" s="310"/>
      <c r="V250" s="144" t="n">
        <v>60</v>
      </c>
      <c r="W250" s="315"/>
    </row>
    <row r="251" customFormat="false" ht="12.75" hidden="false" customHeight="false" outlineLevel="0" collapsed="false">
      <c r="B251" s="304" t="s">
        <v>200</v>
      </c>
      <c r="C251" s="305" t="s">
        <v>554</v>
      </c>
      <c r="D251" s="306" t="n">
        <v>310</v>
      </c>
      <c r="E251" s="306" t="n">
        <v>3.75</v>
      </c>
      <c r="F251" s="306" t="s">
        <v>541</v>
      </c>
      <c r="G251" s="307" t="n">
        <v>24</v>
      </c>
      <c r="H251" s="308" t="n">
        <v>240.495867768595</v>
      </c>
      <c r="I251" s="315"/>
      <c r="J251" s="144" t="s">
        <v>12</v>
      </c>
      <c r="K251" s="310"/>
      <c r="L251" s="311" t="n">
        <v>39</v>
      </c>
      <c r="M251" s="311" t="n">
        <v>0</v>
      </c>
      <c r="N251" s="144" t="n">
        <v>0</v>
      </c>
      <c r="O251" s="310"/>
      <c r="P251" s="311" t="n">
        <v>0</v>
      </c>
      <c r="Q251" s="311" t="n">
        <v>0</v>
      </c>
      <c r="R251" s="311" t="n">
        <v>0</v>
      </c>
      <c r="S251" s="311" t="n">
        <v>0</v>
      </c>
      <c r="T251" s="144" t="n">
        <v>0</v>
      </c>
      <c r="U251" s="310"/>
      <c r="V251" s="144" t="n">
        <v>70</v>
      </c>
      <c r="W251" s="315"/>
    </row>
    <row r="252" customFormat="false" ht="12.75" hidden="false" customHeight="false" outlineLevel="0" collapsed="false">
      <c r="B252" s="304" t="s">
        <v>200</v>
      </c>
      <c r="C252" s="305" t="s">
        <v>555</v>
      </c>
      <c r="D252" s="306" t="n">
        <v>1195</v>
      </c>
      <c r="E252" s="306" t="n">
        <v>3.75</v>
      </c>
      <c r="F252" s="324" t="s">
        <v>541</v>
      </c>
      <c r="G252" s="144" t="n">
        <v>24</v>
      </c>
      <c r="H252" s="325" t="n">
        <v>1085.95041322314</v>
      </c>
      <c r="I252" s="315"/>
      <c r="J252" s="144" t="s">
        <v>12</v>
      </c>
      <c r="K252" s="310"/>
      <c r="L252" s="311" t="n">
        <v>479</v>
      </c>
      <c r="M252" s="311" t="n">
        <v>289</v>
      </c>
      <c r="N252" s="144" t="n">
        <v>289</v>
      </c>
      <c r="O252" s="310"/>
      <c r="P252" s="311" t="n">
        <v>0</v>
      </c>
      <c r="Q252" s="311" t="n">
        <v>0</v>
      </c>
      <c r="R252" s="311" t="n">
        <v>0</v>
      </c>
      <c r="S252" s="311" t="n">
        <v>0</v>
      </c>
      <c r="T252" s="144" t="n">
        <v>0</v>
      </c>
      <c r="U252" s="310"/>
      <c r="V252" s="144" t="n">
        <v>109</v>
      </c>
      <c r="W252" s="315"/>
    </row>
    <row r="253" customFormat="false" ht="12.75" hidden="false" customHeight="false" outlineLevel="0" collapsed="false">
      <c r="B253" s="304" t="s">
        <v>200</v>
      </c>
      <c r="C253" s="305" t="s">
        <v>555</v>
      </c>
      <c r="D253" s="306" t="n">
        <v>1195</v>
      </c>
      <c r="E253" s="306" t="n">
        <v>3.75</v>
      </c>
      <c r="F253" s="306" t="s">
        <v>541</v>
      </c>
      <c r="G253" s="307" t="n">
        <v>48</v>
      </c>
      <c r="H253" s="308" t="n">
        <v>1085.95041322314</v>
      </c>
      <c r="I253" s="315"/>
      <c r="J253" s="144" t="s">
        <v>12</v>
      </c>
      <c r="K253" s="310"/>
      <c r="L253" s="311" t="n">
        <v>479</v>
      </c>
      <c r="M253" s="311" t="n">
        <v>289</v>
      </c>
      <c r="N253" s="144" t="n">
        <v>289</v>
      </c>
      <c r="O253" s="310"/>
      <c r="P253" s="311" t="n">
        <v>0</v>
      </c>
      <c r="Q253" s="311" t="n">
        <v>0</v>
      </c>
      <c r="R253" s="311" t="n">
        <v>0</v>
      </c>
      <c r="S253" s="311" t="n">
        <v>0</v>
      </c>
      <c r="T253" s="144" t="n">
        <v>0</v>
      </c>
      <c r="U253" s="310"/>
      <c r="V253" s="144" t="n">
        <v>109</v>
      </c>
      <c r="W253" s="315"/>
    </row>
    <row r="254" customFormat="false" ht="12.75" hidden="false" customHeight="false" outlineLevel="0" collapsed="false">
      <c r="B254" s="304" t="s">
        <v>200</v>
      </c>
      <c r="C254" s="305" t="s">
        <v>556</v>
      </c>
      <c r="D254" s="306" t="n">
        <v>537</v>
      </c>
      <c r="E254" s="306" t="n">
        <v>3.75</v>
      </c>
      <c r="F254" s="324" t="s">
        <v>541</v>
      </c>
      <c r="G254" s="144" t="n">
        <v>24</v>
      </c>
      <c r="H254" s="325" t="n">
        <v>417.355371900826</v>
      </c>
      <c r="I254" s="315"/>
      <c r="J254" s="144" t="s">
        <v>12</v>
      </c>
      <c r="K254" s="310"/>
      <c r="L254" s="311" t="n">
        <v>139</v>
      </c>
      <c r="M254" s="311" t="n">
        <v>19</v>
      </c>
      <c r="N254" s="144" t="n">
        <v>19</v>
      </c>
      <c r="O254" s="310"/>
      <c r="P254" s="311" t="n">
        <v>0</v>
      </c>
      <c r="Q254" s="311" t="n">
        <v>0</v>
      </c>
      <c r="R254" s="311" t="n">
        <v>0</v>
      </c>
      <c r="S254" s="311" t="n">
        <v>0</v>
      </c>
      <c r="T254" s="144" t="n">
        <v>0</v>
      </c>
      <c r="U254" s="310"/>
      <c r="V254" s="144" t="n">
        <v>120</v>
      </c>
      <c r="W254" s="315"/>
    </row>
    <row r="255" customFormat="false" ht="12.75" hidden="false" customHeight="false" outlineLevel="0" collapsed="false">
      <c r="B255" s="304" t="s">
        <v>200</v>
      </c>
      <c r="C255" s="305" t="s">
        <v>556</v>
      </c>
      <c r="D255" s="306" t="n">
        <v>537</v>
      </c>
      <c r="E255" s="306" t="n">
        <v>3.75</v>
      </c>
      <c r="F255" s="306" t="s">
        <v>541</v>
      </c>
      <c r="G255" s="307" t="n">
        <v>48</v>
      </c>
      <c r="H255" s="308" t="n">
        <v>417.355371900826</v>
      </c>
      <c r="I255" s="315"/>
      <c r="J255" s="144" t="s">
        <v>12</v>
      </c>
      <c r="K255" s="310"/>
      <c r="L255" s="311" t="n">
        <v>139</v>
      </c>
      <c r="M255" s="311" t="n">
        <v>19</v>
      </c>
      <c r="N255" s="144" t="n">
        <v>19</v>
      </c>
      <c r="O255" s="310"/>
      <c r="P255" s="311" t="n">
        <v>0</v>
      </c>
      <c r="Q255" s="311" t="n">
        <v>0</v>
      </c>
      <c r="R255" s="311" t="n">
        <v>0</v>
      </c>
      <c r="S255" s="311" t="n">
        <v>0</v>
      </c>
      <c r="T255" s="144" t="n">
        <v>0</v>
      </c>
      <c r="U255" s="310"/>
      <c r="V255" s="144" t="n">
        <v>120</v>
      </c>
      <c r="W255" s="315"/>
    </row>
    <row r="256" customFormat="false" ht="12.75" hidden="false" customHeight="false" outlineLevel="0" collapsed="false">
      <c r="B256" s="304" t="s">
        <v>428</v>
      </c>
      <c r="C256" s="305" t="s">
        <v>558</v>
      </c>
      <c r="D256" s="306" t="n">
        <v>208</v>
      </c>
      <c r="E256" s="306" t="n">
        <v>3.75</v>
      </c>
      <c r="F256" s="324" t="s">
        <v>541</v>
      </c>
      <c r="G256" s="144" t="n">
        <v>24</v>
      </c>
      <c r="H256" s="325" t="n">
        <v>187.603305785124</v>
      </c>
      <c r="I256" s="315"/>
      <c r="J256" s="144" t="s">
        <v>12</v>
      </c>
      <c r="K256" s="310"/>
      <c r="L256" s="311" t="n">
        <v>29</v>
      </c>
      <c r="M256" s="311" t="n">
        <v>0</v>
      </c>
      <c r="N256" s="144" t="n">
        <v>0</v>
      </c>
      <c r="O256" s="310"/>
      <c r="P256" s="311" t="n">
        <v>0</v>
      </c>
      <c r="Q256" s="311" t="n">
        <v>0</v>
      </c>
      <c r="R256" s="311" t="n">
        <v>0</v>
      </c>
      <c r="S256" s="311" t="n">
        <v>0</v>
      </c>
      <c r="T256" s="144" t="n">
        <v>0</v>
      </c>
      <c r="U256" s="310"/>
      <c r="V256" s="144" t="n">
        <v>20</v>
      </c>
      <c r="W256" s="315"/>
    </row>
    <row r="257" customFormat="false" ht="12.75" hidden="false" customHeight="false" outlineLevel="0" collapsed="false">
      <c r="B257" s="304" t="s">
        <v>428</v>
      </c>
      <c r="C257" s="305" t="s">
        <v>559</v>
      </c>
      <c r="D257" s="306" t="n">
        <v>132</v>
      </c>
      <c r="E257" s="306" t="n">
        <v>3.75</v>
      </c>
      <c r="F257" s="306" t="s">
        <v>541</v>
      </c>
      <c r="G257" s="307" t="n">
        <v>24</v>
      </c>
      <c r="H257" s="308" t="n">
        <v>90.9090909090909</v>
      </c>
      <c r="I257" s="315"/>
      <c r="J257" s="144" t="s">
        <v>12</v>
      </c>
      <c r="K257" s="310"/>
      <c r="L257" s="311" t="n">
        <v>0</v>
      </c>
      <c r="M257" s="311" t="n">
        <v>0</v>
      </c>
      <c r="N257" s="144" t="n">
        <v>0</v>
      </c>
      <c r="O257" s="310"/>
      <c r="P257" s="311" t="n">
        <v>0</v>
      </c>
      <c r="Q257" s="311" t="n">
        <v>0</v>
      </c>
      <c r="R257" s="311" t="n">
        <v>0</v>
      </c>
      <c r="S257" s="311" t="n">
        <v>0</v>
      </c>
      <c r="T257" s="144" t="n">
        <v>0</v>
      </c>
      <c r="U257" s="310"/>
      <c r="V257" s="144" t="n">
        <v>41</v>
      </c>
      <c r="W257" s="315"/>
    </row>
    <row r="258" customFormat="false" ht="12.75" hidden="false" customHeight="false" outlineLevel="0" collapsed="false">
      <c r="B258" s="304" t="s">
        <v>428</v>
      </c>
      <c r="C258" s="305" t="s">
        <v>560</v>
      </c>
      <c r="D258" s="306" t="n">
        <v>115</v>
      </c>
      <c r="E258" s="306" t="n">
        <v>3.75</v>
      </c>
      <c r="F258" s="324" t="s">
        <v>541</v>
      </c>
      <c r="G258" s="144" t="n">
        <v>24</v>
      </c>
      <c r="H258" s="325" t="n">
        <v>105.785123966942</v>
      </c>
      <c r="I258" s="315"/>
      <c r="J258" s="144" t="s">
        <v>12</v>
      </c>
      <c r="K258" s="310"/>
      <c r="L258" s="311" t="n">
        <v>0</v>
      </c>
      <c r="M258" s="311" t="n">
        <v>0</v>
      </c>
      <c r="N258" s="144" t="n">
        <v>0</v>
      </c>
      <c r="O258" s="310"/>
      <c r="P258" s="311" t="n">
        <v>0</v>
      </c>
      <c r="Q258" s="311" t="n">
        <v>0</v>
      </c>
      <c r="R258" s="311" t="n">
        <v>0</v>
      </c>
      <c r="S258" s="311" t="n">
        <v>0</v>
      </c>
      <c r="T258" s="144" t="n">
        <v>0</v>
      </c>
      <c r="U258" s="310"/>
      <c r="V258" s="144" t="n">
        <v>9</v>
      </c>
      <c r="W258" s="315"/>
    </row>
    <row r="259" customFormat="false" ht="12.75" hidden="false" customHeight="false" outlineLevel="0" collapsed="false">
      <c r="B259" s="304" t="s">
        <v>428</v>
      </c>
      <c r="C259" s="305" t="s">
        <v>561</v>
      </c>
      <c r="D259" s="306" t="n">
        <v>148</v>
      </c>
      <c r="E259" s="306" t="n">
        <v>3.75</v>
      </c>
      <c r="F259" s="306" t="s">
        <v>562</v>
      </c>
      <c r="G259" s="307" t="n">
        <v>24</v>
      </c>
      <c r="H259" s="308" t="n">
        <v>129.752066115703</v>
      </c>
      <c r="I259" s="315"/>
      <c r="J259" s="144" t="s">
        <v>12</v>
      </c>
      <c r="K259" s="310"/>
      <c r="L259" s="311" t="n">
        <v>19</v>
      </c>
      <c r="M259" s="311" t="n">
        <v>0</v>
      </c>
      <c r="N259" s="144" t="n">
        <v>0</v>
      </c>
      <c r="O259" s="310"/>
      <c r="P259" s="311" t="n">
        <v>0</v>
      </c>
      <c r="Q259" s="311" t="n">
        <v>0</v>
      </c>
      <c r="R259" s="311" t="n">
        <v>0</v>
      </c>
      <c r="S259" s="311" t="n">
        <v>0</v>
      </c>
      <c r="T259" s="144" t="n">
        <v>0</v>
      </c>
      <c r="U259" s="310"/>
      <c r="V259" s="144" t="n">
        <v>18</v>
      </c>
      <c r="W259" s="315"/>
    </row>
    <row r="260" customFormat="false" ht="12.75" hidden="false" customHeight="false" outlineLevel="0" collapsed="false">
      <c r="B260" s="304" t="s">
        <v>497</v>
      </c>
      <c r="C260" s="305" t="s">
        <v>563</v>
      </c>
      <c r="D260" s="306" t="n">
        <v>208</v>
      </c>
      <c r="E260" s="306" t="n">
        <v>3.75</v>
      </c>
      <c r="F260" s="324" t="s">
        <v>541</v>
      </c>
      <c r="G260" s="144" t="n">
        <v>24</v>
      </c>
      <c r="H260" s="325" t="n">
        <v>171.900826446281</v>
      </c>
      <c r="I260" s="315"/>
      <c r="J260" s="144" t="s">
        <v>12</v>
      </c>
      <c r="K260" s="310"/>
      <c r="L260" s="311" t="n">
        <v>29</v>
      </c>
      <c r="M260" s="311" t="n">
        <v>0</v>
      </c>
      <c r="N260" s="144" t="n">
        <v>0</v>
      </c>
      <c r="O260" s="310"/>
      <c r="P260" s="311" t="n">
        <v>0</v>
      </c>
      <c r="Q260" s="311" t="n">
        <v>0</v>
      </c>
      <c r="R260" s="311" t="n">
        <v>0</v>
      </c>
      <c r="S260" s="311" t="n">
        <v>0</v>
      </c>
      <c r="T260" s="144" t="n">
        <v>0</v>
      </c>
      <c r="U260" s="310"/>
      <c r="V260" s="144" t="n">
        <v>36</v>
      </c>
      <c r="W260" s="315"/>
    </row>
    <row r="261" customFormat="false" ht="12.75" hidden="false" customHeight="false" outlineLevel="0" collapsed="false">
      <c r="B261" s="304" t="s">
        <v>497</v>
      </c>
      <c r="C261" s="305" t="s">
        <v>564</v>
      </c>
      <c r="D261" s="306" t="n">
        <v>327</v>
      </c>
      <c r="E261" s="306" t="n">
        <v>3.75</v>
      </c>
      <c r="F261" s="306" t="s">
        <v>541</v>
      </c>
      <c r="G261" s="307" t="n">
        <v>24</v>
      </c>
      <c r="H261" s="308" t="n">
        <v>276.03305785124</v>
      </c>
      <c r="I261" s="315"/>
      <c r="J261" s="144" t="s">
        <v>12</v>
      </c>
      <c r="K261" s="310"/>
      <c r="L261" s="311" t="n">
        <v>39</v>
      </c>
      <c r="M261" s="311" t="n">
        <v>0</v>
      </c>
      <c r="N261" s="144" t="n">
        <v>0</v>
      </c>
      <c r="O261" s="310"/>
      <c r="P261" s="311" t="n">
        <v>0</v>
      </c>
      <c r="Q261" s="311" t="n">
        <v>0</v>
      </c>
      <c r="R261" s="311" t="n">
        <v>0</v>
      </c>
      <c r="S261" s="311" t="n">
        <v>0</v>
      </c>
      <c r="T261" s="144" t="n">
        <v>0</v>
      </c>
      <c r="U261" s="310"/>
      <c r="V261" s="144" t="n">
        <v>51</v>
      </c>
      <c r="W261" s="315"/>
    </row>
    <row r="262" customFormat="false" ht="12.75" hidden="false" customHeight="false" outlineLevel="0" collapsed="false">
      <c r="B262" s="304" t="s">
        <v>112</v>
      </c>
      <c r="C262" s="305" t="s">
        <v>565</v>
      </c>
      <c r="D262" s="306" t="n">
        <v>367</v>
      </c>
      <c r="E262" s="306" t="n">
        <v>3.75</v>
      </c>
      <c r="F262" s="324" t="s">
        <v>562</v>
      </c>
      <c r="G262" s="144" t="n">
        <v>24</v>
      </c>
      <c r="H262" s="325" t="n">
        <v>366.115702479339</v>
      </c>
      <c r="I262" s="315"/>
      <c r="J262" s="144" t="s">
        <v>12</v>
      </c>
      <c r="K262" s="310"/>
      <c r="L262" s="311" t="n">
        <v>129</v>
      </c>
      <c r="M262" s="311" t="n">
        <v>19</v>
      </c>
      <c r="N262" s="144" t="n">
        <v>19</v>
      </c>
      <c r="O262" s="310"/>
      <c r="P262" s="311" t="n">
        <v>0</v>
      </c>
      <c r="Q262" s="311" t="n">
        <v>0</v>
      </c>
      <c r="R262" s="311" t="n">
        <v>0</v>
      </c>
      <c r="S262" s="311" t="n">
        <v>0</v>
      </c>
      <c r="T262" s="144" t="n">
        <v>0</v>
      </c>
      <c r="U262" s="310"/>
      <c r="V262" s="144" t="n">
        <v>1</v>
      </c>
      <c r="W262" s="315"/>
    </row>
    <row r="263" customFormat="false" ht="12.75" hidden="false" customHeight="false" outlineLevel="0" collapsed="false">
      <c r="B263" s="304" t="s">
        <v>112</v>
      </c>
      <c r="C263" s="305" t="s">
        <v>565</v>
      </c>
      <c r="D263" s="306" t="n">
        <v>367</v>
      </c>
      <c r="E263" s="306" t="n">
        <v>3.75</v>
      </c>
      <c r="F263" s="306" t="s">
        <v>562</v>
      </c>
      <c r="G263" s="307" t="n">
        <v>48</v>
      </c>
      <c r="H263" s="308" t="n">
        <v>366.115702479339</v>
      </c>
      <c r="I263" s="315"/>
      <c r="J263" s="144" t="s">
        <v>12</v>
      </c>
      <c r="K263" s="310"/>
      <c r="L263" s="311" t="n">
        <v>129</v>
      </c>
      <c r="M263" s="311" t="n">
        <v>19</v>
      </c>
      <c r="N263" s="144" t="n">
        <v>19</v>
      </c>
      <c r="O263" s="310"/>
      <c r="P263" s="311" t="n">
        <v>0</v>
      </c>
      <c r="Q263" s="311" t="n">
        <v>0</v>
      </c>
      <c r="R263" s="311" t="n">
        <v>0</v>
      </c>
      <c r="S263" s="311" t="n">
        <v>0</v>
      </c>
      <c r="T263" s="144" t="n">
        <v>0</v>
      </c>
      <c r="U263" s="310"/>
      <c r="V263" s="144" t="n">
        <v>1</v>
      </c>
      <c r="W263" s="315"/>
    </row>
    <row r="264" customFormat="false" ht="12.75" hidden="false" customHeight="false" outlineLevel="0" collapsed="false">
      <c r="B264" s="304" t="s">
        <v>450</v>
      </c>
      <c r="C264" s="305" t="s">
        <v>566</v>
      </c>
      <c r="D264" s="306" t="n">
        <v>137</v>
      </c>
      <c r="E264" s="306" t="n">
        <v>3.75</v>
      </c>
      <c r="F264" s="324" t="s">
        <v>562</v>
      </c>
      <c r="G264" s="144" t="n">
        <v>24</v>
      </c>
      <c r="H264" s="325" t="n">
        <v>137.190082644628</v>
      </c>
      <c r="I264" s="315"/>
      <c r="J264" s="144" t="s">
        <v>12</v>
      </c>
      <c r="K264" s="310"/>
      <c r="L264" s="311" t="n">
        <v>19</v>
      </c>
      <c r="M264" s="311" t="n">
        <v>0</v>
      </c>
      <c r="N264" s="144" t="n">
        <v>0</v>
      </c>
      <c r="O264" s="310"/>
      <c r="P264" s="311" t="n">
        <v>0</v>
      </c>
      <c r="Q264" s="311" t="n">
        <v>0</v>
      </c>
      <c r="R264" s="311" t="n">
        <v>0</v>
      </c>
      <c r="S264" s="311" t="n">
        <v>0</v>
      </c>
      <c r="T264" s="144" t="n">
        <v>0</v>
      </c>
      <c r="U264" s="310"/>
      <c r="V264" s="144" t="n">
        <v>0</v>
      </c>
      <c r="W264" s="315"/>
    </row>
    <row r="265" customFormat="false" ht="12.75" hidden="false" customHeight="false" outlineLevel="0" collapsed="false">
      <c r="B265" s="304" t="s">
        <v>209</v>
      </c>
      <c r="C265" s="305" t="s">
        <v>567</v>
      </c>
      <c r="D265" s="306" t="n">
        <v>304</v>
      </c>
      <c r="E265" s="306" t="n">
        <v>0</v>
      </c>
      <c r="F265" s="306" t="s">
        <v>568</v>
      </c>
      <c r="G265" s="307" t="n">
        <v>24</v>
      </c>
      <c r="H265" s="308" t="n">
        <v>303.305785123967</v>
      </c>
      <c r="I265" s="315"/>
      <c r="J265" s="144" t="s">
        <v>12</v>
      </c>
      <c r="K265" s="310"/>
      <c r="L265" s="311" t="n">
        <v>99</v>
      </c>
      <c r="M265" s="311" t="n">
        <v>19</v>
      </c>
      <c r="N265" s="144" t="n">
        <v>19</v>
      </c>
      <c r="O265" s="310"/>
      <c r="P265" s="311" t="n">
        <v>0</v>
      </c>
      <c r="Q265" s="311" t="n">
        <v>0</v>
      </c>
      <c r="R265" s="311" t="n">
        <v>0</v>
      </c>
      <c r="S265" s="311" t="n">
        <v>0</v>
      </c>
      <c r="T265" s="144" t="n">
        <v>0</v>
      </c>
      <c r="U265" s="310"/>
      <c r="V265" s="144" t="n">
        <v>1</v>
      </c>
      <c r="W265" s="315"/>
    </row>
    <row r="266" customFormat="false" ht="12.75" hidden="false" customHeight="false" outlineLevel="0" collapsed="false">
      <c r="B266" s="304" t="s">
        <v>209</v>
      </c>
      <c r="C266" s="305" t="s">
        <v>567</v>
      </c>
      <c r="D266" s="306" t="n">
        <v>304</v>
      </c>
      <c r="E266" s="306" t="n">
        <v>0</v>
      </c>
      <c r="F266" s="324" t="s">
        <v>568</v>
      </c>
      <c r="G266" s="144" t="n">
        <v>48</v>
      </c>
      <c r="H266" s="325" t="n">
        <v>303.305785123967</v>
      </c>
      <c r="I266" s="315"/>
      <c r="J266" s="144" t="s">
        <v>12</v>
      </c>
      <c r="K266" s="310"/>
      <c r="L266" s="311" t="n">
        <v>99</v>
      </c>
      <c r="M266" s="311" t="n">
        <v>19</v>
      </c>
      <c r="N266" s="144" t="n">
        <v>19</v>
      </c>
      <c r="O266" s="310"/>
      <c r="P266" s="311" t="n">
        <v>0</v>
      </c>
      <c r="Q266" s="311" t="n">
        <v>0</v>
      </c>
      <c r="R266" s="311" t="n">
        <v>0</v>
      </c>
      <c r="S266" s="311" t="n">
        <v>0</v>
      </c>
      <c r="T266" s="144" t="n">
        <v>0</v>
      </c>
      <c r="U266" s="310"/>
      <c r="V266" s="144" t="n">
        <v>1</v>
      </c>
      <c r="W266" s="315"/>
    </row>
    <row r="267" customFormat="false" ht="12.75" hidden="false" customHeight="false" outlineLevel="0" collapsed="false">
      <c r="B267" s="304" t="s">
        <v>216</v>
      </c>
      <c r="C267" s="305" t="s">
        <v>569</v>
      </c>
      <c r="D267" s="306" t="n">
        <v>412</v>
      </c>
      <c r="E267" s="306" t="n">
        <v>0</v>
      </c>
      <c r="F267" s="306" t="s">
        <v>568</v>
      </c>
      <c r="G267" s="307" t="n">
        <v>24</v>
      </c>
      <c r="H267" s="308" t="n">
        <v>361.98347107438</v>
      </c>
      <c r="I267" s="315"/>
      <c r="J267" s="144" t="s">
        <v>12</v>
      </c>
      <c r="K267" s="310"/>
      <c r="L267" s="311" t="n">
        <v>119</v>
      </c>
      <c r="M267" s="311" t="n">
        <v>19</v>
      </c>
      <c r="N267" s="144" t="n">
        <v>19</v>
      </c>
      <c r="O267" s="310"/>
      <c r="P267" s="311" t="n">
        <v>0</v>
      </c>
      <c r="Q267" s="311" t="n">
        <v>0</v>
      </c>
      <c r="R267" s="311" t="n">
        <v>0</v>
      </c>
      <c r="S267" s="311" t="n">
        <v>0</v>
      </c>
      <c r="T267" s="144" t="n">
        <v>0</v>
      </c>
      <c r="U267" s="310"/>
      <c r="V267" s="144" t="n">
        <v>50</v>
      </c>
      <c r="W267" s="315"/>
    </row>
    <row r="268" customFormat="false" ht="12.75" hidden="false" customHeight="false" outlineLevel="0" collapsed="false">
      <c r="B268" s="304" t="s">
        <v>216</v>
      </c>
      <c r="C268" s="305" t="s">
        <v>569</v>
      </c>
      <c r="D268" s="306" t="n">
        <v>412</v>
      </c>
      <c r="E268" s="306" t="n">
        <v>0</v>
      </c>
      <c r="F268" s="324" t="s">
        <v>568</v>
      </c>
      <c r="G268" s="144" t="n">
        <v>48</v>
      </c>
      <c r="H268" s="325" t="n">
        <v>361.98347107438</v>
      </c>
      <c r="I268" s="315"/>
      <c r="J268" s="144" t="s">
        <v>12</v>
      </c>
      <c r="K268" s="310"/>
      <c r="L268" s="311" t="n">
        <v>119</v>
      </c>
      <c r="M268" s="311" t="n">
        <v>19</v>
      </c>
      <c r="N268" s="144" t="n">
        <v>19</v>
      </c>
      <c r="O268" s="310"/>
      <c r="P268" s="311" t="n">
        <v>0</v>
      </c>
      <c r="Q268" s="311" t="n">
        <v>0</v>
      </c>
      <c r="R268" s="311" t="n">
        <v>0</v>
      </c>
      <c r="S268" s="311" t="n">
        <v>0</v>
      </c>
      <c r="T268" s="144" t="n">
        <v>0</v>
      </c>
      <c r="U268" s="310"/>
      <c r="V268" s="144" t="n">
        <v>50</v>
      </c>
      <c r="W268" s="315"/>
    </row>
    <row r="269" customFormat="false" ht="12.75" hidden="false" customHeight="false" outlineLevel="0" collapsed="false">
      <c r="B269" s="304" t="s">
        <v>216</v>
      </c>
      <c r="C269" s="305" t="s">
        <v>570</v>
      </c>
      <c r="D269" s="306" t="n">
        <v>198</v>
      </c>
      <c r="E269" s="306" t="n">
        <v>0</v>
      </c>
      <c r="F269" s="306" t="s">
        <v>568</v>
      </c>
      <c r="G269" s="307" t="n">
        <v>24</v>
      </c>
      <c r="H269" s="308" t="n">
        <v>212.396694214876</v>
      </c>
      <c r="I269" s="315"/>
      <c r="J269" s="144" t="s">
        <v>12</v>
      </c>
      <c r="K269" s="310"/>
      <c r="L269" s="311" t="n">
        <v>39</v>
      </c>
      <c r="M269" s="311" t="n">
        <v>0</v>
      </c>
      <c r="N269" s="144" t="n">
        <v>0</v>
      </c>
      <c r="O269" s="310"/>
      <c r="P269" s="311" t="n">
        <v>0</v>
      </c>
      <c r="Q269" s="311" t="n">
        <v>0</v>
      </c>
      <c r="R269" s="311" t="n">
        <v>0</v>
      </c>
      <c r="S269" s="311" t="n">
        <v>0</v>
      </c>
      <c r="T269" s="144" t="n">
        <v>0</v>
      </c>
      <c r="U269" s="310"/>
      <c r="V269" s="144" t="n">
        <v>-14</v>
      </c>
      <c r="W269" s="315"/>
    </row>
    <row r="270" customFormat="false" ht="12.75" hidden="false" customHeight="false" outlineLevel="0" collapsed="false">
      <c r="B270" s="304" t="s">
        <v>216</v>
      </c>
      <c r="C270" s="305" t="s">
        <v>570</v>
      </c>
      <c r="D270" s="306" t="n">
        <v>198</v>
      </c>
      <c r="E270" s="306" t="n">
        <v>0</v>
      </c>
      <c r="F270" s="324" t="s">
        <v>568</v>
      </c>
      <c r="G270" s="144" t="n">
        <v>48</v>
      </c>
      <c r="H270" s="325" t="n">
        <v>212.396694214876</v>
      </c>
      <c r="I270" s="315"/>
      <c r="J270" s="144" t="s">
        <v>12</v>
      </c>
      <c r="K270" s="310"/>
      <c r="L270" s="311" t="n">
        <v>39</v>
      </c>
      <c r="M270" s="311" t="n">
        <v>0</v>
      </c>
      <c r="N270" s="144" t="n">
        <v>0</v>
      </c>
      <c r="O270" s="310"/>
      <c r="P270" s="311" t="n">
        <v>0</v>
      </c>
      <c r="Q270" s="311" t="n">
        <v>0</v>
      </c>
      <c r="R270" s="311" t="n">
        <v>0</v>
      </c>
      <c r="S270" s="311" t="n">
        <v>0</v>
      </c>
      <c r="T270" s="144" t="n">
        <v>0</v>
      </c>
      <c r="U270" s="310"/>
      <c r="V270" s="144" t="n">
        <v>-14</v>
      </c>
      <c r="W270" s="315"/>
    </row>
    <row r="271" customFormat="false" ht="12.75" hidden="false" customHeight="false" outlineLevel="0" collapsed="false">
      <c r="B271" s="304" t="s">
        <v>216</v>
      </c>
      <c r="C271" s="305" t="s">
        <v>571</v>
      </c>
      <c r="D271" s="306" t="n">
        <v>358</v>
      </c>
      <c r="E271" s="306" t="n">
        <v>0</v>
      </c>
      <c r="F271" s="306" t="s">
        <v>568</v>
      </c>
      <c r="G271" s="307" t="n">
        <v>24</v>
      </c>
      <c r="H271" s="308" t="n">
        <v>411.570247933884</v>
      </c>
      <c r="I271" s="315"/>
      <c r="J271" s="144" t="s">
        <v>12</v>
      </c>
      <c r="K271" s="310"/>
      <c r="L271" s="311" t="n">
        <v>139</v>
      </c>
      <c r="M271" s="311" t="n">
        <v>19</v>
      </c>
      <c r="N271" s="144" t="n">
        <v>19</v>
      </c>
      <c r="O271" s="310"/>
      <c r="P271" s="311" t="n">
        <v>0</v>
      </c>
      <c r="Q271" s="311" t="n">
        <v>0</v>
      </c>
      <c r="R271" s="311" t="n">
        <v>0</v>
      </c>
      <c r="S271" s="311" t="n">
        <v>0</v>
      </c>
      <c r="T271" s="144" t="n">
        <v>0</v>
      </c>
      <c r="U271" s="310"/>
      <c r="V271" s="144" t="n">
        <v>-54</v>
      </c>
      <c r="W271" s="315"/>
    </row>
    <row r="272" customFormat="false" ht="12.75" hidden="false" customHeight="false" outlineLevel="0" collapsed="false">
      <c r="B272" s="304" t="s">
        <v>216</v>
      </c>
      <c r="C272" s="305" t="s">
        <v>571</v>
      </c>
      <c r="D272" s="306" t="n">
        <v>358</v>
      </c>
      <c r="E272" s="306" t="n">
        <v>0</v>
      </c>
      <c r="F272" s="324" t="s">
        <v>568</v>
      </c>
      <c r="G272" s="144" t="n">
        <v>48</v>
      </c>
      <c r="H272" s="325" t="n">
        <v>411.570247933884</v>
      </c>
      <c r="I272" s="315"/>
      <c r="J272" s="144" t="s">
        <v>12</v>
      </c>
      <c r="K272" s="310"/>
      <c r="L272" s="311" t="n">
        <v>139</v>
      </c>
      <c r="M272" s="311" t="n">
        <v>19</v>
      </c>
      <c r="N272" s="144" t="n">
        <v>19</v>
      </c>
      <c r="O272" s="310"/>
      <c r="P272" s="311" t="n">
        <v>0</v>
      </c>
      <c r="Q272" s="311" t="n">
        <v>0</v>
      </c>
      <c r="R272" s="311" t="n">
        <v>0</v>
      </c>
      <c r="S272" s="311" t="n">
        <v>0</v>
      </c>
      <c r="T272" s="144" t="n">
        <v>0</v>
      </c>
      <c r="U272" s="310"/>
      <c r="V272" s="144" t="n">
        <v>-54</v>
      </c>
      <c r="W272" s="315"/>
    </row>
    <row r="273" customFormat="false" ht="12.75" hidden="false" customHeight="false" outlineLevel="0" collapsed="false">
      <c r="B273" s="304" t="s">
        <v>260</v>
      </c>
      <c r="C273" s="305" t="s">
        <v>572</v>
      </c>
      <c r="D273" s="306" t="n">
        <v>447</v>
      </c>
      <c r="E273" s="306" t="n">
        <v>0</v>
      </c>
      <c r="F273" s="306" t="s">
        <v>568</v>
      </c>
      <c r="G273" s="307" t="n">
        <v>24</v>
      </c>
      <c r="H273" s="308" t="n">
        <v>541.322314049587</v>
      </c>
      <c r="I273" s="315"/>
      <c r="J273" s="144" t="s">
        <v>12</v>
      </c>
      <c r="K273" s="310"/>
      <c r="L273" s="311" t="n">
        <v>229</v>
      </c>
      <c r="M273" s="311" t="n">
        <v>139</v>
      </c>
      <c r="N273" s="144" t="n">
        <v>139</v>
      </c>
      <c r="O273" s="310"/>
      <c r="P273" s="311" t="n">
        <v>0</v>
      </c>
      <c r="Q273" s="311" t="n">
        <v>0</v>
      </c>
      <c r="R273" s="311" t="n">
        <v>0</v>
      </c>
      <c r="S273" s="311" t="n">
        <v>0</v>
      </c>
      <c r="T273" s="144" t="n">
        <v>0</v>
      </c>
      <c r="U273" s="310"/>
      <c r="V273" s="144" t="n">
        <v>-94</v>
      </c>
      <c r="W273" s="315"/>
    </row>
    <row r="274" customFormat="false" ht="12.75" hidden="false" customHeight="false" outlineLevel="0" collapsed="false">
      <c r="B274" s="304" t="s">
        <v>260</v>
      </c>
      <c r="C274" s="305" t="s">
        <v>572</v>
      </c>
      <c r="D274" s="306" t="n">
        <v>447</v>
      </c>
      <c r="E274" s="306" t="n">
        <v>0</v>
      </c>
      <c r="F274" s="324" t="s">
        <v>568</v>
      </c>
      <c r="G274" s="144" t="n">
        <v>48</v>
      </c>
      <c r="H274" s="325" t="n">
        <v>541.322314049587</v>
      </c>
      <c r="I274" s="315"/>
      <c r="J274" s="144" t="s">
        <v>12</v>
      </c>
      <c r="K274" s="310"/>
      <c r="L274" s="311" t="n">
        <v>229</v>
      </c>
      <c r="M274" s="311" t="n">
        <v>139</v>
      </c>
      <c r="N274" s="144" t="n">
        <v>139</v>
      </c>
      <c r="O274" s="310"/>
      <c r="P274" s="311" t="n">
        <v>0</v>
      </c>
      <c r="Q274" s="311" t="n">
        <v>0</v>
      </c>
      <c r="R274" s="311" t="n">
        <v>0</v>
      </c>
      <c r="S274" s="311" t="n">
        <v>0</v>
      </c>
      <c r="T274" s="144" t="n">
        <v>0</v>
      </c>
      <c r="U274" s="310"/>
      <c r="V274" s="144" t="n">
        <v>-94</v>
      </c>
      <c r="W274" s="315"/>
    </row>
    <row r="275" customFormat="false" ht="12.75" hidden="false" customHeight="false" outlineLevel="0" collapsed="false">
      <c r="B275" s="304" t="s">
        <v>260</v>
      </c>
      <c r="C275" s="305" t="s">
        <v>573</v>
      </c>
      <c r="D275" s="306" t="n">
        <v>542</v>
      </c>
      <c r="E275" s="306" t="n">
        <v>0</v>
      </c>
      <c r="F275" s="306" t="s">
        <v>568</v>
      </c>
      <c r="G275" s="307" t="n">
        <v>24</v>
      </c>
      <c r="H275" s="308" t="n">
        <v>541.322314049587</v>
      </c>
      <c r="I275" s="315"/>
      <c r="J275" s="144" t="s">
        <v>12</v>
      </c>
      <c r="K275" s="310"/>
      <c r="L275" s="311" t="n">
        <v>229</v>
      </c>
      <c r="M275" s="311" t="n">
        <v>139</v>
      </c>
      <c r="N275" s="144" t="n">
        <v>139</v>
      </c>
      <c r="O275" s="310"/>
      <c r="P275" s="311" t="n">
        <v>0</v>
      </c>
      <c r="Q275" s="311" t="n">
        <v>0</v>
      </c>
      <c r="R275" s="311" t="n">
        <v>0</v>
      </c>
      <c r="S275" s="311" t="n">
        <v>0</v>
      </c>
      <c r="T275" s="144" t="n">
        <v>0</v>
      </c>
      <c r="U275" s="310"/>
      <c r="V275" s="144" t="n">
        <v>1</v>
      </c>
      <c r="W275" s="315"/>
    </row>
    <row r="276" customFormat="false" ht="12.75" hidden="false" customHeight="false" outlineLevel="0" collapsed="false">
      <c r="B276" s="304" t="s">
        <v>260</v>
      </c>
      <c r="C276" s="305" t="s">
        <v>573</v>
      </c>
      <c r="D276" s="306" t="n">
        <v>542</v>
      </c>
      <c r="E276" s="306" t="n">
        <v>0</v>
      </c>
      <c r="F276" s="324" t="s">
        <v>568</v>
      </c>
      <c r="G276" s="144" t="n">
        <v>48</v>
      </c>
      <c r="H276" s="325" t="n">
        <v>541.322314049587</v>
      </c>
      <c r="I276" s="315"/>
      <c r="J276" s="144" t="s">
        <v>12</v>
      </c>
      <c r="K276" s="310"/>
      <c r="L276" s="311" t="n">
        <v>229</v>
      </c>
      <c r="M276" s="311" t="n">
        <v>139</v>
      </c>
      <c r="N276" s="144" t="n">
        <v>139</v>
      </c>
      <c r="O276" s="310"/>
      <c r="P276" s="311" t="n">
        <v>0</v>
      </c>
      <c r="Q276" s="311" t="n">
        <v>0</v>
      </c>
      <c r="R276" s="311" t="n">
        <v>0</v>
      </c>
      <c r="S276" s="311" t="n">
        <v>0</v>
      </c>
      <c r="T276" s="144" t="n">
        <v>0</v>
      </c>
      <c r="U276" s="310"/>
      <c r="V276" s="144" t="n">
        <v>1</v>
      </c>
      <c r="W276" s="315"/>
    </row>
    <row r="277" customFormat="false" ht="12.75" hidden="false" customHeight="false" outlineLevel="0" collapsed="false">
      <c r="B277" s="304" t="s">
        <v>260</v>
      </c>
      <c r="C277" s="305" t="s">
        <v>574</v>
      </c>
      <c r="D277" s="306" t="n">
        <v>366</v>
      </c>
      <c r="E277" s="306" t="n">
        <v>0</v>
      </c>
      <c r="F277" s="306" t="s">
        <v>568</v>
      </c>
      <c r="G277" s="307" t="n">
        <v>24</v>
      </c>
      <c r="H277" s="308" t="n">
        <v>442.148760330579</v>
      </c>
      <c r="I277" s="315"/>
      <c r="J277" s="144" t="s">
        <v>12</v>
      </c>
      <c r="K277" s="310"/>
      <c r="L277" s="311" t="n">
        <v>149</v>
      </c>
      <c r="M277" s="311" t="n">
        <v>19</v>
      </c>
      <c r="N277" s="144" t="n">
        <v>19</v>
      </c>
      <c r="O277" s="310"/>
      <c r="P277" s="311" t="n">
        <v>0</v>
      </c>
      <c r="Q277" s="311" t="n">
        <v>0</v>
      </c>
      <c r="R277" s="311" t="n">
        <v>0</v>
      </c>
      <c r="S277" s="311" t="n">
        <v>0</v>
      </c>
      <c r="T277" s="144" t="n">
        <v>0</v>
      </c>
      <c r="U277" s="310"/>
      <c r="V277" s="144" t="n">
        <v>-76</v>
      </c>
      <c r="W277" s="315"/>
    </row>
    <row r="278" customFormat="false" ht="12.75" hidden="false" customHeight="false" outlineLevel="0" collapsed="false">
      <c r="B278" s="304" t="s">
        <v>260</v>
      </c>
      <c r="C278" s="305" t="s">
        <v>574</v>
      </c>
      <c r="D278" s="306" t="n">
        <v>366</v>
      </c>
      <c r="E278" s="306" t="n">
        <v>0</v>
      </c>
      <c r="F278" s="324" t="s">
        <v>568</v>
      </c>
      <c r="G278" s="144" t="n">
        <v>48</v>
      </c>
      <c r="H278" s="325" t="n">
        <v>442.148760330579</v>
      </c>
      <c r="I278" s="315"/>
      <c r="J278" s="144" t="s">
        <v>12</v>
      </c>
      <c r="K278" s="310"/>
      <c r="L278" s="311" t="n">
        <v>149</v>
      </c>
      <c r="M278" s="311" t="n">
        <v>19</v>
      </c>
      <c r="N278" s="144" t="n">
        <v>19</v>
      </c>
      <c r="O278" s="310"/>
      <c r="P278" s="311" t="n">
        <v>0</v>
      </c>
      <c r="Q278" s="311" t="n">
        <v>0</v>
      </c>
      <c r="R278" s="311" t="n">
        <v>0</v>
      </c>
      <c r="S278" s="311" t="n">
        <v>0</v>
      </c>
      <c r="T278" s="144" t="n">
        <v>0</v>
      </c>
      <c r="U278" s="310"/>
      <c r="V278" s="144" t="n">
        <v>-76</v>
      </c>
      <c r="W278" s="315"/>
    </row>
    <row r="279" customFormat="false" ht="12.75" hidden="false" customHeight="false" outlineLevel="0" collapsed="false">
      <c r="B279" s="304" t="s">
        <v>260</v>
      </c>
      <c r="C279" s="305" t="s">
        <v>575</v>
      </c>
      <c r="D279" s="306" t="n">
        <v>443</v>
      </c>
      <c r="E279" s="306" t="n">
        <v>0</v>
      </c>
      <c r="F279" s="306" t="s">
        <v>568</v>
      </c>
      <c r="G279" s="307" t="n">
        <v>24</v>
      </c>
      <c r="H279" s="308" t="n">
        <v>442.148760330579</v>
      </c>
      <c r="I279" s="315"/>
      <c r="J279" s="144" t="s">
        <v>12</v>
      </c>
      <c r="K279" s="310"/>
      <c r="L279" s="311" t="n">
        <v>149</v>
      </c>
      <c r="M279" s="311" t="n">
        <v>19</v>
      </c>
      <c r="N279" s="144" t="n">
        <v>19</v>
      </c>
      <c r="O279" s="310"/>
      <c r="P279" s="311" t="n">
        <v>0</v>
      </c>
      <c r="Q279" s="311" t="n">
        <v>0</v>
      </c>
      <c r="R279" s="311" t="n">
        <v>0</v>
      </c>
      <c r="S279" s="311" t="n">
        <v>0</v>
      </c>
      <c r="T279" s="144" t="n">
        <v>0</v>
      </c>
      <c r="U279" s="310"/>
      <c r="V279" s="144" t="n">
        <v>1</v>
      </c>
      <c r="W279" s="315"/>
    </row>
    <row r="280" customFormat="false" ht="12.75" hidden="false" customHeight="false" outlineLevel="0" collapsed="false">
      <c r="B280" s="304" t="s">
        <v>260</v>
      </c>
      <c r="C280" s="305" t="s">
        <v>575</v>
      </c>
      <c r="D280" s="306" t="n">
        <v>443</v>
      </c>
      <c r="E280" s="306" t="n">
        <v>0</v>
      </c>
      <c r="F280" s="324" t="s">
        <v>568</v>
      </c>
      <c r="G280" s="144" t="n">
        <v>48</v>
      </c>
      <c r="H280" s="325" t="n">
        <v>442.148760330579</v>
      </c>
      <c r="I280" s="315"/>
      <c r="J280" s="144" t="s">
        <v>12</v>
      </c>
      <c r="K280" s="310"/>
      <c r="L280" s="311" t="n">
        <v>149</v>
      </c>
      <c r="M280" s="311" t="n">
        <v>19</v>
      </c>
      <c r="N280" s="144" t="n">
        <v>19</v>
      </c>
      <c r="O280" s="310"/>
      <c r="P280" s="311" t="n">
        <v>0</v>
      </c>
      <c r="Q280" s="311" t="n">
        <v>0</v>
      </c>
      <c r="R280" s="311" t="n">
        <v>0</v>
      </c>
      <c r="S280" s="311" t="n">
        <v>0</v>
      </c>
      <c r="T280" s="144" t="n">
        <v>0</v>
      </c>
      <c r="U280" s="310"/>
      <c r="V280" s="144" t="n">
        <v>1</v>
      </c>
      <c r="W280" s="315"/>
    </row>
    <row r="281" customFormat="false" ht="12.75" hidden="false" customHeight="false" outlineLevel="0" collapsed="false">
      <c r="B281" s="304" t="s">
        <v>260</v>
      </c>
      <c r="C281" s="305" t="s">
        <v>576</v>
      </c>
      <c r="D281" s="306" t="n">
        <v>778</v>
      </c>
      <c r="E281" s="306" t="n">
        <v>0</v>
      </c>
      <c r="F281" s="306" t="s">
        <v>568</v>
      </c>
      <c r="G281" s="307" t="n">
        <v>24</v>
      </c>
      <c r="H281" s="308" t="n">
        <v>777.685950413223</v>
      </c>
      <c r="I281" s="315"/>
      <c r="J281" s="144" t="s">
        <v>12</v>
      </c>
      <c r="K281" s="310"/>
      <c r="L281" s="311" t="n">
        <v>329</v>
      </c>
      <c r="M281" s="311" t="n">
        <v>189</v>
      </c>
      <c r="N281" s="144" t="n">
        <v>189</v>
      </c>
      <c r="O281" s="310"/>
      <c r="P281" s="311" t="n">
        <v>0</v>
      </c>
      <c r="Q281" s="311" t="n">
        <v>0</v>
      </c>
      <c r="R281" s="311" t="n">
        <v>0</v>
      </c>
      <c r="S281" s="311" t="n">
        <v>0</v>
      </c>
      <c r="T281" s="144" t="n">
        <v>0</v>
      </c>
      <c r="U281" s="310"/>
      <c r="V281" s="144" t="n">
        <v>0</v>
      </c>
      <c r="W281" s="315"/>
    </row>
    <row r="282" customFormat="false" ht="12.75" hidden="false" customHeight="false" outlineLevel="0" collapsed="false">
      <c r="B282" s="304" t="s">
        <v>260</v>
      </c>
      <c r="C282" s="305" t="s">
        <v>576</v>
      </c>
      <c r="D282" s="306" t="n">
        <v>778</v>
      </c>
      <c r="E282" s="306" t="n">
        <v>0</v>
      </c>
      <c r="F282" s="324" t="s">
        <v>568</v>
      </c>
      <c r="G282" s="144" t="n">
        <v>48</v>
      </c>
      <c r="H282" s="325" t="n">
        <v>777.685950413223</v>
      </c>
      <c r="I282" s="315"/>
      <c r="J282" s="144" t="s">
        <v>12</v>
      </c>
      <c r="K282" s="310"/>
      <c r="L282" s="311" t="n">
        <v>329</v>
      </c>
      <c r="M282" s="311" t="n">
        <v>189</v>
      </c>
      <c r="N282" s="144" t="n">
        <v>189</v>
      </c>
      <c r="O282" s="310"/>
      <c r="P282" s="311" t="n">
        <v>0</v>
      </c>
      <c r="Q282" s="311" t="n">
        <v>0</v>
      </c>
      <c r="R282" s="311" t="n">
        <v>0</v>
      </c>
      <c r="S282" s="311" t="n">
        <v>0</v>
      </c>
      <c r="T282" s="144" t="n">
        <v>0</v>
      </c>
      <c r="U282" s="310"/>
      <c r="V282" s="144" t="n">
        <v>0</v>
      </c>
      <c r="W282" s="315"/>
    </row>
    <row r="283" customFormat="false" ht="12.75" hidden="false" customHeight="false" outlineLevel="0" collapsed="false">
      <c r="B283" s="304" t="s">
        <v>260</v>
      </c>
      <c r="C283" s="327" t="s">
        <v>577</v>
      </c>
      <c r="D283" s="306" t="n">
        <v>482</v>
      </c>
      <c r="E283" s="306" t="n">
        <v>0</v>
      </c>
      <c r="F283" s="306" t="s">
        <v>568</v>
      </c>
      <c r="G283" s="307" t="n">
        <v>24</v>
      </c>
      <c r="H283" s="308" t="n">
        <v>481.818181818182</v>
      </c>
      <c r="I283" s="315"/>
      <c r="J283" s="144" t="s">
        <v>12</v>
      </c>
      <c r="K283" s="310"/>
      <c r="L283" s="311" t="n">
        <v>169</v>
      </c>
      <c r="M283" s="311" t="n">
        <v>19</v>
      </c>
      <c r="N283" s="144" t="n">
        <v>19</v>
      </c>
      <c r="O283" s="310"/>
      <c r="P283" s="311" t="n">
        <v>0</v>
      </c>
      <c r="Q283" s="311" t="n">
        <v>0</v>
      </c>
      <c r="R283" s="311" t="n">
        <v>0</v>
      </c>
      <c r="S283" s="311" t="n">
        <v>0</v>
      </c>
      <c r="T283" s="144" t="n">
        <v>0</v>
      </c>
      <c r="U283" s="310"/>
      <c r="V283" s="144" t="n">
        <v>0</v>
      </c>
      <c r="W283" s="315"/>
    </row>
    <row r="284" customFormat="false" ht="12.75" hidden="false" customHeight="false" outlineLevel="0" collapsed="false">
      <c r="B284" s="304" t="s">
        <v>260</v>
      </c>
      <c r="C284" s="327" t="s">
        <v>577</v>
      </c>
      <c r="D284" s="306" t="n">
        <v>482</v>
      </c>
      <c r="E284" s="306" t="n">
        <v>0</v>
      </c>
      <c r="F284" s="324" t="s">
        <v>568</v>
      </c>
      <c r="G284" s="144" t="n">
        <v>48</v>
      </c>
      <c r="H284" s="325" t="n">
        <v>481.818181818182</v>
      </c>
      <c r="I284" s="315"/>
      <c r="J284" s="144" t="s">
        <v>12</v>
      </c>
      <c r="K284" s="310"/>
      <c r="L284" s="311" t="n">
        <v>169</v>
      </c>
      <c r="M284" s="311" t="n">
        <v>19</v>
      </c>
      <c r="N284" s="144" t="n">
        <v>19</v>
      </c>
      <c r="O284" s="310"/>
      <c r="P284" s="311" t="n">
        <v>0</v>
      </c>
      <c r="Q284" s="311" t="n">
        <v>0</v>
      </c>
      <c r="R284" s="311" t="n">
        <v>0</v>
      </c>
      <c r="S284" s="311" t="n">
        <v>0</v>
      </c>
      <c r="T284" s="144" t="n">
        <v>0</v>
      </c>
      <c r="U284" s="310"/>
      <c r="V284" s="144" t="n">
        <v>0</v>
      </c>
      <c r="W284" s="315"/>
    </row>
    <row r="285" customFormat="false" ht="12.75" hidden="false" customHeight="false" outlineLevel="0" collapsed="false">
      <c r="B285" s="304" t="s">
        <v>260</v>
      </c>
      <c r="C285" s="327" t="s">
        <v>578</v>
      </c>
      <c r="D285" s="306" t="n">
        <v>391</v>
      </c>
      <c r="E285" s="306" t="n">
        <v>0</v>
      </c>
      <c r="F285" s="306" t="s">
        <v>568</v>
      </c>
      <c r="G285" s="307" t="n">
        <v>24</v>
      </c>
      <c r="H285" s="308" t="n">
        <v>390.082644628099</v>
      </c>
      <c r="I285" s="315"/>
      <c r="J285" s="144" t="s">
        <v>12</v>
      </c>
      <c r="K285" s="310"/>
      <c r="L285" s="311" t="n">
        <v>139</v>
      </c>
      <c r="M285" s="311" t="n">
        <v>19</v>
      </c>
      <c r="N285" s="144" t="n">
        <v>19</v>
      </c>
      <c r="O285" s="310"/>
      <c r="P285" s="311" t="n">
        <v>0</v>
      </c>
      <c r="Q285" s="311" t="n">
        <v>0</v>
      </c>
      <c r="R285" s="311" t="n">
        <v>0</v>
      </c>
      <c r="S285" s="311" t="n">
        <v>0</v>
      </c>
      <c r="T285" s="144" t="n">
        <v>0</v>
      </c>
      <c r="U285" s="310"/>
      <c r="V285" s="144" t="n">
        <v>1</v>
      </c>
      <c r="W285" s="315"/>
    </row>
    <row r="286" customFormat="false" ht="12.75" hidden="false" customHeight="false" outlineLevel="0" collapsed="false">
      <c r="B286" s="304" t="s">
        <v>260</v>
      </c>
      <c r="C286" s="327" t="s">
        <v>578</v>
      </c>
      <c r="D286" s="306" t="n">
        <v>391</v>
      </c>
      <c r="E286" s="306" t="n">
        <v>0</v>
      </c>
      <c r="F286" s="324" t="s">
        <v>568</v>
      </c>
      <c r="G286" s="144" t="n">
        <v>48</v>
      </c>
      <c r="H286" s="325" t="n">
        <v>390.082644628099</v>
      </c>
      <c r="I286" s="315"/>
      <c r="J286" s="144" t="s">
        <v>12</v>
      </c>
      <c r="K286" s="310"/>
      <c r="L286" s="311" t="n">
        <v>139</v>
      </c>
      <c r="M286" s="311" t="n">
        <v>19</v>
      </c>
      <c r="N286" s="144" t="n">
        <v>19</v>
      </c>
      <c r="O286" s="310"/>
      <c r="P286" s="311" t="n">
        <v>0</v>
      </c>
      <c r="Q286" s="311" t="n">
        <v>0</v>
      </c>
      <c r="R286" s="311" t="n">
        <v>0</v>
      </c>
      <c r="S286" s="311" t="n">
        <v>0</v>
      </c>
      <c r="T286" s="144" t="n">
        <v>0</v>
      </c>
      <c r="U286" s="310"/>
      <c r="V286" s="144" t="n">
        <v>1</v>
      </c>
      <c r="W286" s="315"/>
    </row>
    <row r="287" customFormat="false" ht="12.75" hidden="false" customHeight="false" outlineLevel="0" collapsed="false">
      <c r="B287" s="304" t="s">
        <v>130</v>
      </c>
      <c r="C287" s="305" t="s">
        <v>579</v>
      </c>
      <c r="D287" s="306" t="n">
        <v>751</v>
      </c>
      <c r="E287" s="306" t="n">
        <v>5.33</v>
      </c>
      <c r="F287" s="306" t="s">
        <v>580</v>
      </c>
      <c r="G287" s="307" t="n">
        <v>24</v>
      </c>
      <c r="H287" s="308" t="n">
        <v>621.487603305785</v>
      </c>
      <c r="I287" s="315"/>
      <c r="J287" s="144" t="s">
        <v>12</v>
      </c>
      <c r="K287" s="310"/>
      <c r="L287" s="311" t="n">
        <v>269</v>
      </c>
      <c r="M287" s="311" t="n">
        <v>159</v>
      </c>
      <c r="N287" s="144" t="n">
        <v>159</v>
      </c>
      <c r="O287" s="310"/>
      <c r="P287" s="311" t="n">
        <v>0</v>
      </c>
      <c r="Q287" s="311" t="n">
        <v>0</v>
      </c>
      <c r="R287" s="311" t="n">
        <v>0</v>
      </c>
      <c r="S287" s="311" t="n">
        <v>0</v>
      </c>
      <c r="T287" s="144" t="n">
        <v>0</v>
      </c>
      <c r="U287" s="310"/>
      <c r="V287" s="144" t="n">
        <v>130</v>
      </c>
      <c r="W287" s="315"/>
    </row>
    <row r="288" customFormat="false" ht="12.75" hidden="false" customHeight="false" outlineLevel="0" collapsed="false">
      <c r="B288" s="304" t="s">
        <v>130</v>
      </c>
      <c r="C288" s="305" t="s">
        <v>579</v>
      </c>
      <c r="D288" s="306" t="n">
        <v>751</v>
      </c>
      <c r="E288" s="306" t="n">
        <v>5.33</v>
      </c>
      <c r="F288" s="324" t="s">
        <v>580</v>
      </c>
      <c r="G288" s="144" t="n">
        <v>48</v>
      </c>
      <c r="H288" s="325" t="n">
        <v>621.487603305785</v>
      </c>
      <c r="I288" s="315"/>
      <c r="J288" s="144" t="s">
        <v>12</v>
      </c>
      <c r="K288" s="310"/>
      <c r="L288" s="311" t="n">
        <v>269</v>
      </c>
      <c r="M288" s="311" t="n">
        <v>159</v>
      </c>
      <c r="N288" s="144" t="n">
        <v>159</v>
      </c>
      <c r="O288" s="310"/>
      <c r="P288" s="311" t="n">
        <v>0</v>
      </c>
      <c r="Q288" s="311" t="n">
        <v>0</v>
      </c>
      <c r="R288" s="311" t="n">
        <v>0</v>
      </c>
      <c r="S288" s="311" t="n">
        <v>0</v>
      </c>
      <c r="T288" s="144" t="n">
        <v>0</v>
      </c>
      <c r="U288" s="310"/>
      <c r="V288" s="144" t="n">
        <v>130</v>
      </c>
      <c r="W288" s="315"/>
    </row>
    <row r="289" customFormat="false" ht="12.75" hidden="false" customHeight="false" outlineLevel="0" collapsed="false">
      <c r="B289" s="304" t="s">
        <v>130</v>
      </c>
      <c r="C289" s="305" t="s">
        <v>581</v>
      </c>
      <c r="D289" s="306" t="n">
        <v>915</v>
      </c>
      <c r="E289" s="306" t="n">
        <v>5.33</v>
      </c>
      <c r="F289" s="306" t="s">
        <v>580</v>
      </c>
      <c r="G289" s="307" t="n">
        <v>24</v>
      </c>
      <c r="H289" s="308" t="n">
        <v>680.99173553719</v>
      </c>
      <c r="I289" s="315"/>
      <c r="J289" s="144" t="s">
        <v>12</v>
      </c>
      <c r="K289" s="310"/>
      <c r="L289" s="311" t="n">
        <v>289</v>
      </c>
      <c r="M289" s="311" t="n">
        <v>179</v>
      </c>
      <c r="N289" s="144" t="n">
        <v>179</v>
      </c>
      <c r="O289" s="310"/>
      <c r="P289" s="311" t="n">
        <v>0</v>
      </c>
      <c r="Q289" s="311" t="n">
        <v>0</v>
      </c>
      <c r="R289" s="311" t="n">
        <v>0</v>
      </c>
      <c r="S289" s="311" t="n">
        <v>0</v>
      </c>
      <c r="T289" s="144" t="n">
        <v>0</v>
      </c>
      <c r="U289" s="310"/>
      <c r="V289" s="144" t="n">
        <v>234</v>
      </c>
      <c r="W289" s="315"/>
    </row>
    <row r="290" customFormat="false" ht="12.75" hidden="false" customHeight="false" outlineLevel="0" collapsed="false">
      <c r="B290" s="304" t="s">
        <v>130</v>
      </c>
      <c r="C290" s="305" t="s">
        <v>581</v>
      </c>
      <c r="D290" s="306" t="n">
        <v>915</v>
      </c>
      <c r="E290" s="306" t="n">
        <v>5.33</v>
      </c>
      <c r="F290" s="324" t="s">
        <v>580</v>
      </c>
      <c r="G290" s="144" t="n">
        <v>48</v>
      </c>
      <c r="H290" s="325" t="n">
        <v>680.99173553719</v>
      </c>
      <c r="I290" s="315"/>
      <c r="J290" s="144" t="s">
        <v>12</v>
      </c>
      <c r="K290" s="310"/>
      <c r="L290" s="311" t="n">
        <v>289</v>
      </c>
      <c r="M290" s="311" t="n">
        <v>179</v>
      </c>
      <c r="N290" s="144" t="n">
        <v>179</v>
      </c>
      <c r="O290" s="310"/>
      <c r="P290" s="311" t="n">
        <v>0</v>
      </c>
      <c r="Q290" s="311" t="n">
        <v>0</v>
      </c>
      <c r="R290" s="311" t="n">
        <v>0</v>
      </c>
      <c r="S290" s="311" t="n">
        <v>0</v>
      </c>
      <c r="T290" s="144" t="n">
        <v>0</v>
      </c>
      <c r="U290" s="310"/>
      <c r="V290" s="144" t="n">
        <v>234</v>
      </c>
      <c r="W290" s="315"/>
    </row>
    <row r="291" customFormat="false" ht="12.75" hidden="false" customHeight="false" outlineLevel="0" collapsed="false">
      <c r="B291" s="304" t="s">
        <v>184</v>
      </c>
      <c r="C291" s="305" t="s">
        <v>582</v>
      </c>
      <c r="D291" s="306" t="n">
        <v>472</v>
      </c>
      <c r="E291" s="306" t="n">
        <v>5.33</v>
      </c>
      <c r="F291" s="306" t="s">
        <v>580</v>
      </c>
      <c r="G291" s="307" t="n">
        <v>24</v>
      </c>
      <c r="H291" s="308" t="n">
        <v>431.404958677686</v>
      </c>
      <c r="I291" s="315"/>
      <c r="J291" s="144" t="s">
        <v>12</v>
      </c>
      <c r="K291" s="310"/>
      <c r="L291" s="311" t="n">
        <v>139</v>
      </c>
      <c r="M291" s="311" t="n">
        <v>19</v>
      </c>
      <c r="N291" s="144" t="n">
        <v>19</v>
      </c>
      <c r="O291" s="310"/>
      <c r="P291" s="311" t="n">
        <v>0</v>
      </c>
      <c r="Q291" s="311" t="n">
        <v>0</v>
      </c>
      <c r="R291" s="311" t="n">
        <v>0</v>
      </c>
      <c r="S291" s="311" t="n">
        <v>0</v>
      </c>
      <c r="T291" s="144" t="n">
        <v>0</v>
      </c>
      <c r="U291" s="310"/>
      <c r="V291" s="144" t="n">
        <v>41</v>
      </c>
      <c r="W291" s="315"/>
    </row>
    <row r="292" customFormat="false" ht="12.75" hidden="false" customHeight="false" outlineLevel="0" collapsed="false">
      <c r="B292" s="304" t="s">
        <v>184</v>
      </c>
      <c r="C292" s="305" t="s">
        <v>582</v>
      </c>
      <c r="D292" s="306" t="n">
        <v>472</v>
      </c>
      <c r="E292" s="306" t="n">
        <v>5.33</v>
      </c>
      <c r="F292" s="324" t="s">
        <v>580</v>
      </c>
      <c r="G292" s="144" t="n">
        <v>48</v>
      </c>
      <c r="H292" s="325" t="n">
        <v>431.404958677686</v>
      </c>
      <c r="I292" s="315"/>
      <c r="J292" s="144" t="s">
        <v>12</v>
      </c>
      <c r="K292" s="310"/>
      <c r="L292" s="311" t="n">
        <v>139</v>
      </c>
      <c r="M292" s="311" t="n">
        <v>19</v>
      </c>
      <c r="N292" s="144" t="n">
        <v>19</v>
      </c>
      <c r="O292" s="310"/>
      <c r="P292" s="311" t="n">
        <v>0</v>
      </c>
      <c r="Q292" s="311" t="n">
        <v>0</v>
      </c>
      <c r="R292" s="311" t="n">
        <v>0</v>
      </c>
      <c r="S292" s="311" t="n">
        <v>0</v>
      </c>
      <c r="T292" s="144" t="n">
        <v>0</v>
      </c>
      <c r="U292" s="310"/>
      <c r="V292" s="144" t="n">
        <v>41</v>
      </c>
      <c r="W292" s="315"/>
    </row>
    <row r="293" customFormat="false" ht="12.75" hidden="false" customHeight="false" outlineLevel="0" collapsed="false">
      <c r="B293" s="304" t="s">
        <v>184</v>
      </c>
      <c r="C293" s="305" t="s">
        <v>583</v>
      </c>
      <c r="D293" s="306" t="n">
        <v>620</v>
      </c>
      <c r="E293" s="306" t="n">
        <v>5.33</v>
      </c>
      <c r="F293" s="306" t="s">
        <v>580</v>
      </c>
      <c r="G293" s="307" t="n">
        <v>24</v>
      </c>
      <c r="H293" s="308" t="n">
        <v>554.545454545455</v>
      </c>
      <c r="I293" s="315"/>
      <c r="J293" s="144" t="s">
        <v>12</v>
      </c>
      <c r="K293" s="310"/>
      <c r="L293" s="311" t="n">
        <v>239</v>
      </c>
      <c r="M293" s="311" t="n">
        <v>139</v>
      </c>
      <c r="N293" s="144" t="n">
        <v>139</v>
      </c>
      <c r="O293" s="310"/>
      <c r="P293" s="311" t="n">
        <v>0</v>
      </c>
      <c r="Q293" s="311" t="n">
        <v>0</v>
      </c>
      <c r="R293" s="311" t="n">
        <v>0</v>
      </c>
      <c r="S293" s="311" t="n">
        <v>0</v>
      </c>
      <c r="T293" s="144" t="n">
        <v>0</v>
      </c>
      <c r="U293" s="310"/>
      <c r="V293" s="144" t="n">
        <v>65</v>
      </c>
      <c r="W293" s="315"/>
    </row>
    <row r="294" customFormat="false" ht="12.75" hidden="false" customHeight="false" outlineLevel="0" collapsed="false">
      <c r="B294" s="304" t="s">
        <v>184</v>
      </c>
      <c r="C294" s="305" t="s">
        <v>583</v>
      </c>
      <c r="D294" s="306" t="n">
        <v>620</v>
      </c>
      <c r="E294" s="306" t="n">
        <v>5.33</v>
      </c>
      <c r="F294" s="324" t="s">
        <v>580</v>
      </c>
      <c r="G294" s="144" t="n">
        <v>48</v>
      </c>
      <c r="H294" s="325" t="n">
        <v>554.545454545455</v>
      </c>
      <c r="I294" s="315"/>
      <c r="J294" s="144" t="s">
        <v>12</v>
      </c>
      <c r="K294" s="310"/>
      <c r="L294" s="311" t="n">
        <v>239</v>
      </c>
      <c r="M294" s="311" t="n">
        <v>139</v>
      </c>
      <c r="N294" s="144" t="n">
        <v>139</v>
      </c>
      <c r="O294" s="310"/>
      <c r="P294" s="311" t="n">
        <v>0</v>
      </c>
      <c r="Q294" s="311" t="n">
        <v>0</v>
      </c>
      <c r="R294" s="311" t="n">
        <v>0</v>
      </c>
      <c r="S294" s="311" t="n">
        <v>0</v>
      </c>
      <c r="T294" s="144" t="n">
        <v>0</v>
      </c>
      <c r="U294" s="310"/>
      <c r="V294" s="144" t="n">
        <v>65</v>
      </c>
      <c r="W294" s="315"/>
    </row>
    <row r="295" customFormat="false" ht="12.75" hidden="false" customHeight="false" outlineLevel="0" collapsed="false">
      <c r="B295" s="304" t="s">
        <v>184</v>
      </c>
      <c r="C295" s="305" t="s">
        <v>584</v>
      </c>
      <c r="D295" s="306" t="n">
        <v>915</v>
      </c>
      <c r="E295" s="306" t="n">
        <v>5.33</v>
      </c>
      <c r="F295" s="306" t="s">
        <v>580</v>
      </c>
      <c r="G295" s="307" t="n">
        <v>24</v>
      </c>
      <c r="H295" s="308" t="n">
        <v>914.04958677686</v>
      </c>
      <c r="I295" s="315"/>
      <c r="J295" s="144" t="s">
        <v>12</v>
      </c>
      <c r="K295" s="310"/>
      <c r="L295" s="311" t="n">
        <v>379</v>
      </c>
      <c r="M295" s="311" t="n">
        <v>239</v>
      </c>
      <c r="N295" s="144" t="n">
        <v>239</v>
      </c>
      <c r="O295" s="310"/>
      <c r="P295" s="311" t="n">
        <v>0</v>
      </c>
      <c r="Q295" s="311" t="n">
        <v>0</v>
      </c>
      <c r="R295" s="311" t="n">
        <v>0</v>
      </c>
      <c r="S295" s="311" t="n">
        <v>0</v>
      </c>
      <c r="T295" s="144" t="n">
        <v>0</v>
      </c>
      <c r="U295" s="310"/>
      <c r="V295" s="144" t="n">
        <v>1</v>
      </c>
      <c r="W295" s="315"/>
    </row>
    <row r="296" customFormat="false" ht="12.75" hidden="false" customHeight="false" outlineLevel="0" collapsed="false">
      <c r="B296" s="304" t="s">
        <v>184</v>
      </c>
      <c r="C296" s="305" t="s">
        <v>584</v>
      </c>
      <c r="D296" s="306" t="n">
        <v>915</v>
      </c>
      <c r="E296" s="306" t="n">
        <v>5.33</v>
      </c>
      <c r="F296" s="324" t="s">
        <v>580</v>
      </c>
      <c r="G296" s="144" t="n">
        <v>48</v>
      </c>
      <c r="H296" s="325" t="n">
        <v>914.04958677686</v>
      </c>
      <c r="I296" s="315"/>
      <c r="J296" s="144" t="s">
        <v>12</v>
      </c>
      <c r="K296" s="310"/>
      <c r="L296" s="311" t="n">
        <v>379</v>
      </c>
      <c r="M296" s="311" t="n">
        <v>239</v>
      </c>
      <c r="N296" s="144" t="n">
        <v>239</v>
      </c>
      <c r="O296" s="310"/>
      <c r="P296" s="311" t="n">
        <v>0</v>
      </c>
      <c r="Q296" s="311" t="n">
        <v>0</v>
      </c>
      <c r="R296" s="311" t="n">
        <v>0</v>
      </c>
      <c r="S296" s="311" t="n">
        <v>0</v>
      </c>
      <c r="T296" s="144" t="n">
        <v>0</v>
      </c>
      <c r="U296" s="310"/>
      <c r="V296" s="144" t="n">
        <v>1</v>
      </c>
      <c r="W296" s="315"/>
    </row>
    <row r="297" customFormat="false" ht="12.75" hidden="false" customHeight="false" outlineLevel="0" collapsed="false">
      <c r="B297" s="304" t="s">
        <v>184</v>
      </c>
      <c r="C297" s="305" t="s">
        <v>585</v>
      </c>
      <c r="D297" s="306" t="n">
        <v>948</v>
      </c>
      <c r="E297" s="306" t="n">
        <v>5.33</v>
      </c>
      <c r="F297" s="306" t="s">
        <v>580</v>
      </c>
      <c r="G297" s="307" t="n">
        <v>24</v>
      </c>
      <c r="H297" s="308" t="n">
        <v>949.586776859504</v>
      </c>
      <c r="I297" s="315"/>
      <c r="J297" s="144" t="s">
        <v>12</v>
      </c>
      <c r="K297" s="310"/>
      <c r="L297" s="311" t="n">
        <v>399</v>
      </c>
      <c r="M297" s="311" t="n">
        <v>239</v>
      </c>
      <c r="N297" s="144" t="n">
        <v>239</v>
      </c>
      <c r="O297" s="310"/>
      <c r="P297" s="311" t="n">
        <v>0</v>
      </c>
      <c r="Q297" s="311" t="n">
        <v>0</v>
      </c>
      <c r="R297" s="311" t="n">
        <v>0</v>
      </c>
      <c r="S297" s="311" t="n">
        <v>0</v>
      </c>
      <c r="T297" s="144" t="n">
        <v>0</v>
      </c>
      <c r="U297" s="310"/>
      <c r="V297" s="144" t="n">
        <v>-2</v>
      </c>
      <c r="W297" s="315"/>
    </row>
    <row r="298" customFormat="false" ht="12.75" hidden="false" customHeight="false" outlineLevel="0" collapsed="false">
      <c r="B298" s="304" t="s">
        <v>184</v>
      </c>
      <c r="C298" s="305" t="s">
        <v>585</v>
      </c>
      <c r="D298" s="306" t="n">
        <v>948</v>
      </c>
      <c r="E298" s="306" t="n">
        <v>5.33</v>
      </c>
      <c r="F298" s="324" t="s">
        <v>580</v>
      </c>
      <c r="G298" s="144" t="n">
        <v>48</v>
      </c>
      <c r="H298" s="325" t="n">
        <v>949.586776859504</v>
      </c>
      <c r="I298" s="315"/>
      <c r="J298" s="144" t="s">
        <v>12</v>
      </c>
      <c r="K298" s="310"/>
      <c r="L298" s="311" t="n">
        <v>399</v>
      </c>
      <c r="M298" s="311" t="n">
        <v>239</v>
      </c>
      <c r="N298" s="144" t="n">
        <v>239</v>
      </c>
      <c r="O298" s="310"/>
      <c r="P298" s="311" t="n">
        <v>0</v>
      </c>
      <c r="Q298" s="311" t="n">
        <v>0</v>
      </c>
      <c r="R298" s="311" t="n">
        <v>0</v>
      </c>
      <c r="S298" s="311" t="n">
        <v>0</v>
      </c>
      <c r="T298" s="144" t="n">
        <v>0</v>
      </c>
      <c r="U298" s="310"/>
      <c r="V298" s="144" t="n">
        <v>-2</v>
      </c>
      <c r="W298" s="315"/>
    </row>
    <row r="299" customFormat="false" ht="12.75" hidden="false" customHeight="false" outlineLevel="0" collapsed="false">
      <c r="B299" s="304" t="s">
        <v>190</v>
      </c>
      <c r="C299" s="305" t="s">
        <v>587</v>
      </c>
      <c r="D299" s="306" t="n">
        <v>661</v>
      </c>
      <c r="E299" s="306" t="n">
        <v>5.33</v>
      </c>
      <c r="F299" s="306" t="s">
        <v>580</v>
      </c>
      <c r="G299" s="307" t="n">
        <v>24</v>
      </c>
      <c r="H299" s="308" t="n">
        <v>656.198347107438</v>
      </c>
      <c r="I299" s="315"/>
      <c r="J299" s="144" t="s">
        <v>12</v>
      </c>
      <c r="K299" s="310"/>
      <c r="L299" s="311" t="n">
        <v>289</v>
      </c>
      <c r="M299" s="311" t="n">
        <v>169</v>
      </c>
      <c r="N299" s="144" t="n">
        <v>169</v>
      </c>
      <c r="O299" s="310"/>
      <c r="P299" s="311" t="n">
        <v>0</v>
      </c>
      <c r="Q299" s="311" t="n">
        <v>0</v>
      </c>
      <c r="R299" s="311" t="n">
        <v>0</v>
      </c>
      <c r="S299" s="311" t="n">
        <v>0</v>
      </c>
      <c r="T299" s="144" t="n">
        <v>0</v>
      </c>
      <c r="U299" s="310"/>
      <c r="V299" s="144" t="n">
        <v>5</v>
      </c>
      <c r="W299" s="315"/>
    </row>
    <row r="300" customFormat="false" ht="12.75" hidden="false" customHeight="false" outlineLevel="0" collapsed="false">
      <c r="B300" s="304" t="s">
        <v>190</v>
      </c>
      <c r="C300" s="305" t="s">
        <v>587</v>
      </c>
      <c r="D300" s="306" t="n">
        <v>661</v>
      </c>
      <c r="E300" s="306" t="n">
        <v>5.33</v>
      </c>
      <c r="F300" s="324" t="s">
        <v>580</v>
      </c>
      <c r="G300" s="144" t="n">
        <v>48</v>
      </c>
      <c r="H300" s="325" t="n">
        <v>656.198347107438</v>
      </c>
      <c r="I300" s="315"/>
      <c r="J300" s="144" t="s">
        <v>12</v>
      </c>
      <c r="K300" s="310"/>
      <c r="L300" s="311" t="n">
        <v>289</v>
      </c>
      <c r="M300" s="311" t="n">
        <v>169</v>
      </c>
      <c r="N300" s="144" t="n">
        <v>169</v>
      </c>
      <c r="O300" s="310"/>
      <c r="P300" s="311" t="n">
        <v>0</v>
      </c>
      <c r="Q300" s="311" t="n">
        <v>0</v>
      </c>
      <c r="R300" s="311" t="n">
        <v>0</v>
      </c>
      <c r="S300" s="311" t="n">
        <v>0</v>
      </c>
      <c r="T300" s="144" t="n">
        <v>0</v>
      </c>
      <c r="U300" s="310"/>
      <c r="V300" s="144" t="n">
        <v>5</v>
      </c>
      <c r="W300" s="315"/>
    </row>
    <row r="301" customFormat="false" ht="12.75" hidden="false" customHeight="false" outlineLevel="0" collapsed="false">
      <c r="B301" s="304" t="s">
        <v>190</v>
      </c>
      <c r="C301" s="305" t="s">
        <v>588</v>
      </c>
      <c r="D301" s="306" t="n">
        <v>867</v>
      </c>
      <c r="E301" s="306" t="n">
        <v>5.33</v>
      </c>
      <c r="F301" s="306" t="s">
        <v>580</v>
      </c>
      <c r="G301" s="307" t="n">
        <v>24</v>
      </c>
      <c r="H301" s="308" t="n">
        <v>765.289256198347</v>
      </c>
      <c r="I301" s="315"/>
      <c r="J301" s="144" t="s">
        <v>12</v>
      </c>
      <c r="K301" s="310"/>
      <c r="L301" s="311" t="n">
        <v>319</v>
      </c>
      <c r="M301" s="311" t="n">
        <v>189</v>
      </c>
      <c r="N301" s="144" t="n">
        <v>189</v>
      </c>
      <c r="O301" s="310"/>
      <c r="P301" s="311" t="n">
        <v>0</v>
      </c>
      <c r="Q301" s="311" t="n">
        <v>0</v>
      </c>
      <c r="R301" s="311" t="n">
        <v>0</v>
      </c>
      <c r="S301" s="311" t="n">
        <v>0</v>
      </c>
      <c r="T301" s="144" t="n">
        <v>0</v>
      </c>
      <c r="U301" s="310"/>
      <c r="V301" s="144" t="n">
        <v>102</v>
      </c>
      <c r="W301" s="315"/>
    </row>
    <row r="302" customFormat="false" ht="12.75" hidden="false" customHeight="false" outlineLevel="0" collapsed="false">
      <c r="B302" s="304" t="s">
        <v>190</v>
      </c>
      <c r="C302" s="305" t="s">
        <v>588</v>
      </c>
      <c r="D302" s="306" t="n">
        <v>867</v>
      </c>
      <c r="E302" s="306" t="n">
        <v>5.33</v>
      </c>
      <c r="F302" s="324" t="s">
        <v>580</v>
      </c>
      <c r="G302" s="144" t="n">
        <v>48</v>
      </c>
      <c r="H302" s="325" t="n">
        <v>765.289256198347</v>
      </c>
      <c r="I302" s="315"/>
      <c r="J302" s="144" t="s">
        <v>12</v>
      </c>
      <c r="K302" s="310"/>
      <c r="L302" s="311" t="n">
        <v>319</v>
      </c>
      <c r="M302" s="311" t="n">
        <v>189</v>
      </c>
      <c r="N302" s="144" t="n">
        <v>189</v>
      </c>
      <c r="O302" s="310"/>
      <c r="P302" s="311" t="n">
        <v>0</v>
      </c>
      <c r="Q302" s="311" t="n">
        <v>0</v>
      </c>
      <c r="R302" s="311" t="n">
        <v>0</v>
      </c>
      <c r="S302" s="311" t="n">
        <v>0</v>
      </c>
      <c r="T302" s="144" t="n">
        <v>0</v>
      </c>
      <c r="U302" s="310"/>
      <c r="V302" s="144" t="n">
        <v>102</v>
      </c>
      <c r="W302" s="315"/>
    </row>
    <row r="303" customFormat="false" ht="12.75" hidden="false" customHeight="false" outlineLevel="0" collapsed="false">
      <c r="B303" s="304" t="s">
        <v>200</v>
      </c>
      <c r="C303" s="305" t="s">
        <v>589</v>
      </c>
      <c r="D303" s="306" t="n">
        <v>588</v>
      </c>
      <c r="E303" s="306" t="n">
        <v>5.33</v>
      </c>
      <c r="F303" s="306" t="s">
        <v>580</v>
      </c>
      <c r="G303" s="307" t="n">
        <v>24</v>
      </c>
      <c r="H303" s="308" t="n">
        <v>507.438016528926</v>
      </c>
      <c r="I303" s="315"/>
      <c r="J303" s="144" t="s">
        <v>12</v>
      </c>
      <c r="K303" s="310"/>
      <c r="L303" s="311" t="n">
        <v>169</v>
      </c>
      <c r="M303" s="311" t="n">
        <v>19</v>
      </c>
      <c r="N303" s="144" t="n">
        <v>19</v>
      </c>
      <c r="O303" s="310"/>
      <c r="P303" s="311" t="n">
        <v>0</v>
      </c>
      <c r="Q303" s="311" t="n">
        <v>0</v>
      </c>
      <c r="R303" s="311" t="n">
        <v>0</v>
      </c>
      <c r="S303" s="311" t="n">
        <v>0</v>
      </c>
      <c r="T303" s="144" t="n">
        <v>0</v>
      </c>
      <c r="U303" s="310"/>
      <c r="V303" s="144" t="n">
        <v>81</v>
      </c>
      <c r="W303" s="315"/>
    </row>
    <row r="304" customFormat="false" ht="12.75" hidden="false" customHeight="false" outlineLevel="0" collapsed="false">
      <c r="B304" s="304" t="s">
        <v>200</v>
      </c>
      <c r="C304" s="305" t="s">
        <v>589</v>
      </c>
      <c r="D304" s="306" t="n">
        <v>588</v>
      </c>
      <c r="E304" s="306" t="n">
        <v>5.33</v>
      </c>
      <c r="F304" s="324" t="s">
        <v>580</v>
      </c>
      <c r="G304" s="144" t="n">
        <v>48</v>
      </c>
      <c r="H304" s="325" t="n">
        <v>507.438016528926</v>
      </c>
      <c r="I304" s="315"/>
      <c r="J304" s="144" t="s">
        <v>12</v>
      </c>
      <c r="K304" s="310"/>
      <c r="L304" s="311" t="n">
        <v>169</v>
      </c>
      <c r="M304" s="311" t="n">
        <v>19</v>
      </c>
      <c r="N304" s="144" t="n">
        <v>19</v>
      </c>
      <c r="O304" s="310"/>
      <c r="P304" s="311" t="n">
        <v>0</v>
      </c>
      <c r="Q304" s="311" t="n">
        <v>0</v>
      </c>
      <c r="R304" s="311" t="n">
        <v>0</v>
      </c>
      <c r="S304" s="311" t="n">
        <v>0</v>
      </c>
      <c r="T304" s="144" t="n">
        <v>0</v>
      </c>
      <c r="U304" s="310"/>
      <c r="V304" s="144" t="n">
        <v>81</v>
      </c>
      <c r="W304" s="315"/>
    </row>
    <row r="305" customFormat="false" ht="12.75" hidden="false" customHeight="false" outlineLevel="0" collapsed="false">
      <c r="B305" s="304" t="s">
        <v>200</v>
      </c>
      <c r="C305" s="305" t="s">
        <v>590</v>
      </c>
      <c r="D305" s="306" t="n">
        <v>921</v>
      </c>
      <c r="E305" s="306" t="n">
        <v>5.33</v>
      </c>
      <c r="F305" s="306" t="s">
        <v>580</v>
      </c>
      <c r="G305" s="307" t="n">
        <v>24</v>
      </c>
      <c r="H305" s="308" t="n">
        <v>792.561983471074</v>
      </c>
      <c r="I305" s="315"/>
      <c r="J305" s="144" t="s">
        <v>12</v>
      </c>
      <c r="K305" s="310"/>
      <c r="L305" s="311" t="n">
        <v>329</v>
      </c>
      <c r="M305" s="311" t="n">
        <v>199</v>
      </c>
      <c r="N305" s="144" t="n">
        <v>199</v>
      </c>
      <c r="O305" s="310"/>
      <c r="P305" s="311" t="n">
        <v>0</v>
      </c>
      <c r="Q305" s="311" t="n">
        <v>0</v>
      </c>
      <c r="R305" s="311" t="n">
        <v>0</v>
      </c>
      <c r="S305" s="311" t="n">
        <v>0</v>
      </c>
      <c r="T305" s="144" t="n">
        <v>0</v>
      </c>
      <c r="U305" s="310"/>
      <c r="V305" s="144" t="n">
        <v>128</v>
      </c>
      <c r="W305" s="315"/>
    </row>
    <row r="306" customFormat="false" ht="12.75" hidden="false" customHeight="false" outlineLevel="0" collapsed="false">
      <c r="B306" s="304" t="s">
        <v>200</v>
      </c>
      <c r="C306" s="305" t="s">
        <v>590</v>
      </c>
      <c r="D306" s="306" t="n">
        <v>921</v>
      </c>
      <c r="E306" s="306" t="n">
        <v>5.33</v>
      </c>
      <c r="F306" s="324" t="s">
        <v>580</v>
      </c>
      <c r="G306" s="144" t="n">
        <v>48</v>
      </c>
      <c r="H306" s="325" t="n">
        <v>792.561983471074</v>
      </c>
      <c r="I306" s="315"/>
      <c r="J306" s="144" t="s">
        <v>12</v>
      </c>
      <c r="K306" s="310"/>
      <c r="L306" s="311" t="n">
        <v>329</v>
      </c>
      <c r="M306" s="311" t="n">
        <v>199</v>
      </c>
      <c r="N306" s="144" t="n">
        <v>199</v>
      </c>
      <c r="O306" s="310"/>
      <c r="P306" s="311" t="n">
        <v>0</v>
      </c>
      <c r="Q306" s="311" t="n">
        <v>0</v>
      </c>
      <c r="R306" s="311" t="n">
        <v>0</v>
      </c>
      <c r="S306" s="311" t="n">
        <v>0</v>
      </c>
      <c r="T306" s="144" t="n">
        <v>0</v>
      </c>
      <c r="U306" s="310"/>
      <c r="V306" s="144" t="n">
        <v>128</v>
      </c>
      <c r="W306" s="315"/>
    </row>
    <row r="307" customFormat="false" ht="12.75" hidden="false" customHeight="false" outlineLevel="0" collapsed="false">
      <c r="B307" s="304" t="s">
        <v>200</v>
      </c>
      <c r="C307" s="305" t="s">
        <v>591</v>
      </c>
      <c r="D307" s="306" t="n">
        <v>801</v>
      </c>
      <c r="E307" s="306" t="n">
        <v>5.33</v>
      </c>
      <c r="F307" s="306" t="s">
        <v>580</v>
      </c>
      <c r="G307" s="307" t="n">
        <v>24</v>
      </c>
      <c r="H307" s="308" t="n">
        <v>671.074380165289</v>
      </c>
      <c r="I307" s="315"/>
      <c r="J307" s="144" t="s">
        <v>12</v>
      </c>
      <c r="K307" s="310"/>
      <c r="L307" s="311" t="n">
        <v>289</v>
      </c>
      <c r="M307" s="311" t="n">
        <v>179</v>
      </c>
      <c r="N307" s="144" t="n">
        <v>179</v>
      </c>
      <c r="O307" s="310"/>
      <c r="P307" s="311" t="n">
        <v>0</v>
      </c>
      <c r="Q307" s="311" t="n">
        <v>0</v>
      </c>
      <c r="R307" s="311" t="n">
        <v>0</v>
      </c>
      <c r="S307" s="311" t="n">
        <v>0</v>
      </c>
      <c r="T307" s="144" t="n">
        <v>0</v>
      </c>
      <c r="U307" s="310"/>
      <c r="V307" s="144" t="n">
        <v>130</v>
      </c>
      <c r="W307" s="315"/>
    </row>
    <row r="308" customFormat="false" ht="12.75" hidden="false" customHeight="false" outlineLevel="0" collapsed="false">
      <c r="B308" s="304" t="s">
        <v>200</v>
      </c>
      <c r="C308" s="305" t="s">
        <v>591</v>
      </c>
      <c r="D308" s="306" t="n">
        <v>801</v>
      </c>
      <c r="E308" s="306" t="n">
        <v>5.33</v>
      </c>
      <c r="F308" s="324" t="s">
        <v>580</v>
      </c>
      <c r="G308" s="144" t="n">
        <v>48</v>
      </c>
      <c r="H308" s="325" t="n">
        <v>671.074380165289</v>
      </c>
      <c r="I308" s="315"/>
      <c r="J308" s="144" t="s">
        <v>12</v>
      </c>
      <c r="K308" s="310"/>
      <c r="L308" s="311" t="n">
        <v>289</v>
      </c>
      <c r="M308" s="311" t="n">
        <v>179</v>
      </c>
      <c r="N308" s="144" t="n">
        <v>179</v>
      </c>
      <c r="O308" s="310"/>
      <c r="P308" s="311" t="n">
        <v>0</v>
      </c>
      <c r="Q308" s="311" t="n">
        <v>0</v>
      </c>
      <c r="R308" s="311" t="n">
        <v>0</v>
      </c>
      <c r="S308" s="311" t="n">
        <v>0</v>
      </c>
      <c r="T308" s="144" t="n">
        <v>0</v>
      </c>
      <c r="U308" s="310"/>
      <c r="V308" s="144" t="n">
        <v>130</v>
      </c>
      <c r="W308" s="315"/>
    </row>
    <row r="309" customFormat="false" ht="12.75" hidden="false" customHeight="false" outlineLevel="0" collapsed="false">
      <c r="B309" s="304" t="s">
        <v>200</v>
      </c>
      <c r="C309" s="305" t="s">
        <v>592</v>
      </c>
      <c r="D309" s="306" t="n">
        <v>1487</v>
      </c>
      <c r="E309" s="306" t="n">
        <v>5.33</v>
      </c>
      <c r="F309" s="306" t="s">
        <v>580</v>
      </c>
      <c r="G309" s="307" t="n">
        <v>24</v>
      </c>
      <c r="H309" s="308" t="n">
        <v>1210.74380165289</v>
      </c>
      <c r="I309" s="315"/>
      <c r="J309" s="144" t="s">
        <v>12</v>
      </c>
      <c r="K309" s="310"/>
      <c r="L309" s="311" t="n">
        <v>529</v>
      </c>
      <c r="M309" s="311" t="n">
        <v>329</v>
      </c>
      <c r="N309" s="144" t="n">
        <v>329</v>
      </c>
      <c r="O309" s="310"/>
      <c r="P309" s="311" t="n">
        <v>0</v>
      </c>
      <c r="Q309" s="311" t="n">
        <v>0</v>
      </c>
      <c r="R309" s="311" t="n">
        <v>0</v>
      </c>
      <c r="S309" s="311" t="n">
        <v>0</v>
      </c>
      <c r="T309" s="144" t="n">
        <v>0</v>
      </c>
      <c r="U309" s="310"/>
      <c r="V309" s="144" t="n">
        <v>276</v>
      </c>
      <c r="W309" s="315"/>
    </row>
    <row r="310" customFormat="false" ht="12.75" hidden="false" customHeight="false" outlineLevel="0" collapsed="false">
      <c r="B310" s="304" t="s">
        <v>200</v>
      </c>
      <c r="C310" s="305" t="s">
        <v>592</v>
      </c>
      <c r="D310" s="306" t="n">
        <v>1487</v>
      </c>
      <c r="E310" s="306" t="n">
        <v>5.33</v>
      </c>
      <c r="F310" s="324" t="s">
        <v>580</v>
      </c>
      <c r="G310" s="144" t="n">
        <v>48</v>
      </c>
      <c r="H310" s="325" t="n">
        <v>1210.74380165289</v>
      </c>
      <c r="I310" s="315"/>
      <c r="J310" s="144" t="s">
        <v>12</v>
      </c>
      <c r="K310" s="310"/>
      <c r="L310" s="311" t="n">
        <v>529</v>
      </c>
      <c r="M310" s="311" t="n">
        <v>329</v>
      </c>
      <c r="N310" s="144" t="n">
        <v>329</v>
      </c>
      <c r="O310" s="310"/>
      <c r="P310" s="311" t="n">
        <v>0</v>
      </c>
      <c r="Q310" s="311" t="n">
        <v>0</v>
      </c>
      <c r="R310" s="311" t="n">
        <v>0</v>
      </c>
      <c r="S310" s="311" t="n">
        <v>0</v>
      </c>
      <c r="T310" s="144" t="n">
        <v>0</v>
      </c>
      <c r="U310" s="310"/>
      <c r="V310" s="144" t="n">
        <v>276</v>
      </c>
      <c r="W310" s="315"/>
    </row>
    <row r="311" customFormat="false" ht="12.75" hidden="false" customHeight="false" outlineLevel="0" collapsed="false">
      <c r="B311" s="304" t="s">
        <v>593</v>
      </c>
      <c r="C311" s="305" t="s">
        <v>594</v>
      </c>
      <c r="D311" s="306" t="n">
        <v>204</v>
      </c>
      <c r="E311" s="306" t="n">
        <v>0</v>
      </c>
      <c r="F311" s="306" t="s">
        <v>595</v>
      </c>
      <c r="G311" s="307" t="n">
        <v>24</v>
      </c>
      <c r="H311" s="308" t="n">
        <v>183.471074380165</v>
      </c>
      <c r="I311" s="315"/>
      <c r="J311" s="144" t="s">
        <v>12</v>
      </c>
      <c r="K311" s="310"/>
      <c r="L311" s="311" t="n">
        <v>29</v>
      </c>
      <c r="M311" s="311" t="n">
        <v>0</v>
      </c>
      <c r="N311" s="144" t="n">
        <v>0</v>
      </c>
      <c r="O311" s="310"/>
      <c r="P311" s="311" t="n">
        <v>0</v>
      </c>
      <c r="Q311" s="311" t="n">
        <v>0</v>
      </c>
      <c r="R311" s="311" t="n">
        <v>0</v>
      </c>
      <c r="S311" s="311" t="n">
        <v>0</v>
      </c>
      <c r="T311" s="144" t="n">
        <v>0</v>
      </c>
      <c r="U311" s="310"/>
      <c r="V311" s="144" t="n">
        <v>21</v>
      </c>
      <c r="W311" s="315"/>
    </row>
    <row r="312" customFormat="false" ht="12.75" hidden="false" customHeight="false" outlineLevel="0" collapsed="false">
      <c r="B312" s="304" t="s">
        <v>190</v>
      </c>
      <c r="C312" s="305" t="s">
        <v>596</v>
      </c>
      <c r="D312" s="306" t="n">
        <v>66</v>
      </c>
      <c r="E312" s="306" t="n">
        <v>0</v>
      </c>
      <c r="F312" s="324" t="s">
        <v>595</v>
      </c>
      <c r="G312" s="144" t="n">
        <v>24</v>
      </c>
      <c r="H312" s="325" t="n">
        <v>56.198347107438</v>
      </c>
      <c r="I312" s="315"/>
      <c r="J312" s="144" t="s">
        <v>12</v>
      </c>
      <c r="K312" s="310"/>
      <c r="L312" s="311" t="n">
        <v>0</v>
      </c>
      <c r="M312" s="311" t="n">
        <v>0</v>
      </c>
      <c r="N312" s="144" t="n">
        <v>0</v>
      </c>
      <c r="O312" s="310"/>
      <c r="P312" s="311" t="n">
        <v>0</v>
      </c>
      <c r="Q312" s="311" t="n">
        <v>0</v>
      </c>
      <c r="R312" s="311" t="n">
        <v>0</v>
      </c>
      <c r="S312" s="311" t="n">
        <v>0</v>
      </c>
      <c r="T312" s="144" t="n">
        <v>0</v>
      </c>
      <c r="U312" s="310"/>
      <c r="V312" s="144" t="n">
        <v>10</v>
      </c>
      <c r="W312" s="315"/>
    </row>
    <row r="313" customFormat="false" ht="12.75" hidden="false" customHeight="false" outlineLevel="0" collapsed="false">
      <c r="B313" s="304" t="s">
        <v>190</v>
      </c>
      <c r="C313" s="305" t="s">
        <v>597</v>
      </c>
      <c r="D313" s="306" t="n">
        <v>107</v>
      </c>
      <c r="E313" s="306" t="n">
        <v>0</v>
      </c>
      <c r="F313" s="306" t="s">
        <v>595</v>
      </c>
      <c r="G313" s="307" t="n">
        <v>24</v>
      </c>
      <c r="H313" s="308" t="n">
        <v>93.3884297520661</v>
      </c>
      <c r="I313" s="315"/>
      <c r="J313" s="144" t="s">
        <v>12</v>
      </c>
      <c r="K313" s="310"/>
      <c r="L313" s="311" t="n">
        <v>0</v>
      </c>
      <c r="M313" s="311" t="n">
        <v>0</v>
      </c>
      <c r="N313" s="144" t="n">
        <v>0</v>
      </c>
      <c r="O313" s="310"/>
      <c r="P313" s="311" t="n">
        <v>0</v>
      </c>
      <c r="Q313" s="311" t="n">
        <v>0</v>
      </c>
      <c r="R313" s="311" t="n">
        <v>0</v>
      </c>
      <c r="S313" s="311" t="n">
        <v>0</v>
      </c>
      <c r="T313" s="144" t="n">
        <v>0</v>
      </c>
      <c r="U313" s="310"/>
      <c r="V313" s="144" t="n">
        <v>14</v>
      </c>
      <c r="W313" s="315"/>
    </row>
    <row r="314" customFormat="false" ht="12.75" hidden="false" customHeight="false" outlineLevel="0" collapsed="false">
      <c r="B314" s="304" t="s">
        <v>260</v>
      </c>
      <c r="C314" s="327" t="s">
        <v>598</v>
      </c>
      <c r="D314" s="306" t="n">
        <v>129</v>
      </c>
      <c r="E314" s="306" t="n">
        <v>0</v>
      </c>
      <c r="F314" s="324" t="s">
        <v>595</v>
      </c>
      <c r="G314" s="144" t="n">
        <v>24</v>
      </c>
      <c r="H314" s="325" t="n">
        <v>128.925619834711</v>
      </c>
      <c r="I314" s="315"/>
      <c r="J314" s="144" t="s">
        <v>12</v>
      </c>
      <c r="K314" s="310"/>
      <c r="L314" s="311" t="n">
        <v>19</v>
      </c>
      <c r="M314" s="311" t="n">
        <v>0</v>
      </c>
      <c r="N314" s="144" t="n">
        <v>0</v>
      </c>
      <c r="O314" s="310"/>
      <c r="P314" s="311" t="n">
        <v>0</v>
      </c>
      <c r="Q314" s="311" t="n">
        <v>0</v>
      </c>
      <c r="R314" s="311" t="n">
        <v>0</v>
      </c>
      <c r="S314" s="311" t="n">
        <v>0</v>
      </c>
      <c r="T314" s="144" t="n">
        <v>0</v>
      </c>
      <c r="U314" s="310"/>
      <c r="V314" s="144" t="n">
        <v>0</v>
      </c>
      <c r="W314" s="315"/>
    </row>
    <row r="315" customFormat="false" ht="12.75" hidden="false" customHeight="false" outlineLevel="0" collapsed="false">
      <c r="B315" s="304" t="s">
        <v>190</v>
      </c>
      <c r="C315" s="327" t="s">
        <v>599</v>
      </c>
      <c r="D315" s="306" t="n">
        <v>248</v>
      </c>
      <c r="E315" s="306" t="n">
        <v>0</v>
      </c>
      <c r="F315" s="306" t="s">
        <v>595</v>
      </c>
      <c r="G315" s="307" t="n">
        <v>24</v>
      </c>
      <c r="H315" s="308" t="n">
        <v>219.00826446281</v>
      </c>
      <c r="I315" s="315"/>
      <c r="J315" s="144" t="s">
        <v>12</v>
      </c>
      <c r="K315" s="310"/>
      <c r="L315" s="311" t="n">
        <v>39</v>
      </c>
      <c r="M315" s="311" t="n">
        <v>0</v>
      </c>
      <c r="N315" s="144" t="n">
        <v>0</v>
      </c>
      <c r="O315" s="310"/>
      <c r="P315" s="311" t="n">
        <v>0</v>
      </c>
      <c r="Q315" s="311" t="n">
        <v>0</v>
      </c>
      <c r="R315" s="311" t="n">
        <v>0</v>
      </c>
      <c r="S315" s="311" t="n">
        <v>0</v>
      </c>
      <c r="T315" s="144" t="n">
        <v>0</v>
      </c>
      <c r="U315" s="310"/>
      <c r="V315" s="144" t="n">
        <v>29</v>
      </c>
      <c r="W315" s="315"/>
    </row>
    <row r="316" customFormat="false" ht="12.75" hidden="false" customHeight="false" outlineLevel="0" collapsed="false">
      <c r="B316" s="304" t="s">
        <v>190</v>
      </c>
      <c r="C316" s="327" t="s">
        <v>600</v>
      </c>
      <c r="D316" s="306" t="n">
        <v>166</v>
      </c>
      <c r="E316" s="306" t="n">
        <v>0</v>
      </c>
      <c r="F316" s="324" t="s">
        <v>595</v>
      </c>
      <c r="G316" s="144" t="n">
        <v>24</v>
      </c>
      <c r="H316" s="325" t="n">
        <v>165.289256198347</v>
      </c>
      <c r="I316" s="315"/>
      <c r="J316" s="144" t="s">
        <v>12</v>
      </c>
      <c r="K316" s="310"/>
      <c r="L316" s="311" t="n">
        <v>29</v>
      </c>
      <c r="M316" s="311" t="n">
        <v>0</v>
      </c>
      <c r="N316" s="144" t="n">
        <v>0</v>
      </c>
      <c r="O316" s="310"/>
      <c r="P316" s="311" t="n">
        <v>0</v>
      </c>
      <c r="Q316" s="311" t="n">
        <v>0</v>
      </c>
      <c r="R316" s="311" t="n">
        <v>0</v>
      </c>
      <c r="S316" s="311" t="n">
        <v>0</v>
      </c>
      <c r="T316" s="144" t="n">
        <v>0</v>
      </c>
      <c r="U316" s="310"/>
      <c r="V316" s="144" t="n">
        <v>1</v>
      </c>
      <c r="W316" s="315"/>
    </row>
    <row r="317" customFormat="false" ht="12.75" hidden="false" customHeight="false" outlineLevel="0" collapsed="false">
      <c r="B317" s="304" t="s">
        <v>260</v>
      </c>
      <c r="C317" s="327" t="s">
        <v>601</v>
      </c>
      <c r="D317" s="306" t="n">
        <v>277</v>
      </c>
      <c r="E317" s="306" t="n">
        <v>0</v>
      </c>
      <c r="F317" s="306" t="s">
        <v>595</v>
      </c>
      <c r="G317" s="307" t="n">
        <v>24</v>
      </c>
      <c r="H317" s="308" t="n">
        <v>276.859504132231</v>
      </c>
      <c r="I317" s="315"/>
      <c r="J317" s="144" t="s">
        <v>12</v>
      </c>
      <c r="K317" s="310"/>
      <c r="L317" s="311" t="n">
        <v>39</v>
      </c>
      <c r="M317" s="311" t="n">
        <v>0</v>
      </c>
      <c r="N317" s="144" t="n">
        <v>0</v>
      </c>
      <c r="O317" s="310"/>
      <c r="P317" s="311" t="n">
        <v>0</v>
      </c>
      <c r="Q317" s="311" t="n">
        <v>0</v>
      </c>
      <c r="R317" s="311" t="n">
        <v>0</v>
      </c>
      <c r="S317" s="311" t="n">
        <v>0</v>
      </c>
      <c r="T317" s="144" t="n">
        <v>0</v>
      </c>
      <c r="U317" s="310"/>
      <c r="V317" s="144" t="n">
        <v>0</v>
      </c>
      <c r="W317" s="315"/>
    </row>
    <row r="318" customFormat="false" ht="12.75" hidden="false" customHeight="false" outlineLevel="0" collapsed="false">
      <c r="B318" s="304" t="s">
        <v>260</v>
      </c>
      <c r="C318" s="327" t="s">
        <v>601</v>
      </c>
      <c r="D318" s="306" t="n">
        <v>277</v>
      </c>
      <c r="E318" s="306" t="n">
        <v>0</v>
      </c>
      <c r="F318" s="324" t="s">
        <v>595</v>
      </c>
      <c r="G318" s="144" t="n">
        <v>48</v>
      </c>
      <c r="H318" s="325" t="n">
        <v>276.859504132231</v>
      </c>
      <c r="I318" s="315"/>
      <c r="J318" s="144" t="s">
        <v>12</v>
      </c>
      <c r="K318" s="310"/>
      <c r="L318" s="311" t="n">
        <v>39</v>
      </c>
      <c r="M318" s="311" t="n">
        <v>0</v>
      </c>
      <c r="N318" s="144" t="n">
        <v>0</v>
      </c>
      <c r="O318" s="310"/>
      <c r="P318" s="311" t="n">
        <v>0</v>
      </c>
      <c r="Q318" s="311" t="n">
        <v>0</v>
      </c>
      <c r="R318" s="311" t="n">
        <v>0</v>
      </c>
      <c r="S318" s="311" t="n">
        <v>0</v>
      </c>
      <c r="T318" s="144" t="n">
        <v>0</v>
      </c>
      <c r="U318" s="310"/>
      <c r="V318" s="144" t="n">
        <v>0</v>
      </c>
      <c r="W318" s="315"/>
    </row>
    <row r="319" customFormat="false" ht="12.75" hidden="false" customHeight="false" outlineLevel="0" collapsed="false">
      <c r="B319" s="304" t="s">
        <v>424</v>
      </c>
      <c r="C319" s="305" t="s">
        <v>602</v>
      </c>
      <c r="D319" s="306" t="n">
        <v>71</v>
      </c>
      <c r="E319" s="306" t="n">
        <v>0</v>
      </c>
      <c r="F319" s="306" t="s">
        <v>603</v>
      </c>
      <c r="G319" s="307" t="n">
        <v>24</v>
      </c>
      <c r="H319" s="308" t="n">
        <v>53.7190082644628</v>
      </c>
      <c r="I319" s="315"/>
      <c r="J319" s="144" t="s">
        <v>12</v>
      </c>
      <c r="K319" s="310"/>
      <c r="L319" s="311" t="n">
        <v>0</v>
      </c>
      <c r="M319" s="311" t="n">
        <v>0</v>
      </c>
      <c r="N319" s="144" t="n">
        <v>0</v>
      </c>
      <c r="O319" s="310"/>
      <c r="P319" s="311" t="n">
        <v>0</v>
      </c>
      <c r="Q319" s="311" t="n">
        <v>0</v>
      </c>
      <c r="R319" s="311" t="n">
        <v>0</v>
      </c>
      <c r="S319" s="311" t="n">
        <v>0</v>
      </c>
      <c r="T319" s="144" t="n">
        <v>0</v>
      </c>
      <c r="U319" s="310"/>
      <c r="V319" s="144" t="n">
        <v>17</v>
      </c>
      <c r="W319" s="315"/>
    </row>
    <row r="320" customFormat="false" ht="12.75" hidden="false" customHeight="false" outlineLevel="0" collapsed="false">
      <c r="B320" s="304" t="s">
        <v>424</v>
      </c>
      <c r="C320" s="305" t="s">
        <v>604</v>
      </c>
      <c r="D320" s="306" t="n">
        <v>68</v>
      </c>
      <c r="E320" s="306" t="n">
        <v>0</v>
      </c>
      <c r="F320" s="324" t="s">
        <v>603</v>
      </c>
      <c r="G320" s="144" t="n">
        <v>24</v>
      </c>
      <c r="H320" s="325" t="n">
        <v>67.7685950413223</v>
      </c>
      <c r="I320" s="315"/>
      <c r="J320" s="144" t="s">
        <v>12</v>
      </c>
      <c r="K320" s="310"/>
      <c r="L320" s="311" t="n">
        <v>0</v>
      </c>
      <c r="M320" s="311" t="n">
        <v>0</v>
      </c>
      <c r="N320" s="144" t="n">
        <v>0</v>
      </c>
      <c r="O320" s="310"/>
      <c r="P320" s="311" t="n">
        <v>0</v>
      </c>
      <c r="Q320" s="311" t="n">
        <v>0</v>
      </c>
      <c r="R320" s="311" t="n">
        <v>0</v>
      </c>
      <c r="S320" s="311" t="n">
        <v>0</v>
      </c>
      <c r="T320" s="144" t="n">
        <v>0</v>
      </c>
      <c r="U320" s="310"/>
      <c r="V320" s="144" t="n">
        <v>0</v>
      </c>
      <c r="W320" s="315"/>
    </row>
    <row r="321" s="2" customFormat="true" ht="12.75" hidden="false" customHeight="false" outlineLevel="0" collapsed="false">
      <c r="B321" s="304" t="s">
        <v>424</v>
      </c>
      <c r="C321" s="305" t="s">
        <v>605</v>
      </c>
      <c r="D321" s="306" t="n">
        <v>49</v>
      </c>
      <c r="E321" s="306" t="n">
        <v>0</v>
      </c>
      <c r="F321" s="306" t="s">
        <v>603</v>
      </c>
      <c r="G321" s="307" t="n">
        <v>24</v>
      </c>
      <c r="H321" s="308" t="n">
        <v>35.5371900826446</v>
      </c>
      <c r="I321" s="315"/>
      <c r="J321" s="144" t="s">
        <v>12</v>
      </c>
      <c r="K321" s="310"/>
      <c r="L321" s="311" t="s">
        <v>12</v>
      </c>
      <c r="M321" s="311" t="s">
        <v>12</v>
      </c>
      <c r="N321" s="144" t="s">
        <v>12</v>
      </c>
      <c r="O321" s="310"/>
      <c r="P321" s="311" t="n">
        <v>0</v>
      </c>
      <c r="Q321" s="311" t="n">
        <v>0</v>
      </c>
      <c r="R321" s="311" t="n">
        <v>0</v>
      </c>
      <c r="S321" s="311" t="n">
        <v>0</v>
      </c>
      <c r="T321" s="144" t="n">
        <v>0</v>
      </c>
      <c r="V321" s="144" t="n">
        <v>13</v>
      </c>
    </row>
    <row r="322" s="2" customFormat="true" ht="12.75" hidden="false" customHeight="false" outlineLevel="0" collapsed="false">
      <c r="B322" s="304" t="s">
        <v>112</v>
      </c>
      <c r="C322" s="305" t="s">
        <v>606</v>
      </c>
      <c r="D322" s="306" t="n">
        <v>137</v>
      </c>
      <c r="E322" s="306" t="n">
        <v>0</v>
      </c>
      <c r="F322" s="324" t="s">
        <v>603</v>
      </c>
      <c r="G322" s="144" t="n">
        <v>24</v>
      </c>
      <c r="H322" s="325" t="n">
        <v>136.363636363636</v>
      </c>
      <c r="I322" s="315"/>
      <c r="J322" s="144" t="s">
        <v>12</v>
      </c>
      <c r="K322" s="310"/>
      <c r="L322" s="311" t="n">
        <v>19</v>
      </c>
      <c r="M322" s="311" t="n">
        <v>0</v>
      </c>
      <c r="N322" s="144" t="n">
        <v>0</v>
      </c>
      <c r="O322" s="310"/>
      <c r="P322" s="311" t="n">
        <v>0</v>
      </c>
      <c r="Q322" s="311" t="n">
        <v>0</v>
      </c>
      <c r="R322" s="311" t="n">
        <v>0</v>
      </c>
      <c r="S322" s="311" t="n">
        <v>0</v>
      </c>
      <c r="T322" s="144" t="n">
        <v>0</v>
      </c>
      <c r="V322" s="144" t="n">
        <v>1</v>
      </c>
    </row>
    <row r="323" s="2" customFormat="true" ht="12.75" hidden="false" customHeight="false" outlineLevel="0" collapsed="false">
      <c r="B323" s="304" t="s">
        <v>112</v>
      </c>
      <c r="C323" s="305" t="s">
        <v>606</v>
      </c>
      <c r="D323" s="306" t="n">
        <v>137</v>
      </c>
      <c r="E323" s="306" t="n">
        <v>0</v>
      </c>
      <c r="F323" s="306" t="s">
        <v>603</v>
      </c>
      <c r="G323" s="307" t="n">
        <v>48</v>
      </c>
      <c r="H323" s="308" t="n">
        <v>136.363636363636</v>
      </c>
      <c r="I323" s="315"/>
      <c r="J323" s="144" t="s">
        <v>12</v>
      </c>
      <c r="K323" s="310"/>
      <c r="L323" s="311" t="n">
        <v>19</v>
      </c>
      <c r="M323" s="311" t="n">
        <v>0</v>
      </c>
      <c r="N323" s="144" t="n">
        <v>0</v>
      </c>
      <c r="O323" s="310"/>
      <c r="P323" s="311" t="n">
        <v>0</v>
      </c>
      <c r="Q323" s="311" t="n">
        <v>0</v>
      </c>
      <c r="R323" s="311" t="n">
        <v>0</v>
      </c>
      <c r="S323" s="311" t="n">
        <v>0</v>
      </c>
      <c r="T323" s="144" t="n">
        <v>0</v>
      </c>
      <c r="V323" s="144" t="n">
        <v>1</v>
      </c>
    </row>
    <row r="324" s="2" customFormat="true" ht="12.75" hidden="false" customHeight="false" outlineLevel="0" collapsed="false">
      <c r="B324" s="304" t="s">
        <v>112</v>
      </c>
      <c r="C324" s="305" t="s">
        <v>607</v>
      </c>
      <c r="D324" s="306" t="n">
        <v>184</v>
      </c>
      <c r="E324" s="306" t="n">
        <v>0</v>
      </c>
      <c r="F324" s="324" t="s">
        <v>603</v>
      </c>
      <c r="G324" s="144" t="n">
        <v>24</v>
      </c>
      <c r="H324" s="325" t="n">
        <v>183.471074380165</v>
      </c>
      <c r="I324" s="315"/>
      <c r="J324" s="144" t="s">
        <v>12</v>
      </c>
      <c r="K324" s="310"/>
      <c r="L324" s="311" t="n">
        <v>29</v>
      </c>
      <c r="M324" s="311" t="n">
        <v>0</v>
      </c>
      <c r="N324" s="144" t="n">
        <v>0</v>
      </c>
      <c r="O324" s="310"/>
      <c r="P324" s="311" t="n">
        <v>0</v>
      </c>
      <c r="Q324" s="311" t="n">
        <v>0</v>
      </c>
      <c r="R324" s="311" t="n">
        <v>0</v>
      </c>
      <c r="S324" s="311" t="n">
        <v>0</v>
      </c>
      <c r="T324" s="144" t="n">
        <v>0</v>
      </c>
      <c r="V324" s="144" t="n">
        <v>1</v>
      </c>
    </row>
    <row r="325" s="2" customFormat="true" ht="12.75" hidden="false" customHeight="false" outlineLevel="0" collapsed="false">
      <c r="B325" s="304" t="s">
        <v>112</v>
      </c>
      <c r="C325" s="305" t="s">
        <v>607</v>
      </c>
      <c r="D325" s="306" t="n">
        <v>184</v>
      </c>
      <c r="E325" s="306" t="n">
        <v>0</v>
      </c>
      <c r="F325" s="306" t="s">
        <v>603</v>
      </c>
      <c r="G325" s="307" t="n">
        <v>48</v>
      </c>
      <c r="H325" s="308" t="n">
        <v>183.471074380165</v>
      </c>
      <c r="I325" s="315"/>
      <c r="J325" s="144"/>
      <c r="K325" s="310"/>
      <c r="L325" s="311" t="n">
        <v>29</v>
      </c>
      <c r="M325" s="311" t="n">
        <v>0</v>
      </c>
      <c r="N325" s="144" t="n">
        <v>0</v>
      </c>
      <c r="O325" s="310"/>
      <c r="P325" s="311" t="n">
        <v>0</v>
      </c>
      <c r="Q325" s="311" t="n">
        <v>0</v>
      </c>
      <c r="R325" s="311" t="n">
        <v>0</v>
      </c>
      <c r="S325" s="311" t="n">
        <v>0</v>
      </c>
      <c r="T325" s="144" t="n">
        <v>0</v>
      </c>
      <c r="V325" s="144" t="n">
        <v>1</v>
      </c>
    </row>
    <row r="326" s="2" customFormat="true" ht="12.75" hidden="false" customHeight="false" outlineLevel="0" collapsed="false">
      <c r="B326" s="304" t="s">
        <v>112</v>
      </c>
      <c r="C326" s="305" t="s">
        <v>608</v>
      </c>
      <c r="D326" s="306" t="n">
        <v>279</v>
      </c>
      <c r="E326" s="306" t="n">
        <v>0</v>
      </c>
      <c r="F326" s="324" t="s">
        <v>603</v>
      </c>
      <c r="G326" s="144" t="n">
        <v>24</v>
      </c>
      <c r="H326" s="325" t="n">
        <v>277.685950413223</v>
      </c>
      <c r="I326" s="315"/>
      <c r="J326" s="144"/>
      <c r="K326" s="310"/>
      <c r="L326" s="311" t="n">
        <v>39</v>
      </c>
      <c r="M326" s="311" t="n">
        <v>0</v>
      </c>
      <c r="N326" s="144" t="n">
        <v>0</v>
      </c>
      <c r="O326" s="310"/>
      <c r="P326" s="311" t="n">
        <v>0</v>
      </c>
      <c r="Q326" s="311" t="n">
        <v>0</v>
      </c>
      <c r="R326" s="311" t="n">
        <v>0</v>
      </c>
      <c r="S326" s="311" t="n">
        <v>0</v>
      </c>
      <c r="T326" s="144" t="n">
        <v>0</v>
      </c>
      <c r="V326" s="144" t="n">
        <v>1</v>
      </c>
    </row>
    <row r="327" s="2" customFormat="true" ht="12.75" hidden="false" customHeight="false" outlineLevel="0" collapsed="false">
      <c r="B327" s="304" t="s">
        <v>112</v>
      </c>
      <c r="C327" s="305" t="s">
        <v>608</v>
      </c>
      <c r="D327" s="306" t="n">
        <v>279</v>
      </c>
      <c r="E327" s="306" t="n">
        <v>0</v>
      </c>
      <c r="F327" s="306" t="s">
        <v>603</v>
      </c>
      <c r="G327" s="307" t="n">
        <v>48</v>
      </c>
      <c r="H327" s="308" t="n">
        <v>277.685950413223</v>
      </c>
      <c r="I327" s="315"/>
      <c r="J327" s="144"/>
      <c r="K327" s="310"/>
      <c r="L327" s="311" t="n">
        <v>39</v>
      </c>
      <c r="M327" s="311" t="n">
        <v>0</v>
      </c>
      <c r="N327" s="144" t="n">
        <v>0</v>
      </c>
      <c r="O327" s="310"/>
      <c r="P327" s="311" t="n">
        <v>0</v>
      </c>
      <c r="Q327" s="311" t="n">
        <v>0</v>
      </c>
      <c r="R327" s="311" t="n">
        <v>0</v>
      </c>
      <c r="S327" s="311" t="n">
        <v>0</v>
      </c>
      <c r="T327" s="144" t="n">
        <v>0</v>
      </c>
      <c r="V327" s="144" t="n">
        <v>1</v>
      </c>
    </row>
    <row r="328" s="2" customFormat="true" ht="12.75" hidden="false" customHeight="false" outlineLevel="0" collapsed="false">
      <c r="B328" s="304" t="s">
        <v>593</v>
      </c>
      <c r="C328" s="305" t="s">
        <v>609</v>
      </c>
      <c r="D328" s="306" t="n">
        <v>168</v>
      </c>
      <c r="E328" s="306" t="n">
        <v>0</v>
      </c>
      <c r="F328" s="324" t="s">
        <v>603</v>
      </c>
      <c r="G328" s="144" t="n">
        <v>24</v>
      </c>
      <c r="H328" s="325" t="n">
        <v>157.851239669422</v>
      </c>
      <c r="I328" s="315"/>
      <c r="J328" s="144"/>
      <c r="K328" s="310"/>
      <c r="L328" s="311" t="n">
        <v>29</v>
      </c>
      <c r="M328" s="311" t="n">
        <v>0</v>
      </c>
      <c r="N328" s="144" t="n">
        <v>0</v>
      </c>
      <c r="O328" s="310"/>
      <c r="P328" s="311" t="n">
        <v>0</v>
      </c>
      <c r="Q328" s="311" t="n">
        <v>0</v>
      </c>
      <c r="R328" s="311" t="n">
        <v>0</v>
      </c>
      <c r="S328" s="311" t="n">
        <v>0</v>
      </c>
      <c r="T328" s="144" t="n">
        <v>0</v>
      </c>
      <c r="V328" s="144" t="n">
        <v>10</v>
      </c>
    </row>
    <row r="329" s="2" customFormat="true" ht="12.75" hidden="false" customHeight="false" outlineLevel="0" collapsed="false">
      <c r="B329" s="304" t="s">
        <v>124</v>
      </c>
      <c r="C329" s="305" t="s">
        <v>610</v>
      </c>
      <c r="D329" s="306" t="n">
        <v>204</v>
      </c>
      <c r="E329" s="306" t="n">
        <v>0</v>
      </c>
      <c r="F329" s="306" t="s">
        <v>603</v>
      </c>
      <c r="G329" s="307" t="n">
        <v>24</v>
      </c>
      <c r="H329" s="308" t="n">
        <v>195.04132231405</v>
      </c>
      <c r="I329" s="315"/>
      <c r="J329" s="144"/>
      <c r="K329" s="310"/>
      <c r="L329" s="311" t="n">
        <v>29</v>
      </c>
      <c r="M329" s="311" t="n">
        <v>0</v>
      </c>
      <c r="N329" s="144" t="n">
        <v>0</v>
      </c>
      <c r="O329" s="310"/>
      <c r="P329" s="311" t="n">
        <v>0</v>
      </c>
      <c r="Q329" s="311" t="n">
        <v>0</v>
      </c>
      <c r="R329" s="311" t="n">
        <v>0</v>
      </c>
      <c r="S329" s="311" t="n">
        <v>0</v>
      </c>
      <c r="T329" s="144" t="n">
        <v>0</v>
      </c>
      <c r="V329" s="144" t="n">
        <v>9</v>
      </c>
    </row>
    <row r="330" s="2" customFormat="true" ht="12.75" hidden="false" customHeight="false" outlineLevel="0" collapsed="false">
      <c r="B330" s="304" t="s">
        <v>450</v>
      </c>
      <c r="C330" s="305" t="s">
        <v>611</v>
      </c>
      <c r="D330" s="306" t="n">
        <v>47</v>
      </c>
      <c r="E330" s="306" t="n">
        <v>0</v>
      </c>
      <c r="F330" s="324" t="s">
        <v>603</v>
      </c>
      <c r="G330" s="144" t="n">
        <v>24</v>
      </c>
      <c r="H330" s="325" t="n">
        <v>46.2809917355372</v>
      </c>
      <c r="I330" s="315"/>
      <c r="J330" s="144"/>
      <c r="K330" s="310"/>
      <c r="L330" s="311" t="n">
        <v>0</v>
      </c>
      <c r="M330" s="311" t="n">
        <v>0</v>
      </c>
      <c r="N330" s="144" t="n">
        <v>0</v>
      </c>
      <c r="O330" s="310"/>
      <c r="P330" s="311" t="n">
        <v>0</v>
      </c>
      <c r="Q330" s="311" t="n">
        <v>0</v>
      </c>
      <c r="R330" s="311" t="n">
        <v>0</v>
      </c>
      <c r="S330" s="311" t="n">
        <v>0</v>
      </c>
      <c r="T330" s="144" t="n">
        <v>0</v>
      </c>
      <c r="V330" s="144" t="n">
        <v>1</v>
      </c>
    </row>
    <row r="331" s="2" customFormat="true" ht="12.75" hidden="false" customHeight="false" outlineLevel="0" collapsed="false">
      <c r="B331" s="304" t="s">
        <v>130</v>
      </c>
      <c r="C331" s="305" t="s">
        <v>612</v>
      </c>
      <c r="D331" s="306" t="n">
        <v>94</v>
      </c>
      <c r="E331" s="306" t="n">
        <v>0</v>
      </c>
      <c r="F331" s="306" t="s">
        <v>603</v>
      </c>
      <c r="G331" s="307" t="n">
        <v>24</v>
      </c>
      <c r="H331" s="308" t="n">
        <v>73.5537190082645</v>
      </c>
      <c r="I331" s="315"/>
      <c r="J331" s="144"/>
      <c r="K331" s="310"/>
      <c r="L331" s="311" t="n">
        <v>0</v>
      </c>
      <c r="M331" s="311" t="n">
        <v>0</v>
      </c>
      <c r="N331" s="144" t="n">
        <v>0</v>
      </c>
      <c r="O331" s="310"/>
      <c r="P331" s="311" t="n">
        <v>0</v>
      </c>
      <c r="Q331" s="311" t="n">
        <v>0</v>
      </c>
      <c r="R331" s="311" t="n">
        <v>0</v>
      </c>
      <c r="S331" s="311" t="n">
        <v>0</v>
      </c>
      <c r="T331" s="144" t="n">
        <v>0</v>
      </c>
      <c r="V331" s="144" t="n">
        <v>20</v>
      </c>
    </row>
    <row r="332" s="2" customFormat="true" ht="12.75" hidden="false" customHeight="false" outlineLevel="0" collapsed="false">
      <c r="B332" s="304" t="s">
        <v>130</v>
      </c>
      <c r="C332" s="305" t="s">
        <v>613</v>
      </c>
      <c r="D332" s="306" t="n">
        <v>200</v>
      </c>
      <c r="E332" s="306" t="n">
        <v>0</v>
      </c>
      <c r="F332" s="324" t="s">
        <v>603</v>
      </c>
      <c r="G332" s="144" t="n">
        <v>24</v>
      </c>
      <c r="H332" s="325" t="n">
        <v>108.264462809917</v>
      </c>
      <c r="I332" s="315"/>
      <c r="J332" s="144"/>
      <c r="K332" s="310"/>
      <c r="L332" s="311" t="n">
        <v>19</v>
      </c>
      <c r="M332" s="311" t="n">
        <v>0</v>
      </c>
      <c r="N332" s="144" t="n">
        <v>0</v>
      </c>
      <c r="O332" s="310"/>
      <c r="P332" s="311" t="n">
        <v>0</v>
      </c>
      <c r="Q332" s="311" t="n">
        <v>0</v>
      </c>
      <c r="R332" s="311" t="n">
        <v>0</v>
      </c>
      <c r="S332" s="311" t="n">
        <v>0</v>
      </c>
      <c r="T332" s="144" t="n">
        <v>0</v>
      </c>
      <c r="V332" s="144" t="n">
        <v>92</v>
      </c>
    </row>
    <row r="333" s="2" customFormat="true" ht="12.75" hidden="false" customHeight="false" outlineLevel="0" collapsed="false">
      <c r="B333" s="304" t="s">
        <v>130</v>
      </c>
      <c r="C333" s="305" t="s">
        <v>614</v>
      </c>
      <c r="D333" s="306" t="n">
        <v>41</v>
      </c>
      <c r="E333" s="306" t="n">
        <v>0</v>
      </c>
      <c r="F333" s="306" t="s">
        <v>603</v>
      </c>
      <c r="G333" s="307" t="n">
        <v>24</v>
      </c>
      <c r="H333" s="308" t="n">
        <v>38.8429752066116</v>
      </c>
      <c r="I333" s="315"/>
      <c r="J333" s="144"/>
      <c r="K333" s="310"/>
      <c r="L333" s="311" t="n">
        <v>0</v>
      </c>
      <c r="M333" s="311" t="n">
        <v>0</v>
      </c>
      <c r="N333" s="144" t="n">
        <v>0</v>
      </c>
      <c r="O333" s="310"/>
      <c r="P333" s="311" t="n">
        <v>0</v>
      </c>
      <c r="Q333" s="311" t="n">
        <v>0</v>
      </c>
      <c r="R333" s="311" t="n">
        <v>0</v>
      </c>
      <c r="S333" s="311" t="n">
        <v>0</v>
      </c>
      <c r="T333" s="144" t="n">
        <v>0</v>
      </c>
      <c r="V333" s="144" t="n">
        <v>2</v>
      </c>
    </row>
    <row r="334" s="2" customFormat="true" ht="12.75" hidden="false" customHeight="false" outlineLevel="0" collapsed="false">
      <c r="B334" s="304" t="s">
        <v>211</v>
      </c>
      <c r="C334" s="305" t="s">
        <v>615</v>
      </c>
      <c r="D334" s="306" t="n">
        <v>65</v>
      </c>
      <c r="E334" s="306" t="n">
        <v>0</v>
      </c>
      <c r="F334" s="324" t="s">
        <v>603</v>
      </c>
      <c r="G334" s="144" t="n">
        <v>24</v>
      </c>
      <c r="H334" s="325" t="n">
        <v>42.9752066115703</v>
      </c>
      <c r="I334" s="315"/>
      <c r="J334" s="144"/>
      <c r="K334" s="310"/>
      <c r="L334" s="311" t="n">
        <v>0</v>
      </c>
      <c r="M334" s="311" t="n">
        <v>0</v>
      </c>
      <c r="N334" s="144" t="n">
        <v>0</v>
      </c>
      <c r="O334" s="310"/>
      <c r="P334" s="311" t="n">
        <v>0</v>
      </c>
      <c r="Q334" s="311" t="n">
        <v>0</v>
      </c>
      <c r="R334" s="311" t="n">
        <v>0</v>
      </c>
      <c r="S334" s="311" t="n">
        <v>0</v>
      </c>
      <c r="T334" s="144" t="n">
        <v>0</v>
      </c>
      <c r="V334" s="144" t="n">
        <v>22</v>
      </c>
    </row>
    <row r="335" s="2" customFormat="true" ht="12.75" hidden="false" customHeight="false" outlineLevel="0" collapsed="false">
      <c r="B335" s="304" t="s">
        <v>465</v>
      </c>
      <c r="C335" s="305" t="s">
        <v>616</v>
      </c>
      <c r="D335" s="306" t="n">
        <v>53</v>
      </c>
      <c r="E335" s="306" t="n">
        <v>0</v>
      </c>
      <c r="F335" s="306" t="s">
        <v>603</v>
      </c>
      <c r="G335" s="307" t="n">
        <v>24</v>
      </c>
      <c r="H335" s="308" t="n">
        <v>35.5371900826446</v>
      </c>
      <c r="I335" s="315"/>
      <c r="J335" s="144"/>
      <c r="K335" s="310"/>
      <c r="L335" s="311" t="n">
        <v>0</v>
      </c>
      <c r="M335" s="311" t="n">
        <v>0</v>
      </c>
      <c r="N335" s="144" t="n">
        <v>0</v>
      </c>
      <c r="O335" s="310"/>
      <c r="P335" s="311" t="n">
        <v>0</v>
      </c>
      <c r="Q335" s="311" t="n">
        <v>0</v>
      </c>
      <c r="R335" s="311" t="n">
        <v>0</v>
      </c>
      <c r="S335" s="311" t="n">
        <v>0</v>
      </c>
      <c r="T335" s="144" t="n">
        <v>0</v>
      </c>
      <c r="V335" s="144" t="n">
        <v>17</v>
      </c>
    </row>
    <row r="336" s="2" customFormat="true" ht="12.75" hidden="false" customHeight="false" outlineLevel="0" collapsed="false">
      <c r="B336" s="304" t="s">
        <v>200</v>
      </c>
      <c r="C336" s="305" t="s">
        <v>617</v>
      </c>
      <c r="D336" s="306" t="n">
        <v>172</v>
      </c>
      <c r="E336" s="306" t="n">
        <v>0</v>
      </c>
      <c r="F336" s="324" t="s">
        <v>603</v>
      </c>
      <c r="G336" s="144" t="n">
        <v>24</v>
      </c>
      <c r="H336" s="325" t="n">
        <v>130.578512396694</v>
      </c>
      <c r="I336" s="315"/>
      <c r="J336" s="144"/>
      <c r="K336" s="310"/>
      <c r="L336" s="311" t="n">
        <v>19</v>
      </c>
      <c r="M336" s="311" t="n">
        <v>0</v>
      </c>
      <c r="N336" s="144" t="n">
        <v>0</v>
      </c>
      <c r="O336" s="310"/>
      <c r="P336" s="311" t="n">
        <v>0</v>
      </c>
      <c r="Q336" s="311" t="n">
        <v>0</v>
      </c>
      <c r="R336" s="311" t="n">
        <v>0</v>
      </c>
      <c r="S336" s="311" t="n">
        <v>0</v>
      </c>
      <c r="T336" s="144" t="n">
        <v>0</v>
      </c>
      <c r="V336" s="144" t="n">
        <v>41</v>
      </c>
    </row>
    <row r="337" s="2" customFormat="true" ht="12.75" hidden="false" customHeight="false" outlineLevel="0" collapsed="false">
      <c r="B337" s="304" t="s">
        <v>200</v>
      </c>
      <c r="C337" s="305" t="s">
        <v>618</v>
      </c>
      <c r="D337" s="306" t="n">
        <v>240</v>
      </c>
      <c r="E337" s="306" t="n">
        <v>0</v>
      </c>
      <c r="F337" s="306" t="s">
        <v>603</v>
      </c>
      <c r="G337" s="307" t="n">
        <v>24</v>
      </c>
      <c r="H337" s="308" t="n">
        <v>187.603305785124</v>
      </c>
      <c r="I337" s="315"/>
      <c r="J337" s="144"/>
      <c r="K337" s="310"/>
      <c r="L337" s="311" t="n">
        <v>29</v>
      </c>
      <c r="M337" s="311" t="n">
        <v>0</v>
      </c>
      <c r="N337" s="144" t="n">
        <v>0</v>
      </c>
      <c r="O337" s="310"/>
      <c r="P337" s="311" t="n">
        <v>0</v>
      </c>
      <c r="Q337" s="311" t="n">
        <v>0</v>
      </c>
      <c r="R337" s="311" t="n">
        <v>0</v>
      </c>
      <c r="S337" s="311" t="n">
        <v>0</v>
      </c>
      <c r="T337" s="144" t="n">
        <v>0</v>
      </c>
      <c r="V337" s="144" t="n">
        <v>52</v>
      </c>
    </row>
    <row r="338" s="2" customFormat="true" ht="12.75" hidden="false" customHeight="false" outlineLevel="0" collapsed="false">
      <c r="B338" s="304" t="s">
        <v>200</v>
      </c>
      <c r="C338" s="305" t="s">
        <v>619</v>
      </c>
      <c r="D338" s="306" t="n">
        <v>99</v>
      </c>
      <c r="E338" s="306" t="n">
        <v>0</v>
      </c>
      <c r="F338" s="324" t="s">
        <v>603</v>
      </c>
      <c r="G338" s="144" t="n">
        <v>24</v>
      </c>
      <c r="H338" s="325" t="n">
        <v>80.1652892561983</v>
      </c>
      <c r="I338" s="315"/>
      <c r="J338" s="144"/>
      <c r="K338" s="310"/>
      <c r="L338" s="311" t="n">
        <v>0</v>
      </c>
      <c r="M338" s="311" t="n">
        <v>0</v>
      </c>
      <c r="N338" s="144" t="n">
        <v>0</v>
      </c>
      <c r="O338" s="310"/>
      <c r="P338" s="311" t="n">
        <v>0</v>
      </c>
      <c r="Q338" s="311" t="n">
        <v>0</v>
      </c>
      <c r="R338" s="311" t="n">
        <v>0</v>
      </c>
      <c r="S338" s="311" t="n">
        <v>0</v>
      </c>
      <c r="T338" s="144" t="n">
        <v>0</v>
      </c>
      <c r="V338" s="144" t="n">
        <v>19</v>
      </c>
    </row>
    <row r="339" s="2" customFormat="true" ht="12.75" hidden="false" customHeight="false" outlineLevel="0" collapsed="false">
      <c r="B339" s="304" t="s">
        <v>428</v>
      </c>
      <c r="C339" s="305" t="s">
        <v>620</v>
      </c>
      <c r="D339" s="306" t="n">
        <v>39</v>
      </c>
      <c r="E339" s="306" t="n">
        <v>0</v>
      </c>
      <c r="F339" s="306" t="s">
        <v>603</v>
      </c>
      <c r="G339" s="307" t="n">
        <v>24</v>
      </c>
      <c r="H339" s="308" t="n">
        <v>38.0165289256198</v>
      </c>
      <c r="I339" s="315"/>
      <c r="J339" s="144"/>
      <c r="K339" s="310"/>
      <c r="L339" s="311" t="n">
        <v>0</v>
      </c>
      <c r="M339" s="311" t="n">
        <v>0</v>
      </c>
      <c r="N339" s="144" t="n">
        <v>0</v>
      </c>
      <c r="O339" s="310"/>
      <c r="P339" s="311" t="n">
        <v>0</v>
      </c>
      <c r="Q339" s="311" t="n">
        <v>0</v>
      </c>
      <c r="R339" s="311" t="n">
        <v>0</v>
      </c>
      <c r="S339" s="311" t="n">
        <v>0</v>
      </c>
      <c r="T339" s="144" t="n">
        <v>0</v>
      </c>
      <c r="V339" s="144" t="n">
        <v>1</v>
      </c>
    </row>
    <row r="340" s="2" customFormat="true" ht="12.75" hidden="false" customHeight="false" outlineLevel="0" collapsed="false">
      <c r="B340" s="304" t="s">
        <v>428</v>
      </c>
      <c r="C340" s="305" t="s">
        <v>621</v>
      </c>
      <c r="D340" s="306" t="n">
        <v>46</v>
      </c>
      <c r="E340" s="306" t="n">
        <v>0</v>
      </c>
      <c r="F340" s="324" t="s">
        <v>603</v>
      </c>
      <c r="G340" s="144" t="n">
        <v>24</v>
      </c>
      <c r="H340" s="325" t="n">
        <v>42.9752066115703</v>
      </c>
      <c r="I340" s="315"/>
      <c r="J340" s="144"/>
      <c r="K340" s="310"/>
      <c r="L340" s="311" t="n">
        <v>0</v>
      </c>
      <c r="M340" s="311" t="n">
        <v>0</v>
      </c>
      <c r="N340" s="144" t="n">
        <v>0</v>
      </c>
      <c r="O340" s="310"/>
      <c r="P340" s="311" t="n">
        <v>0</v>
      </c>
      <c r="Q340" s="311" t="n">
        <v>0</v>
      </c>
      <c r="R340" s="311" t="n">
        <v>0</v>
      </c>
      <c r="S340" s="311" t="n">
        <v>0</v>
      </c>
      <c r="T340" s="144" t="n">
        <v>0</v>
      </c>
      <c r="V340" s="144" t="n">
        <v>3</v>
      </c>
    </row>
    <row r="341" s="2" customFormat="true" ht="12.75" hidden="false" customHeight="false" outlineLevel="0" collapsed="false">
      <c r="B341" s="304" t="s">
        <v>497</v>
      </c>
      <c r="C341" s="305" t="s">
        <v>622</v>
      </c>
      <c r="D341" s="306" t="n">
        <v>93</v>
      </c>
      <c r="E341" s="306" t="n">
        <v>0</v>
      </c>
      <c r="F341" s="306" t="s">
        <v>603</v>
      </c>
      <c r="G341" s="307" t="n">
        <v>24</v>
      </c>
      <c r="H341" s="308" t="n">
        <v>77.6859504132231</v>
      </c>
      <c r="I341" s="315"/>
      <c r="J341" s="144"/>
      <c r="K341" s="310"/>
      <c r="L341" s="311" t="n">
        <v>0</v>
      </c>
      <c r="M341" s="311" t="n">
        <v>0</v>
      </c>
      <c r="N341" s="144" t="n">
        <v>0</v>
      </c>
      <c r="O341" s="310"/>
      <c r="P341" s="311" t="n">
        <v>0</v>
      </c>
      <c r="Q341" s="311" t="n">
        <v>0</v>
      </c>
      <c r="R341" s="311" t="n">
        <v>0</v>
      </c>
      <c r="S341" s="311" t="n">
        <v>0</v>
      </c>
      <c r="T341" s="144" t="n">
        <v>0</v>
      </c>
      <c r="V341" s="144" t="n">
        <v>15</v>
      </c>
    </row>
    <row r="342" s="2" customFormat="true" ht="12.75" hidden="false" customHeight="false" outlineLevel="0" collapsed="false">
      <c r="B342" s="304" t="s">
        <v>497</v>
      </c>
      <c r="C342" s="305" t="s">
        <v>623</v>
      </c>
      <c r="D342" s="306" t="n">
        <v>32</v>
      </c>
      <c r="E342" s="306" t="n">
        <v>0</v>
      </c>
      <c r="F342" s="324" t="s">
        <v>603</v>
      </c>
      <c r="G342" s="144" t="n">
        <v>24</v>
      </c>
      <c r="H342" s="325" t="n">
        <v>31.404958677686</v>
      </c>
      <c r="I342" s="315"/>
      <c r="J342" s="144"/>
      <c r="K342" s="310"/>
      <c r="L342" s="311" t="n">
        <v>0</v>
      </c>
      <c r="M342" s="311" t="n">
        <v>0</v>
      </c>
      <c r="N342" s="144" t="n">
        <v>0</v>
      </c>
      <c r="O342" s="310"/>
      <c r="P342" s="311" t="n">
        <v>0</v>
      </c>
      <c r="Q342" s="311" t="n">
        <v>0</v>
      </c>
      <c r="R342" s="311" t="n">
        <v>0</v>
      </c>
      <c r="S342" s="311" t="n">
        <v>0</v>
      </c>
      <c r="T342" s="144" t="n">
        <v>0</v>
      </c>
      <c r="V342" s="144" t="n">
        <v>1</v>
      </c>
    </row>
    <row r="343" s="2" customFormat="true" ht="12.75" hidden="false" customHeight="false" outlineLevel="0" collapsed="false">
      <c r="B343" s="304" t="s">
        <v>497</v>
      </c>
      <c r="C343" s="305" t="s">
        <v>624</v>
      </c>
      <c r="D343" s="306" t="n">
        <v>85</v>
      </c>
      <c r="E343" s="306" t="n">
        <v>0</v>
      </c>
      <c r="F343" s="306" t="s">
        <v>603</v>
      </c>
      <c r="G343" s="307" t="n">
        <v>24</v>
      </c>
      <c r="H343" s="308" t="n">
        <v>84.297520661157</v>
      </c>
      <c r="I343" s="315"/>
      <c r="J343" s="144"/>
      <c r="K343" s="310"/>
      <c r="L343" s="311" t="n">
        <v>0</v>
      </c>
      <c r="M343" s="311" t="n">
        <v>0</v>
      </c>
      <c r="N343" s="144" t="n">
        <v>0</v>
      </c>
      <c r="O343" s="310"/>
      <c r="P343" s="311" t="n">
        <v>0</v>
      </c>
      <c r="Q343" s="311" t="n">
        <v>0</v>
      </c>
      <c r="R343" s="311" t="n">
        <v>0</v>
      </c>
      <c r="S343" s="311" t="n">
        <v>0</v>
      </c>
      <c r="T343" s="144" t="n">
        <v>0</v>
      </c>
      <c r="V343" s="144" t="n">
        <v>1</v>
      </c>
    </row>
    <row r="344" s="2" customFormat="true" ht="12.75" hidden="false" customHeight="false" outlineLevel="0" collapsed="false">
      <c r="B344" s="304" t="s">
        <v>510</v>
      </c>
      <c r="C344" s="305" t="s">
        <v>625</v>
      </c>
      <c r="D344" s="306" t="n">
        <v>38</v>
      </c>
      <c r="E344" s="306" t="n">
        <v>0</v>
      </c>
      <c r="F344" s="324" t="s">
        <v>603</v>
      </c>
      <c r="G344" s="144" t="n">
        <v>24</v>
      </c>
      <c r="H344" s="325" t="n">
        <v>37.1900826446281</v>
      </c>
      <c r="I344" s="315"/>
      <c r="J344" s="144"/>
      <c r="K344" s="310"/>
      <c r="L344" s="311" t="n">
        <v>0</v>
      </c>
      <c r="M344" s="311" t="n">
        <v>0</v>
      </c>
      <c r="N344" s="144" t="n">
        <v>0</v>
      </c>
      <c r="O344" s="310"/>
      <c r="P344" s="311" t="n">
        <v>0</v>
      </c>
      <c r="Q344" s="311" t="n">
        <v>0</v>
      </c>
      <c r="R344" s="311" t="n">
        <v>0</v>
      </c>
      <c r="S344" s="311" t="n">
        <v>0</v>
      </c>
      <c r="T344" s="144" t="n">
        <v>0</v>
      </c>
      <c r="V344" s="144" t="n">
        <v>1</v>
      </c>
    </row>
    <row r="345" s="2" customFormat="true" ht="12.75" hidden="false" customHeight="false" outlineLevel="0" collapsed="false">
      <c r="B345" s="304" t="s">
        <v>260</v>
      </c>
      <c r="C345" s="327" t="s">
        <v>626</v>
      </c>
      <c r="D345" s="306" t="n">
        <v>199</v>
      </c>
      <c r="E345" s="306" t="n">
        <v>0</v>
      </c>
      <c r="F345" s="306" t="s">
        <v>603</v>
      </c>
      <c r="G345" s="307" t="n">
        <v>24</v>
      </c>
      <c r="H345" s="308" t="n">
        <v>198.347107438017</v>
      </c>
      <c r="I345" s="315"/>
      <c r="J345" s="144"/>
      <c r="K345" s="310"/>
      <c r="L345" s="311" t="n">
        <v>29</v>
      </c>
      <c r="M345" s="311" t="n">
        <v>0</v>
      </c>
      <c r="N345" s="144" t="n">
        <v>0</v>
      </c>
      <c r="O345" s="310"/>
      <c r="P345" s="311" t="n">
        <v>0</v>
      </c>
      <c r="Q345" s="311" t="n">
        <v>0</v>
      </c>
      <c r="R345" s="311" t="n">
        <v>0</v>
      </c>
      <c r="S345" s="311" t="n">
        <v>0</v>
      </c>
      <c r="T345" s="144" t="n">
        <v>0</v>
      </c>
      <c r="V345" s="144" t="n">
        <v>1</v>
      </c>
    </row>
    <row r="346" s="2" customFormat="true" ht="12.75" hidden="false" customHeight="false" outlineLevel="0" collapsed="false">
      <c r="B346" s="304" t="s">
        <v>465</v>
      </c>
      <c r="C346" s="327" t="s">
        <v>627</v>
      </c>
      <c r="D346" s="306" t="n">
        <v>53</v>
      </c>
      <c r="E346" s="306" t="n">
        <v>0</v>
      </c>
      <c r="F346" s="324" t="s">
        <v>603</v>
      </c>
      <c r="G346" s="144" t="n">
        <v>24</v>
      </c>
      <c r="H346" s="325" t="n">
        <v>35.5371900826446</v>
      </c>
      <c r="I346" s="315"/>
      <c r="J346" s="144"/>
      <c r="K346" s="310"/>
      <c r="L346" s="311" t="n">
        <v>0</v>
      </c>
      <c r="M346" s="311" t="n">
        <v>0</v>
      </c>
      <c r="N346" s="144" t="n">
        <v>0</v>
      </c>
      <c r="O346" s="310"/>
      <c r="P346" s="311" t="n">
        <v>0</v>
      </c>
      <c r="Q346" s="311" t="n">
        <v>0</v>
      </c>
      <c r="R346" s="311" t="n">
        <v>0</v>
      </c>
      <c r="S346" s="311" t="n">
        <v>0</v>
      </c>
      <c r="T346" s="144" t="n">
        <v>0</v>
      </c>
      <c r="V346" s="144" t="n">
        <v>17</v>
      </c>
    </row>
    <row r="347" s="2" customFormat="true" ht="12.75" hidden="false" customHeight="false" outlineLevel="0" collapsed="false">
      <c r="B347" s="304" t="s">
        <v>130</v>
      </c>
      <c r="C347" s="327" t="s">
        <v>628</v>
      </c>
      <c r="D347" s="306" t="n">
        <v>97</v>
      </c>
      <c r="E347" s="306" t="n">
        <v>0</v>
      </c>
      <c r="F347" s="306" t="s">
        <v>603</v>
      </c>
      <c r="G347" s="307" t="n">
        <v>24</v>
      </c>
      <c r="H347" s="308" t="n">
        <v>84.297520661157</v>
      </c>
      <c r="I347" s="315"/>
      <c r="J347" s="144"/>
      <c r="K347" s="310"/>
      <c r="L347" s="311" t="n">
        <v>0</v>
      </c>
      <c r="M347" s="311" t="n">
        <v>0</v>
      </c>
      <c r="N347" s="144" t="n">
        <v>0</v>
      </c>
      <c r="O347" s="310"/>
      <c r="P347" s="311" t="n">
        <v>0</v>
      </c>
      <c r="Q347" s="311" t="n">
        <v>0</v>
      </c>
      <c r="R347" s="311" t="n">
        <v>0</v>
      </c>
      <c r="S347" s="311" t="n">
        <v>0</v>
      </c>
      <c r="T347" s="144" t="n">
        <v>0</v>
      </c>
      <c r="V347" s="144" t="n">
        <v>13</v>
      </c>
    </row>
    <row r="348" s="2" customFormat="true" ht="12.75" hidden="false" customHeight="false" outlineLevel="0" collapsed="false">
      <c r="B348" s="304" t="s">
        <v>190</v>
      </c>
      <c r="C348" s="305" t="s">
        <v>629</v>
      </c>
      <c r="D348" s="306" t="n">
        <v>165</v>
      </c>
      <c r="E348" s="306" t="n">
        <v>0</v>
      </c>
      <c r="F348" s="324" t="s">
        <v>630</v>
      </c>
      <c r="G348" s="144" t="n">
        <v>24</v>
      </c>
      <c r="H348" s="325" t="n">
        <v>157.02479338843</v>
      </c>
      <c r="I348" s="315"/>
      <c r="J348" s="144"/>
      <c r="K348" s="310"/>
      <c r="L348" s="311" t="n">
        <v>29</v>
      </c>
      <c r="M348" s="311" t="n">
        <v>0</v>
      </c>
      <c r="N348" s="144" t="n">
        <v>0</v>
      </c>
      <c r="O348" s="310"/>
      <c r="P348" s="311" t="n">
        <v>0</v>
      </c>
      <c r="Q348" s="311" t="n">
        <v>0</v>
      </c>
      <c r="R348" s="311" t="n">
        <v>0</v>
      </c>
      <c r="S348" s="311" t="n">
        <v>0</v>
      </c>
      <c r="T348" s="144" t="n">
        <v>0</v>
      </c>
      <c r="V348" s="144" t="n">
        <v>8</v>
      </c>
    </row>
    <row r="349" s="2" customFormat="true" ht="12.75" hidden="false" customHeight="false" outlineLevel="0" collapsed="false">
      <c r="B349" s="304" t="s">
        <v>190</v>
      </c>
      <c r="C349" s="305" t="s">
        <v>631</v>
      </c>
      <c r="D349" s="306" t="n">
        <v>248</v>
      </c>
      <c r="E349" s="306" t="n">
        <v>0</v>
      </c>
      <c r="F349" s="306" t="s">
        <v>630</v>
      </c>
      <c r="G349" s="307" t="n">
        <v>24</v>
      </c>
      <c r="H349" s="308" t="n">
        <v>243.801652892562</v>
      </c>
      <c r="I349" s="315"/>
      <c r="J349" s="144"/>
      <c r="K349" s="310"/>
      <c r="L349" s="311" t="n">
        <v>39</v>
      </c>
      <c r="M349" s="311" t="n">
        <v>0</v>
      </c>
      <c r="N349" s="144" t="n">
        <v>0</v>
      </c>
      <c r="O349" s="310"/>
      <c r="P349" s="311" t="n">
        <v>0</v>
      </c>
      <c r="Q349" s="311" t="n">
        <v>0</v>
      </c>
      <c r="R349" s="311" t="n">
        <v>0</v>
      </c>
      <c r="S349" s="311" t="n">
        <v>0</v>
      </c>
      <c r="T349" s="144" t="n">
        <v>0</v>
      </c>
      <c r="V349" s="144" t="n">
        <v>4</v>
      </c>
    </row>
    <row r="350" s="2" customFormat="true" ht="12.75" hidden="false" customHeight="false" outlineLevel="0" collapsed="false">
      <c r="B350" s="304" t="s">
        <v>200</v>
      </c>
      <c r="C350" s="305" t="s">
        <v>632</v>
      </c>
      <c r="D350" s="306" t="n">
        <v>190</v>
      </c>
      <c r="E350" s="306" t="n">
        <v>0</v>
      </c>
      <c r="F350" s="324" t="s">
        <v>630</v>
      </c>
      <c r="G350" s="144" t="n">
        <v>24</v>
      </c>
      <c r="H350" s="325" t="n">
        <v>114.876033057851</v>
      </c>
      <c r="I350" s="315"/>
      <c r="J350" s="144"/>
      <c r="K350" s="310"/>
      <c r="L350" s="311" t="n">
        <v>0</v>
      </c>
      <c r="M350" s="311" t="n">
        <v>0</v>
      </c>
      <c r="N350" s="144" t="n">
        <v>0</v>
      </c>
      <c r="O350" s="310"/>
      <c r="P350" s="311" t="n">
        <v>0</v>
      </c>
      <c r="Q350" s="311" t="n">
        <v>0</v>
      </c>
      <c r="R350" s="311" t="n">
        <v>0</v>
      </c>
      <c r="S350" s="311" t="n">
        <v>0</v>
      </c>
      <c r="T350" s="144" t="n">
        <v>0</v>
      </c>
      <c r="V350" s="144" t="n">
        <v>75</v>
      </c>
    </row>
    <row r="351" s="2" customFormat="true" ht="12.75" hidden="false" customHeight="false" outlineLevel="0" collapsed="false">
      <c r="B351" s="304" t="s">
        <v>108</v>
      </c>
      <c r="C351" s="305" t="s">
        <v>633</v>
      </c>
      <c r="D351" s="306" t="n">
        <v>75</v>
      </c>
      <c r="E351" s="306" t="n">
        <v>0</v>
      </c>
      <c r="F351" s="306" t="s">
        <v>630</v>
      </c>
      <c r="G351" s="307" t="n">
        <v>24</v>
      </c>
      <c r="H351" s="308" t="n">
        <v>90.0826446280992</v>
      </c>
      <c r="I351" s="315"/>
      <c r="J351" s="144"/>
      <c r="K351" s="310"/>
      <c r="L351" s="311" t="n">
        <v>0</v>
      </c>
      <c r="M351" s="311" t="n">
        <v>0</v>
      </c>
      <c r="N351" s="144" t="n">
        <v>0</v>
      </c>
      <c r="O351" s="310"/>
      <c r="P351" s="311" t="n">
        <v>0</v>
      </c>
      <c r="Q351" s="311" t="n">
        <v>0</v>
      </c>
      <c r="R351" s="311" t="n">
        <v>0</v>
      </c>
      <c r="S351" s="311" t="n">
        <v>0</v>
      </c>
      <c r="T351" s="144" t="n">
        <v>0</v>
      </c>
      <c r="V351" s="144" t="n">
        <v>-15</v>
      </c>
    </row>
    <row r="352" s="2" customFormat="true" ht="12.75" hidden="false" customHeight="false" outlineLevel="0" collapsed="false">
      <c r="B352" s="304" t="s">
        <v>428</v>
      </c>
      <c r="C352" s="305" t="s">
        <v>634</v>
      </c>
      <c r="D352" s="306" t="n">
        <v>165</v>
      </c>
      <c r="E352" s="306" t="n">
        <v>0</v>
      </c>
      <c r="F352" s="324" t="s">
        <v>630</v>
      </c>
      <c r="G352" s="144" t="n">
        <v>24</v>
      </c>
      <c r="H352" s="325" t="n">
        <v>133.057851239669</v>
      </c>
      <c r="I352" s="315"/>
      <c r="J352" s="144"/>
      <c r="K352" s="310"/>
      <c r="L352" s="311" t="n">
        <v>19</v>
      </c>
      <c r="M352" s="311" t="n">
        <v>0</v>
      </c>
      <c r="N352" s="144" t="n">
        <v>0</v>
      </c>
      <c r="O352" s="310"/>
      <c r="P352" s="311" t="n">
        <v>0</v>
      </c>
      <c r="Q352" s="311" t="n">
        <v>0</v>
      </c>
      <c r="R352" s="311" t="n">
        <v>0</v>
      </c>
      <c r="S352" s="311" t="n">
        <v>0</v>
      </c>
      <c r="T352" s="144" t="n">
        <v>0</v>
      </c>
      <c r="V352" s="144" t="n">
        <v>32</v>
      </c>
    </row>
    <row r="353" s="2" customFormat="true" ht="12.75" hidden="false" customHeight="false" outlineLevel="0" collapsed="false">
      <c r="B353" s="304" t="s">
        <v>260</v>
      </c>
      <c r="C353" s="327" t="s">
        <v>635</v>
      </c>
      <c r="D353" s="306" t="n">
        <v>101</v>
      </c>
      <c r="E353" s="306" t="n">
        <v>0</v>
      </c>
      <c r="F353" s="306" t="s">
        <v>630</v>
      </c>
      <c r="G353" s="307" t="n">
        <v>24</v>
      </c>
      <c r="H353" s="308" t="n">
        <v>100.826446280992</v>
      </c>
      <c r="I353" s="315"/>
      <c r="J353" s="144"/>
      <c r="K353" s="310"/>
      <c r="L353" s="311" t="n">
        <v>0</v>
      </c>
      <c r="M353" s="311" t="n">
        <v>0</v>
      </c>
      <c r="N353" s="144" t="n">
        <v>0</v>
      </c>
      <c r="O353" s="310"/>
      <c r="P353" s="311" t="n">
        <v>0</v>
      </c>
      <c r="Q353" s="311" t="n">
        <v>0</v>
      </c>
      <c r="R353" s="311" t="n">
        <v>0</v>
      </c>
      <c r="S353" s="311" t="n">
        <v>0</v>
      </c>
      <c r="T353" s="144" t="n">
        <v>0</v>
      </c>
      <c r="V353" s="144" t="n">
        <v>0</v>
      </c>
    </row>
    <row r="354" s="2" customFormat="true" ht="12.75" hidden="false" customHeight="false" outlineLevel="0" collapsed="false">
      <c r="B354" s="304" t="s">
        <v>636</v>
      </c>
      <c r="C354" s="305" t="s">
        <v>637</v>
      </c>
      <c r="D354" s="306" t="n">
        <v>538</v>
      </c>
      <c r="E354" s="306" t="n">
        <v>0</v>
      </c>
      <c r="F354" s="324" t="s">
        <v>638</v>
      </c>
      <c r="G354" s="144" t="n">
        <v>24</v>
      </c>
      <c r="H354" s="325" t="n">
        <v>533.057851239669</v>
      </c>
      <c r="I354" s="315"/>
      <c r="J354" s="144"/>
      <c r="K354" s="310"/>
      <c r="L354" s="311" t="n">
        <v>219</v>
      </c>
      <c r="M354" s="311" t="n">
        <v>139</v>
      </c>
      <c r="N354" s="144" t="n">
        <v>139</v>
      </c>
      <c r="O354" s="310"/>
      <c r="P354" s="311" t="n">
        <v>0</v>
      </c>
      <c r="Q354" s="311" t="n">
        <v>0</v>
      </c>
      <c r="R354" s="311" t="n">
        <v>0</v>
      </c>
      <c r="S354" s="311" t="n">
        <v>0</v>
      </c>
      <c r="T354" s="144" t="n">
        <v>0</v>
      </c>
      <c r="V354" s="144" t="n">
        <v>5</v>
      </c>
    </row>
    <row r="355" s="2" customFormat="true" ht="12.75" hidden="false" customHeight="false" outlineLevel="0" collapsed="false">
      <c r="B355" s="304" t="s">
        <v>636</v>
      </c>
      <c r="C355" s="305" t="s">
        <v>637</v>
      </c>
      <c r="D355" s="306" t="n">
        <v>538</v>
      </c>
      <c r="E355" s="306" t="n">
        <v>0</v>
      </c>
      <c r="F355" s="306" t="s">
        <v>638</v>
      </c>
      <c r="G355" s="307" t="n">
        <v>48</v>
      </c>
      <c r="H355" s="308" t="n">
        <v>533.057851239669</v>
      </c>
      <c r="I355" s="315"/>
      <c r="J355" s="144"/>
      <c r="K355" s="310"/>
      <c r="L355" s="311" t="n">
        <v>219</v>
      </c>
      <c r="M355" s="311" t="n">
        <v>139</v>
      </c>
      <c r="N355" s="144" t="n">
        <v>139</v>
      </c>
      <c r="O355" s="310"/>
      <c r="P355" s="311" t="n">
        <v>0</v>
      </c>
      <c r="Q355" s="311" t="n">
        <v>0</v>
      </c>
      <c r="R355" s="311" t="n">
        <v>0</v>
      </c>
      <c r="S355" s="311" t="n">
        <v>0</v>
      </c>
      <c r="T355" s="144" t="n">
        <v>0</v>
      </c>
      <c r="V355" s="144" t="n">
        <v>5</v>
      </c>
    </row>
    <row r="356" s="2" customFormat="true" ht="12.75" hidden="false" customHeight="false" outlineLevel="0" collapsed="false">
      <c r="B356" s="304" t="s">
        <v>636</v>
      </c>
      <c r="C356" s="305" t="s">
        <v>639</v>
      </c>
      <c r="D356" s="306" t="n">
        <v>589</v>
      </c>
      <c r="E356" s="306" t="n">
        <v>0</v>
      </c>
      <c r="F356" s="324" t="s">
        <v>638</v>
      </c>
      <c r="G356" s="144" t="n">
        <v>24</v>
      </c>
      <c r="H356" s="325" t="n">
        <v>485.123966942149</v>
      </c>
      <c r="I356" s="315"/>
      <c r="J356" s="144"/>
      <c r="K356" s="310"/>
      <c r="L356" s="311" t="n">
        <v>169</v>
      </c>
      <c r="M356" s="311" t="n">
        <v>19</v>
      </c>
      <c r="N356" s="144" t="n">
        <v>19</v>
      </c>
      <c r="O356" s="310"/>
      <c r="P356" s="311" t="n">
        <v>0</v>
      </c>
      <c r="Q356" s="311" t="n">
        <v>0</v>
      </c>
      <c r="R356" s="311" t="n">
        <v>0</v>
      </c>
      <c r="S356" s="311" t="n">
        <v>0</v>
      </c>
      <c r="T356" s="144" t="n">
        <v>0</v>
      </c>
      <c r="V356" s="144" t="n">
        <v>104</v>
      </c>
    </row>
    <row r="357" s="2" customFormat="true" ht="12.75" hidden="false" customHeight="false" outlineLevel="0" collapsed="false">
      <c r="B357" s="304" t="s">
        <v>636</v>
      </c>
      <c r="C357" s="305" t="s">
        <v>639</v>
      </c>
      <c r="D357" s="306" t="n">
        <v>589</v>
      </c>
      <c r="E357" s="306" t="n">
        <v>0</v>
      </c>
      <c r="F357" s="306" t="s">
        <v>638</v>
      </c>
      <c r="G357" s="307" t="n">
        <v>48</v>
      </c>
      <c r="H357" s="308" t="n">
        <v>485.123966942149</v>
      </c>
      <c r="I357" s="315"/>
      <c r="J357" s="144"/>
      <c r="K357" s="310"/>
      <c r="L357" s="311" t="n">
        <v>169</v>
      </c>
      <c r="M357" s="311" t="n">
        <v>19</v>
      </c>
      <c r="N357" s="144" t="n">
        <v>19</v>
      </c>
      <c r="O357" s="310"/>
      <c r="P357" s="311" t="n">
        <v>0</v>
      </c>
      <c r="Q357" s="311" t="n">
        <v>0</v>
      </c>
      <c r="R357" s="311" t="n">
        <v>0</v>
      </c>
      <c r="S357" s="311" t="n">
        <v>0</v>
      </c>
      <c r="T357" s="144" t="n">
        <v>0</v>
      </c>
      <c r="V357" s="144" t="n">
        <v>104</v>
      </c>
    </row>
    <row r="358" s="2" customFormat="true" ht="12.75" hidden="false" customHeight="false" outlineLevel="0" collapsed="false">
      <c r="B358" s="304" t="s">
        <v>636</v>
      </c>
      <c r="C358" s="305" t="s">
        <v>640</v>
      </c>
      <c r="D358" s="306" t="n">
        <v>434</v>
      </c>
      <c r="E358" s="306" t="n">
        <v>0</v>
      </c>
      <c r="F358" s="324" t="s">
        <v>638</v>
      </c>
      <c r="G358" s="144" t="n">
        <v>24</v>
      </c>
      <c r="H358" s="325" t="n">
        <v>523.140495867769</v>
      </c>
      <c r="I358" s="315"/>
      <c r="J358" s="144"/>
      <c r="K358" s="310"/>
      <c r="L358" s="311" t="n">
        <v>219</v>
      </c>
      <c r="M358" s="311" t="n">
        <v>139</v>
      </c>
      <c r="N358" s="144" t="n">
        <v>139</v>
      </c>
      <c r="O358" s="310"/>
      <c r="P358" s="311" t="n">
        <v>0</v>
      </c>
      <c r="Q358" s="311" t="n">
        <v>0</v>
      </c>
      <c r="R358" s="311" t="n">
        <v>0</v>
      </c>
      <c r="S358" s="311" t="n">
        <v>0</v>
      </c>
      <c r="T358" s="144" t="n">
        <v>0</v>
      </c>
      <c r="V358" s="144" t="n">
        <v>-89</v>
      </c>
    </row>
    <row r="359" s="2" customFormat="true" ht="12.75" hidden="false" customHeight="false" outlineLevel="0" collapsed="false">
      <c r="B359" s="304" t="s">
        <v>636</v>
      </c>
      <c r="C359" s="305" t="s">
        <v>640</v>
      </c>
      <c r="D359" s="306" t="n">
        <v>434</v>
      </c>
      <c r="E359" s="306" t="n">
        <v>0</v>
      </c>
      <c r="F359" s="306" t="s">
        <v>638</v>
      </c>
      <c r="G359" s="307" t="n">
        <v>48</v>
      </c>
      <c r="H359" s="308" t="n">
        <v>523.140495867769</v>
      </c>
      <c r="I359" s="315"/>
      <c r="J359" s="144"/>
      <c r="K359" s="310"/>
      <c r="L359" s="311" t="n">
        <v>219</v>
      </c>
      <c r="M359" s="311" t="n">
        <v>139</v>
      </c>
      <c r="N359" s="144" t="n">
        <v>139</v>
      </c>
      <c r="O359" s="310"/>
      <c r="P359" s="311" t="n">
        <v>0</v>
      </c>
      <c r="Q359" s="311" t="n">
        <v>0</v>
      </c>
      <c r="R359" s="311" t="n">
        <v>0</v>
      </c>
      <c r="S359" s="311" t="n">
        <v>0</v>
      </c>
      <c r="T359" s="144" t="n">
        <v>0</v>
      </c>
      <c r="V359" s="144" t="n">
        <v>-89</v>
      </c>
    </row>
    <row r="360" s="2" customFormat="true" ht="12.75" hidden="false" customHeight="false" outlineLevel="0" collapsed="false">
      <c r="B360" s="304" t="s">
        <v>641</v>
      </c>
      <c r="C360" s="327" t="s">
        <v>642</v>
      </c>
      <c r="D360" s="306" t="n">
        <v>386</v>
      </c>
      <c r="E360" s="306" t="n">
        <v>0</v>
      </c>
      <c r="F360" s="324" t="s">
        <v>643</v>
      </c>
      <c r="G360" s="144" t="n">
        <v>24</v>
      </c>
      <c r="H360" s="325" t="n">
        <v>385.123966942149</v>
      </c>
      <c r="I360" s="315"/>
      <c r="J360" s="144"/>
      <c r="K360" s="310"/>
      <c r="L360" s="311" t="n">
        <v>129</v>
      </c>
      <c r="M360" s="311" t="n">
        <v>19</v>
      </c>
      <c r="N360" s="144" t="n">
        <v>19</v>
      </c>
      <c r="O360" s="310"/>
      <c r="P360" s="311" t="n">
        <v>0</v>
      </c>
      <c r="Q360" s="311" t="n">
        <v>0</v>
      </c>
      <c r="R360" s="311" t="n">
        <v>0</v>
      </c>
      <c r="S360" s="311" t="n">
        <v>0</v>
      </c>
      <c r="T360" s="144" t="n">
        <v>0</v>
      </c>
      <c r="V360" s="144" t="n">
        <v>1</v>
      </c>
    </row>
    <row r="361" s="2" customFormat="true" ht="12.75" hidden="false" customHeight="false" outlineLevel="0" collapsed="false">
      <c r="B361" s="304" t="s">
        <v>641</v>
      </c>
      <c r="C361" s="327" t="s">
        <v>642</v>
      </c>
      <c r="D361" s="306" t="n">
        <v>386</v>
      </c>
      <c r="E361" s="306" t="n">
        <v>0</v>
      </c>
      <c r="F361" s="306" t="s">
        <v>643</v>
      </c>
      <c r="G361" s="307" t="n">
        <v>48</v>
      </c>
      <c r="H361" s="308" t="n">
        <v>385.123966942149</v>
      </c>
      <c r="I361" s="315"/>
      <c r="J361" s="144"/>
      <c r="K361" s="310"/>
      <c r="L361" s="311" t="n">
        <v>129</v>
      </c>
      <c r="M361" s="311" t="n">
        <v>19</v>
      </c>
      <c r="N361" s="144" t="n">
        <v>19</v>
      </c>
      <c r="O361" s="310"/>
      <c r="P361" s="311" t="n">
        <v>0</v>
      </c>
      <c r="Q361" s="311" t="n">
        <v>0</v>
      </c>
      <c r="R361" s="311" t="n">
        <v>0</v>
      </c>
      <c r="S361" s="311" t="n">
        <v>0</v>
      </c>
      <c r="T361" s="144" t="n">
        <v>0</v>
      </c>
      <c r="V361" s="144" t="n">
        <v>1</v>
      </c>
    </row>
    <row r="362" customFormat="false" ht="12.75" hidden="false" customHeight="false" outlineLevel="0" collapsed="false">
      <c r="B362" s="304" t="s">
        <v>641</v>
      </c>
      <c r="C362" s="327" t="s">
        <v>644</v>
      </c>
      <c r="D362" s="306" t="n">
        <v>386</v>
      </c>
      <c r="E362" s="306" t="n">
        <v>0</v>
      </c>
      <c r="F362" s="324" t="s">
        <v>643</v>
      </c>
      <c r="G362" s="144" t="n">
        <v>24</v>
      </c>
      <c r="H362" s="325" t="n">
        <v>385.123966942149</v>
      </c>
      <c r="I362" s="315"/>
      <c r="J362" s="144" t="s">
        <v>12</v>
      </c>
      <c r="K362" s="310"/>
      <c r="L362" s="311" t="n">
        <v>129</v>
      </c>
      <c r="M362" s="311" t="n">
        <v>19</v>
      </c>
      <c r="N362" s="144" t="n">
        <v>19</v>
      </c>
      <c r="O362" s="310"/>
      <c r="P362" s="311" t="n">
        <v>0</v>
      </c>
      <c r="Q362" s="311" t="n">
        <v>0</v>
      </c>
      <c r="R362" s="311" t="n">
        <v>0</v>
      </c>
      <c r="S362" s="311" t="n">
        <v>0</v>
      </c>
      <c r="T362" s="144" t="n">
        <v>0</v>
      </c>
      <c r="U362" s="310"/>
      <c r="V362" s="144" t="n">
        <v>1</v>
      </c>
      <c r="W362" s="315"/>
    </row>
    <row r="363" customFormat="false" ht="12.75" hidden="false" customHeight="false" outlineLevel="0" collapsed="false">
      <c r="B363" s="304" t="s">
        <v>641</v>
      </c>
      <c r="C363" s="327" t="s">
        <v>644</v>
      </c>
      <c r="D363" s="306" t="n">
        <v>386</v>
      </c>
      <c r="E363" s="306" t="n">
        <v>0</v>
      </c>
      <c r="F363" s="306" t="s">
        <v>643</v>
      </c>
      <c r="G363" s="307" t="n">
        <v>48</v>
      </c>
      <c r="H363" s="308" t="n">
        <v>385.123966942149</v>
      </c>
      <c r="I363" s="315"/>
      <c r="J363" s="144" t="s">
        <v>12</v>
      </c>
      <c r="K363" s="310"/>
      <c r="L363" s="311" t="n">
        <v>129</v>
      </c>
      <c r="M363" s="311" t="n">
        <v>19</v>
      </c>
      <c r="N363" s="144" t="n">
        <v>19</v>
      </c>
      <c r="O363" s="310"/>
      <c r="P363" s="311" t="n">
        <v>0</v>
      </c>
      <c r="Q363" s="311" t="n">
        <v>0</v>
      </c>
      <c r="R363" s="311" t="n">
        <v>0</v>
      </c>
      <c r="S363" s="311" t="n">
        <v>0</v>
      </c>
      <c r="T363" s="144" t="n">
        <v>0</v>
      </c>
      <c r="U363" s="310"/>
      <c r="V363" s="144" t="n">
        <v>1</v>
      </c>
      <c r="W363" s="315"/>
    </row>
    <row r="364" customFormat="false" ht="12.75" hidden="false" customHeight="false" outlineLevel="0" collapsed="false">
      <c r="B364" s="304" t="s">
        <v>641</v>
      </c>
      <c r="C364" s="327" t="s">
        <v>645</v>
      </c>
      <c r="D364" s="306" t="n">
        <v>325</v>
      </c>
      <c r="E364" s="306" t="n">
        <v>0</v>
      </c>
      <c r="F364" s="324" t="s">
        <v>643</v>
      </c>
      <c r="G364" s="144" t="n">
        <v>24</v>
      </c>
      <c r="H364" s="325" t="n">
        <v>324.793388429752</v>
      </c>
      <c r="I364" s="315"/>
      <c r="J364" s="144" t="s">
        <v>12</v>
      </c>
      <c r="K364" s="310"/>
      <c r="L364" s="311" t="n">
        <v>109</v>
      </c>
      <c r="M364" s="311" t="n">
        <v>19</v>
      </c>
      <c r="N364" s="144" t="n">
        <v>19</v>
      </c>
      <c r="O364" s="310"/>
      <c r="P364" s="311" t="n">
        <v>0</v>
      </c>
      <c r="Q364" s="311" t="n">
        <v>0</v>
      </c>
      <c r="R364" s="311" t="n">
        <v>0</v>
      </c>
      <c r="S364" s="311" t="n">
        <v>0</v>
      </c>
      <c r="T364" s="144" t="n">
        <v>0</v>
      </c>
      <c r="U364" s="310"/>
      <c r="V364" s="144" t="n">
        <v>0</v>
      </c>
      <c r="W364" s="315"/>
    </row>
    <row r="365" customFormat="false" ht="12.75" hidden="false" customHeight="false" outlineLevel="0" collapsed="false">
      <c r="B365" s="304" t="s">
        <v>641</v>
      </c>
      <c r="C365" s="327" t="s">
        <v>645</v>
      </c>
      <c r="D365" s="306" t="n">
        <v>325</v>
      </c>
      <c r="E365" s="306" t="n">
        <v>0</v>
      </c>
      <c r="F365" s="306" t="s">
        <v>643</v>
      </c>
      <c r="G365" s="307" t="n">
        <v>48</v>
      </c>
      <c r="H365" s="308" t="n">
        <v>324.793388429752</v>
      </c>
      <c r="I365" s="315"/>
      <c r="J365" s="144" t="s">
        <v>12</v>
      </c>
      <c r="K365" s="310"/>
      <c r="L365" s="311" t="n">
        <v>109</v>
      </c>
      <c r="M365" s="311" t="n">
        <v>19</v>
      </c>
      <c r="N365" s="144" t="n">
        <v>19</v>
      </c>
      <c r="O365" s="310"/>
      <c r="P365" s="311" t="n">
        <v>0</v>
      </c>
      <c r="Q365" s="311" t="n">
        <v>0</v>
      </c>
      <c r="R365" s="311" t="n">
        <v>0</v>
      </c>
      <c r="S365" s="311" t="n">
        <v>0</v>
      </c>
      <c r="T365" s="144" t="n">
        <v>0</v>
      </c>
      <c r="U365" s="310"/>
      <c r="V365" s="144" t="n">
        <v>0</v>
      </c>
      <c r="W365" s="315"/>
    </row>
    <row r="366" customFormat="false" ht="12.75" hidden="false" customHeight="false" outlineLevel="0" collapsed="false">
      <c r="B366" s="304" t="s">
        <v>641</v>
      </c>
      <c r="C366" s="327" t="s">
        <v>646</v>
      </c>
      <c r="D366" s="306" t="n">
        <v>348</v>
      </c>
      <c r="E366" s="306" t="n">
        <v>0</v>
      </c>
      <c r="F366" s="324" t="s">
        <v>643</v>
      </c>
      <c r="G366" s="144" t="n">
        <v>24</v>
      </c>
      <c r="H366" s="325" t="n">
        <v>347.107438016529</v>
      </c>
      <c r="I366" s="315"/>
      <c r="J366" s="144" t="s">
        <v>12</v>
      </c>
      <c r="K366" s="310"/>
      <c r="L366" s="311" t="n">
        <v>119</v>
      </c>
      <c r="M366" s="311" t="n">
        <v>19</v>
      </c>
      <c r="N366" s="144" t="n">
        <v>19</v>
      </c>
      <c r="O366" s="310"/>
      <c r="P366" s="311" t="n">
        <v>0</v>
      </c>
      <c r="Q366" s="311" t="n">
        <v>0</v>
      </c>
      <c r="R366" s="311" t="n">
        <v>0</v>
      </c>
      <c r="S366" s="311" t="n">
        <v>0</v>
      </c>
      <c r="T366" s="144" t="n">
        <v>0</v>
      </c>
      <c r="U366" s="310"/>
      <c r="V366" s="144" t="n">
        <v>1</v>
      </c>
      <c r="W366" s="315"/>
    </row>
    <row r="367" customFormat="false" ht="12.75" hidden="false" customHeight="false" outlineLevel="0" collapsed="false">
      <c r="B367" s="304" t="s">
        <v>641</v>
      </c>
      <c r="C367" s="327" t="s">
        <v>646</v>
      </c>
      <c r="D367" s="306" t="n">
        <v>348</v>
      </c>
      <c r="E367" s="306" t="n">
        <v>0</v>
      </c>
      <c r="F367" s="306" t="s">
        <v>643</v>
      </c>
      <c r="G367" s="307" t="n">
        <v>48</v>
      </c>
      <c r="H367" s="308" t="n">
        <v>347.107438016529</v>
      </c>
      <c r="I367" s="315"/>
      <c r="J367" s="144" t="s">
        <v>12</v>
      </c>
      <c r="K367" s="310"/>
      <c r="L367" s="311" t="n">
        <v>119</v>
      </c>
      <c r="M367" s="311" t="n">
        <v>19</v>
      </c>
      <c r="N367" s="144" t="n">
        <v>19</v>
      </c>
      <c r="O367" s="310"/>
      <c r="P367" s="311" t="n">
        <v>0</v>
      </c>
      <c r="Q367" s="311" t="n">
        <v>0</v>
      </c>
      <c r="R367" s="311" t="n">
        <v>0</v>
      </c>
      <c r="S367" s="311" t="n">
        <v>0</v>
      </c>
      <c r="T367" s="144" t="n">
        <v>0</v>
      </c>
      <c r="U367" s="310"/>
      <c r="V367" s="144" t="n">
        <v>1</v>
      </c>
      <c r="W367" s="315"/>
    </row>
    <row r="368" customFormat="false" ht="12.75" hidden="false" customHeight="false" outlineLevel="0" collapsed="false">
      <c r="B368" s="304" t="s">
        <v>312</v>
      </c>
      <c r="C368" s="305" t="s">
        <v>647</v>
      </c>
      <c r="D368" s="306" t="n">
        <v>41</v>
      </c>
      <c r="E368" s="306" t="n">
        <v>0</v>
      </c>
      <c r="F368" s="324" t="s">
        <v>648</v>
      </c>
      <c r="G368" s="144" t="n">
        <v>24</v>
      </c>
      <c r="H368" s="325" t="n">
        <v>40.495867768595</v>
      </c>
      <c r="I368" s="315"/>
      <c r="J368" s="144" t="s">
        <v>12</v>
      </c>
      <c r="K368" s="310"/>
      <c r="L368" s="311" t="n">
        <v>0</v>
      </c>
      <c r="M368" s="311" t="n">
        <v>0</v>
      </c>
      <c r="N368" s="144" t="n">
        <v>0</v>
      </c>
      <c r="O368" s="310"/>
      <c r="P368" s="311" t="n">
        <v>0</v>
      </c>
      <c r="Q368" s="311" t="n">
        <v>0</v>
      </c>
      <c r="R368" s="311" t="n">
        <v>0</v>
      </c>
      <c r="S368" s="311" t="n">
        <v>0</v>
      </c>
      <c r="T368" s="144" t="n">
        <v>0</v>
      </c>
      <c r="U368" s="310"/>
      <c r="V368" s="144" t="n">
        <v>1</v>
      </c>
      <c r="W368" s="315"/>
    </row>
    <row r="369" s="2" customFormat="true" ht="12.75" hidden="false" customHeight="false" outlineLevel="0" collapsed="false">
      <c r="B369" s="304" t="s">
        <v>312</v>
      </c>
      <c r="C369" s="305" t="s">
        <v>649</v>
      </c>
      <c r="D369" s="306" t="n">
        <v>38</v>
      </c>
      <c r="E369" s="306" t="n">
        <v>0</v>
      </c>
      <c r="F369" s="306" t="s">
        <v>648</v>
      </c>
      <c r="G369" s="307" t="n">
        <v>24</v>
      </c>
      <c r="H369" s="308" t="n">
        <v>37.1900826446281</v>
      </c>
      <c r="I369" s="315"/>
      <c r="J369" s="144" t="s">
        <v>12</v>
      </c>
      <c r="K369" s="310"/>
      <c r="L369" s="311" t="n">
        <v>0</v>
      </c>
      <c r="M369" s="311" t="n">
        <v>0</v>
      </c>
      <c r="N369" s="144" t="n">
        <v>0</v>
      </c>
      <c r="O369" s="310"/>
      <c r="P369" s="311" t="n">
        <v>0</v>
      </c>
      <c r="Q369" s="311" t="n">
        <v>0</v>
      </c>
      <c r="R369" s="311" t="n">
        <v>0</v>
      </c>
      <c r="S369" s="311" t="n">
        <v>0</v>
      </c>
      <c r="T369" s="144" t="n">
        <v>0</v>
      </c>
      <c r="V369" s="144" t="n">
        <v>1</v>
      </c>
    </row>
    <row r="370" s="2" customFormat="true" ht="12.75" hidden="false" customHeight="false" outlineLevel="0" collapsed="false">
      <c r="B370" s="304" t="s">
        <v>312</v>
      </c>
      <c r="C370" s="305" t="s">
        <v>650</v>
      </c>
      <c r="D370" s="306" t="n">
        <v>36</v>
      </c>
      <c r="E370" s="306" t="n">
        <v>0</v>
      </c>
      <c r="F370" s="324" t="s">
        <v>648</v>
      </c>
      <c r="G370" s="144" t="n">
        <v>24</v>
      </c>
      <c r="H370" s="325" t="n">
        <v>35.5371900826446</v>
      </c>
      <c r="I370" s="315"/>
      <c r="J370" s="144" t="s">
        <v>12</v>
      </c>
      <c r="K370" s="310"/>
      <c r="L370" s="311" t="n">
        <v>0</v>
      </c>
      <c r="M370" s="311" t="n">
        <v>0</v>
      </c>
      <c r="N370" s="144" t="n">
        <v>0</v>
      </c>
      <c r="O370" s="310"/>
      <c r="P370" s="311" t="n">
        <v>0</v>
      </c>
      <c r="Q370" s="311" t="n">
        <v>0</v>
      </c>
      <c r="R370" s="311" t="n">
        <v>0</v>
      </c>
      <c r="S370" s="311" t="n">
        <v>0</v>
      </c>
      <c r="T370" s="144" t="n">
        <v>0</v>
      </c>
      <c r="V370" s="144" t="n">
        <v>0</v>
      </c>
    </row>
    <row r="371" s="2" customFormat="true" ht="12.75" hidden="false" customHeight="false" outlineLevel="0" collapsed="false">
      <c r="B371" s="304" t="s">
        <v>312</v>
      </c>
      <c r="C371" s="305" t="s">
        <v>651</v>
      </c>
      <c r="D371" s="306" t="n">
        <v>33</v>
      </c>
      <c r="E371" s="306" t="n">
        <v>0</v>
      </c>
      <c r="F371" s="306" t="s">
        <v>648</v>
      </c>
      <c r="G371" s="307" t="n">
        <v>24</v>
      </c>
      <c r="H371" s="308" t="n">
        <v>32.2314049586777</v>
      </c>
      <c r="I371" s="315"/>
      <c r="J371" s="144" t="s">
        <v>12</v>
      </c>
      <c r="K371" s="310"/>
      <c r="L371" s="311" t="n">
        <v>0</v>
      </c>
      <c r="M371" s="311" t="n">
        <v>0</v>
      </c>
      <c r="N371" s="144" t="n">
        <v>0</v>
      </c>
      <c r="O371" s="310"/>
      <c r="P371" s="311" t="n">
        <v>0</v>
      </c>
      <c r="Q371" s="311" t="n">
        <v>0</v>
      </c>
      <c r="R371" s="311" t="n">
        <v>0</v>
      </c>
      <c r="S371" s="311" t="n">
        <v>0</v>
      </c>
      <c r="T371" s="144" t="n">
        <v>0</v>
      </c>
      <c r="V371" s="144" t="n">
        <v>1</v>
      </c>
    </row>
    <row r="372" s="2" customFormat="true" ht="12.75" hidden="false" customHeight="false" outlineLevel="0" collapsed="false">
      <c r="B372" s="304" t="s">
        <v>652</v>
      </c>
      <c r="C372" s="305" t="s">
        <v>653</v>
      </c>
      <c r="D372" s="306" t="n">
        <v>47</v>
      </c>
      <c r="E372" s="306" t="n">
        <v>0</v>
      </c>
      <c r="F372" s="324" t="s">
        <v>648</v>
      </c>
      <c r="G372" s="144" t="n">
        <v>24</v>
      </c>
      <c r="H372" s="325" t="n">
        <v>35.5371900826446</v>
      </c>
      <c r="I372" s="315"/>
      <c r="J372" s="144" t="s">
        <v>12</v>
      </c>
      <c r="K372" s="310"/>
      <c r="L372" s="311" t="n">
        <v>0</v>
      </c>
      <c r="M372" s="311" t="n">
        <v>0</v>
      </c>
      <c r="N372" s="144" t="n">
        <v>0</v>
      </c>
      <c r="O372" s="310"/>
      <c r="P372" s="311" t="n">
        <v>0</v>
      </c>
      <c r="Q372" s="311" t="n">
        <v>0</v>
      </c>
      <c r="R372" s="311" t="n">
        <v>0</v>
      </c>
      <c r="S372" s="311" t="n">
        <v>0</v>
      </c>
      <c r="T372" s="144" t="n">
        <v>0</v>
      </c>
      <c r="V372" s="144" t="n">
        <v>11</v>
      </c>
    </row>
    <row r="373" s="2" customFormat="true" ht="12.75" hidden="false" customHeight="false" outlineLevel="0" collapsed="false">
      <c r="B373" s="304" t="s">
        <v>652</v>
      </c>
      <c r="C373" s="305" t="s">
        <v>654</v>
      </c>
      <c r="D373" s="306" t="n">
        <v>33</v>
      </c>
      <c r="E373" s="306" t="n">
        <v>0</v>
      </c>
      <c r="F373" s="306" t="s">
        <v>648</v>
      </c>
      <c r="G373" s="307" t="n">
        <v>24</v>
      </c>
      <c r="H373" s="308" t="n">
        <v>40.495867768595</v>
      </c>
      <c r="I373" s="315"/>
      <c r="J373" s="144"/>
      <c r="K373" s="310"/>
      <c r="L373" s="311" t="n">
        <v>0</v>
      </c>
      <c r="M373" s="311" t="n">
        <v>0</v>
      </c>
      <c r="N373" s="144" t="n">
        <v>0</v>
      </c>
      <c r="O373" s="310"/>
      <c r="P373" s="311" t="n">
        <v>0</v>
      </c>
      <c r="Q373" s="311" t="n">
        <v>0</v>
      </c>
      <c r="R373" s="311" t="n">
        <v>0</v>
      </c>
      <c r="S373" s="311" t="n">
        <v>0</v>
      </c>
      <c r="T373" s="144" t="n">
        <v>0</v>
      </c>
      <c r="V373" s="144" t="n">
        <v>-7</v>
      </c>
    </row>
    <row r="374" s="2" customFormat="true" ht="12.75" hidden="false" customHeight="false" outlineLevel="0" collapsed="false">
      <c r="B374" s="304" t="s">
        <v>655</v>
      </c>
      <c r="C374" s="305" t="s">
        <v>656</v>
      </c>
      <c r="D374" s="306" t="n">
        <v>176</v>
      </c>
      <c r="E374" s="306" t="n">
        <v>0</v>
      </c>
      <c r="F374" s="324" t="s">
        <v>648</v>
      </c>
      <c r="G374" s="144" t="n">
        <v>24</v>
      </c>
      <c r="H374" s="325" t="n">
        <v>154.545454545455</v>
      </c>
      <c r="I374" s="315"/>
      <c r="J374" s="144"/>
      <c r="K374" s="310"/>
      <c r="L374" s="311" t="n">
        <v>29</v>
      </c>
      <c r="M374" s="311" t="n">
        <v>0</v>
      </c>
      <c r="N374" s="144" t="n">
        <v>0</v>
      </c>
      <c r="O374" s="310"/>
      <c r="P374" s="311" t="n">
        <v>0</v>
      </c>
      <c r="Q374" s="311" t="n">
        <v>0</v>
      </c>
      <c r="R374" s="311" t="n">
        <v>0</v>
      </c>
      <c r="S374" s="311" t="n">
        <v>0</v>
      </c>
      <c r="T374" s="144" t="n">
        <v>0</v>
      </c>
      <c r="V374" s="144" t="n">
        <v>21</v>
      </c>
    </row>
    <row r="375" s="2" customFormat="true" ht="12.75" hidden="false" customHeight="false" outlineLevel="0" collapsed="false">
      <c r="B375" s="304" t="s">
        <v>277</v>
      </c>
      <c r="C375" s="305" t="s">
        <v>657</v>
      </c>
      <c r="D375" s="306" t="n">
        <v>82</v>
      </c>
      <c r="E375" s="306" t="n">
        <v>0</v>
      </c>
      <c r="F375" s="306" t="s">
        <v>648</v>
      </c>
      <c r="G375" s="307" t="n">
        <v>24</v>
      </c>
      <c r="H375" s="308" t="n">
        <v>95.0413223140496</v>
      </c>
      <c r="I375" s="315"/>
      <c r="J375" s="144"/>
      <c r="K375" s="310"/>
      <c r="L375" s="311" t="n">
        <v>0</v>
      </c>
      <c r="M375" s="311" t="n">
        <v>0</v>
      </c>
      <c r="N375" s="144" t="n">
        <v>0</v>
      </c>
      <c r="O375" s="310"/>
      <c r="P375" s="311" t="n">
        <v>0</v>
      </c>
      <c r="Q375" s="311" t="n">
        <v>0</v>
      </c>
      <c r="R375" s="311" t="n">
        <v>0</v>
      </c>
      <c r="S375" s="311" t="n">
        <v>0</v>
      </c>
      <c r="T375" s="144" t="n">
        <v>0</v>
      </c>
      <c r="V375" s="144" t="n">
        <v>-13</v>
      </c>
    </row>
    <row r="376" s="2" customFormat="true" ht="12.75" hidden="false" customHeight="false" outlineLevel="0" collapsed="false">
      <c r="B376" s="304" t="s">
        <v>277</v>
      </c>
      <c r="C376" s="305" t="s">
        <v>658</v>
      </c>
      <c r="D376" s="306" t="n">
        <v>100</v>
      </c>
      <c r="E376" s="306" t="n">
        <v>0</v>
      </c>
      <c r="F376" s="324" t="s">
        <v>648</v>
      </c>
      <c r="G376" s="144" t="n">
        <v>24</v>
      </c>
      <c r="H376" s="325" t="n">
        <v>104.95867768595</v>
      </c>
      <c r="I376" s="315"/>
      <c r="J376" s="144"/>
      <c r="K376" s="310"/>
      <c r="L376" s="311" t="n">
        <v>0</v>
      </c>
      <c r="M376" s="311" t="n">
        <v>0</v>
      </c>
      <c r="N376" s="144" t="n">
        <v>0</v>
      </c>
      <c r="O376" s="310"/>
      <c r="P376" s="311" t="n">
        <v>0</v>
      </c>
      <c r="Q376" s="311" t="n">
        <v>0</v>
      </c>
      <c r="R376" s="311" t="n">
        <v>0</v>
      </c>
      <c r="S376" s="311" t="n">
        <v>0</v>
      </c>
      <c r="T376" s="144" t="n">
        <v>0</v>
      </c>
      <c r="V376" s="144" t="n">
        <v>-5</v>
      </c>
    </row>
    <row r="377" s="2" customFormat="true" ht="12.75" hidden="false" customHeight="false" outlineLevel="0" collapsed="false">
      <c r="B377" s="304" t="s">
        <v>277</v>
      </c>
      <c r="C377" s="305" t="s">
        <v>659</v>
      </c>
      <c r="D377" s="306" t="n">
        <v>41</v>
      </c>
      <c r="E377" s="306" t="n">
        <v>0</v>
      </c>
      <c r="F377" s="306" t="s">
        <v>648</v>
      </c>
      <c r="G377" s="307" t="n">
        <v>24</v>
      </c>
      <c r="H377" s="308" t="n">
        <v>62.8099173553719</v>
      </c>
      <c r="I377" s="315"/>
      <c r="J377" s="144"/>
      <c r="K377" s="310"/>
      <c r="L377" s="311" t="n">
        <v>0</v>
      </c>
      <c r="M377" s="311" t="n">
        <v>0</v>
      </c>
      <c r="N377" s="144" t="n">
        <v>0</v>
      </c>
      <c r="O377" s="310"/>
      <c r="P377" s="311" t="n">
        <v>0</v>
      </c>
      <c r="Q377" s="311" t="n">
        <v>0</v>
      </c>
      <c r="R377" s="311" t="n">
        <v>0</v>
      </c>
      <c r="S377" s="311" t="n">
        <v>0</v>
      </c>
      <c r="T377" s="144" t="n">
        <v>0</v>
      </c>
      <c r="V377" s="144" t="n">
        <v>-22</v>
      </c>
    </row>
    <row r="378" s="2" customFormat="true" ht="12.75" hidden="false" customHeight="false" outlineLevel="0" collapsed="false">
      <c r="B378" s="304" t="s">
        <v>277</v>
      </c>
      <c r="C378" s="305" t="s">
        <v>660</v>
      </c>
      <c r="D378" s="306" t="n">
        <v>48</v>
      </c>
      <c r="E378" s="306" t="n">
        <v>0</v>
      </c>
      <c r="F378" s="324" t="s">
        <v>648</v>
      </c>
      <c r="G378" s="144" t="n">
        <v>24</v>
      </c>
      <c r="H378" s="325" t="n">
        <v>90.0826446280992</v>
      </c>
      <c r="I378" s="315"/>
      <c r="J378" s="144"/>
      <c r="K378" s="310"/>
      <c r="L378" s="311" t="n">
        <v>0</v>
      </c>
      <c r="M378" s="311" t="n">
        <v>0</v>
      </c>
      <c r="N378" s="144" t="n">
        <v>0</v>
      </c>
      <c r="O378" s="310"/>
      <c r="P378" s="311" t="n">
        <v>0</v>
      </c>
      <c r="Q378" s="311" t="n">
        <v>0</v>
      </c>
      <c r="R378" s="311" t="n">
        <v>0</v>
      </c>
      <c r="S378" s="311" t="n">
        <v>0</v>
      </c>
      <c r="T378" s="144" t="n">
        <v>0</v>
      </c>
      <c r="V378" s="144" t="n">
        <v>-42</v>
      </c>
    </row>
    <row r="379" s="2" customFormat="true" ht="12.75" hidden="false" customHeight="false" outlineLevel="0" collapsed="false">
      <c r="B379" s="304" t="s">
        <v>497</v>
      </c>
      <c r="C379" s="305" t="s">
        <v>661</v>
      </c>
      <c r="D379" s="306" t="n">
        <v>60</v>
      </c>
      <c r="E379" s="306" t="n">
        <v>0</v>
      </c>
      <c r="F379" s="306" t="s">
        <v>662</v>
      </c>
      <c r="G379" s="307" t="n">
        <v>24</v>
      </c>
      <c r="H379" s="308" t="n">
        <v>55.3719008264463</v>
      </c>
      <c r="I379" s="315"/>
      <c r="J379" s="144"/>
      <c r="K379" s="310"/>
      <c r="L379" s="311" t="n">
        <v>0</v>
      </c>
      <c r="M379" s="311" t="n">
        <v>0</v>
      </c>
      <c r="N379" s="144" t="n">
        <v>0</v>
      </c>
      <c r="O379" s="310"/>
      <c r="P379" s="311" t="n">
        <v>0</v>
      </c>
      <c r="Q379" s="311" t="n">
        <v>0</v>
      </c>
      <c r="R379" s="311" t="n">
        <v>0</v>
      </c>
      <c r="S379" s="311" t="n">
        <v>0</v>
      </c>
      <c r="T379" s="144" t="n">
        <v>0</v>
      </c>
      <c r="V379" s="144" t="n">
        <v>5</v>
      </c>
    </row>
    <row r="380" s="2" customFormat="true" ht="12.75" hidden="false" customHeight="false" outlineLevel="0" collapsed="false">
      <c r="B380" s="304" t="s">
        <v>510</v>
      </c>
      <c r="C380" s="305" t="s">
        <v>663</v>
      </c>
      <c r="D380" s="306" t="n">
        <v>58</v>
      </c>
      <c r="E380" s="306" t="n">
        <v>0</v>
      </c>
      <c r="F380" s="324" t="s">
        <v>662</v>
      </c>
      <c r="G380" s="144" t="n">
        <v>24</v>
      </c>
      <c r="H380" s="325" t="n">
        <v>55.3719008264463</v>
      </c>
      <c r="I380" s="315"/>
      <c r="J380" s="144"/>
      <c r="K380" s="310"/>
      <c r="L380" s="311" t="n">
        <v>0</v>
      </c>
      <c r="M380" s="311" t="n">
        <v>0</v>
      </c>
      <c r="N380" s="144" t="n">
        <v>0</v>
      </c>
      <c r="O380" s="310"/>
      <c r="P380" s="311" t="n">
        <v>0</v>
      </c>
      <c r="Q380" s="311" t="n">
        <v>0</v>
      </c>
      <c r="R380" s="311" t="n">
        <v>0</v>
      </c>
      <c r="S380" s="311" t="n">
        <v>0</v>
      </c>
      <c r="T380" s="144" t="n">
        <v>0</v>
      </c>
      <c r="V380" s="144" t="n">
        <v>3</v>
      </c>
    </row>
    <row r="381" s="2" customFormat="true" ht="12.75" hidden="false" customHeight="false" outlineLevel="0" collapsed="false">
      <c r="B381" s="304" t="s">
        <v>664</v>
      </c>
      <c r="C381" s="305" t="s">
        <v>665</v>
      </c>
      <c r="D381" s="306" t="n">
        <v>48</v>
      </c>
      <c r="E381" s="306" t="n">
        <v>0</v>
      </c>
      <c r="F381" s="306" t="s">
        <v>643</v>
      </c>
      <c r="G381" s="307" t="n">
        <v>24</v>
      </c>
      <c r="H381" s="308" t="n">
        <v>41.3223140495868</v>
      </c>
      <c r="I381" s="315"/>
      <c r="J381" s="144"/>
      <c r="K381" s="310"/>
      <c r="L381" s="311" t="n">
        <v>0</v>
      </c>
      <c r="M381" s="311" t="n">
        <v>0</v>
      </c>
      <c r="N381" s="144" t="n">
        <v>0</v>
      </c>
      <c r="O381" s="310"/>
      <c r="P381" s="311" t="n">
        <v>0</v>
      </c>
      <c r="Q381" s="311" t="n">
        <v>0</v>
      </c>
      <c r="R381" s="311" t="n">
        <v>0</v>
      </c>
      <c r="S381" s="311" t="n">
        <v>0</v>
      </c>
      <c r="T381" s="144" t="n">
        <v>0</v>
      </c>
      <c r="V381" s="144" t="n">
        <v>7</v>
      </c>
    </row>
    <row r="382" s="2" customFormat="true" ht="12.75" hidden="false" customHeight="false" outlineLevel="0" collapsed="false">
      <c r="B382" s="304" t="s">
        <v>664</v>
      </c>
      <c r="C382" s="305" t="s">
        <v>666</v>
      </c>
      <c r="D382" s="306" t="n">
        <v>46</v>
      </c>
      <c r="E382" s="306" t="n">
        <v>0</v>
      </c>
      <c r="F382" s="324" t="s">
        <v>643</v>
      </c>
      <c r="G382" s="144" t="n">
        <v>24</v>
      </c>
      <c r="H382" s="325" t="n">
        <v>41.3223140495868</v>
      </c>
      <c r="I382" s="315"/>
      <c r="J382" s="144"/>
      <c r="K382" s="310"/>
      <c r="L382" s="311" t="n">
        <v>0</v>
      </c>
      <c r="M382" s="311" t="n">
        <v>0</v>
      </c>
      <c r="N382" s="144" t="n">
        <v>0</v>
      </c>
      <c r="O382" s="310"/>
      <c r="P382" s="311" t="n">
        <v>0</v>
      </c>
      <c r="Q382" s="311" t="n">
        <v>0</v>
      </c>
      <c r="R382" s="311" t="n">
        <v>0</v>
      </c>
      <c r="S382" s="311" t="n">
        <v>0</v>
      </c>
      <c r="T382" s="144" t="n">
        <v>0</v>
      </c>
      <c r="V382" s="144" t="n">
        <v>5</v>
      </c>
    </row>
    <row r="383" s="2" customFormat="true" ht="12.75" hidden="false" customHeight="false" outlineLevel="0" collapsed="false">
      <c r="B383" s="304" t="s">
        <v>277</v>
      </c>
      <c r="C383" s="305" t="s">
        <v>667</v>
      </c>
      <c r="D383" s="306" t="n">
        <v>59</v>
      </c>
      <c r="E383" s="306" t="n">
        <v>0</v>
      </c>
      <c r="F383" s="306" t="s">
        <v>643</v>
      </c>
      <c r="G383" s="307" t="n">
        <v>24</v>
      </c>
      <c r="H383" s="308" t="n">
        <v>58.6776859504132</v>
      </c>
      <c r="I383" s="315"/>
      <c r="J383" s="144"/>
      <c r="K383" s="310"/>
      <c r="L383" s="311" t="n">
        <v>0</v>
      </c>
      <c r="M383" s="311" t="n">
        <v>0</v>
      </c>
      <c r="N383" s="144" t="n">
        <v>0</v>
      </c>
      <c r="O383" s="310"/>
      <c r="P383" s="311" t="n">
        <v>0</v>
      </c>
      <c r="Q383" s="311" t="n">
        <v>0</v>
      </c>
      <c r="R383" s="311" t="n">
        <v>0</v>
      </c>
      <c r="S383" s="311" t="n">
        <v>0</v>
      </c>
      <c r="T383" s="144" t="n">
        <v>0</v>
      </c>
      <c r="V383" s="144" t="n">
        <v>0</v>
      </c>
    </row>
    <row r="384" s="2" customFormat="true" ht="12.75" hidden="false" customHeight="false" outlineLevel="0" collapsed="false">
      <c r="B384" s="304" t="s">
        <v>668</v>
      </c>
      <c r="C384" s="305" t="s">
        <v>669</v>
      </c>
      <c r="D384" s="306" t="n">
        <v>781</v>
      </c>
      <c r="E384" s="306" t="n">
        <v>0</v>
      </c>
      <c r="F384" s="324" t="s">
        <v>670</v>
      </c>
      <c r="G384" s="144" t="n">
        <v>24</v>
      </c>
      <c r="H384" s="325" t="n">
        <v>620.661157024793</v>
      </c>
      <c r="I384" s="315"/>
      <c r="J384" s="144"/>
      <c r="K384" s="310"/>
      <c r="L384" s="311" t="n">
        <v>269</v>
      </c>
      <c r="M384" s="311" t="n">
        <v>159</v>
      </c>
      <c r="N384" s="144" t="n">
        <v>159</v>
      </c>
      <c r="O384" s="310"/>
      <c r="P384" s="311" t="n">
        <v>0</v>
      </c>
      <c r="Q384" s="311" t="n">
        <v>0</v>
      </c>
      <c r="R384" s="311" t="n">
        <v>0</v>
      </c>
      <c r="S384" s="311" t="n">
        <v>0</v>
      </c>
      <c r="T384" s="144" t="n">
        <v>0</v>
      </c>
      <c r="V384" s="144" t="n">
        <v>160</v>
      </c>
    </row>
    <row r="385" s="2" customFormat="true" ht="12.75" hidden="false" customHeight="false" outlineLevel="0" collapsed="false">
      <c r="B385" s="304" t="s">
        <v>668</v>
      </c>
      <c r="C385" s="305" t="s">
        <v>669</v>
      </c>
      <c r="D385" s="306" t="n">
        <v>781</v>
      </c>
      <c r="E385" s="306" t="n">
        <v>0</v>
      </c>
      <c r="F385" s="306" t="s">
        <v>670</v>
      </c>
      <c r="G385" s="307" t="n">
        <v>48</v>
      </c>
      <c r="H385" s="308" t="n">
        <v>620.661157024793</v>
      </c>
      <c r="I385" s="315"/>
      <c r="J385" s="144"/>
      <c r="K385" s="310"/>
      <c r="L385" s="311" t="n">
        <v>269</v>
      </c>
      <c r="M385" s="311" t="n">
        <v>159</v>
      </c>
      <c r="N385" s="144" t="n">
        <v>159</v>
      </c>
      <c r="O385" s="310"/>
      <c r="P385" s="311" t="n">
        <v>0</v>
      </c>
      <c r="Q385" s="311" t="n">
        <v>0</v>
      </c>
      <c r="R385" s="311" t="n">
        <v>0</v>
      </c>
      <c r="S385" s="311" t="n">
        <v>0</v>
      </c>
      <c r="T385" s="144" t="n">
        <v>0</v>
      </c>
      <c r="V385" s="144" t="n">
        <v>160</v>
      </c>
    </row>
    <row r="386" s="2" customFormat="true" ht="12.75" hidden="false" customHeight="false" outlineLevel="0" collapsed="false">
      <c r="B386" s="304" t="s">
        <v>668</v>
      </c>
      <c r="C386" s="305" t="s">
        <v>671</v>
      </c>
      <c r="D386" s="306" t="n">
        <v>482</v>
      </c>
      <c r="E386" s="306" t="n">
        <v>0</v>
      </c>
      <c r="F386" s="324" t="s">
        <v>670</v>
      </c>
      <c r="G386" s="144" t="n">
        <v>24</v>
      </c>
      <c r="H386" s="325" t="n">
        <v>419.834710743802</v>
      </c>
      <c r="I386" s="315"/>
      <c r="J386" s="144"/>
      <c r="K386" s="310"/>
      <c r="L386" s="311" t="n">
        <v>139</v>
      </c>
      <c r="M386" s="311" t="n">
        <v>19</v>
      </c>
      <c r="N386" s="144" t="n">
        <v>19</v>
      </c>
      <c r="O386" s="310"/>
      <c r="P386" s="311" t="n">
        <v>0</v>
      </c>
      <c r="Q386" s="311" t="n">
        <v>0</v>
      </c>
      <c r="R386" s="311" t="n">
        <v>0</v>
      </c>
      <c r="S386" s="311" t="n">
        <v>0</v>
      </c>
      <c r="T386" s="144" t="n">
        <v>0</v>
      </c>
      <c r="V386" s="144" t="n">
        <v>62</v>
      </c>
    </row>
    <row r="387" s="2" customFormat="true" ht="12.75" hidden="false" customHeight="false" outlineLevel="0" collapsed="false">
      <c r="B387" s="304" t="s">
        <v>668</v>
      </c>
      <c r="C387" s="305" t="s">
        <v>671</v>
      </c>
      <c r="D387" s="306" t="n">
        <v>482</v>
      </c>
      <c r="E387" s="306" t="n">
        <v>0</v>
      </c>
      <c r="F387" s="306" t="s">
        <v>670</v>
      </c>
      <c r="G387" s="307" t="n">
        <v>48</v>
      </c>
      <c r="H387" s="308" t="n">
        <v>419.834710743802</v>
      </c>
      <c r="I387" s="315"/>
      <c r="J387" s="144"/>
      <c r="K387" s="310"/>
      <c r="L387" s="311" t="n">
        <v>139</v>
      </c>
      <c r="M387" s="311" t="n">
        <v>19</v>
      </c>
      <c r="N387" s="144" t="n">
        <v>19</v>
      </c>
      <c r="O387" s="310"/>
      <c r="P387" s="311" t="n">
        <v>0</v>
      </c>
      <c r="Q387" s="311" t="n">
        <v>0</v>
      </c>
      <c r="R387" s="311" t="n">
        <v>0</v>
      </c>
      <c r="S387" s="311" t="n">
        <v>0</v>
      </c>
      <c r="T387" s="144" t="n">
        <v>0</v>
      </c>
      <c r="V387" s="144" t="n">
        <v>62</v>
      </c>
    </row>
    <row r="388" s="2" customFormat="true" ht="12.75" hidden="false" customHeight="false" outlineLevel="0" collapsed="false">
      <c r="B388" s="304" t="s">
        <v>668</v>
      </c>
      <c r="C388" s="305" t="s">
        <v>672</v>
      </c>
      <c r="D388" s="306" t="n">
        <v>482</v>
      </c>
      <c r="E388" s="306" t="n">
        <v>0</v>
      </c>
      <c r="F388" s="324" t="s">
        <v>670</v>
      </c>
      <c r="G388" s="144" t="n">
        <v>24</v>
      </c>
      <c r="H388" s="325" t="n">
        <v>419.834710743802</v>
      </c>
      <c r="I388" s="315"/>
      <c r="J388" s="144"/>
      <c r="K388" s="310"/>
      <c r="L388" s="311" t="n">
        <v>139</v>
      </c>
      <c r="M388" s="311" t="n">
        <v>19</v>
      </c>
      <c r="N388" s="144" t="n">
        <v>19</v>
      </c>
      <c r="O388" s="310"/>
      <c r="P388" s="311" t="n">
        <v>0</v>
      </c>
      <c r="Q388" s="311" t="n">
        <v>0</v>
      </c>
      <c r="R388" s="311" t="n">
        <v>0</v>
      </c>
      <c r="S388" s="311" t="n">
        <v>0</v>
      </c>
      <c r="T388" s="144" t="n">
        <v>0</v>
      </c>
      <c r="V388" s="144" t="n">
        <v>62</v>
      </c>
    </row>
    <row r="389" s="2" customFormat="true" ht="12.75" hidden="false" customHeight="false" outlineLevel="0" collapsed="false">
      <c r="B389" s="304" t="s">
        <v>668</v>
      </c>
      <c r="C389" s="305" t="s">
        <v>672</v>
      </c>
      <c r="D389" s="306" t="n">
        <v>482</v>
      </c>
      <c r="E389" s="306" t="n">
        <v>0</v>
      </c>
      <c r="F389" s="306" t="s">
        <v>670</v>
      </c>
      <c r="G389" s="307" t="n">
        <v>48</v>
      </c>
      <c r="H389" s="308" t="n">
        <v>419.834710743802</v>
      </c>
      <c r="I389" s="315"/>
      <c r="J389" s="144"/>
      <c r="K389" s="310"/>
      <c r="L389" s="311" t="n">
        <v>139</v>
      </c>
      <c r="M389" s="311" t="n">
        <v>19</v>
      </c>
      <c r="N389" s="144" t="n">
        <v>19</v>
      </c>
      <c r="O389" s="310"/>
      <c r="P389" s="311" t="n">
        <v>0</v>
      </c>
      <c r="Q389" s="311" t="n">
        <v>0</v>
      </c>
      <c r="R389" s="311" t="n">
        <v>0</v>
      </c>
      <c r="S389" s="311" t="n">
        <v>0</v>
      </c>
      <c r="T389" s="144" t="n">
        <v>0</v>
      </c>
      <c r="V389" s="144" t="n">
        <v>62</v>
      </c>
    </row>
    <row r="390" s="2" customFormat="true" ht="12.75" hidden="false" customHeight="false" outlineLevel="0" collapsed="false">
      <c r="B390" s="304" t="s">
        <v>668</v>
      </c>
      <c r="C390" s="305" t="s">
        <v>673</v>
      </c>
      <c r="D390" s="306" t="n">
        <v>652</v>
      </c>
      <c r="E390" s="306" t="n">
        <v>0</v>
      </c>
      <c r="F390" s="324" t="s">
        <v>670</v>
      </c>
      <c r="G390" s="144" t="n">
        <v>24</v>
      </c>
      <c r="H390" s="325" t="n">
        <v>596.694214876033</v>
      </c>
      <c r="I390" s="315"/>
      <c r="J390" s="144"/>
      <c r="K390" s="310"/>
      <c r="L390" s="311" t="n">
        <v>249</v>
      </c>
      <c r="M390" s="311" t="n">
        <v>149</v>
      </c>
      <c r="N390" s="144" t="n">
        <v>149</v>
      </c>
      <c r="O390" s="310"/>
      <c r="P390" s="311" t="n">
        <v>0</v>
      </c>
      <c r="Q390" s="311" t="n">
        <v>0</v>
      </c>
      <c r="R390" s="311" t="n">
        <v>0</v>
      </c>
      <c r="S390" s="311" t="n">
        <v>0</v>
      </c>
      <c r="T390" s="144" t="n">
        <v>0</v>
      </c>
      <c r="V390" s="144" t="n">
        <v>55</v>
      </c>
    </row>
    <row r="391" s="2" customFormat="true" ht="12.75" hidden="false" customHeight="false" outlineLevel="0" collapsed="false">
      <c r="B391" s="304" t="s">
        <v>668</v>
      </c>
      <c r="C391" s="305" t="s">
        <v>673</v>
      </c>
      <c r="D391" s="306" t="n">
        <v>652</v>
      </c>
      <c r="E391" s="306" t="n">
        <v>0</v>
      </c>
      <c r="F391" s="306" t="s">
        <v>670</v>
      </c>
      <c r="G391" s="307" t="n">
        <v>48</v>
      </c>
      <c r="H391" s="308" t="n">
        <v>596.694214876033</v>
      </c>
      <c r="I391" s="315"/>
      <c r="J391" s="144"/>
      <c r="K391" s="310"/>
      <c r="L391" s="311" t="n">
        <v>249</v>
      </c>
      <c r="M391" s="311" t="n">
        <v>149</v>
      </c>
      <c r="N391" s="144" t="n">
        <v>149</v>
      </c>
      <c r="O391" s="310"/>
      <c r="P391" s="311" t="n">
        <v>0</v>
      </c>
      <c r="Q391" s="311" t="n">
        <v>0</v>
      </c>
      <c r="R391" s="311" t="n">
        <v>0</v>
      </c>
      <c r="S391" s="311" t="n">
        <v>0</v>
      </c>
      <c r="T391" s="144" t="n">
        <v>0</v>
      </c>
      <c r="V391" s="144" t="n">
        <v>55</v>
      </c>
    </row>
    <row r="392" s="2" customFormat="true" ht="12.75" hidden="false" customHeight="false" outlineLevel="0" collapsed="false">
      <c r="B392" s="304" t="s">
        <v>668</v>
      </c>
      <c r="C392" s="305" t="s">
        <v>674</v>
      </c>
      <c r="D392" s="306" t="n">
        <v>652</v>
      </c>
      <c r="E392" s="306" t="n">
        <v>0</v>
      </c>
      <c r="F392" s="324" t="s">
        <v>670</v>
      </c>
      <c r="G392" s="144" t="n">
        <v>24</v>
      </c>
      <c r="H392" s="325" t="n">
        <v>596.694214876033</v>
      </c>
      <c r="I392" s="315"/>
      <c r="J392" s="144"/>
      <c r="K392" s="310"/>
      <c r="L392" s="311" t="n">
        <v>249</v>
      </c>
      <c r="M392" s="311" t="n">
        <v>149</v>
      </c>
      <c r="N392" s="144" t="n">
        <v>149</v>
      </c>
      <c r="O392" s="310"/>
      <c r="P392" s="311" t="n">
        <v>0</v>
      </c>
      <c r="Q392" s="311" t="n">
        <v>0</v>
      </c>
      <c r="R392" s="311" t="n">
        <v>0</v>
      </c>
      <c r="S392" s="311" t="n">
        <v>0</v>
      </c>
      <c r="T392" s="144" t="n">
        <v>0</v>
      </c>
      <c r="V392" s="144" t="n">
        <v>55</v>
      </c>
    </row>
    <row r="393" s="2" customFormat="true" ht="12.75" hidden="false" customHeight="false" outlineLevel="0" collapsed="false">
      <c r="B393" s="304" t="s">
        <v>668</v>
      </c>
      <c r="C393" s="305" t="s">
        <v>674</v>
      </c>
      <c r="D393" s="306" t="n">
        <v>652</v>
      </c>
      <c r="E393" s="306" t="n">
        <v>0</v>
      </c>
      <c r="F393" s="306" t="s">
        <v>670</v>
      </c>
      <c r="G393" s="307" t="n">
        <v>48</v>
      </c>
      <c r="H393" s="308" t="n">
        <v>596.694214876033</v>
      </c>
      <c r="I393" s="315"/>
      <c r="J393" s="144"/>
      <c r="K393" s="310"/>
      <c r="L393" s="311" t="n">
        <v>249</v>
      </c>
      <c r="M393" s="311" t="n">
        <v>149</v>
      </c>
      <c r="N393" s="144" t="n">
        <v>149</v>
      </c>
      <c r="O393" s="310"/>
      <c r="P393" s="311" t="n">
        <v>0</v>
      </c>
      <c r="Q393" s="311" t="n">
        <v>0</v>
      </c>
      <c r="R393" s="311" t="n">
        <v>0</v>
      </c>
      <c r="S393" s="311" t="n">
        <v>0</v>
      </c>
      <c r="T393" s="144" t="n">
        <v>0</v>
      </c>
      <c r="V393" s="144" t="n">
        <v>55</v>
      </c>
    </row>
    <row r="394" s="2" customFormat="true" ht="12.75" hidden="false" customHeight="false" outlineLevel="0" collapsed="false">
      <c r="B394" s="304" t="s">
        <v>668</v>
      </c>
      <c r="C394" s="305" t="s">
        <v>675</v>
      </c>
      <c r="D394" s="306" t="n">
        <v>775</v>
      </c>
      <c r="E394" s="306" t="n">
        <v>0</v>
      </c>
      <c r="F394" s="324" t="s">
        <v>670</v>
      </c>
      <c r="G394" s="144" t="n">
        <v>24</v>
      </c>
      <c r="H394" s="325" t="n">
        <v>666.942148760331</v>
      </c>
      <c r="I394" s="315"/>
      <c r="J394" s="144"/>
      <c r="K394" s="310"/>
      <c r="L394" s="311" t="n">
        <v>289</v>
      </c>
      <c r="M394" s="311" t="n">
        <v>179</v>
      </c>
      <c r="N394" s="144" t="n">
        <v>179</v>
      </c>
      <c r="O394" s="310"/>
      <c r="P394" s="311" t="n">
        <v>0</v>
      </c>
      <c r="Q394" s="311" t="n">
        <v>0</v>
      </c>
      <c r="R394" s="311" t="n">
        <v>0</v>
      </c>
      <c r="S394" s="311" t="n">
        <v>0</v>
      </c>
      <c r="T394" s="144" t="n">
        <v>0</v>
      </c>
      <c r="V394" s="144" t="n">
        <v>108</v>
      </c>
    </row>
    <row r="395" s="2" customFormat="true" ht="12.75" hidden="false" customHeight="false" outlineLevel="0" collapsed="false">
      <c r="B395" s="304" t="s">
        <v>668</v>
      </c>
      <c r="C395" s="305" t="s">
        <v>675</v>
      </c>
      <c r="D395" s="306" t="n">
        <v>775</v>
      </c>
      <c r="E395" s="306" t="n">
        <v>0</v>
      </c>
      <c r="F395" s="306" t="s">
        <v>670</v>
      </c>
      <c r="G395" s="307" t="n">
        <v>48</v>
      </c>
      <c r="H395" s="308" t="n">
        <v>666.942148760331</v>
      </c>
      <c r="I395" s="315"/>
      <c r="J395" s="144"/>
      <c r="K395" s="310"/>
      <c r="L395" s="311" t="n">
        <v>289</v>
      </c>
      <c r="M395" s="311" t="n">
        <v>179</v>
      </c>
      <c r="N395" s="144" t="n">
        <v>179</v>
      </c>
      <c r="O395" s="310"/>
      <c r="P395" s="311" t="n">
        <v>0</v>
      </c>
      <c r="Q395" s="311" t="n">
        <v>0</v>
      </c>
      <c r="R395" s="311" t="n">
        <v>0</v>
      </c>
      <c r="S395" s="311" t="n">
        <v>0</v>
      </c>
      <c r="T395" s="144" t="n">
        <v>0</v>
      </c>
      <c r="V395" s="144" t="n">
        <v>108</v>
      </c>
    </row>
    <row r="396" s="2" customFormat="true" ht="12.75" hidden="false" customHeight="false" outlineLevel="0" collapsed="false">
      <c r="B396" s="304" t="s">
        <v>668</v>
      </c>
      <c r="C396" s="305" t="s">
        <v>676</v>
      </c>
      <c r="D396" s="306" t="n">
        <v>946</v>
      </c>
      <c r="E396" s="306" t="n">
        <v>0</v>
      </c>
      <c r="F396" s="324" t="s">
        <v>670</v>
      </c>
      <c r="G396" s="144" t="n">
        <v>24</v>
      </c>
      <c r="H396" s="325" t="n">
        <v>847.933884297521</v>
      </c>
      <c r="I396" s="315"/>
      <c r="J396" s="144"/>
      <c r="K396" s="310"/>
      <c r="L396" s="311" t="n">
        <v>359</v>
      </c>
      <c r="M396" s="311" t="n">
        <v>219</v>
      </c>
      <c r="N396" s="144" t="n">
        <v>219</v>
      </c>
      <c r="O396" s="310"/>
      <c r="P396" s="311" t="n">
        <v>0</v>
      </c>
      <c r="Q396" s="311" t="n">
        <v>0</v>
      </c>
      <c r="R396" s="311" t="n">
        <v>0</v>
      </c>
      <c r="S396" s="311" t="n">
        <v>0</v>
      </c>
      <c r="T396" s="144" t="n">
        <v>0</v>
      </c>
      <c r="V396" s="144" t="n">
        <v>98</v>
      </c>
    </row>
    <row r="397" s="2" customFormat="true" ht="12.75" hidden="false" customHeight="false" outlineLevel="0" collapsed="false">
      <c r="B397" s="304" t="s">
        <v>668</v>
      </c>
      <c r="C397" s="305" t="s">
        <v>676</v>
      </c>
      <c r="D397" s="306" t="n">
        <v>946</v>
      </c>
      <c r="E397" s="306" t="n">
        <v>0</v>
      </c>
      <c r="F397" s="306" t="s">
        <v>670</v>
      </c>
      <c r="G397" s="307" t="n">
        <v>48</v>
      </c>
      <c r="H397" s="308" t="n">
        <v>847.933884297521</v>
      </c>
      <c r="I397" s="315"/>
      <c r="J397" s="144"/>
      <c r="K397" s="310"/>
      <c r="L397" s="311" t="n">
        <v>359</v>
      </c>
      <c r="M397" s="311" t="n">
        <v>219</v>
      </c>
      <c r="N397" s="144" t="n">
        <v>219</v>
      </c>
      <c r="O397" s="310"/>
      <c r="P397" s="311" t="n">
        <v>0</v>
      </c>
      <c r="Q397" s="311" t="n">
        <v>0</v>
      </c>
      <c r="R397" s="311" t="n">
        <v>0</v>
      </c>
      <c r="S397" s="311" t="n">
        <v>0</v>
      </c>
      <c r="T397" s="144" t="n">
        <v>0</v>
      </c>
      <c r="V397" s="144" t="n">
        <v>98</v>
      </c>
    </row>
    <row r="398" s="2" customFormat="true" ht="12.75" hidden="false" customHeight="false" outlineLevel="0" collapsed="false">
      <c r="B398" s="304" t="s">
        <v>668</v>
      </c>
      <c r="C398" s="305" t="s">
        <v>677</v>
      </c>
      <c r="D398" s="306" t="n">
        <v>535</v>
      </c>
      <c r="E398" s="306" t="n">
        <v>0</v>
      </c>
      <c r="F398" s="324" t="s">
        <v>678</v>
      </c>
      <c r="G398" s="144" t="n">
        <v>24</v>
      </c>
      <c r="H398" s="325" t="n">
        <v>471.900826446281</v>
      </c>
      <c r="I398" s="315"/>
      <c r="J398" s="144"/>
      <c r="K398" s="310"/>
      <c r="L398" s="311" t="n">
        <v>159</v>
      </c>
      <c r="M398" s="311" t="n">
        <v>19</v>
      </c>
      <c r="N398" s="144" t="n">
        <v>19</v>
      </c>
      <c r="O398" s="310"/>
      <c r="P398" s="311" t="n">
        <v>0</v>
      </c>
      <c r="Q398" s="311" t="n">
        <v>0</v>
      </c>
      <c r="R398" s="311" t="n">
        <v>0</v>
      </c>
      <c r="S398" s="311" t="n">
        <v>0</v>
      </c>
      <c r="T398" s="144" t="n">
        <v>0</v>
      </c>
      <c r="V398" s="144" t="n">
        <v>63</v>
      </c>
    </row>
    <row r="399" s="2" customFormat="true" ht="12.75" hidden="false" customHeight="false" outlineLevel="0" collapsed="false">
      <c r="B399" s="304" t="s">
        <v>668</v>
      </c>
      <c r="C399" s="305" t="s">
        <v>677</v>
      </c>
      <c r="D399" s="306" t="n">
        <v>535</v>
      </c>
      <c r="E399" s="306" t="n">
        <v>0</v>
      </c>
      <c r="F399" s="306" t="s">
        <v>678</v>
      </c>
      <c r="G399" s="307" t="n">
        <v>48</v>
      </c>
      <c r="H399" s="308" t="n">
        <v>471.900826446281</v>
      </c>
      <c r="I399" s="315"/>
      <c r="J399" s="144"/>
      <c r="K399" s="310"/>
      <c r="L399" s="311" t="n">
        <v>159</v>
      </c>
      <c r="M399" s="311" t="n">
        <v>19</v>
      </c>
      <c r="N399" s="144" t="n">
        <v>19</v>
      </c>
      <c r="O399" s="310"/>
      <c r="P399" s="311" t="n">
        <v>0</v>
      </c>
      <c r="Q399" s="311" t="n">
        <v>0</v>
      </c>
      <c r="R399" s="311" t="n">
        <v>0</v>
      </c>
      <c r="S399" s="311" t="n">
        <v>0</v>
      </c>
      <c r="T399" s="144" t="n">
        <v>0</v>
      </c>
      <c r="V399" s="144" t="n">
        <v>63</v>
      </c>
    </row>
    <row r="400" s="2" customFormat="true" ht="12.75" hidden="false" customHeight="false" outlineLevel="0" collapsed="false">
      <c r="B400" s="304" t="s">
        <v>200</v>
      </c>
      <c r="C400" s="305" t="s">
        <v>682</v>
      </c>
      <c r="D400" s="306" t="n">
        <v>367</v>
      </c>
      <c r="E400" s="306" t="n">
        <v>0</v>
      </c>
      <c r="F400" s="324" t="s">
        <v>670</v>
      </c>
      <c r="G400" s="144" t="n">
        <v>24</v>
      </c>
      <c r="H400" s="325" t="n">
        <v>366.942148760331</v>
      </c>
      <c r="I400" s="315"/>
      <c r="J400" s="144"/>
      <c r="K400" s="310"/>
      <c r="L400" s="311" t="n">
        <v>129</v>
      </c>
      <c r="M400" s="311" t="n">
        <v>19</v>
      </c>
      <c r="N400" s="144" t="n">
        <v>19</v>
      </c>
      <c r="O400" s="310"/>
      <c r="P400" s="311" t="n">
        <v>0</v>
      </c>
      <c r="Q400" s="311" t="n">
        <v>0</v>
      </c>
      <c r="R400" s="311" t="n">
        <v>0</v>
      </c>
      <c r="S400" s="311" t="n">
        <v>0</v>
      </c>
      <c r="T400" s="144" t="n">
        <v>0</v>
      </c>
      <c r="V400" s="144" t="n">
        <v>0</v>
      </c>
    </row>
    <row r="401" s="2" customFormat="true" ht="12.75" hidden="false" customHeight="false" outlineLevel="0" collapsed="false">
      <c r="B401" s="304" t="s">
        <v>200</v>
      </c>
      <c r="C401" s="305" t="s">
        <v>682</v>
      </c>
      <c r="D401" s="306" t="n">
        <v>367</v>
      </c>
      <c r="E401" s="306" t="n">
        <v>0</v>
      </c>
      <c r="F401" s="306" t="s">
        <v>670</v>
      </c>
      <c r="G401" s="307" t="n">
        <v>48</v>
      </c>
      <c r="H401" s="308" t="n">
        <v>366.942148760331</v>
      </c>
      <c r="I401" s="315"/>
      <c r="J401" s="144"/>
      <c r="K401" s="310"/>
      <c r="L401" s="311" t="n">
        <v>129</v>
      </c>
      <c r="M401" s="311" t="n">
        <v>19</v>
      </c>
      <c r="N401" s="144" t="n">
        <v>19</v>
      </c>
      <c r="O401" s="310"/>
      <c r="P401" s="311" t="n">
        <v>0</v>
      </c>
      <c r="Q401" s="311" t="n">
        <v>0</v>
      </c>
      <c r="R401" s="311" t="n">
        <v>0</v>
      </c>
      <c r="S401" s="311" t="n">
        <v>0</v>
      </c>
      <c r="T401" s="144" t="n">
        <v>0</v>
      </c>
      <c r="V401" s="144" t="n">
        <v>0</v>
      </c>
    </row>
    <row r="402" s="2" customFormat="true" ht="12.75" hidden="false" customHeight="false" outlineLevel="0" collapsed="false">
      <c r="B402" s="304" t="s">
        <v>683</v>
      </c>
      <c r="C402" s="305" t="s">
        <v>684</v>
      </c>
      <c r="D402" s="306" t="n">
        <v>434</v>
      </c>
      <c r="E402" s="306" t="n">
        <v>0</v>
      </c>
      <c r="F402" s="324" t="s">
        <v>670</v>
      </c>
      <c r="G402" s="144" t="n">
        <v>24</v>
      </c>
      <c r="H402" s="325" t="n">
        <v>407.438016528926</v>
      </c>
      <c r="I402" s="315"/>
      <c r="J402" s="144"/>
      <c r="K402" s="310"/>
      <c r="L402" s="311" t="n">
        <v>139</v>
      </c>
      <c r="M402" s="311" t="n">
        <v>19</v>
      </c>
      <c r="N402" s="144" t="n">
        <v>19</v>
      </c>
      <c r="O402" s="310"/>
      <c r="P402" s="311" t="n">
        <v>0</v>
      </c>
      <c r="Q402" s="311" t="n">
        <v>0</v>
      </c>
      <c r="R402" s="311" t="n">
        <v>0</v>
      </c>
      <c r="S402" s="311" t="n">
        <v>0</v>
      </c>
      <c r="T402" s="144" t="n">
        <v>0</v>
      </c>
      <c r="V402" s="144" t="n">
        <v>27</v>
      </c>
    </row>
    <row r="403" s="2" customFormat="true" ht="12.75" hidden="false" customHeight="false" outlineLevel="0" collapsed="false">
      <c r="B403" s="304" t="s">
        <v>683</v>
      </c>
      <c r="C403" s="305" t="s">
        <v>684</v>
      </c>
      <c r="D403" s="306" t="n">
        <v>434</v>
      </c>
      <c r="E403" s="306" t="n">
        <v>0</v>
      </c>
      <c r="F403" s="306" t="s">
        <v>670</v>
      </c>
      <c r="G403" s="307" t="n">
        <v>48</v>
      </c>
      <c r="H403" s="308" t="n">
        <v>407.438016528926</v>
      </c>
      <c r="I403" s="315"/>
      <c r="J403" s="144"/>
      <c r="K403" s="310"/>
      <c r="L403" s="311" t="n">
        <v>139</v>
      </c>
      <c r="M403" s="311" t="n">
        <v>19</v>
      </c>
      <c r="N403" s="144" t="n">
        <v>19</v>
      </c>
      <c r="O403" s="310"/>
      <c r="P403" s="311" t="n">
        <v>0</v>
      </c>
      <c r="Q403" s="311" t="n">
        <v>0</v>
      </c>
      <c r="R403" s="311" t="n">
        <v>0</v>
      </c>
      <c r="S403" s="311" t="n">
        <v>0</v>
      </c>
      <c r="T403" s="144" t="n">
        <v>0</v>
      </c>
      <c r="V403" s="144" t="n">
        <v>27</v>
      </c>
    </row>
    <row r="404" s="2" customFormat="true" ht="12.75" hidden="false" customHeight="false" outlineLevel="0" collapsed="false">
      <c r="B404" s="304" t="s">
        <v>683</v>
      </c>
      <c r="C404" s="305" t="s">
        <v>685</v>
      </c>
      <c r="D404" s="306" t="n">
        <v>148</v>
      </c>
      <c r="E404" s="306" t="n">
        <v>0</v>
      </c>
      <c r="F404" s="324" t="s">
        <v>670</v>
      </c>
      <c r="G404" s="144" t="n">
        <v>24</v>
      </c>
      <c r="H404" s="325" t="n">
        <v>91.7355371900826</v>
      </c>
      <c r="I404" s="315"/>
      <c r="J404" s="144"/>
      <c r="K404" s="310"/>
      <c r="L404" s="311" t="n">
        <v>0</v>
      </c>
      <c r="M404" s="311" t="n">
        <v>0</v>
      </c>
      <c r="N404" s="144" t="n">
        <v>0</v>
      </c>
      <c r="O404" s="310"/>
      <c r="P404" s="311" t="n">
        <v>0</v>
      </c>
      <c r="Q404" s="311" t="n">
        <v>0</v>
      </c>
      <c r="R404" s="311" t="n">
        <v>0</v>
      </c>
      <c r="S404" s="311" t="n">
        <v>0</v>
      </c>
      <c r="T404" s="144" t="n">
        <v>0</v>
      </c>
      <c r="V404" s="144" t="n">
        <v>56</v>
      </c>
    </row>
    <row r="405" s="2" customFormat="true" ht="12.75" hidden="false" customHeight="false" outlineLevel="0" collapsed="false">
      <c r="B405" s="304" t="s">
        <v>683</v>
      </c>
      <c r="C405" s="305" t="s">
        <v>685</v>
      </c>
      <c r="D405" s="306" t="n">
        <v>148</v>
      </c>
      <c r="E405" s="306" t="n">
        <v>0</v>
      </c>
      <c r="F405" s="306" t="s">
        <v>670</v>
      </c>
      <c r="G405" s="307" t="n">
        <v>48</v>
      </c>
      <c r="H405" s="308" t="n">
        <v>91.7355371900826</v>
      </c>
      <c r="I405" s="315"/>
      <c r="J405" s="144"/>
      <c r="K405" s="310"/>
      <c r="L405" s="311" t="n">
        <v>0</v>
      </c>
      <c r="M405" s="311" t="n">
        <v>0</v>
      </c>
      <c r="N405" s="144" t="n">
        <v>0</v>
      </c>
      <c r="O405" s="310"/>
      <c r="P405" s="311" t="n">
        <v>0</v>
      </c>
      <c r="Q405" s="311" t="n">
        <v>0</v>
      </c>
      <c r="R405" s="311" t="n">
        <v>0</v>
      </c>
      <c r="S405" s="311" t="n">
        <v>0</v>
      </c>
      <c r="T405" s="144" t="n">
        <v>0</v>
      </c>
      <c r="V405" s="144" t="n">
        <v>56</v>
      </c>
    </row>
    <row r="406" s="2" customFormat="true" ht="12.75" hidden="false" customHeight="false" outlineLevel="0" collapsed="false">
      <c r="B406" s="304" t="s">
        <v>686</v>
      </c>
      <c r="C406" s="327" t="s">
        <v>687</v>
      </c>
      <c r="D406" s="306" t="n">
        <v>364</v>
      </c>
      <c r="E406" s="306" t="n">
        <v>0</v>
      </c>
      <c r="F406" s="324" t="s">
        <v>670</v>
      </c>
      <c r="G406" s="144" t="n">
        <v>24</v>
      </c>
      <c r="H406" s="325" t="n">
        <v>320.661157024793</v>
      </c>
      <c r="I406" s="315"/>
      <c r="J406" s="144"/>
      <c r="K406" s="310"/>
      <c r="L406" s="311" t="n">
        <v>99</v>
      </c>
      <c r="M406" s="311" t="n">
        <v>19</v>
      </c>
      <c r="N406" s="144" t="n">
        <v>19</v>
      </c>
      <c r="O406" s="310"/>
      <c r="P406" s="311" t="n">
        <v>0</v>
      </c>
      <c r="Q406" s="311" t="n">
        <v>0</v>
      </c>
      <c r="R406" s="311" t="n">
        <v>0</v>
      </c>
      <c r="S406" s="311" t="n">
        <v>0</v>
      </c>
      <c r="T406" s="144" t="n">
        <v>0</v>
      </c>
      <c r="V406" s="144" t="n">
        <v>43</v>
      </c>
    </row>
    <row r="407" s="2" customFormat="true" ht="12.75" hidden="false" customHeight="false" outlineLevel="0" collapsed="false">
      <c r="B407" s="304" t="s">
        <v>686</v>
      </c>
      <c r="C407" s="327" t="s">
        <v>687</v>
      </c>
      <c r="D407" s="306" t="n">
        <v>364</v>
      </c>
      <c r="E407" s="306" t="n">
        <v>0</v>
      </c>
      <c r="F407" s="306" t="s">
        <v>670</v>
      </c>
      <c r="G407" s="307" t="n">
        <v>48</v>
      </c>
      <c r="H407" s="308" t="n">
        <v>320.661157024793</v>
      </c>
      <c r="I407" s="315"/>
      <c r="J407" s="144"/>
      <c r="K407" s="310"/>
      <c r="L407" s="311" t="n">
        <v>99</v>
      </c>
      <c r="M407" s="311" t="n">
        <v>19</v>
      </c>
      <c r="N407" s="144" t="n">
        <v>19</v>
      </c>
      <c r="O407" s="310"/>
      <c r="P407" s="311" t="n">
        <v>0</v>
      </c>
      <c r="Q407" s="311" t="n">
        <v>0</v>
      </c>
      <c r="R407" s="311" t="n">
        <v>0</v>
      </c>
      <c r="S407" s="311" t="n">
        <v>0</v>
      </c>
      <c r="T407" s="144" t="n">
        <v>0</v>
      </c>
      <c r="V407" s="144" t="n">
        <v>43</v>
      </c>
    </row>
    <row r="408" customFormat="false" ht="12.75" hidden="false" customHeight="false" outlineLevel="0" collapsed="false">
      <c r="B408" s="304" t="s">
        <v>497</v>
      </c>
      <c r="C408" s="305" t="s">
        <v>688</v>
      </c>
      <c r="D408" s="306" t="n">
        <v>116</v>
      </c>
      <c r="E408" s="306" t="n">
        <v>0</v>
      </c>
      <c r="F408" s="324" t="s">
        <v>670</v>
      </c>
      <c r="G408" s="144" t="n">
        <v>24</v>
      </c>
      <c r="H408" s="325" t="n">
        <v>85.1239669421488</v>
      </c>
      <c r="I408" s="315"/>
      <c r="J408" s="144" t="s">
        <v>12</v>
      </c>
      <c r="K408" s="310"/>
      <c r="L408" s="311" t="n">
        <v>0</v>
      </c>
      <c r="M408" s="311" t="n">
        <v>0</v>
      </c>
      <c r="N408" s="144" t="n">
        <v>0</v>
      </c>
      <c r="O408" s="310"/>
      <c r="P408" s="311" t="n">
        <v>0</v>
      </c>
      <c r="Q408" s="311" t="n">
        <v>0</v>
      </c>
      <c r="R408" s="311" t="n">
        <v>0</v>
      </c>
      <c r="S408" s="311" t="n">
        <v>0</v>
      </c>
      <c r="T408" s="144" t="n">
        <v>0</v>
      </c>
      <c r="U408" s="310"/>
      <c r="V408" s="144" t="n">
        <v>31</v>
      </c>
      <c r="W408" s="315"/>
    </row>
    <row r="409" customFormat="false" ht="12.75" hidden="false" customHeight="false" outlineLevel="0" collapsed="false">
      <c r="B409" s="304" t="s">
        <v>200</v>
      </c>
      <c r="C409" s="305" t="s">
        <v>689</v>
      </c>
      <c r="D409" s="306" t="n">
        <v>215</v>
      </c>
      <c r="E409" s="306" t="n">
        <v>0</v>
      </c>
      <c r="F409" s="306" t="s">
        <v>670</v>
      </c>
      <c r="G409" s="307" t="n">
        <v>24</v>
      </c>
      <c r="H409" s="308" t="n">
        <v>214.04958677686</v>
      </c>
      <c r="I409" s="315"/>
      <c r="J409" s="144" t="s">
        <v>12</v>
      </c>
      <c r="K409" s="310"/>
      <c r="L409" s="311" t="n">
        <v>39</v>
      </c>
      <c r="M409" s="311" t="n">
        <v>0</v>
      </c>
      <c r="N409" s="144" t="n">
        <v>0</v>
      </c>
      <c r="O409" s="310"/>
      <c r="P409" s="311" t="n">
        <v>0</v>
      </c>
      <c r="Q409" s="311" t="n">
        <v>0</v>
      </c>
      <c r="R409" s="311" t="n">
        <v>0</v>
      </c>
      <c r="S409" s="311" t="n">
        <v>0</v>
      </c>
      <c r="T409" s="144" t="n">
        <v>0</v>
      </c>
      <c r="U409" s="310"/>
      <c r="V409" s="144" t="n">
        <v>1</v>
      </c>
      <c r="W409" s="315"/>
    </row>
    <row r="410" customFormat="false" ht="12.75" hidden="false" customHeight="false" outlineLevel="0" collapsed="false">
      <c r="B410" s="304" t="s">
        <v>200</v>
      </c>
      <c r="C410" s="305" t="s">
        <v>689</v>
      </c>
      <c r="D410" s="306" t="n">
        <v>215</v>
      </c>
      <c r="E410" s="306" t="n">
        <v>0</v>
      </c>
      <c r="F410" s="324" t="s">
        <v>670</v>
      </c>
      <c r="G410" s="144" t="n">
        <v>48</v>
      </c>
      <c r="H410" s="325" t="n">
        <v>214.04958677686</v>
      </c>
      <c r="I410" s="315"/>
      <c r="J410" s="144" t="s">
        <v>12</v>
      </c>
      <c r="K410" s="310"/>
      <c r="L410" s="311" t="n">
        <v>39</v>
      </c>
      <c r="M410" s="311" t="n">
        <v>0</v>
      </c>
      <c r="N410" s="144" t="n">
        <v>0</v>
      </c>
      <c r="O410" s="310"/>
      <c r="P410" s="311" t="n">
        <v>0</v>
      </c>
      <c r="Q410" s="311" t="n">
        <v>0</v>
      </c>
      <c r="R410" s="311" t="n">
        <v>0</v>
      </c>
      <c r="S410" s="311" t="n">
        <v>0</v>
      </c>
      <c r="T410" s="144" t="n">
        <v>0</v>
      </c>
      <c r="U410" s="310"/>
      <c r="V410" s="144" t="n">
        <v>1</v>
      </c>
      <c r="W410" s="315"/>
    </row>
    <row r="411" customFormat="false" ht="12.75" hidden="false" customHeight="false" outlineLevel="0" collapsed="false">
      <c r="B411" s="304" t="s">
        <v>497</v>
      </c>
      <c r="C411" s="305" t="s">
        <v>690</v>
      </c>
      <c r="D411" s="306" t="n">
        <v>188</v>
      </c>
      <c r="E411" s="306" t="n">
        <v>0</v>
      </c>
      <c r="F411" s="306" t="s">
        <v>670</v>
      </c>
      <c r="G411" s="307" t="n">
        <v>24</v>
      </c>
      <c r="H411" s="308" t="n">
        <v>172.727272727273</v>
      </c>
      <c r="I411" s="315"/>
      <c r="J411" s="144" t="s">
        <v>12</v>
      </c>
      <c r="K411" s="310"/>
      <c r="L411" s="311" t="n">
        <v>29</v>
      </c>
      <c r="M411" s="311" t="n">
        <v>0</v>
      </c>
      <c r="N411" s="144" t="n">
        <v>0</v>
      </c>
      <c r="O411" s="310"/>
      <c r="P411" s="311" t="n">
        <v>0</v>
      </c>
      <c r="Q411" s="311" t="n">
        <v>0</v>
      </c>
      <c r="R411" s="311" t="n">
        <v>0</v>
      </c>
      <c r="S411" s="311" t="n">
        <v>0</v>
      </c>
      <c r="T411" s="144" t="n">
        <v>0</v>
      </c>
      <c r="U411" s="310"/>
      <c r="V411" s="144" t="n">
        <v>15</v>
      </c>
      <c r="W411" s="315"/>
    </row>
    <row r="412" customFormat="false" ht="12.75" hidden="false" customHeight="false" outlineLevel="0" collapsed="false">
      <c r="B412" s="304" t="s">
        <v>497</v>
      </c>
      <c r="C412" s="305" t="s">
        <v>690</v>
      </c>
      <c r="D412" s="306" t="n">
        <v>188</v>
      </c>
      <c r="E412" s="306" t="n">
        <v>0</v>
      </c>
      <c r="F412" s="324" t="s">
        <v>670</v>
      </c>
      <c r="G412" s="144" t="n">
        <v>48</v>
      </c>
      <c r="H412" s="325" t="n">
        <v>172.727272727273</v>
      </c>
      <c r="I412" s="315"/>
      <c r="J412" s="144" t="s">
        <v>12</v>
      </c>
      <c r="K412" s="310"/>
      <c r="L412" s="311" t="n">
        <v>29</v>
      </c>
      <c r="M412" s="311" t="n">
        <v>0</v>
      </c>
      <c r="N412" s="144" t="n">
        <v>0</v>
      </c>
      <c r="O412" s="310"/>
      <c r="P412" s="311" t="n">
        <v>0</v>
      </c>
      <c r="Q412" s="311" t="n">
        <v>0</v>
      </c>
      <c r="R412" s="311" t="n">
        <v>0</v>
      </c>
      <c r="S412" s="311" t="n">
        <v>0</v>
      </c>
      <c r="T412" s="144" t="n">
        <v>0</v>
      </c>
      <c r="U412" s="310"/>
      <c r="V412" s="144" t="n">
        <v>15</v>
      </c>
      <c r="W412" s="315"/>
    </row>
    <row r="413" customFormat="false" ht="12.75" hidden="false" customHeight="false" outlineLevel="0" collapsed="false">
      <c r="B413" s="304" t="s">
        <v>497</v>
      </c>
      <c r="C413" s="305" t="s">
        <v>691</v>
      </c>
      <c r="D413" s="306" t="n">
        <v>374</v>
      </c>
      <c r="E413" s="306" t="n">
        <v>0</v>
      </c>
      <c r="F413" s="306" t="s">
        <v>670</v>
      </c>
      <c r="G413" s="307" t="n">
        <v>24</v>
      </c>
      <c r="H413" s="308" t="n">
        <v>343.801652892562</v>
      </c>
      <c r="I413" s="315"/>
      <c r="J413" s="144" t="s">
        <v>12</v>
      </c>
      <c r="K413" s="310"/>
      <c r="L413" s="311" t="n">
        <v>109</v>
      </c>
      <c r="M413" s="311" t="n">
        <v>19</v>
      </c>
      <c r="N413" s="144" t="n">
        <v>19</v>
      </c>
      <c r="O413" s="310"/>
      <c r="P413" s="311" t="n">
        <v>0</v>
      </c>
      <c r="Q413" s="311" t="n">
        <v>0</v>
      </c>
      <c r="R413" s="311" t="n">
        <v>0</v>
      </c>
      <c r="S413" s="311" t="n">
        <v>0</v>
      </c>
      <c r="T413" s="144" t="n">
        <v>0</v>
      </c>
      <c r="U413" s="310"/>
      <c r="V413" s="144" t="n">
        <v>30</v>
      </c>
      <c r="W413" s="315"/>
    </row>
    <row r="414" customFormat="false" ht="12.75" hidden="false" customHeight="false" outlineLevel="0" collapsed="false">
      <c r="B414" s="304" t="s">
        <v>497</v>
      </c>
      <c r="C414" s="305" t="s">
        <v>691</v>
      </c>
      <c r="D414" s="306" t="n">
        <v>374</v>
      </c>
      <c r="E414" s="306" t="n">
        <v>0</v>
      </c>
      <c r="F414" s="324" t="s">
        <v>670</v>
      </c>
      <c r="G414" s="144" t="n">
        <v>48</v>
      </c>
      <c r="H414" s="325" t="n">
        <v>343.801652892562</v>
      </c>
      <c r="I414" s="315"/>
      <c r="J414" s="144" t="s">
        <v>12</v>
      </c>
      <c r="K414" s="310"/>
      <c r="L414" s="311" t="n">
        <v>109</v>
      </c>
      <c r="M414" s="311" t="n">
        <v>19</v>
      </c>
      <c r="N414" s="144" t="n">
        <v>19</v>
      </c>
      <c r="O414" s="310"/>
      <c r="P414" s="311" t="n">
        <v>0</v>
      </c>
      <c r="Q414" s="311" t="n">
        <v>0</v>
      </c>
      <c r="R414" s="311" t="n">
        <v>0</v>
      </c>
      <c r="S414" s="311" t="n">
        <v>0</v>
      </c>
      <c r="T414" s="144" t="n">
        <v>0</v>
      </c>
      <c r="U414" s="310"/>
      <c r="V414" s="144" t="n">
        <v>30</v>
      </c>
      <c r="W414" s="315"/>
    </row>
    <row r="415" s="2" customFormat="true" ht="12.75" hidden="false" customHeight="false" outlineLevel="0" collapsed="false">
      <c r="B415" s="304" t="s">
        <v>692</v>
      </c>
      <c r="C415" s="327" t="s">
        <v>693</v>
      </c>
      <c r="D415" s="306" t="n">
        <v>324</v>
      </c>
      <c r="E415" s="306" t="n">
        <v>0</v>
      </c>
      <c r="F415" s="306" t="s">
        <v>670</v>
      </c>
      <c r="G415" s="307" t="n">
        <v>24</v>
      </c>
      <c r="H415" s="308" t="n">
        <v>298.347107438017</v>
      </c>
      <c r="I415" s="315"/>
      <c r="J415" s="144" t="s">
        <v>12</v>
      </c>
      <c r="K415" s="310"/>
      <c r="L415" s="311" t="n">
        <v>99</v>
      </c>
      <c r="M415" s="311" t="n">
        <v>19</v>
      </c>
      <c r="N415" s="144" t="n">
        <v>19</v>
      </c>
      <c r="O415" s="310"/>
      <c r="P415" s="311" t="n">
        <v>0</v>
      </c>
      <c r="Q415" s="311" t="n">
        <v>0</v>
      </c>
      <c r="R415" s="311" t="n">
        <v>0</v>
      </c>
      <c r="S415" s="311" t="n">
        <v>0</v>
      </c>
      <c r="T415" s="144" t="n">
        <v>0</v>
      </c>
      <c r="V415" s="144" t="n">
        <v>26</v>
      </c>
    </row>
    <row r="416" s="2" customFormat="true" ht="12.75" hidden="false" customHeight="false" outlineLevel="0" collapsed="false">
      <c r="B416" s="304" t="s">
        <v>692</v>
      </c>
      <c r="C416" s="327" t="s">
        <v>693</v>
      </c>
      <c r="D416" s="306" t="n">
        <v>324</v>
      </c>
      <c r="E416" s="306" t="n">
        <v>0</v>
      </c>
      <c r="F416" s="324" t="s">
        <v>670</v>
      </c>
      <c r="G416" s="144" t="n">
        <v>48</v>
      </c>
      <c r="H416" s="325" t="n">
        <v>298.347107438017</v>
      </c>
      <c r="I416" s="315"/>
      <c r="J416" s="144" t="s">
        <v>12</v>
      </c>
      <c r="K416" s="310"/>
      <c r="L416" s="311" t="n">
        <v>99</v>
      </c>
      <c r="M416" s="311" t="n">
        <v>19</v>
      </c>
      <c r="N416" s="144" t="n">
        <v>19</v>
      </c>
      <c r="O416" s="310"/>
      <c r="P416" s="311" t="n">
        <v>0</v>
      </c>
      <c r="Q416" s="311" t="n">
        <v>0</v>
      </c>
      <c r="R416" s="311" t="n">
        <v>0</v>
      </c>
      <c r="S416" s="311" t="n">
        <v>0</v>
      </c>
      <c r="T416" s="144" t="n">
        <v>0</v>
      </c>
      <c r="V416" s="144" t="n">
        <v>26</v>
      </c>
    </row>
    <row r="417" s="2" customFormat="true" ht="12.75" hidden="false" customHeight="false" outlineLevel="0" collapsed="false">
      <c r="B417" s="304" t="s">
        <v>694</v>
      </c>
      <c r="C417" s="305" t="s">
        <v>695</v>
      </c>
      <c r="D417" s="306" t="n">
        <v>53</v>
      </c>
      <c r="E417" s="306" t="n">
        <v>5.25</v>
      </c>
      <c r="F417" s="306" t="s">
        <v>696</v>
      </c>
      <c r="G417" s="307" t="n">
        <v>24</v>
      </c>
      <c r="H417" s="308" t="n">
        <v>52.8925619834711</v>
      </c>
      <c r="I417" s="315"/>
      <c r="J417" s="144" t="s">
        <v>12</v>
      </c>
      <c r="K417" s="310"/>
      <c r="L417" s="311" t="n">
        <v>0</v>
      </c>
      <c r="M417" s="311" t="n">
        <v>0</v>
      </c>
      <c r="N417" s="144" t="n">
        <v>0</v>
      </c>
      <c r="O417" s="310"/>
      <c r="P417" s="311" t="n">
        <v>0</v>
      </c>
      <c r="Q417" s="311" t="n">
        <v>0</v>
      </c>
      <c r="R417" s="311" t="n">
        <v>0</v>
      </c>
      <c r="S417" s="311" t="n">
        <v>0</v>
      </c>
      <c r="T417" s="144" t="n">
        <v>0</v>
      </c>
      <c r="V417" s="144" t="n">
        <v>0</v>
      </c>
    </row>
    <row r="418" s="2" customFormat="true" ht="12.75" hidden="false" customHeight="false" outlineLevel="0" collapsed="false">
      <c r="B418" s="304" t="s">
        <v>694</v>
      </c>
      <c r="C418" s="305" t="s">
        <v>697</v>
      </c>
      <c r="D418" s="306" t="n">
        <v>191</v>
      </c>
      <c r="E418" s="306" t="n">
        <v>5.25</v>
      </c>
      <c r="F418" s="324" t="s">
        <v>696</v>
      </c>
      <c r="G418" s="144" t="n">
        <v>24</v>
      </c>
      <c r="H418" s="325" t="n">
        <v>182.644628099174</v>
      </c>
      <c r="I418" s="315"/>
      <c r="J418" s="144" t="s">
        <v>12</v>
      </c>
      <c r="K418" s="310"/>
      <c r="L418" s="311" t="n">
        <v>29</v>
      </c>
      <c r="M418" s="311" t="n">
        <v>0</v>
      </c>
      <c r="N418" s="144" t="n">
        <v>0</v>
      </c>
      <c r="O418" s="310"/>
      <c r="P418" s="311" t="n">
        <v>0</v>
      </c>
      <c r="Q418" s="311" t="n">
        <v>0</v>
      </c>
      <c r="R418" s="311" t="n">
        <v>0</v>
      </c>
      <c r="S418" s="311" t="n">
        <v>0</v>
      </c>
      <c r="T418" s="144" t="n">
        <v>0</v>
      </c>
      <c r="V418" s="144" t="n">
        <v>8</v>
      </c>
    </row>
    <row r="419" s="2" customFormat="true" ht="12.75" hidden="false" customHeight="false" outlineLevel="0" collapsed="false">
      <c r="B419" s="304" t="s">
        <v>694</v>
      </c>
      <c r="C419" s="305" t="s">
        <v>698</v>
      </c>
      <c r="D419" s="306" t="n">
        <v>51</v>
      </c>
      <c r="E419" s="306" t="n">
        <v>5.25</v>
      </c>
      <c r="F419" s="306" t="s">
        <v>696</v>
      </c>
      <c r="G419" s="307" t="n">
        <v>24</v>
      </c>
      <c r="H419" s="308" t="n">
        <v>57.0247933884298</v>
      </c>
      <c r="I419" s="315"/>
      <c r="J419" s="144"/>
      <c r="K419" s="310"/>
      <c r="L419" s="311" t="n">
        <v>0</v>
      </c>
      <c r="M419" s="311" t="n">
        <v>0</v>
      </c>
      <c r="N419" s="144" t="n">
        <v>0</v>
      </c>
      <c r="O419" s="310"/>
      <c r="P419" s="311" t="n">
        <v>0</v>
      </c>
      <c r="Q419" s="311" t="n">
        <v>0</v>
      </c>
      <c r="R419" s="311" t="n">
        <v>0</v>
      </c>
      <c r="S419" s="311" t="n">
        <v>0</v>
      </c>
      <c r="T419" s="144" t="n">
        <v>0</v>
      </c>
      <c r="V419" s="144" t="n">
        <v>-6</v>
      </c>
    </row>
    <row r="420" s="2" customFormat="true" ht="12.75" hidden="false" customHeight="false" outlineLevel="0" collapsed="false">
      <c r="B420" s="304" t="s">
        <v>184</v>
      </c>
      <c r="C420" s="305" t="s">
        <v>699</v>
      </c>
      <c r="D420" s="306" t="n">
        <v>140</v>
      </c>
      <c r="E420" s="306" t="n">
        <v>0</v>
      </c>
      <c r="F420" s="324" t="s">
        <v>696</v>
      </c>
      <c r="G420" s="144" t="n">
        <v>24</v>
      </c>
      <c r="H420" s="325" t="n">
        <v>139.669421487603</v>
      </c>
      <c r="I420" s="315"/>
      <c r="J420" s="144"/>
      <c r="K420" s="310"/>
      <c r="L420" s="311" t="n">
        <v>29</v>
      </c>
      <c r="M420" s="311" t="n">
        <v>0</v>
      </c>
      <c r="N420" s="144" t="n">
        <v>0</v>
      </c>
      <c r="O420" s="310"/>
      <c r="P420" s="311" t="n">
        <v>0</v>
      </c>
      <c r="Q420" s="311" t="n">
        <v>0</v>
      </c>
      <c r="R420" s="311" t="n">
        <v>0</v>
      </c>
      <c r="S420" s="311" t="n">
        <v>0</v>
      </c>
      <c r="T420" s="144" t="n">
        <v>0</v>
      </c>
      <c r="V420" s="144" t="n">
        <v>0</v>
      </c>
    </row>
    <row r="421" s="2" customFormat="true" ht="12.75" hidden="false" customHeight="false" outlineLevel="0" collapsed="false">
      <c r="B421" s="304" t="s">
        <v>497</v>
      </c>
      <c r="C421" s="305" t="s">
        <v>700</v>
      </c>
      <c r="D421" s="306" t="n">
        <v>40</v>
      </c>
      <c r="E421" s="306" t="n">
        <v>0</v>
      </c>
      <c r="F421" s="306" t="s">
        <v>678</v>
      </c>
      <c r="G421" s="307" t="n">
        <v>24</v>
      </c>
      <c r="H421" s="308" t="n">
        <v>39.6694214876033</v>
      </c>
      <c r="I421" s="315"/>
      <c r="J421" s="144"/>
      <c r="K421" s="310"/>
      <c r="L421" s="311" t="n">
        <v>0</v>
      </c>
      <c r="M421" s="311" t="n">
        <v>0</v>
      </c>
      <c r="N421" s="144" t="n">
        <v>0</v>
      </c>
      <c r="O421" s="310"/>
      <c r="P421" s="311" t="n">
        <v>0</v>
      </c>
      <c r="Q421" s="311" t="n">
        <v>0</v>
      </c>
      <c r="R421" s="311" t="n">
        <v>0</v>
      </c>
      <c r="S421" s="311" t="n">
        <v>0</v>
      </c>
      <c r="T421" s="144" t="n">
        <v>0</v>
      </c>
      <c r="V421" s="144" t="n">
        <v>0</v>
      </c>
    </row>
    <row r="422" s="2" customFormat="true" ht="12.75" hidden="false" customHeight="false" outlineLevel="0" collapsed="false">
      <c r="B422" s="304" t="s">
        <v>655</v>
      </c>
      <c r="C422" s="327" t="s">
        <v>701</v>
      </c>
      <c r="D422" s="306" t="n">
        <v>249</v>
      </c>
      <c r="E422" s="306" t="n">
        <v>0</v>
      </c>
      <c r="F422" s="324" t="s">
        <v>678</v>
      </c>
      <c r="G422" s="144" t="n">
        <v>24</v>
      </c>
      <c r="H422" s="325" t="n">
        <v>219.834710743802</v>
      </c>
      <c r="I422" s="315"/>
      <c r="J422" s="144"/>
      <c r="K422" s="310"/>
      <c r="L422" s="311" t="n">
        <v>39</v>
      </c>
      <c r="M422" s="311" t="n">
        <v>0</v>
      </c>
      <c r="N422" s="144" t="n">
        <v>0</v>
      </c>
      <c r="O422" s="310"/>
      <c r="P422" s="311" t="n">
        <v>0</v>
      </c>
      <c r="Q422" s="311" t="n">
        <v>0</v>
      </c>
      <c r="R422" s="311" t="n">
        <v>0</v>
      </c>
      <c r="S422" s="311" t="n">
        <v>0</v>
      </c>
      <c r="T422" s="144" t="n">
        <v>0</v>
      </c>
      <c r="V422" s="144" t="n">
        <v>29</v>
      </c>
    </row>
    <row r="423" s="2" customFormat="true" ht="12.75" hidden="false" customHeight="false" outlineLevel="0" collapsed="false">
      <c r="B423" s="304" t="s">
        <v>655</v>
      </c>
      <c r="C423" s="327" t="s">
        <v>701</v>
      </c>
      <c r="D423" s="306" t="n">
        <v>249</v>
      </c>
      <c r="E423" s="306" t="n">
        <v>0</v>
      </c>
      <c r="F423" s="306" t="s">
        <v>678</v>
      </c>
      <c r="G423" s="307" t="n">
        <v>48</v>
      </c>
      <c r="H423" s="308" t="n">
        <v>219.834710743802</v>
      </c>
      <c r="I423" s="315"/>
      <c r="J423" s="144"/>
      <c r="K423" s="310"/>
      <c r="L423" s="311" t="n">
        <v>39</v>
      </c>
      <c r="M423" s="311" t="n">
        <v>0</v>
      </c>
      <c r="N423" s="144" t="n">
        <v>0</v>
      </c>
      <c r="O423" s="310"/>
      <c r="P423" s="311" t="n">
        <v>0</v>
      </c>
      <c r="Q423" s="311" t="n">
        <v>0</v>
      </c>
      <c r="R423" s="311" t="n">
        <v>0</v>
      </c>
      <c r="S423" s="311" t="n">
        <v>0</v>
      </c>
      <c r="T423" s="144" t="n">
        <v>0</v>
      </c>
      <c r="V423" s="144" t="n">
        <v>29</v>
      </c>
    </row>
    <row r="424" s="2" customFormat="true" ht="12.75" hidden="false" customHeight="false" outlineLevel="0" collapsed="false">
      <c r="B424" s="304" t="s">
        <v>655</v>
      </c>
      <c r="C424" s="327" t="s">
        <v>702</v>
      </c>
      <c r="D424" s="306" t="n">
        <v>515</v>
      </c>
      <c r="E424" s="306" t="n">
        <v>0</v>
      </c>
      <c r="F424" s="324" t="s">
        <v>678</v>
      </c>
      <c r="G424" s="144" t="n">
        <v>24</v>
      </c>
      <c r="H424" s="325" t="n">
        <v>457.02479338843</v>
      </c>
      <c r="I424" s="315"/>
      <c r="J424" s="144"/>
      <c r="K424" s="310"/>
      <c r="L424" s="311" t="n">
        <v>149</v>
      </c>
      <c r="M424" s="311" t="n">
        <v>19</v>
      </c>
      <c r="N424" s="144" t="n">
        <v>19</v>
      </c>
      <c r="O424" s="310"/>
      <c r="P424" s="311" t="n">
        <v>0</v>
      </c>
      <c r="Q424" s="311" t="n">
        <v>0</v>
      </c>
      <c r="R424" s="311" t="n">
        <v>0</v>
      </c>
      <c r="S424" s="311" t="n">
        <v>0</v>
      </c>
      <c r="T424" s="144" t="n">
        <v>0</v>
      </c>
      <c r="V424" s="144" t="n">
        <v>58</v>
      </c>
    </row>
    <row r="425" s="2" customFormat="true" ht="12.75" hidden="false" customHeight="false" outlineLevel="0" collapsed="false">
      <c r="B425" s="304" t="s">
        <v>655</v>
      </c>
      <c r="C425" s="327" t="s">
        <v>702</v>
      </c>
      <c r="D425" s="306" t="n">
        <v>515</v>
      </c>
      <c r="E425" s="306" t="n">
        <v>0</v>
      </c>
      <c r="F425" s="306" t="s">
        <v>678</v>
      </c>
      <c r="G425" s="307" t="n">
        <v>48</v>
      </c>
      <c r="H425" s="308" t="n">
        <v>457.02479338843</v>
      </c>
      <c r="I425" s="315"/>
      <c r="J425" s="144"/>
      <c r="K425" s="310"/>
      <c r="L425" s="311" t="n">
        <v>149</v>
      </c>
      <c r="M425" s="311" t="n">
        <v>19</v>
      </c>
      <c r="N425" s="144" t="n">
        <v>19</v>
      </c>
      <c r="O425" s="310"/>
      <c r="P425" s="311" t="n">
        <v>0</v>
      </c>
      <c r="Q425" s="311" t="n">
        <v>0</v>
      </c>
      <c r="R425" s="311" t="n">
        <v>0</v>
      </c>
      <c r="S425" s="311" t="n">
        <v>0</v>
      </c>
      <c r="T425" s="144" t="n">
        <v>0</v>
      </c>
      <c r="V425" s="144" t="n">
        <v>58</v>
      </c>
    </row>
    <row r="426" s="2" customFormat="true" ht="12.75" hidden="false" customHeight="false" outlineLevel="0" collapsed="false">
      <c r="B426" s="304" t="s">
        <v>655</v>
      </c>
      <c r="C426" s="327" t="s">
        <v>703</v>
      </c>
      <c r="D426" s="306" t="n">
        <v>362</v>
      </c>
      <c r="E426" s="306" t="n">
        <v>0</v>
      </c>
      <c r="F426" s="324" t="s">
        <v>678</v>
      </c>
      <c r="G426" s="144" t="n">
        <v>24</v>
      </c>
      <c r="H426" s="325" t="n">
        <v>289.256198347107</v>
      </c>
      <c r="I426" s="315"/>
      <c r="J426" s="144"/>
      <c r="K426" s="310"/>
      <c r="L426" s="311" t="n">
        <v>99</v>
      </c>
      <c r="M426" s="311" t="n">
        <v>19</v>
      </c>
      <c r="N426" s="144" t="n">
        <v>19</v>
      </c>
      <c r="O426" s="310"/>
      <c r="P426" s="311" t="n">
        <v>0</v>
      </c>
      <c r="Q426" s="311" t="n">
        <v>0</v>
      </c>
      <c r="R426" s="311" t="n">
        <v>0</v>
      </c>
      <c r="S426" s="311" t="n">
        <v>0</v>
      </c>
      <c r="T426" s="144" t="n">
        <v>0</v>
      </c>
      <c r="V426" s="144" t="n">
        <v>73</v>
      </c>
    </row>
    <row r="427" s="2" customFormat="true" ht="12.75" hidden="false" customHeight="false" outlineLevel="0" collapsed="false">
      <c r="B427" s="304" t="s">
        <v>655</v>
      </c>
      <c r="C427" s="327" t="s">
        <v>703</v>
      </c>
      <c r="D427" s="306" t="n">
        <v>362</v>
      </c>
      <c r="E427" s="306" t="n">
        <v>0</v>
      </c>
      <c r="F427" s="306" t="s">
        <v>678</v>
      </c>
      <c r="G427" s="307" t="n">
        <v>48</v>
      </c>
      <c r="H427" s="308" t="n">
        <v>289.256198347107</v>
      </c>
      <c r="I427" s="315"/>
      <c r="J427" s="144"/>
      <c r="K427" s="310"/>
      <c r="L427" s="311" t="n">
        <v>99</v>
      </c>
      <c r="M427" s="311" t="n">
        <v>19</v>
      </c>
      <c r="N427" s="144" t="n">
        <v>19</v>
      </c>
      <c r="O427" s="310"/>
      <c r="P427" s="311" t="n">
        <v>0</v>
      </c>
      <c r="Q427" s="311" t="n">
        <v>0</v>
      </c>
      <c r="R427" s="311" t="n">
        <v>0</v>
      </c>
      <c r="S427" s="311" t="n">
        <v>0</v>
      </c>
      <c r="T427" s="144" t="n">
        <v>0</v>
      </c>
      <c r="V427" s="144" t="n">
        <v>73</v>
      </c>
    </row>
    <row r="428" s="2" customFormat="true" ht="12.75" hidden="false" customHeight="false" outlineLevel="0" collapsed="false">
      <c r="B428" s="304" t="s">
        <v>450</v>
      </c>
      <c r="C428" s="305" t="s">
        <v>704</v>
      </c>
      <c r="D428" s="306" t="n">
        <v>62</v>
      </c>
      <c r="E428" s="306" t="n">
        <v>0</v>
      </c>
      <c r="F428" s="324" t="s">
        <v>705</v>
      </c>
      <c r="G428" s="144" t="n">
        <v>24</v>
      </c>
      <c r="H428" s="325" t="n">
        <v>45.4545454545455</v>
      </c>
      <c r="I428" s="315"/>
      <c r="J428" s="144"/>
      <c r="K428" s="310"/>
      <c r="L428" s="311" t="n">
        <v>0</v>
      </c>
      <c r="M428" s="311" t="n">
        <v>0</v>
      </c>
      <c r="N428" s="144" t="n">
        <v>0</v>
      </c>
      <c r="O428" s="310"/>
      <c r="P428" s="311" t="n">
        <v>0</v>
      </c>
      <c r="Q428" s="311" t="n">
        <v>0</v>
      </c>
      <c r="R428" s="311" t="n">
        <v>0</v>
      </c>
      <c r="S428" s="311" t="n">
        <v>0</v>
      </c>
      <c r="T428" s="144" t="n">
        <v>0</v>
      </c>
      <c r="V428" s="144" t="n">
        <v>17</v>
      </c>
    </row>
    <row r="429" s="2" customFormat="true" ht="12.75" hidden="false" customHeight="false" outlineLevel="0" collapsed="false">
      <c r="B429" s="304" t="s">
        <v>130</v>
      </c>
      <c r="C429" s="305" t="s">
        <v>706</v>
      </c>
      <c r="D429" s="306" t="n">
        <v>58</v>
      </c>
      <c r="E429" s="306" t="n">
        <v>0</v>
      </c>
      <c r="F429" s="306" t="s">
        <v>705</v>
      </c>
      <c r="G429" s="307" t="n">
        <v>24</v>
      </c>
      <c r="H429" s="308" t="n">
        <v>48.7603305785124</v>
      </c>
      <c r="I429" s="315"/>
      <c r="J429" s="144"/>
      <c r="K429" s="310"/>
      <c r="L429" s="311" t="n">
        <v>0</v>
      </c>
      <c r="M429" s="311" t="n">
        <v>0</v>
      </c>
      <c r="N429" s="144" t="n">
        <v>0</v>
      </c>
      <c r="O429" s="310"/>
      <c r="P429" s="311" t="n">
        <v>0</v>
      </c>
      <c r="Q429" s="311" t="n">
        <v>0</v>
      </c>
      <c r="R429" s="311" t="n">
        <v>0</v>
      </c>
      <c r="S429" s="311" t="n">
        <v>0</v>
      </c>
      <c r="T429" s="144" t="n">
        <v>0</v>
      </c>
      <c r="V429" s="144" t="n">
        <v>9</v>
      </c>
    </row>
    <row r="430" s="2" customFormat="true" ht="12.75" hidden="false" customHeight="false" outlineLevel="0" collapsed="false">
      <c r="B430" s="304" t="s">
        <v>130</v>
      </c>
      <c r="C430" s="327" t="s">
        <v>707</v>
      </c>
      <c r="D430" s="306" t="n">
        <v>63</v>
      </c>
      <c r="E430" s="306" t="n">
        <v>0</v>
      </c>
      <c r="F430" s="324" t="s">
        <v>705</v>
      </c>
      <c r="G430" s="144" t="n">
        <v>24</v>
      </c>
      <c r="H430" s="325" t="n">
        <v>57.0247933884298</v>
      </c>
      <c r="I430" s="315"/>
      <c r="J430" s="144"/>
      <c r="K430" s="310"/>
      <c r="L430" s="311" t="n">
        <v>0</v>
      </c>
      <c r="M430" s="311" t="n">
        <v>0</v>
      </c>
      <c r="N430" s="144" t="n">
        <v>0</v>
      </c>
      <c r="O430" s="310"/>
      <c r="P430" s="311" t="n">
        <v>0</v>
      </c>
      <c r="Q430" s="311" t="n">
        <v>0</v>
      </c>
      <c r="R430" s="311" t="n">
        <v>0</v>
      </c>
      <c r="S430" s="311" t="n">
        <v>0</v>
      </c>
      <c r="T430" s="144" t="n">
        <v>0</v>
      </c>
      <c r="V430" s="144" t="n">
        <v>6</v>
      </c>
    </row>
    <row r="431" s="2" customFormat="true" ht="12.75" hidden="false" customHeight="false" outlineLevel="0" collapsed="false">
      <c r="B431" s="304" t="s">
        <v>200</v>
      </c>
      <c r="C431" s="305" t="s">
        <v>708</v>
      </c>
      <c r="D431" s="306" t="n">
        <v>61</v>
      </c>
      <c r="E431" s="306" t="n">
        <v>0</v>
      </c>
      <c r="F431" s="306" t="s">
        <v>705</v>
      </c>
      <c r="G431" s="307" t="n">
        <v>24</v>
      </c>
      <c r="H431" s="308" t="n">
        <v>48.7603305785124</v>
      </c>
      <c r="I431" s="315"/>
      <c r="J431" s="144"/>
      <c r="K431" s="310"/>
      <c r="L431" s="311" t="n">
        <v>0</v>
      </c>
      <c r="M431" s="311" t="n">
        <v>0</v>
      </c>
      <c r="N431" s="144" t="n">
        <v>0</v>
      </c>
      <c r="O431" s="310"/>
      <c r="P431" s="311" t="n">
        <v>0</v>
      </c>
      <c r="Q431" s="311" t="n">
        <v>0</v>
      </c>
      <c r="R431" s="311" t="n">
        <v>0</v>
      </c>
      <c r="S431" s="311" t="n">
        <v>0</v>
      </c>
      <c r="T431" s="144" t="n">
        <v>0</v>
      </c>
      <c r="V431" s="144" t="n">
        <v>12</v>
      </c>
    </row>
    <row r="432" s="2" customFormat="true" ht="12.75" hidden="false" customHeight="false" outlineLevel="0" collapsed="false">
      <c r="B432" s="304" t="s">
        <v>112</v>
      </c>
      <c r="C432" s="305" t="s">
        <v>709</v>
      </c>
      <c r="D432" s="306" t="n">
        <v>532</v>
      </c>
      <c r="E432" s="306" t="n">
        <v>2.5</v>
      </c>
      <c r="F432" s="324" t="s">
        <v>710</v>
      </c>
      <c r="G432" s="144" t="n">
        <v>24</v>
      </c>
      <c r="H432" s="325" t="n">
        <v>531.404958677686</v>
      </c>
      <c r="I432" s="315"/>
      <c r="J432" s="144"/>
      <c r="K432" s="310"/>
      <c r="L432" s="311" t="n">
        <v>169</v>
      </c>
      <c r="M432" s="311" t="n">
        <v>0</v>
      </c>
      <c r="N432" s="144" t="n">
        <v>0</v>
      </c>
      <c r="O432" s="310"/>
      <c r="P432" s="311" t="n">
        <v>0</v>
      </c>
      <c r="Q432" s="311" t="n">
        <v>0</v>
      </c>
      <c r="R432" s="311" t="n">
        <v>0</v>
      </c>
      <c r="S432" s="311" t="n">
        <v>0</v>
      </c>
      <c r="T432" s="144" t="n">
        <v>0</v>
      </c>
      <c r="V432" s="144" t="n">
        <v>1</v>
      </c>
    </row>
    <row r="433" s="2" customFormat="true" ht="12.75" hidden="false" customHeight="false" outlineLevel="0" collapsed="false">
      <c r="B433" s="304" t="s">
        <v>112</v>
      </c>
      <c r="C433" s="305" t="s">
        <v>709</v>
      </c>
      <c r="D433" s="306" t="n">
        <v>532</v>
      </c>
      <c r="E433" s="306" t="n">
        <v>2.5</v>
      </c>
      <c r="F433" s="306" t="s">
        <v>710</v>
      </c>
      <c r="G433" s="307" t="n">
        <v>48</v>
      </c>
      <c r="H433" s="308" t="n">
        <v>531.404958677686</v>
      </c>
      <c r="I433" s="315"/>
      <c r="J433" s="144"/>
      <c r="K433" s="310"/>
      <c r="L433" s="311" t="n">
        <v>169</v>
      </c>
      <c r="M433" s="311" t="n">
        <v>0</v>
      </c>
      <c r="N433" s="144" t="n">
        <v>0</v>
      </c>
      <c r="O433" s="310"/>
      <c r="P433" s="311" t="n">
        <v>0</v>
      </c>
      <c r="Q433" s="311" t="n">
        <v>0</v>
      </c>
      <c r="R433" s="311" t="n">
        <v>0</v>
      </c>
      <c r="S433" s="311" t="n">
        <v>0</v>
      </c>
      <c r="T433" s="144" t="n">
        <v>0</v>
      </c>
      <c r="V433" s="144" t="n">
        <v>1</v>
      </c>
    </row>
    <row r="434" s="2" customFormat="true" ht="12.75" hidden="false" customHeight="false" outlineLevel="0" collapsed="false">
      <c r="B434" s="304" t="s">
        <v>112</v>
      </c>
      <c r="C434" s="305" t="s">
        <v>711</v>
      </c>
      <c r="D434" s="306" t="n">
        <v>555</v>
      </c>
      <c r="E434" s="306" t="n">
        <v>2.5</v>
      </c>
      <c r="F434" s="324" t="s">
        <v>710</v>
      </c>
      <c r="G434" s="144" t="n">
        <v>24</v>
      </c>
      <c r="H434" s="325" t="n">
        <v>554.545454545455</v>
      </c>
      <c r="I434" s="315"/>
      <c r="J434" s="144"/>
      <c r="K434" s="310"/>
      <c r="L434" s="311" t="n">
        <v>169</v>
      </c>
      <c r="M434" s="311" t="n">
        <v>0</v>
      </c>
      <c r="N434" s="144" t="n">
        <v>0</v>
      </c>
      <c r="O434" s="310"/>
      <c r="P434" s="311" t="n">
        <v>0</v>
      </c>
      <c r="Q434" s="311" t="n">
        <v>0</v>
      </c>
      <c r="R434" s="311" t="n">
        <v>0</v>
      </c>
      <c r="S434" s="311" t="n">
        <v>0</v>
      </c>
      <c r="T434" s="144" t="n">
        <v>0</v>
      </c>
      <c r="V434" s="144" t="n">
        <v>0</v>
      </c>
    </row>
    <row r="435" s="2" customFormat="true" ht="12.75" hidden="false" customHeight="false" outlineLevel="0" collapsed="false">
      <c r="B435" s="304" t="s">
        <v>112</v>
      </c>
      <c r="C435" s="305" t="s">
        <v>711</v>
      </c>
      <c r="D435" s="306" t="n">
        <v>555</v>
      </c>
      <c r="E435" s="306" t="n">
        <v>2.5</v>
      </c>
      <c r="F435" s="306" t="s">
        <v>710</v>
      </c>
      <c r="G435" s="307" t="n">
        <v>48</v>
      </c>
      <c r="H435" s="308" t="n">
        <v>554.545454545455</v>
      </c>
      <c r="I435" s="315"/>
      <c r="J435" s="144"/>
      <c r="K435" s="310"/>
      <c r="L435" s="311" t="n">
        <v>169</v>
      </c>
      <c r="M435" s="311" t="n">
        <v>0</v>
      </c>
      <c r="N435" s="144" t="n">
        <v>0</v>
      </c>
      <c r="O435" s="310"/>
      <c r="P435" s="311" t="n">
        <v>0</v>
      </c>
      <c r="Q435" s="311" t="n">
        <v>0</v>
      </c>
      <c r="R435" s="311" t="n">
        <v>0</v>
      </c>
      <c r="S435" s="311" t="n">
        <v>0</v>
      </c>
      <c r="T435" s="144" t="n">
        <v>0</v>
      </c>
      <c r="V435" s="144" t="n">
        <v>0</v>
      </c>
    </row>
    <row r="436" s="2" customFormat="true" ht="12.75" hidden="false" customHeight="false" outlineLevel="0" collapsed="false">
      <c r="B436" s="304" t="s">
        <v>112</v>
      </c>
      <c r="C436" s="305" t="s">
        <v>712</v>
      </c>
      <c r="D436" s="306" t="n">
        <v>423</v>
      </c>
      <c r="E436" s="306" t="n">
        <v>2.5</v>
      </c>
      <c r="F436" s="324" t="s">
        <v>710</v>
      </c>
      <c r="G436" s="144" t="n">
        <v>24</v>
      </c>
      <c r="H436" s="325" t="n">
        <v>422.314049586777</v>
      </c>
      <c r="I436" s="315"/>
      <c r="J436" s="144"/>
      <c r="K436" s="310"/>
      <c r="L436" s="311" t="n">
        <v>139</v>
      </c>
      <c r="M436" s="311" t="n">
        <v>0</v>
      </c>
      <c r="N436" s="144" t="n">
        <v>0</v>
      </c>
      <c r="O436" s="310"/>
      <c r="P436" s="311" t="n">
        <v>0</v>
      </c>
      <c r="Q436" s="311" t="n">
        <v>0</v>
      </c>
      <c r="R436" s="311" t="n">
        <v>0</v>
      </c>
      <c r="S436" s="311" t="n">
        <v>0</v>
      </c>
      <c r="T436" s="144" t="n">
        <v>0</v>
      </c>
      <c r="V436" s="144" t="n">
        <v>1</v>
      </c>
    </row>
    <row r="437" s="2" customFormat="true" ht="12.75" hidden="false" customHeight="false" outlineLevel="0" collapsed="false">
      <c r="B437" s="304" t="s">
        <v>112</v>
      </c>
      <c r="C437" s="305" t="s">
        <v>712</v>
      </c>
      <c r="D437" s="306" t="n">
        <v>423</v>
      </c>
      <c r="E437" s="306" t="n">
        <v>2.5</v>
      </c>
      <c r="F437" s="306" t="s">
        <v>710</v>
      </c>
      <c r="G437" s="307" t="n">
        <v>48</v>
      </c>
      <c r="H437" s="308" t="n">
        <v>422.314049586777</v>
      </c>
      <c r="I437" s="315"/>
      <c r="J437" s="144"/>
      <c r="K437" s="310"/>
      <c r="L437" s="311" t="n">
        <v>139</v>
      </c>
      <c r="M437" s="311" t="n">
        <v>0</v>
      </c>
      <c r="N437" s="144" t="n">
        <v>0</v>
      </c>
      <c r="O437" s="310"/>
      <c r="P437" s="311" t="n">
        <v>0</v>
      </c>
      <c r="Q437" s="311" t="n">
        <v>0</v>
      </c>
      <c r="R437" s="311" t="n">
        <v>0</v>
      </c>
      <c r="S437" s="311" t="n">
        <v>0</v>
      </c>
      <c r="T437" s="144" t="n">
        <v>0</v>
      </c>
      <c r="V437" s="144" t="n">
        <v>1</v>
      </c>
    </row>
    <row r="438" s="2" customFormat="true" ht="12.75" hidden="false" customHeight="false" outlineLevel="0" collapsed="false">
      <c r="B438" s="304" t="s">
        <v>112</v>
      </c>
      <c r="C438" s="305" t="s">
        <v>713</v>
      </c>
      <c r="D438" s="306" t="n">
        <v>445</v>
      </c>
      <c r="E438" s="306" t="n">
        <v>2.5</v>
      </c>
      <c r="F438" s="324" t="s">
        <v>710</v>
      </c>
      <c r="G438" s="144" t="n">
        <v>24</v>
      </c>
      <c r="H438" s="325" t="n">
        <v>444.628099173554</v>
      </c>
      <c r="I438" s="315"/>
      <c r="J438" s="144"/>
      <c r="K438" s="310"/>
      <c r="L438" s="311" t="n">
        <v>149</v>
      </c>
      <c r="M438" s="311" t="n">
        <v>0</v>
      </c>
      <c r="N438" s="144" t="n">
        <v>0</v>
      </c>
      <c r="O438" s="310"/>
      <c r="P438" s="311" t="n">
        <v>0</v>
      </c>
      <c r="Q438" s="311" t="n">
        <v>0</v>
      </c>
      <c r="R438" s="311" t="n">
        <v>0</v>
      </c>
      <c r="S438" s="311" t="n">
        <v>0</v>
      </c>
      <c r="T438" s="144" t="n">
        <v>0</v>
      </c>
      <c r="V438" s="144" t="n">
        <v>0</v>
      </c>
    </row>
    <row r="439" s="2" customFormat="true" ht="12.75" hidden="false" customHeight="false" outlineLevel="0" collapsed="false">
      <c r="B439" s="304" t="s">
        <v>112</v>
      </c>
      <c r="C439" s="305" t="s">
        <v>713</v>
      </c>
      <c r="D439" s="306" t="n">
        <v>445</v>
      </c>
      <c r="E439" s="306" t="n">
        <v>2.5</v>
      </c>
      <c r="F439" s="306" t="s">
        <v>710</v>
      </c>
      <c r="G439" s="307" t="n">
        <v>48</v>
      </c>
      <c r="H439" s="308" t="n">
        <v>444.628099173554</v>
      </c>
      <c r="I439" s="315"/>
      <c r="J439" s="144"/>
      <c r="K439" s="310"/>
      <c r="L439" s="311" t="n">
        <v>149</v>
      </c>
      <c r="M439" s="311" t="n">
        <v>0</v>
      </c>
      <c r="N439" s="144" t="n">
        <v>0</v>
      </c>
      <c r="O439" s="310"/>
      <c r="P439" s="311" t="n">
        <v>0</v>
      </c>
      <c r="Q439" s="311" t="n">
        <v>0</v>
      </c>
      <c r="R439" s="311" t="n">
        <v>0</v>
      </c>
      <c r="S439" s="311" t="n">
        <v>0</v>
      </c>
      <c r="T439" s="144" t="n">
        <v>0</v>
      </c>
      <c r="V439" s="144" t="n">
        <v>0</v>
      </c>
    </row>
    <row r="440" s="2" customFormat="true" ht="12.75" hidden="false" customHeight="false" outlineLevel="0" collapsed="false">
      <c r="B440" s="304" t="s">
        <v>112</v>
      </c>
      <c r="C440" s="305" t="s">
        <v>714</v>
      </c>
      <c r="D440" s="306" t="n">
        <v>555</v>
      </c>
      <c r="E440" s="306" t="n">
        <v>2.5</v>
      </c>
      <c r="F440" s="324" t="s">
        <v>710</v>
      </c>
      <c r="G440" s="144" t="n">
        <v>24</v>
      </c>
      <c r="H440" s="325" t="n">
        <v>554.545454545455</v>
      </c>
      <c r="I440" s="315"/>
      <c r="J440" s="144"/>
      <c r="K440" s="310"/>
      <c r="L440" s="311" t="n">
        <v>169</v>
      </c>
      <c r="M440" s="311" t="n">
        <v>0</v>
      </c>
      <c r="N440" s="144" t="n">
        <v>0</v>
      </c>
      <c r="O440" s="310"/>
      <c r="P440" s="311" t="n">
        <v>0</v>
      </c>
      <c r="Q440" s="311" t="n">
        <v>0</v>
      </c>
      <c r="R440" s="311" t="n">
        <v>0</v>
      </c>
      <c r="S440" s="311" t="n">
        <v>0</v>
      </c>
      <c r="T440" s="144" t="n">
        <v>0</v>
      </c>
      <c r="V440" s="144" t="n">
        <v>0</v>
      </c>
    </row>
    <row r="441" s="2" customFormat="true" ht="12.75" hidden="false" customHeight="false" outlineLevel="0" collapsed="false">
      <c r="B441" s="304" t="s">
        <v>112</v>
      </c>
      <c r="C441" s="305" t="s">
        <v>714</v>
      </c>
      <c r="D441" s="306" t="n">
        <v>555</v>
      </c>
      <c r="E441" s="306" t="n">
        <v>2.5</v>
      </c>
      <c r="F441" s="306" t="s">
        <v>710</v>
      </c>
      <c r="G441" s="307" t="n">
        <v>48</v>
      </c>
      <c r="H441" s="308" t="n">
        <v>554.545454545455</v>
      </c>
      <c r="I441" s="315"/>
      <c r="J441" s="144"/>
      <c r="K441" s="310"/>
      <c r="L441" s="311" t="n">
        <v>169</v>
      </c>
      <c r="M441" s="311" t="n">
        <v>0</v>
      </c>
      <c r="N441" s="144" t="n">
        <v>0</v>
      </c>
      <c r="O441" s="310"/>
      <c r="P441" s="311" t="n">
        <v>0</v>
      </c>
      <c r="Q441" s="311" t="n">
        <v>0</v>
      </c>
      <c r="R441" s="311" t="n">
        <v>0</v>
      </c>
      <c r="S441" s="311" t="n">
        <v>0</v>
      </c>
      <c r="T441" s="144" t="n">
        <v>0</v>
      </c>
      <c r="V441" s="144" t="n">
        <v>0</v>
      </c>
    </row>
    <row r="442" s="2" customFormat="true" ht="12.75" hidden="false" customHeight="false" outlineLevel="0" collapsed="false">
      <c r="B442" s="304" t="s">
        <v>112</v>
      </c>
      <c r="C442" s="305" t="s">
        <v>715</v>
      </c>
      <c r="D442" s="306" t="n">
        <v>300</v>
      </c>
      <c r="E442" s="306" t="n">
        <v>2.5</v>
      </c>
      <c r="F442" s="324" t="s">
        <v>710</v>
      </c>
      <c r="G442" s="144" t="n">
        <v>24</v>
      </c>
      <c r="H442" s="325" t="n">
        <v>299.173553719008</v>
      </c>
      <c r="I442" s="315"/>
      <c r="J442" s="144"/>
      <c r="K442" s="310"/>
      <c r="L442" s="311" t="n">
        <v>99</v>
      </c>
      <c r="M442" s="311" t="n">
        <v>0</v>
      </c>
      <c r="N442" s="144" t="n">
        <v>0</v>
      </c>
      <c r="O442" s="310"/>
      <c r="P442" s="311" t="n">
        <v>0</v>
      </c>
      <c r="Q442" s="311" t="n">
        <v>0</v>
      </c>
      <c r="R442" s="311" t="n">
        <v>0</v>
      </c>
      <c r="S442" s="311" t="n">
        <v>0</v>
      </c>
      <c r="T442" s="144" t="n">
        <v>0</v>
      </c>
      <c r="V442" s="144" t="n">
        <v>1</v>
      </c>
    </row>
    <row r="443" s="2" customFormat="true" ht="12.75" hidden="false" customHeight="false" outlineLevel="0" collapsed="false">
      <c r="B443" s="304" t="s">
        <v>112</v>
      </c>
      <c r="C443" s="305" t="s">
        <v>715</v>
      </c>
      <c r="D443" s="306" t="n">
        <v>300</v>
      </c>
      <c r="E443" s="306" t="n">
        <v>2.5</v>
      </c>
      <c r="F443" s="306" t="s">
        <v>710</v>
      </c>
      <c r="G443" s="307" t="n">
        <v>48</v>
      </c>
      <c r="H443" s="308" t="n">
        <v>299.173553719008</v>
      </c>
      <c r="I443" s="315"/>
      <c r="J443" s="144"/>
      <c r="K443" s="310"/>
      <c r="L443" s="311" t="n">
        <v>99</v>
      </c>
      <c r="M443" s="311" t="n">
        <v>0</v>
      </c>
      <c r="N443" s="144" t="n">
        <v>0</v>
      </c>
      <c r="O443" s="310"/>
      <c r="P443" s="311" t="n">
        <v>0</v>
      </c>
      <c r="Q443" s="311" t="n">
        <v>0</v>
      </c>
      <c r="R443" s="311" t="n">
        <v>0</v>
      </c>
      <c r="S443" s="311" t="n">
        <v>0</v>
      </c>
      <c r="T443" s="144" t="n">
        <v>0</v>
      </c>
      <c r="V443" s="144" t="n">
        <v>1</v>
      </c>
    </row>
    <row r="444" s="2" customFormat="true" ht="12.75" hidden="false" customHeight="false" outlineLevel="0" collapsed="false">
      <c r="B444" s="304" t="s">
        <v>112</v>
      </c>
      <c r="C444" s="305" t="s">
        <v>716</v>
      </c>
      <c r="D444" s="306" t="n">
        <v>322</v>
      </c>
      <c r="E444" s="306" t="n">
        <v>2.5</v>
      </c>
      <c r="F444" s="324" t="s">
        <v>710</v>
      </c>
      <c r="G444" s="144" t="n">
        <v>24</v>
      </c>
      <c r="H444" s="325" t="n">
        <v>321.487603305785</v>
      </c>
      <c r="I444" s="315"/>
      <c r="J444" s="144"/>
      <c r="K444" s="310"/>
      <c r="L444" s="311" t="n">
        <v>99</v>
      </c>
      <c r="M444" s="311" t="n">
        <v>0</v>
      </c>
      <c r="N444" s="144" t="n">
        <v>0</v>
      </c>
      <c r="O444" s="310"/>
      <c r="P444" s="311" t="n">
        <v>0</v>
      </c>
      <c r="Q444" s="311" t="n">
        <v>0</v>
      </c>
      <c r="R444" s="311" t="n">
        <v>0</v>
      </c>
      <c r="S444" s="311" t="n">
        <v>0</v>
      </c>
      <c r="T444" s="144" t="n">
        <v>0</v>
      </c>
      <c r="V444" s="144" t="n">
        <v>1</v>
      </c>
    </row>
    <row r="445" s="2" customFormat="true" ht="12.75" hidden="false" customHeight="false" outlineLevel="0" collapsed="false">
      <c r="B445" s="304" t="s">
        <v>112</v>
      </c>
      <c r="C445" s="305" t="s">
        <v>716</v>
      </c>
      <c r="D445" s="306" t="n">
        <v>322</v>
      </c>
      <c r="E445" s="306" t="n">
        <v>2.5</v>
      </c>
      <c r="F445" s="306" t="s">
        <v>710</v>
      </c>
      <c r="G445" s="307" t="n">
        <v>48</v>
      </c>
      <c r="H445" s="308" t="n">
        <v>321.487603305785</v>
      </c>
      <c r="I445" s="315"/>
      <c r="J445" s="144"/>
      <c r="K445" s="310"/>
      <c r="L445" s="311" t="n">
        <v>99</v>
      </c>
      <c r="M445" s="311" t="n">
        <v>0</v>
      </c>
      <c r="N445" s="144" t="n">
        <v>0</v>
      </c>
      <c r="O445" s="310"/>
      <c r="P445" s="311" t="n">
        <v>0</v>
      </c>
      <c r="Q445" s="311" t="n">
        <v>0</v>
      </c>
      <c r="R445" s="311" t="n">
        <v>0</v>
      </c>
      <c r="S445" s="311" t="n">
        <v>0</v>
      </c>
      <c r="T445" s="144" t="n">
        <v>0</v>
      </c>
      <c r="V445" s="144" t="n">
        <v>1</v>
      </c>
    </row>
    <row r="446" s="2" customFormat="true" ht="12.75" hidden="false" customHeight="false" outlineLevel="0" collapsed="false">
      <c r="B446" s="304" t="s">
        <v>112</v>
      </c>
      <c r="C446" s="305" t="s">
        <v>717</v>
      </c>
      <c r="D446" s="306" t="n">
        <v>782</v>
      </c>
      <c r="E446" s="306" t="n">
        <v>2.5</v>
      </c>
      <c r="F446" s="324" t="s">
        <v>710</v>
      </c>
      <c r="G446" s="144" t="n">
        <v>24</v>
      </c>
      <c r="H446" s="325" t="n">
        <v>781.818181818182</v>
      </c>
      <c r="I446" s="315"/>
      <c r="J446" s="144"/>
      <c r="K446" s="310"/>
      <c r="L446" s="311" t="n">
        <v>169</v>
      </c>
      <c r="M446" s="311" t="n">
        <v>0</v>
      </c>
      <c r="N446" s="144" t="n">
        <v>0</v>
      </c>
      <c r="O446" s="310"/>
      <c r="P446" s="311" t="n">
        <v>0</v>
      </c>
      <c r="Q446" s="311" t="n">
        <v>0</v>
      </c>
      <c r="R446" s="311" t="n">
        <v>0</v>
      </c>
      <c r="S446" s="311" t="n">
        <v>0</v>
      </c>
      <c r="T446" s="144" t="n">
        <v>0</v>
      </c>
      <c r="V446" s="144" t="n">
        <v>0</v>
      </c>
    </row>
    <row r="447" s="2" customFormat="true" ht="12.75" hidden="false" customHeight="false" outlineLevel="0" collapsed="false">
      <c r="B447" s="304" t="s">
        <v>112</v>
      </c>
      <c r="C447" s="305" t="s">
        <v>717</v>
      </c>
      <c r="D447" s="306" t="n">
        <v>782</v>
      </c>
      <c r="E447" s="306" t="n">
        <v>2.5</v>
      </c>
      <c r="F447" s="306" t="s">
        <v>710</v>
      </c>
      <c r="G447" s="307" t="n">
        <v>48</v>
      </c>
      <c r="H447" s="308" t="n">
        <v>781.818181818182</v>
      </c>
      <c r="I447" s="315"/>
      <c r="J447" s="144"/>
      <c r="K447" s="310"/>
      <c r="L447" s="311" t="n">
        <v>169</v>
      </c>
      <c r="M447" s="311" t="n">
        <v>0</v>
      </c>
      <c r="N447" s="144" t="n">
        <v>0</v>
      </c>
      <c r="O447" s="310"/>
      <c r="P447" s="311" t="n">
        <v>0</v>
      </c>
      <c r="Q447" s="311" t="n">
        <v>0</v>
      </c>
      <c r="R447" s="311" t="n">
        <v>0</v>
      </c>
      <c r="S447" s="311" t="n">
        <v>0</v>
      </c>
      <c r="T447" s="144" t="n">
        <v>0</v>
      </c>
      <c r="V447" s="144" t="n">
        <v>0</v>
      </c>
    </row>
    <row r="448" s="2" customFormat="true" ht="12.75" hidden="false" customHeight="false" outlineLevel="0" collapsed="false">
      <c r="B448" s="304" t="s">
        <v>124</v>
      </c>
      <c r="C448" s="305" t="s">
        <v>718</v>
      </c>
      <c r="D448" s="306" t="n">
        <v>413</v>
      </c>
      <c r="E448" s="306" t="n">
        <v>2.5</v>
      </c>
      <c r="F448" s="324" t="s">
        <v>710</v>
      </c>
      <c r="G448" s="144" t="n">
        <v>24</v>
      </c>
      <c r="H448" s="325" t="n">
        <v>305.785123966942</v>
      </c>
      <c r="I448" s="315"/>
      <c r="J448" s="144"/>
      <c r="K448" s="310"/>
      <c r="L448" s="311" t="n">
        <v>99</v>
      </c>
      <c r="M448" s="311" t="n">
        <v>19</v>
      </c>
      <c r="N448" s="144" t="n">
        <v>19</v>
      </c>
      <c r="O448" s="310"/>
      <c r="P448" s="311" t="n">
        <v>0</v>
      </c>
      <c r="Q448" s="311" t="n">
        <v>0</v>
      </c>
      <c r="R448" s="311" t="n">
        <v>0</v>
      </c>
      <c r="S448" s="311" t="n">
        <v>0</v>
      </c>
      <c r="T448" s="144" t="n">
        <v>0</v>
      </c>
      <c r="V448" s="144" t="n">
        <v>107</v>
      </c>
    </row>
    <row r="449" s="2" customFormat="true" ht="12.75" hidden="false" customHeight="false" outlineLevel="0" collapsed="false">
      <c r="B449" s="304" t="s">
        <v>124</v>
      </c>
      <c r="C449" s="305" t="s">
        <v>718</v>
      </c>
      <c r="D449" s="306" t="n">
        <v>413</v>
      </c>
      <c r="E449" s="306" t="n">
        <v>2.5</v>
      </c>
      <c r="F449" s="306" t="s">
        <v>710</v>
      </c>
      <c r="G449" s="307" t="n">
        <v>48</v>
      </c>
      <c r="H449" s="308" t="n">
        <v>305.785123966942</v>
      </c>
      <c r="I449" s="315"/>
      <c r="J449" s="144"/>
      <c r="K449" s="310"/>
      <c r="L449" s="311" t="n">
        <v>99</v>
      </c>
      <c r="M449" s="311" t="n">
        <v>19</v>
      </c>
      <c r="N449" s="144" t="n">
        <v>19</v>
      </c>
      <c r="O449" s="310"/>
      <c r="P449" s="311" t="n">
        <v>0</v>
      </c>
      <c r="Q449" s="311" t="n">
        <v>0</v>
      </c>
      <c r="R449" s="311" t="n">
        <v>0</v>
      </c>
      <c r="S449" s="311" t="n">
        <v>0</v>
      </c>
      <c r="T449" s="144" t="n">
        <v>0</v>
      </c>
      <c r="V449" s="144" t="n">
        <v>107</v>
      </c>
    </row>
    <row r="450" s="2" customFormat="true" ht="12.75" hidden="false" customHeight="false" outlineLevel="0" collapsed="false">
      <c r="B450" s="304" t="s">
        <v>130</v>
      </c>
      <c r="C450" s="305" t="s">
        <v>719</v>
      </c>
      <c r="D450" s="306" t="n">
        <v>161</v>
      </c>
      <c r="E450" s="306" t="n">
        <v>2.5</v>
      </c>
      <c r="F450" s="324" t="s">
        <v>710</v>
      </c>
      <c r="G450" s="144" t="n">
        <v>24</v>
      </c>
      <c r="H450" s="325" t="n">
        <v>100</v>
      </c>
      <c r="I450" s="315"/>
      <c r="J450" s="144"/>
      <c r="K450" s="310"/>
      <c r="L450" s="311" t="n">
        <v>0</v>
      </c>
      <c r="M450" s="311" t="n">
        <v>0</v>
      </c>
      <c r="N450" s="144" t="n">
        <v>0</v>
      </c>
      <c r="O450" s="310"/>
      <c r="P450" s="311" t="n">
        <v>0</v>
      </c>
      <c r="Q450" s="311" t="n">
        <v>0</v>
      </c>
      <c r="R450" s="311" t="n">
        <v>0</v>
      </c>
      <c r="S450" s="311" t="n">
        <v>0</v>
      </c>
      <c r="T450" s="144" t="n">
        <v>0</v>
      </c>
      <c r="V450" s="144" t="n">
        <v>61</v>
      </c>
    </row>
    <row r="451" s="2" customFormat="true" ht="12.75" hidden="false" customHeight="false" outlineLevel="0" collapsed="false">
      <c r="B451" s="304" t="s">
        <v>130</v>
      </c>
      <c r="C451" s="305" t="s">
        <v>720</v>
      </c>
      <c r="D451" s="306" t="n">
        <v>288</v>
      </c>
      <c r="E451" s="306" t="n">
        <v>2.5</v>
      </c>
      <c r="F451" s="306" t="s">
        <v>710</v>
      </c>
      <c r="G451" s="307" t="n">
        <v>24</v>
      </c>
      <c r="H451" s="308" t="n">
        <v>205.785123966942</v>
      </c>
      <c r="I451" s="315"/>
      <c r="J451" s="144"/>
      <c r="K451" s="310"/>
      <c r="L451" s="311" t="n">
        <v>39</v>
      </c>
      <c r="M451" s="311" t="n">
        <v>0</v>
      </c>
      <c r="N451" s="144" t="n">
        <v>0</v>
      </c>
      <c r="O451" s="310"/>
      <c r="P451" s="311" t="n">
        <v>0</v>
      </c>
      <c r="Q451" s="311" t="n">
        <v>0</v>
      </c>
      <c r="R451" s="311" t="n">
        <v>0</v>
      </c>
      <c r="S451" s="311" t="n">
        <v>0</v>
      </c>
      <c r="T451" s="144" t="n">
        <v>0</v>
      </c>
      <c r="V451" s="144" t="n">
        <v>82</v>
      </c>
    </row>
    <row r="452" s="2" customFormat="true" ht="12.75" hidden="false" customHeight="false" outlineLevel="0" collapsed="false">
      <c r="B452" s="304" t="s">
        <v>130</v>
      </c>
      <c r="C452" s="305" t="s">
        <v>721</v>
      </c>
      <c r="D452" s="306" t="n">
        <v>245</v>
      </c>
      <c r="E452" s="306" t="n">
        <v>2.5</v>
      </c>
      <c r="F452" s="324" t="s">
        <v>710</v>
      </c>
      <c r="G452" s="144" t="n">
        <v>24</v>
      </c>
      <c r="H452" s="325" t="n">
        <v>203.305785123967</v>
      </c>
      <c r="I452" s="315"/>
      <c r="J452" s="144"/>
      <c r="K452" s="310"/>
      <c r="L452" s="311" t="n">
        <v>29</v>
      </c>
      <c r="M452" s="311" t="n">
        <v>0</v>
      </c>
      <c r="N452" s="144" t="n">
        <v>0</v>
      </c>
      <c r="O452" s="310"/>
      <c r="P452" s="311" t="n">
        <v>0</v>
      </c>
      <c r="Q452" s="311" t="n">
        <v>0</v>
      </c>
      <c r="R452" s="311" t="n">
        <v>0</v>
      </c>
      <c r="S452" s="311" t="n">
        <v>0</v>
      </c>
      <c r="T452" s="144" t="n">
        <v>0</v>
      </c>
      <c r="V452" s="144" t="n">
        <v>42</v>
      </c>
    </row>
    <row r="453" s="2" customFormat="true" ht="12.75" hidden="false" customHeight="false" outlineLevel="0" collapsed="false">
      <c r="B453" s="304" t="s">
        <v>130</v>
      </c>
      <c r="C453" s="305" t="s">
        <v>722</v>
      </c>
      <c r="D453" s="306" t="n">
        <v>468</v>
      </c>
      <c r="E453" s="306" t="n">
        <v>2.5</v>
      </c>
      <c r="F453" s="306" t="s">
        <v>710</v>
      </c>
      <c r="G453" s="307" t="n">
        <v>24</v>
      </c>
      <c r="H453" s="308" t="n">
        <v>311.570247933884</v>
      </c>
      <c r="I453" s="315"/>
      <c r="J453" s="144"/>
      <c r="K453" s="310"/>
      <c r="L453" s="311" t="n">
        <v>99</v>
      </c>
      <c r="M453" s="311" t="n">
        <v>19</v>
      </c>
      <c r="N453" s="144" t="n">
        <v>19</v>
      </c>
      <c r="O453" s="310"/>
      <c r="P453" s="311" t="n">
        <v>0</v>
      </c>
      <c r="Q453" s="311" t="n">
        <v>0</v>
      </c>
      <c r="R453" s="311" t="n">
        <v>0</v>
      </c>
      <c r="S453" s="311" t="n">
        <v>0</v>
      </c>
      <c r="T453" s="144" t="n">
        <v>0</v>
      </c>
      <c r="V453" s="144" t="n">
        <v>156</v>
      </c>
    </row>
    <row r="454" s="2" customFormat="true" ht="12.75" hidden="false" customHeight="false" outlineLevel="0" collapsed="false">
      <c r="B454" s="304" t="s">
        <v>130</v>
      </c>
      <c r="C454" s="305" t="s">
        <v>722</v>
      </c>
      <c r="D454" s="306" t="n">
        <v>468</v>
      </c>
      <c r="E454" s="306" t="n">
        <v>2.5</v>
      </c>
      <c r="F454" s="324" t="s">
        <v>710</v>
      </c>
      <c r="G454" s="144" t="n">
        <v>48</v>
      </c>
      <c r="H454" s="325" t="n">
        <v>311.570247933884</v>
      </c>
      <c r="I454" s="315"/>
      <c r="J454" s="144"/>
      <c r="K454" s="310"/>
      <c r="L454" s="311" t="n">
        <v>99</v>
      </c>
      <c r="M454" s="311" t="n">
        <v>19</v>
      </c>
      <c r="N454" s="144" t="n">
        <v>19</v>
      </c>
      <c r="O454" s="310"/>
      <c r="P454" s="311" t="n">
        <v>0</v>
      </c>
      <c r="Q454" s="311" t="n">
        <v>0</v>
      </c>
      <c r="R454" s="311" t="n">
        <v>0</v>
      </c>
      <c r="S454" s="311" t="n">
        <v>0</v>
      </c>
      <c r="T454" s="144" t="n">
        <v>0</v>
      </c>
      <c r="V454" s="144" t="n">
        <v>156</v>
      </c>
    </row>
    <row r="455" s="2" customFormat="true" ht="12.75" hidden="false" customHeight="false" outlineLevel="0" collapsed="false">
      <c r="B455" s="304" t="s">
        <v>130</v>
      </c>
      <c r="C455" s="305" t="s">
        <v>723</v>
      </c>
      <c r="D455" s="306" t="n">
        <v>377</v>
      </c>
      <c r="E455" s="306" t="n">
        <v>2.5</v>
      </c>
      <c r="F455" s="306" t="s">
        <v>710</v>
      </c>
      <c r="G455" s="307" t="n">
        <v>24</v>
      </c>
      <c r="H455" s="308" t="n">
        <v>237.190082644628</v>
      </c>
      <c r="I455" s="315"/>
      <c r="J455" s="144"/>
      <c r="K455" s="310"/>
      <c r="L455" s="311" t="n">
        <v>39</v>
      </c>
      <c r="M455" s="311" t="n">
        <v>0</v>
      </c>
      <c r="N455" s="144" t="n">
        <v>0</v>
      </c>
      <c r="O455" s="310"/>
      <c r="P455" s="311" t="n">
        <v>0</v>
      </c>
      <c r="Q455" s="311" t="n">
        <v>0</v>
      </c>
      <c r="R455" s="311" t="n">
        <v>0</v>
      </c>
      <c r="S455" s="311" t="n">
        <v>0</v>
      </c>
      <c r="T455" s="144" t="n">
        <v>0</v>
      </c>
      <c r="V455" s="144" t="n">
        <v>140</v>
      </c>
    </row>
    <row r="456" s="2" customFormat="true" ht="12.75" hidden="false" customHeight="false" outlineLevel="0" collapsed="false">
      <c r="B456" s="304" t="s">
        <v>130</v>
      </c>
      <c r="C456" s="305" t="s">
        <v>723</v>
      </c>
      <c r="D456" s="306" t="n">
        <v>377</v>
      </c>
      <c r="E456" s="306" t="n">
        <v>2.5</v>
      </c>
      <c r="F456" s="324" t="s">
        <v>710</v>
      </c>
      <c r="G456" s="144" t="n">
        <v>48</v>
      </c>
      <c r="H456" s="325" t="n">
        <v>237.190082644628</v>
      </c>
      <c r="I456" s="315"/>
      <c r="J456" s="144"/>
      <c r="K456" s="310"/>
      <c r="L456" s="311" t="n">
        <v>39</v>
      </c>
      <c r="M456" s="311" t="n">
        <v>0</v>
      </c>
      <c r="N456" s="144" t="n">
        <v>0</v>
      </c>
      <c r="O456" s="310"/>
      <c r="P456" s="311" t="n">
        <v>0</v>
      </c>
      <c r="Q456" s="311" t="n">
        <v>0</v>
      </c>
      <c r="R456" s="311" t="n">
        <v>0</v>
      </c>
      <c r="S456" s="311" t="n">
        <v>0</v>
      </c>
      <c r="T456" s="144" t="n">
        <v>0</v>
      </c>
      <c r="V456" s="144" t="n">
        <v>140</v>
      </c>
    </row>
    <row r="457" s="2" customFormat="true" ht="12.75" hidden="false" customHeight="false" outlineLevel="0" collapsed="false">
      <c r="B457" s="304" t="s">
        <v>130</v>
      </c>
      <c r="C457" s="305" t="s">
        <v>724</v>
      </c>
      <c r="D457" s="306" t="n">
        <v>748</v>
      </c>
      <c r="E457" s="306" t="n">
        <v>2.5</v>
      </c>
      <c r="F457" s="306" t="s">
        <v>710</v>
      </c>
      <c r="G457" s="307" t="n">
        <v>24</v>
      </c>
      <c r="H457" s="308" t="n">
        <v>376.859504132231</v>
      </c>
      <c r="I457" s="315"/>
      <c r="J457" s="144"/>
      <c r="K457" s="310"/>
      <c r="L457" s="311" t="n">
        <v>129</v>
      </c>
      <c r="M457" s="311" t="n">
        <v>19</v>
      </c>
      <c r="N457" s="144" t="n">
        <v>19</v>
      </c>
      <c r="O457" s="310"/>
      <c r="P457" s="311" t="n">
        <v>0</v>
      </c>
      <c r="Q457" s="311" t="n">
        <v>0</v>
      </c>
      <c r="R457" s="311" t="n">
        <v>0</v>
      </c>
      <c r="S457" s="311" t="n">
        <v>0</v>
      </c>
      <c r="T457" s="144" t="n">
        <v>0</v>
      </c>
      <c r="V457" s="144" t="n">
        <v>371</v>
      </c>
    </row>
    <row r="458" s="2" customFormat="true" ht="12.75" hidden="false" customHeight="false" outlineLevel="0" collapsed="false">
      <c r="B458" s="304" t="s">
        <v>130</v>
      </c>
      <c r="C458" s="305" t="s">
        <v>724</v>
      </c>
      <c r="D458" s="306" t="n">
        <v>748</v>
      </c>
      <c r="E458" s="306" t="n">
        <v>2.5</v>
      </c>
      <c r="F458" s="324" t="s">
        <v>710</v>
      </c>
      <c r="G458" s="144" t="n">
        <v>48</v>
      </c>
      <c r="H458" s="325" t="n">
        <v>376.859504132231</v>
      </c>
      <c r="I458" s="315"/>
      <c r="J458" s="144"/>
      <c r="K458" s="310"/>
      <c r="L458" s="311" t="n">
        <v>129</v>
      </c>
      <c r="M458" s="311" t="n">
        <v>19</v>
      </c>
      <c r="N458" s="144" t="n">
        <v>19</v>
      </c>
      <c r="O458" s="310"/>
      <c r="P458" s="311" t="n">
        <v>0</v>
      </c>
      <c r="Q458" s="311" t="n">
        <v>0</v>
      </c>
      <c r="R458" s="311" t="n">
        <v>0</v>
      </c>
      <c r="S458" s="311" t="n">
        <v>0</v>
      </c>
      <c r="T458" s="144" t="n">
        <v>0</v>
      </c>
      <c r="V458" s="144" t="n">
        <v>371</v>
      </c>
    </row>
    <row r="459" s="2" customFormat="true" ht="12.75" hidden="false" customHeight="false" outlineLevel="0" collapsed="false">
      <c r="B459" s="304" t="s">
        <v>130</v>
      </c>
      <c r="C459" s="327" t="s">
        <v>725</v>
      </c>
      <c r="D459" s="306" t="n">
        <v>404</v>
      </c>
      <c r="E459" s="306" t="n">
        <v>2.5</v>
      </c>
      <c r="F459" s="306" t="s">
        <v>710</v>
      </c>
      <c r="G459" s="307" t="n">
        <v>24</v>
      </c>
      <c r="H459" s="308" t="n">
        <v>313.223140495868</v>
      </c>
      <c r="I459" s="315"/>
      <c r="J459" s="144"/>
      <c r="K459" s="310"/>
      <c r="L459" s="311" t="n">
        <v>99</v>
      </c>
      <c r="M459" s="311" t="n">
        <v>19</v>
      </c>
      <c r="N459" s="144" t="n">
        <v>19</v>
      </c>
      <c r="O459" s="310"/>
      <c r="P459" s="311" t="n">
        <v>0</v>
      </c>
      <c r="Q459" s="311" t="n">
        <v>0</v>
      </c>
      <c r="R459" s="311" t="n">
        <v>0</v>
      </c>
      <c r="S459" s="311" t="n">
        <v>0</v>
      </c>
      <c r="T459" s="144" t="n">
        <v>0</v>
      </c>
      <c r="V459" s="144" t="n">
        <v>91</v>
      </c>
    </row>
    <row r="460" s="2" customFormat="true" ht="12.75" hidden="false" customHeight="false" outlineLevel="0" collapsed="false">
      <c r="B460" s="304" t="s">
        <v>130</v>
      </c>
      <c r="C460" s="327" t="s">
        <v>725</v>
      </c>
      <c r="D460" s="306" t="n">
        <v>404</v>
      </c>
      <c r="E460" s="306" t="n">
        <v>2.5</v>
      </c>
      <c r="F460" s="324" t="s">
        <v>710</v>
      </c>
      <c r="G460" s="144" t="n">
        <v>48</v>
      </c>
      <c r="H460" s="325" t="n">
        <v>313.223140495868</v>
      </c>
      <c r="I460" s="315"/>
      <c r="J460" s="144"/>
      <c r="K460" s="310"/>
      <c r="L460" s="311" t="n">
        <v>99</v>
      </c>
      <c r="M460" s="311" t="n">
        <v>19</v>
      </c>
      <c r="N460" s="144" t="n">
        <v>19</v>
      </c>
      <c r="O460" s="310"/>
      <c r="P460" s="311" t="n">
        <v>0</v>
      </c>
      <c r="Q460" s="311" t="n">
        <v>0</v>
      </c>
      <c r="R460" s="311" t="n">
        <v>0</v>
      </c>
      <c r="S460" s="311" t="n">
        <v>0</v>
      </c>
      <c r="T460" s="144" t="n">
        <v>0</v>
      </c>
      <c r="V460" s="144" t="n">
        <v>91</v>
      </c>
    </row>
    <row r="461" s="2" customFormat="true" ht="12.75" hidden="false" customHeight="false" outlineLevel="0" collapsed="false">
      <c r="B461" s="304" t="s">
        <v>465</v>
      </c>
      <c r="C461" s="305" t="s">
        <v>726</v>
      </c>
      <c r="D461" s="306" t="n">
        <v>288</v>
      </c>
      <c r="E461" s="306" t="n">
        <v>2.5</v>
      </c>
      <c r="F461" s="306" t="s">
        <v>710</v>
      </c>
      <c r="G461" s="307" t="n">
        <v>24</v>
      </c>
      <c r="H461" s="308" t="n">
        <v>186.776859504132</v>
      </c>
      <c r="I461" s="315"/>
      <c r="J461" s="144"/>
      <c r="K461" s="310"/>
      <c r="L461" s="311" t="n">
        <v>29</v>
      </c>
      <c r="M461" s="311" t="n">
        <v>0</v>
      </c>
      <c r="N461" s="144" t="n">
        <v>0</v>
      </c>
      <c r="O461" s="310"/>
      <c r="P461" s="311" t="n">
        <v>0</v>
      </c>
      <c r="Q461" s="311" t="n">
        <v>0</v>
      </c>
      <c r="R461" s="311" t="n">
        <v>0</v>
      </c>
      <c r="S461" s="311" t="n">
        <v>0</v>
      </c>
      <c r="T461" s="144" t="n">
        <v>0</v>
      </c>
      <c r="V461" s="144" t="n">
        <v>101</v>
      </c>
    </row>
    <row r="462" s="2" customFormat="true" ht="12.75" hidden="false" customHeight="false" outlineLevel="0" collapsed="false">
      <c r="B462" s="304" t="s">
        <v>465</v>
      </c>
      <c r="C462" s="305" t="s">
        <v>726</v>
      </c>
      <c r="D462" s="306" t="n">
        <v>288</v>
      </c>
      <c r="E462" s="306" t="n">
        <v>2.5</v>
      </c>
      <c r="F462" s="324" t="s">
        <v>710</v>
      </c>
      <c r="G462" s="144" t="n">
        <v>48</v>
      </c>
      <c r="H462" s="325" t="n">
        <v>186.776859504132</v>
      </c>
      <c r="I462" s="315"/>
      <c r="J462" s="144"/>
      <c r="K462" s="310"/>
      <c r="L462" s="311" t="n">
        <v>29</v>
      </c>
      <c r="M462" s="311" t="n">
        <v>0</v>
      </c>
      <c r="N462" s="144" t="n">
        <v>0</v>
      </c>
      <c r="O462" s="310"/>
      <c r="P462" s="311" t="n">
        <v>0</v>
      </c>
      <c r="Q462" s="311" t="n">
        <v>0</v>
      </c>
      <c r="R462" s="311" t="n">
        <v>0</v>
      </c>
      <c r="S462" s="311" t="n">
        <v>0</v>
      </c>
      <c r="T462" s="144" t="n">
        <v>0</v>
      </c>
      <c r="V462" s="144" t="n">
        <v>101</v>
      </c>
    </row>
    <row r="463" s="2" customFormat="true" ht="12.75" hidden="false" customHeight="false" outlineLevel="0" collapsed="false">
      <c r="B463" s="304" t="s">
        <v>200</v>
      </c>
      <c r="C463" s="305" t="s">
        <v>727</v>
      </c>
      <c r="D463" s="306" t="n">
        <v>421</v>
      </c>
      <c r="E463" s="306" t="n">
        <v>2.5</v>
      </c>
      <c r="F463" s="306" t="s">
        <v>710</v>
      </c>
      <c r="G463" s="307" t="n">
        <v>24</v>
      </c>
      <c r="H463" s="308" t="n">
        <v>420.661157024793</v>
      </c>
      <c r="I463" s="315"/>
      <c r="J463" s="144"/>
      <c r="K463" s="310"/>
      <c r="L463" s="311" t="n">
        <v>139</v>
      </c>
      <c r="M463" s="311" t="n">
        <v>19</v>
      </c>
      <c r="N463" s="144" t="n">
        <v>19</v>
      </c>
      <c r="O463" s="310"/>
      <c r="P463" s="311" t="n">
        <v>0</v>
      </c>
      <c r="Q463" s="311" t="n">
        <v>0</v>
      </c>
      <c r="R463" s="311" t="n">
        <v>0</v>
      </c>
      <c r="S463" s="311" t="n">
        <v>0</v>
      </c>
      <c r="T463" s="144" t="n">
        <v>0</v>
      </c>
      <c r="V463" s="144" t="n">
        <v>0</v>
      </c>
    </row>
    <row r="464" s="2" customFormat="true" ht="12.75" hidden="false" customHeight="false" outlineLevel="0" collapsed="false">
      <c r="B464" s="304" t="s">
        <v>200</v>
      </c>
      <c r="C464" s="305" t="s">
        <v>727</v>
      </c>
      <c r="D464" s="306" t="n">
        <v>421</v>
      </c>
      <c r="E464" s="306" t="n">
        <v>2.5</v>
      </c>
      <c r="F464" s="324" t="s">
        <v>710</v>
      </c>
      <c r="G464" s="144" t="n">
        <v>48</v>
      </c>
      <c r="H464" s="325" t="n">
        <v>420.661157024793</v>
      </c>
      <c r="I464" s="315"/>
      <c r="J464" s="144"/>
      <c r="K464" s="310"/>
      <c r="L464" s="311" t="n">
        <v>139</v>
      </c>
      <c r="M464" s="311" t="n">
        <v>19</v>
      </c>
      <c r="N464" s="144" t="n">
        <v>19</v>
      </c>
      <c r="O464" s="310"/>
      <c r="P464" s="311" t="n">
        <v>0</v>
      </c>
      <c r="Q464" s="311" t="n">
        <v>0</v>
      </c>
      <c r="R464" s="311" t="n">
        <v>0</v>
      </c>
      <c r="S464" s="311" t="n">
        <v>0</v>
      </c>
      <c r="T464" s="144" t="n">
        <v>0</v>
      </c>
      <c r="V464" s="144" t="n">
        <v>0</v>
      </c>
    </row>
    <row r="465" s="2" customFormat="true" ht="12.75" hidden="false" customHeight="false" outlineLevel="0" collapsed="false">
      <c r="B465" s="304" t="s">
        <v>200</v>
      </c>
      <c r="C465" s="305" t="s">
        <v>728</v>
      </c>
      <c r="D465" s="306" t="n">
        <v>315</v>
      </c>
      <c r="E465" s="306" t="n">
        <v>2.5</v>
      </c>
      <c r="F465" s="306" t="s">
        <v>710</v>
      </c>
      <c r="G465" s="307" t="n">
        <v>24</v>
      </c>
      <c r="H465" s="308" t="n">
        <v>253.719008264463</v>
      </c>
      <c r="I465" s="315"/>
      <c r="J465" s="144"/>
      <c r="K465" s="310"/>
      <c r="L465" s="311" t="n">
        <v>39</v>
      </c>
      <c r="M465" s="311" t="n">
        <v>0</v>
      </c>
      <c r="N465" s="144" t="n">
        <v>0</v>
      </c>
      <c r="O465" s="310"/>
      <c r="P465" s="311" t="n">
        <v>0</v>
      </c>
      <c r="Q465" s="311" t="n">
        <v>0</v>
      </c>
      <c r="R465" s="311" t="n">
        <v>0</v>
      </c>
      <c r="S465" s="311" t="n">
        <v>0</v>
      </c>
      <c r="T465" s="144" t="n">
        <v>0</v>
      </c>
      <c r="V465" s="144" t="n">
        <v>61</v>
      </c>
    </row>
    <row r="466" s="2" customFormat="true" ht="12.75" hidden="false" customHeight="false" outlineLevel="0" collapsed="false">
      <c r="B466" s="304" t="s">
        <v>200</v>
      </c>
      <c r="C466" s="305" t="s">
        <v>728</v>
      </c>
      <c r="D466" s="306" t="n">
        <v>315</v>
      </c>
      <c r="E466" s="306" t="n">
        <v>2.5</v>
      </c>
      <c r="F466" s="324" t="s">
        <v>710</v>
      </c>
      <c r="G466" s="144" t="n">
        <v>48</v>
      </c>
      <c r="H466" s="325" t="n">
        <v>253.719008264463</v>
      </c>
      <c r="I466" s="315"/>
      <c r="J466" s="144"/>
      <c r="K466" s="310"/>
      <c r="L466" s="311" t="n">
        <v>39</v>
      </c>
      <c r="M466" s="311" t="n">
        <v>0</v>
      </c>
      <c r="N466" s="144" t="n">
        <v>0</v>
      </c>
      <c r="O466" s="310"/>
      <c r="P466" s="311" t="n">
        <v>0</v>
      </c>
      <c r="Q466" s="311" t="n">
        <v>0</v>
      </c>
      <c r="R466" s="311" t="n">
        <v>0</v>
      </c>
      <c r="S466" s="311" t="n">
        <v>0</v>
      </c>
      <c r="T466" s="144" t="n">
        <v>0</v>
      </c>
      <c r="V466" s="144" t="n">
        <v>61</v>
      </c>
    </row>
    <row r="467" s="2" customFormat="true" ht="12.75" hidden="false" customHeight="false" outlineLevel="0" collapsed="false">
      <c r="B467" s="304" t="s">
        <v>200</v>
      </c>
      <c r="C467" s="305" t="s">
        <v>729</v>
      </c>
      <c r="D467" s="306" t="n">
        <v>373</v>
      </c>
      <c r="E467" s="306" t="n">
        <v>2.5</v>
      </c>
      <c r="F467" s="306" t="s">
        <v>710</v>
      </c>
      <c r="G467" s="307" t="n">
        <v>24</v>
      </c>
      <c r="H467" s="308" t="n">
        <v>333.057851239669</v>
      </c>
      <c r="I467" s="315"/>
      <c r="J467" s="144"/>
      <c r="K467" s="310"/>
      <c r="L467" s="311" t="n">
        <v>109</v>
      </c>
      <c r="M467" s="311" t="n">
        <v>19</v>
      </c>
      <c r="N467" s="144" t="n">
        <v>19</v>
      </c>
      <c r="O467" s="310"/>
      <c r="P467" s="311" t="n">
        <v>0</v>
      </c>
      <c r="Q467" s="311" t="n">
        <v>0</v>
      </c>
      <c r="R467" s="311" t="n">
        <v>0</v>
      </c>
      <c r="S467" s="311" t="n">
        <v>0</v>
      </c>
      <c r="T467" s="144" t="n">
        <v>0</v>
      </c>
      <c r="V467" s="144" t="n">
        <v>40</v>
      </c>
    </row>
    <row r="468" s="2" customFormat="true" ht="12.75" hidden="false" customHeight="false" outlineLevel="0" collapsed="false">
      <c r="B468" s="304" t="s">
        <v>200</v>
      </c>
      <c r="C468" s="305" t="s">
        <v>729</v>
      </c>
      <c r="D468" s="306" t="n">
        <v>373</v>
      </c>
      <c r="E468" s="306" t="n">
        <v>2.5</v>
      </c>
      <c r="F468" s="324" t="s">
        <v>710</v>
      </c>
      <c r="G468" s="144" t="n">
        <v>48</v>
      </c>
      <c r="H468" s="325" t="n">
        <v>333.057851239669</v>
      </c>
      <c r="I468" s="315"/>
      <c r="J468" s="144"/>
      <c r="K468" s="310"/>
      <c r="L468" s="311" t="n">
        <v>109</v>
      </c>
      <c r="M468" s="311" t="n">
        <v>19</v>
      </c>
      <c r="N468" s="144" t="n">
        <v>19</v>
      </c>
      <c r="O468" s="310"/>
      <c r="P468" s="311" t="n">
        <v>0</v>
      </c>
      <c r="Q468" s="311" t="n">
        <v>0</v>
      </c>
      <c r="R468" s="311" t="n">
        <v>0</v>
      </c>
      <c r="S468" s="311" t="n">
        <v>0</v>
      </c>
      <c r="T468" s="144" t="n">
        <v>0</v>
      </c>
      <c r="V468" s="144" t="n">
        <v>40</v>
      </c>
    </row>
    <row r="469" s="2" customFormat="true" ht="12.75" hidden="false" customHeight="false" outlineLevel="0" collapsed="false">
      <c r="B469" s="304" t="s">
        <v>200</v>
      </c>
      <c r="C469" s="305" t="s">
        <v>730</v>
      </c>
      <c r="D469" s="306" t="n">
        <v>338</v>
      </c>
      <c r="E469" s="306" t="n">
        <v>2.5</v>
      </c>
      <c r="F469" s="306" t="s">
        <v>710</v>
      </c>
      <c r="G469" s="307" t="n">
        <v>24</v>
      </c>
      <c r="H469" s="308" t="n">
        <v>296.694214876033</v>
      </c>
      <c r="I469" s="315"/>
      <c r="J469" s="144"/>
      <c r="K469" s="310"/>
      <c r="L469" s="311" t="n">
        <v>99</v>
      </c>
      <c r="M469" s="311" t="n">
        <v>19</v>
      </c>
      <c r="N469" s="144" t="n">
        <v>19</v>
      </c>
      <c r="O469" s="310"/>
      <c r="P469" s="311" t="n">
        <v>0</v>
      </c>
      <c r="Q469" s="311" t="n">
        <v>0</v>
      </c>
      <c r="R469" s="311" t="n">
        <v>0</v>
      </c>
      <c r="S469" s="311" t="n">
        <v>0</v>
      </c>
      <c r="T469" s="144" t="n">
        <v>0</v>
      </c>
      <c r="V469" s="144" t="n">
        <v>41</v>
      </c>
    </row>
    <row r="470" s="2" customFormat="true" ht="12.75" hidden="false" customHeight="false" outlineLevel="0" collapsed="false">
      <c r="B470" s="304" t="s">
        <v>200</v>
      </c>
      <c r="C470" s="305" t="s">
        <v>730</v>
      </c>
      <c r="D470" s="306" t="n">
        <v>338</v>
      </c>
      <c r="E470" s="306" t="n">
        <v>2.5</v>
      </c>
      <c r="F470" s="324" t="s">
        <v>710</v>
      </c>
      <c r="G470" s="144" t="n">
        <v>48</v>
      </c>
      <c r="H470" s="325" t="n">
        <v>296.694214876033</v>
      </c>
      <c r="I470" s="315"/>
      <c r="J470" s="144"/>
      <c r="K470" s="310"/>
      <c r="L470" s="311" t="n">
        <v>99</v>
      </c>
      <c r="M470" s="311" t="n">
        <v>19</v>
      </c>
      <c r="N470" s="144" t="n">
        <v>19</v>
      </c>
      <c r="O470" s="310"/>
      <c r="P470" s="311" t="n">
        <v>0</v>
      </c>
      <c r="Q470" s="311" t="n">
        <v>0</v>
      </c>
      <c r="R470" s="311" t="n">
        <v>0</v>
      </c>
      <c r="S470" s="311" t="n">
        <v>0</v>
      </c>
      <c r="T470" s="144" t="n">
        <v>0</v>
      </c>
      <c r="V470" s="144" t="n">
        <v>41</v>
      </c>
    </row>
    <row r="471" s="2" customFormat="true" ht="12.75" hidden="false" customHeight="false" outlineLevel="0" collapsed="false">
      <c r="B471" s="304" t="s">
        <v>200</v>
      </c>
      <c r="C471" s="305" t="s">
        <v>731</v>
      </c>
      <c r="D471" s="306" t="n">
        <v>626</v>
      </c>
      <c r="E471" s="306" t="n">
        <v>2.5</v>
      </c>
      <c r="F471" s="306" t="s">
        <v>710</v>
      </c>
      <c r="G471" s="307" t="n">
        <v>24</v>
      </c>
      <c r="H471" s="308" t="n">
        <v>525.619834710744</v>
      </c>
      <c r="I471" s="315"/>
      <c r="J471" s="144"/>
      <c r="K471" s="310"/>
      <c r="L471" s="311" t="n">
        <v>219</v>
      </c>
      <c r="M471" s="311" t="n">
        <v>139</v>
      </c>
      <c r="N471" s="144" t="n">
        <v>139</v>
      </c>
      <c r="O471" s="310"/>
      <c r="P471" s="311" t="n">
        <v>0</v>
      </c>
      <c r="Q471" s="311" t="n">
        <v>0</v>
      </c>
      <c r="R471" s="311" t="n">
        <v>0</v>
      </c>
      <c r="S471" s="311" t="n">
        <v>0</v>
      </c>
      <c r="T471" s="144" t="n">
        <v>0</v>
      </c>
      <c r="V471" s="144" t="n">
        <v>100</v>
      </c>
    </row>
    <row r="472" s="2" customFormat="true" ht="12.75" hidden="false" customHeight="false" outlineLevel="0" collapsed="false">
      <c r="B472" s="304" t="s">
        <v>200</v>
      </c>
      <c r="C472" s="305" t="s">
        <v>731</v>
      </c>
      <c r="D472" s="306" t="n">
        <v>626</v>
      </c>
      <c r="E472" s="306" t="n">
        <v>2.5</v>
      </c>
      <c r="F472" s="324" t="s">
        <v>710</v>
      </c>
      <c r="G472" s="144" t="n">
        <v>48</v>
      </c>
      <c r="H472" s="325" t="n">
        <v>525.619834710744</v>
      </c>
      <c r="I472" s="315"/>
      <c r="J472" s="144"/>
      <c r="K472" s="310"/>
      <c r="L472" s="311" t="n">
        <v>219</v>
      </c>
      <c r="M472" s="311" t="n">
        <v>139</v>
      </c>
      <c r="N472" s="144" t="n">
        <v>139</v>
      </c>
      <c r="O472" s="310"/>
      <c r="P472" s="311" t="n">
        <v>0</v>
      </c>
      <c r="Q472" s="311" t="n">
        <v>0</v>
      </c>
      <c r="R472" s="311" t="n">
        <v>0</v>
      </c>
      <c r="S472" s="311" t="n">
        <v>0</v>
      </c>
      <c r="T472" s="144" t="n">
        <v>0</v>
      </c>
      <c r="V472" s="144" t="n">
        <v>100</v>
      </c>
    </row>
    <row r="473" s="2" customFormat="true" ht="12.75" hidden="false" customHeight="false" outlineLevel="0" collapsed="false">
      <c r="B473" s="304" t="s">
        <v>497</v>
      </c>
      <c r="C473" s="305" t="s">
        <v>732</v>
      </c>
      <c r="D473" s="306" t="n">
        <v>110</v>
      </c>
      <c r="E473" s="306" t="n">
        <v>2.5</v>
      </c>
      <c r="F473" s="306" t="s">
        <v>710</v>
      </c>
      <c r="G473" s="307" t="n">
        <v>24</v>
      </c>
      <c r="H473" s="308" t="n">
        <v>89.2561983471074</v>
      </c>
      <c r="I473" s="315"/>
      <c r="J473" s="144"/>
      <c r="K473" s="310"/>
      <c r="L473" s="311" t="n">
        <v>0</v>
      </c>
      <c r="M473" s="311" t="n">
        <v>0</v>
      </c>
      <c r="N473" s="144" t="n">
        <v>0</v>
      </c>
      <c r="O473" s="310"/>
      <c r="P473" s="311" t="n">
        <v>0</v>
      </c>
      <c r="Q473" s="311" t="n">
        <v>0</v>
      </c>
      <c r="R473" s="311" t="n">
        <v>0</v>
      </c>
      <c r="S473" s="311" t="n">
        <v>0</v>
      </c>
      <c r="T473" s="144" t="n">
        <v>0</v>
      </c>
      <c r="V473" s="144" t="n">
        <v>21</v>
      </c>
    </row>
    <row r="474" s="2" customFormat="true" ht="12.75" hidden="false" customHeight="false" outlineLevel="0" collapsed="false">
      <c r="B474" s="304" t="s">
        <v>497</v>
      </c>
      <c r="C474" s="305" t="s">
        <v>733</v>
      </c>
      <c r="D474" s="306" t="n">
        <v>64</v>
      </c>
      <c r="E474" s="306" t="n">
        <v>2.5</v>
      </c>
      <c r="F474" s="324" t="s">
        <v>710</v>
      </c>
      <c r="G474" s="144" t="n">
        <v>24</v>
      </c>
      <c r="H474" s="325" t="n">
        <v>58.6776859504132</v>
      </c>
      <c r="I474" s="315"/>
      <c r="J474" s="144"/>
      <c r="K474" s="310"/>
      <c r="L474" s="311" t="n">
        <v>0</v>
      </c>
      <c r="M474" s="311" t="n">
        <v>0</v>
      </c>
      <c r="N474" s="144" t="n">
        <v>0</v>
      </c>
      <c r="O474" s="310"/>
      <c r="P474" s="311" t="n">
        <v>0</v>
      </c>
      <c r="Q474" s="311" t="n">
        <v>0</v>
      </c>
      <c r="R474" s="311" t="n">
        <v>0</v>
      </c>
      <c r="S474" s="311" t="n">
        <v>0</v>
      </c>
      <c r="T474" s="144" t="n">
        <v>0</v>
      </c>
      <c r="V474" s="144" t="n">
        <v>5</v>
      </c>
    </row>
    <row r="475" s="2" customFormat="true" ht="12.75" hidden="false" customHeight="false" outlineLevel="0" collapsed="false">
      <c r="B475" s="304" t="s">
        <v>497</v>
      </c>
      <c r="C475" s="305" t="s">
        <v>734</v>
      </c>
      <c r="D475" s="306" t="n">
        <v>348</v>
      </c>
      <c r="E475" s="306" t="n">
        <v>2.5</v>
      </c>
      <c r="F475" s="306" t="s">
        <v>710</v>
      </c>
      <c r="G475" s="307" t="n">
        <v>24</v>
      </c>
      <c r="H475" s="308" t="n">
        <v>161.98347107438</v>
      </c>
      <c r="I475" s="315"/>
      <c r="J475" s="144"/>
      <c r="K475" s="310"/>
      <c r="L475" s="311" t="n">
        <v>29</v>
      </c>
      <c r="M475" s="311" t="n">
        <v>0</v>
      </c>
      <c r="N475" s="144" t="n">
        <v>0</v>
      </c>
      <c r="O475" s="310"/>
      <c r="P475" s="311" t="n">
        <v>0</v>
      </c>
      <c r="Q475" s="311" t="n">
        <v>0</v>
      </c>
      <c r="R475" s="311" t="n">
        <v>0</v>
      </c>
      <c r="S475" s="311" t="n">
        <v>0</v>
      </c>
      <c r="T475" s="144" t="n">
        <v>0</v>
      </c>
      <c r="V475" s="144" t="n">
        <v>186</v>
      </c>
    </row>
    <row r="476" s="2" customFormat="true" ht="12.75" hidden="false" customHeight="false" outlineLevel="0" collapsed="false">
      <c r="B476" s="304" t="s">
        <v>497</v>
      </c>
      <c r="C476" s="305" t="s">
        <v>734</v>
      </c>
      <c r="D476" s="306" t="n">
        <v>348</v>
      </c>
      <c r="E476" s="306" t="n">
        <v>2.5</v>
      </c>
      <c r="F476" s="324" t="s">
        <v>710</v>
      </c>
      <c r="G476" s="144" t="n">
        <v>48</v>
      </c>
      <c r="H476" s="325" t="n">
        <v>161.98347107438</v>
      </c>
      <c r="I476" s="315"/>
      <c r="J476" s="144"/>
      <c r="K476" s="310"/>
      <c r="L476" s="311" t="n">
        <v>29</v>
      </c>
      <c r="M476" s="311" t="n">
        <v>0</v>
      </c>
      <c r="N476" s="144" t="n">
        <v>0</v>
      </c>
      <c r="O476" s="310"/>
      <c r="P476" s="311" t="n">
        <v>0</v>
      </c>
      <c r="Q476" s="311" t="n">
        <v>0</v>
      </c>
      <c r="R476" s="311" t="n">
        <v>0</v>
      </c>
      <c r="S476" s="311" t="n">
        <v>0</v>
      </c>
      <c r="T476" s="144" t="n">
        <v>0</v>
      </c>
      <c r="V476" s="144" t="n">
        <v>186</v>
      </c>
    </row>
    <row r="477" s="2" customFormat="true" ht="12.75" hidden="false" customHeight="false" outlineLevel="0" collapsed="false">
      <c r="B477" s="304" t="s">
        <v>497</v>
      </c>
      <c r="C477" s="305" t="s">
        <v>735</v>
      </c>
      <c r="D477" s="306" t="n">
        <v>172</v>
      </c>
      <c r="E477" s="306" t="n">
        <v>2.5</v>
      </c>
      <c r="F477" s="306" t="s">
        <v>710</v>
      </c>
      <c r="G477" s="307" t="n">
        <v>24</v>
      </c>
      <c r="H477" s="308" t="n">
        <v>151.239669421488</v>
      </c>
      <c r="I477" s="315"/>
      <c r="J477" s="144"/>
      <c r="K477" s="310"/>
      <c r="L477" s="311" t="n">
        <v>29</v>
      </c>
      <c r="M477" s="311" t="n">
        <v>0</v>
      </c>
      <c r="N477" s="144" t="n">
        <v>0</v>
      </c>
      <c r="O477" s="310"/>
      <c r="P477" s="311" t="n">
        <v>0</v>
      </c>
      <c r="Q477" s="311" t="n">
        <v>0</v>
      </c>
      <c r="R477" s="311" t="n">
        <v>0</v>
      </c>
      <c r="S477" s="311" t="n">
        <v>0</v>
      </c>
      <c r="T477" s="144" t="n">
        <v>0</v>
      </c>
      <c r="V477" s="144" t="n">
        <v>21</v>
      </c>
    </row>
    <row r="478" s="2" customFormat="true" ht="12.75" hidden="false" customHeight="false" outlineLevel="0" collapsed="false">
      <c r="B478" s="304" t="s">
        <v>497</v>
      </c>
      <c r="C478" s="305" t="s">
        <v>736</v>
      </c>
      <c r="D478" s="306" t="n">
        <v>553</v>
      </c>
      <c r="E478" s="306" t="n">
        <v>0</v>
      </c>
      <c r="F478" s="324" t="s">
        <v>737</v>
      </c>
      <c r="G478" s="144" t="n">
        <v>24</v>
      </c>
      <c r="H478" s="325" t="n">
        <v>412.396694214876</v>
      </c>
      <c r="I478" s="315"/>
      <c r="J478" s="144"/>
      <c r="K478" s="310"/>
      <c r="L478" s="311" t="n">
        <v>139</v>
      </c>
      <c r="M478" s="311" t="n">
        <v>19</v>
      </c>
      <c r="N478" s="144" t="n">
        <v>19</v>
      </c>
      <c r="O478" s="310"/>
      <c r="P478" s="311" t="n">
        <v>0</v>
      </c>
      <c r="Q478" s="311" t="n">
        <v>0</v>
      </c>
      <c r="R478" s="311" t="n">
        <v>0</v>
      </c>
      <c r="S478" s="311" t="n">
        <v>0</v>
      </c>
      <c r="T478" s="144" t="n">
        <v>0</v>
      </c>
      <c r="V478" s="144" t="n">
        <v>141</v>
      </c>
    </row>
    <row r="479" s="2" customFormat="true" ht="12.75" hidden="false" customHeight="false" outlineLevel="0" collapsed="false">
      <c r="B479" s="304" t="s">
        <v>497</v>
      </c>
      <c r="C479" s="305" t="s">
        <v>736</v>
      </c>
      <c r="D479" s="306" t="n">
        <v>553</v>
      </c>
      <c r="E479" s="306" t="n">
        <v>0</v>
      </c>
      <c r="F479" s="306" t="s">
        <v>737</v>
      </c>
      <c r="G479" s="307" t="n">
        <v>48</v>
      </c>
      <c r="H479" s="308" t="n">
        <v>412.396694214876</v>
      </c>
      <c r="I479" s="315"/>
      <c r="J479" s="144"/>
      <c r="K479" s="310"/>
      <c r="L479" s="311" t="n">
        <v>139</v>
      </c>
      <c r="M479" s="311" t="n">
        <v>19</v>
      </c>
      <c r="N479" s="144" t="n">
        <v>19</v>
      </c>
      <c r="O479" s="310"/>
      <c r="P479" s="311" t="n">
        <v>0</v>
      </c>
      <c r="Q479" s="311" t="n">
        <v>0</v>
      </c>
      <c r="R479" s="311" t="n">
        <v>0</v>
      </c>
      <c r="S479" s="311" t="n">
        <v>0</v>
      </c>
      <c r="T479" s="144" t="n">
        <v>0</v>
      </c>
      <c r="V479" s="144" t="n">
        <v>141</v>
      </c>
    </row>
    <row r="480" s="2" customFormat="true" ht="12.75" hidden="false" customHeight="false" outlineLevel="0" collapsed="false">
      <c r="B480" s="304" t="s">
        <v>497</v>
      </c>
      <c r="C480" s="305" t="s">
        <v>738</v>
      </c>
      <c r="D480" s="306" t="n">
        <v>459</v>
      </c>
      <c r="E480" s="306" t="n">
        <v>0</v>
      </c>
      <c r="F480" s="324" t="s">
        <v>737</v>
      </c>
      <c r="G480" s="144" t="n">
        <v>24</v>
      </c>
      <c r="H480" s="325" t="n">
        <v>323.140495867769</v>
      </c>
      <c r="I480" s="315"/>
      <c r="J480" s="144"/>
      <c r="K480" s="310"/>
      <c r="L480" s="311" t="n">
        <v>109</v>
      </c>
      <c r="M480" s="311" t="n">
        <v>19</v>
      </c>
      <c r="N480" s="144" t="n">
        <v>19</v>
      </c>
      <c r="O480" s="310"/>
      <c r="P480" s="311" t="n">
        <v>0</v>
      </c>
      <c r="Q480" s="311" t="n">
        <v>0</v>
      </c>
      <c r="R480" s="311" t="n">
        <v>0</v>
      </c>
      <c r="S480" s="311" t="n">
        <v>0</v>
      </c>
      <c r="T480" s="144" t="n">
        <v>0</v>
      </c>
      <c r="V480" s="144" t="n">
        <v>136</v>
      </c>
    </row>
    <row r="481" s="2" customFormat="true" ht="12.75" hidden="false" customHeight="false" outlineLevel="0" collapsed="false">
      <c r="B481" s="304" t="s">
        <v>497</v>
      </c>
      <c r="C481" s="305" t="s">
        <v>738</v>
      </c>
      <c r="D481" s="306" t="n">
        <v>459</v>
      </c>
      <c r="E481" s="306" t="n">
        <v>0</v>
      </c>
      <c r="F481" s="306" t="s">
        <v>737</v>
      </c>
      <c r="G481" s="307" t="n">
        <v>48</v>
      </c>
      <c r="H481" s="308" t="n">
        <v>323.140495867769</v>
      </c>
      <c r="I481" s="315"/>
      <c r="J481" s="144"/>
      <c r="K481" s="310"/>
      <c r="L481" s="311" t="n">
        <v>109</v>
      </c>
      <c r="M481" s="311" t="n">
        <v>19</v>
      </c>
      <c r="N481" s="144" t="n">
        <v>19</v>
      </c>
      <c r="O481" s="310"/>
      <c r="P481" s="311" t="n">
        <v>0</v>
      </c>
      <c r="Q481" s="311" t="n">
        <v>0</v>
      </c>
      <c r="R481" s="311" t="n">
        <v>0</v>
      </c>
      <c r="S481" s="311" t="n">
        <v>0</v>
      </c>
      <c r="T481" s="144" t="n">
        <v>0</v>
      </c>
      <c r="V481" s="144" t="n">
        <v>136</v>
      </c>
    </row>
    <row r="482" s="2" customFormat="true" ht="12.75" hidden="false" customHeight="false" outlineLevel="0" collapsed="false">
      <c r="B482" s="304" t="s">
        <v>497</v>
      </c>
      <c r="C482" s="305" t="s">
        <v>739</v>
      </c>
      <c r="D482" s="306" t="n">
        <v>516</v>
      </c>
      <c r="E482" s="306" t="n">
        <v>0</v>
      </c>
      <c r="F482" s="324" t="s">
        <v>737</v>
      </c>
      <c r="G482" s="144" t="n">
        <v>24</v>
      </c>
      <c r="H482" s="325" t="n">
        <v>405.785123966942</v>
      </c>
      <c r="I482" s="315"/>
      <c r="J482" s="144"/>
      <c r="K482" s="310"/>
      <c r="L482" s="311" t="n">
        <v>139</v>
      </c>
      <c r="M482" s="311" t="n">
        <v>19</v>
      </c>
      <c r="N482" s="144" t="n">
        <v>19</v>
      </c>
      <c r="O482" s="310"/>
      <c r="P482" s="311" t="n">
        <v>0</v>
      </c>
      <c r="Q482" s="311" t="n">
        <v>0</v>
      </c>
      <c r="R482" s="311" t="n">
        <v>0</v>
      </c>
      <c r="S482" s="311" t="n">
        <v>0</v>
      </c>
      <c r="T482" s="144" t="n">
        <v>0</v>
      </c>
      <c r="V482" s="144" t="n">
        <v>110</v>
      </c>
    </row>
    <row r="483" s="2" customFormat="true" ht="12.75" hidden="false" customHeight="false" outlineLevel="0" collapsed="false">
      <c r="B483" s="304" t="s">
        <v>497</v>
      </c>
      <c r="C483" s="305" t="s">
        <v>739</v>
      </c>
      <c r="D483" s="306" t="n">
        <v>516</v>
      </c>
      <c r="E483" s="306" t="n">
        <v>0</v>
      </c>
      <c r="F483" s="306" t="s">
        <v>737</v>
      </c>
      <c r="G483" s="307" t="n">
        <v>48</v>
      </c>
      <c r="H483" s="308" t="n">
        <v>405.785123966942</v>
      </c>
      <c r="I483" s="315"/>
      <c r="J483" s="144"/>
      <c r="K483" s="310"/>
      <c r="L483" s="311" t="n">
        <v>139</v>
      </c>
      <c r="M483" s="311" t="n">
        <v>19</v>
      </c>
      <c r="N483" s="144" t="n">
        <v>19</v>
      </c>
      <c r="O483" s="310"/>
      <c r="P483" s="311" t="n">
        <v>0</v>
      </c>
      <c r="Q483" s="311" t="n">
        <v>0</v>
      </c>
      <c r="R483" s="311" t="n">
        <v>0</v>
      </c>
      <c r="S483" s="311" t="n">
        <v>0</v>
      </c>
      <c r="T483" s="144" t="n">
        <v>0</v>
      </c>
      <c r="V483" s="144" t="n">
        <v>110</v>
      </c>
    </row>
    <row r="484" s="2" customFormat="true" ht="12.75" hidden="false" customHeight="false" outlineLevel="0" collapsed="false">
      <c r="B484" s="304" t="s">
        <v>692</v>
      </c>
      <c r="C484" s="327" t="s">
        <v>740</v>
      </c>
      <c r="D484" s="306" t="n">
        <v>520</v>
      </c>
      <c r="E484" s="306" t="n">
        <v>0</v>
      </c>
      <c r="F484" s="324" t="s">
        <v>737</v>
      </c>
      <c r="G484" s="144" t="n">
        <v>24</v>
      </c>
      <c r="H484" s="325" t="n">
        <v>439.669421487603</v>
      </c>
      <c r="I484" s="315"/>
      <c r="J484" s="144"/>
      <c r="K484" s="310"/>
      <c r="L484" s="311" t="n">
        <v>149</v>
      </c>
      <c r="M484" s="311" t="n">
        <v>19</v>
      </c>
      <c r="N484" s="144" t="n">
        <v>19</v>
      </c>
      <c r="O484" s="310"/>
      <c r="P484" s="311" t="n">
        <v>0</v>
      </c>
      <c r="Q484" s="311" t="n">
        <v>0</v>
      </c>
      <c r="R484" s="311" t="n">
        <v>0</v>
      </c>
      <c r="S484" s="311" t="n">
        <v>0</v>
      </c>
      <c r="T484" s="144" t="n">
        <v>0</v>
      </c>
      <c r="V484" s="144" t="n">
        <v>80</v>
      </c>
    </row>
    <row r="485" s="2" customFormat="true" ht="12.75" hidden="false" customHeight="false" outlineLevel="0" collapsed="false">
      <c r="B485" s="304" t="s">
        <v>692</v>
      </c>
      <c r="C485" s="327" t="s">
        <v>740</v>
      </c>
      <c r="D485" s="306" t="n">
        <v>520</v>
      </c>
      <c r="E485" s="306" t="n">
        <v>0</v>
      </c>
      <c r="F485" s="306" t="s">
        <v>737</v>
      </c>
      <c r="G485" s="307" t="n">
        <v>48</v>
      </c>
      <c r="H485" s="308" t="n">
        <v>439.669421487603</v>
      </c>
      <c r="I485" s="315"/>
      <c r="J485" s="144"/>
      <c r="K485" s="310"/>
      <c r="L485" s="311" t="n">
        <v>149</v>
      </c>
      <c r="M485" s="311" t="n">
        <v>19</v>
      </c>
      <c r="N485" s="144" t="n">
        <v>19</v>
      </c>
      <c r="O485" s="310"/>
      <c r="P485" s="311" t="n">
        <v>0</v>
      </c>
      <c r="Q485" s="311" t="n">
        <v>0</v>
      </c>
      <c r="R485" s="311" t="n">
        <v>0</v>
      </c>
      <c r="S485" s="311" t="n">
        <v>0</v>
      </c>
      <c r="T485" s="144" t="n">
        <v>0</v>
      </c>
      <c r="V485" s="144" t="n">
        <v>80</v>
      </c>
    </row>
    <row r="486" s="2" customFormat="true" ht="12.75" hidden="false" customHeight="false" outlineLevel="0" collapsed="false">
      <c r="B486" s="304" t="s">
        <v>692</v>
      </c>
      <c r="C486" s="327" t="s">
        <v>741</v>
      </c>
      <c r="D486" s="306" t="n">
        <v>366</v>
      </c>
      <c r="E486" s="306" t="n">
        <v>0</v>
      </c>
      <c r="F486" s="324" t="s">
        <v>737</v>
      </c>
      <c r="G486" s="144" t="n">
        <v>24</v>
      </c>
      <c r="H486" s="325" t="n">
        <v>325.619834710744</v>
      </c>
      <c r="I486" s="315"/>
      <c r="J486" s="144"/>
      <c r="K486" s="310"/>
      <c r="L486" s="311" t="n">
        <v>109</v>
      </c>
      <c r="M486" s="311" t="n">
        <v>19</v>
      </c>
      <c r="N486" s="144" t="n">
        <v>19</v>
      </c>
      <c r="O486" s="310"/>
      <c r="P486" s="311" t="n">
        <v>0</v>
      </c>
      <c r="Q486" s="311" t="n">
        <v>0</v>
      </c>
      <c r="R486" s="311" t="n">
        <v>0</v>
      </c>
      <c r="S486" s="311" t="n">
        <v>0</v>
      </c>
      <c r="T486" s="144" t="n">
        <v>0</v>
      </c>
      <c r="V486" s="144" t="n">
        <v>40</v>
      </c>
    </row>
    <row r="487" s="2" customFormat="true" ht="12.75" hidden="false" customHeight="false" outlineLevel="0" collapsed="false">
      <c r="B487" s="304" t="s">
        <v>692</v>
      </c>
      <c r="C487" s="327" t="s">
        <v>741</v>
      </c>
      <c r="D487" s="306" t="n">
        <v>366</v>
      </c>
      <c r="E487" s="306" t="n">
        <v>0</v>
      </c>
      <c r="F487" s="306" t="s">
        <v>737</v>
      </c>
      <c r="G487" s="307" t="n">
        <v>48</v>
      </c>
      <c r="H487" s="308" t="n">
        <v>325.619834710744</v>
      </c>
      <c r="I487" s="315"/>
      <c r="J487" s="144"/>
      <c r="K487" s="310"/>
      <c r="L487" s="311" t="n">
        <v>109</v>
      </c>
      <c r="M487" s="311" t="n">
        <v>19</v>
      </c>
      <c r="N487" s="144" t="n">
        <v>19</v>
      </c>
      <c r="O487" s="310"/>
      <c r="P487" s="311" t="n">
        <v>0</v>
      </c>
      <c r="Q487" s="311" t="n">
        <v>0</v>
      </c>
      <c r="R487" s="311" t="n">
        <v>0</v>
      </c>
      <c r="S487" s="311" t="n">
        <v>0</v>
      </c>
      <c r="T487" s="144" t="n">
        <v>0</v>
      </c>
      <c r="V487" s="144" t="n">
        <v>40</v>
      </c>
    </row>
    <row r="488" s="2" customFormat="true" ht="12.75" hidden="false" customHeight="false" outlineLevel="0" collapsed="false">
      <c r="B488" s="304" t="s">
        <v>219</v>
      </c>
      <c r="C488" s="305" t="s">
        <v>742</v>
      </c>
      <c r="D488" s="306" t="n">
        <v>74</v>
      </c>
      <c r="E488" s="306" t="n">
        <v>1.1</v>
      </c>
      <c r="F488" s="324" t="s">
        <v>743</v>
      </c>
      <c r="G488" s="144" t="n">
        <v>24</v>
      </c>
      <c r="H488" s="325" t="n">
        <v>68.5950413223141</v>
      </c>
      <c r="I488" s="315"/>
      <c r="J488" s="144"/>
      <c r="K488" s="310"/>
      <c r="L488" s="311" t="n">
        <v>0</v>
      </c>
      <c r="M488" s="311" t="n">
        <v>0</v>
      </c>
      <c r="N488" s="144" t="n">
        <v>0</v>
      </c>
      <c r="O488" s="310"/>
      <c r="P488" s="311" t="n">
        <v>0</v>
      </c>
      <c r="Q488" s="311" t="n">
        <v>0</v>
      </c>
      <c r="R488" s="311" t="n">
        <v>0</v>
      </c>
      <c r="S488" s="311" t="n">
        <v>0</v>
      </c>
      <c r="T488" s="144" t="n">
        <v>0</v>
      </c>
      <c r="V488" s="144" t="n">
        <v>5</v>
      </c>
    </row>
    <row r="489" s="2" customFormat="true" ht="12.75" hidden="false" customHeight="false" outlineLevel="0" collapsed="false">
      <c r="B489" s="304" t="s">
        <v>219</v>
      </c>
      <c r="C489" s="305" t="s">
        <v>744</v>
      </c>
      <c r="D489" s="306" t="n">
        <v>74</v>
      </c>
      <c r="E489" s="306" t="n">
        <v>1.1</v>
      </c>
      <c r="F489" s="306" t="s">
        <v>743</v>
      </c>
      <c r="G489" s="307" t="n">
        <v>24</v>
      </c>
      <c r="H489" s="308" t="n">
        <v>74.3801652892562</v>
      </c>
      <c r="I489" s="315"/>
      <c r="J489" s="144"/>
      <c r="K489" s="310"/>
      <c r="L489" s="311" t="n">
        <v>0</v>
      </c>
      <c r="M489" s="311" t="n">
        <v>0</v>
      </c>
      <c r="N489" s="144" t="n">
        <v>0</v>
      </c>
      <c r="O489" s="310"/>
      <c r="P489" s="311" t="n">
        <v>0</v>
      </c>
      <c r="Q489" s="311" t="n">
        <v>0</v>
      </c>
      <c r="R489" s="311" t="n">
        <v>0</v>
      </c>
      <c r="S489" s="311" t="n">
        <v>0</v>
      </c>
      <c r="T489" s="144" t="n">
        <v>0</v>
      </c>
      <c r="V489" s="144" t="n">
        <v>0</v>
      </c>
    </row>
    <row r="490" s="2" customFormat="true" ht="12.75" hidden="false" customHeight="false" outlineLevel="0" collapsed="false">
      <c r="B490" s="304" t="s">
        <v>219</v>
      </c>
      <c r="C490" s="305" t="s">
        <v>745</v>
      </c>
      <c r="D490" s="306" t="n">
        <v>70</v>
      </c>
      <c r="E490" s="306" t="n">
        <v>1.1</v>
      </c>
      <c r="F490" s="324" t="s">
        <v>743</v>
      </c>
      <c r="G490" s="144" t="n">
        <v>24</v>
      </c>
      <c r="H490" s="325" t="n">
        <v>69.4214876033058</v>
      </c>
      <c r="I490" s="315"/>
      <c r="J490" s="144"/>
      <c r="K490" s="310"/>
      <c r="L490" s="311" t="s">
        <v>12</v>
      </c>
      <c r="M490" s="311" t="s">
        <v>12</v>
      </c>
      <c r="N490" s="144" t="s">
        <v>12</v>
      </c>
      <c r="O490" s="310"/>
      <c r="P490" s="311" t="n">
        <v>0</v>
      </c>
      <c r="Q490" s="311" t="n">
        <v>0</v>
      </c>
      <c r="R490" s="311" t="n">
        <v>0</v>
      </c>
      <c r="S490" s="311" t="n">
        <v>0</v>
      </c>
      <c r="T490" s="144" t="n">
        <v>0</v>
      </c>
      <c r="V490" s="144" t="n">
        <v>1</v>
      </c>
    </row>
    <row r="491" s="2" customFormat="true" ht="12.75" hidden="false" customHeight="false" outlineLevel="0" collapsed="false">
      <c r="B491" s="304" t="s">
        <v>219</v>
      </c>
      <c r="C491" s="305" t="s">
        <v>747</v>
      </c>
      <c r="D491" s="306" t="n">
        <v>64</v>
      </c>
      <c r="E491" s="306" t="n">
        <v>1.1</v>
      </c>
      <c r="F491" s="306" t="s">
        <v>743</v>
      </c>
      <c r="G491" s="307" t="n">
        <v>24</v>
      </c>
      <c r="H491" s="308" t="n">
        <v>63.6363636363636</v>
      </c>
      <c r="I491" s="315"/>
      <c r="J491" s="144"/>
      <c r="K491" s="310"/>
      <c r="L491" s="311" t="s">
        <v>12</v>
      </c>
      <c r="M491" s="311" t="s">
        <v>12</v>
      </c>
      <c r="N491" s="144" t="s">
        <v>12</v>
      </c>
      <c r="O491" s="310"/>
      <c r="P491" s="311" t="n">
        <v>0</v>
      </c>
      <c r="Q491" s="311" t="n">
        <v>0</v>
      </c>
      <c r="R491" s="311" t="n">
        <v>0</v>
      </c>
      <c r="S491" s="311" t="n">
        <v>0</v>
      </c>
      <c r="T491" s="144" t="n">
        <v>0</v>
      </c>
      <c r="V491" s="144" t="n">
        <v>0</v>
      </c>
    </row>
    <row r="492" s="2" customFormat="true" ht="12.75" hidden="false" customHeight="false" outlineLevel="0" collapsed="false">
      <c r="B492" s="304" t="s">
        <v>641</v>
      </c>
      <c r="C492" s="305" t="s">
        <v>754</v>
      </c>
      <c r="D492" s="306" t="n">
        <v>436</v>
      </c>
      <c r="E492" s="306" t="n">
        <v>0</v>
      </c>
      <c r="F492" s="306" t="s">
        <v>643</v>
      </c>
      <c r="G492" s="306" t="n">
        <v>24</v>
      </c>
      <c r="H492" s="308" t="n">
        <v>435.537190082645</v>
      </c>
      <c r="I492" s="315"/>
      <c r="J492" s="144"/>
      <c r="K492" s="310"/>
      <c r="L492" s="311" t="s">
        <v>12</v>
      </c>
      <c r="M492" s="311" t="s">
        <v>12</v>
      </c>
      <c r="N492" s="144" t="s">
        <v>12</v>
      </c>
      <c r="O492" s="310"/>
      <c r="P492" s="311" t="n">
        <v>0</v>
      </c>
      <c r="Q492" s="311" t="n">
        <v>0</v>
      </c>
      <c r="R492" s="311" t="n">
        <v>0</v>
      </c>
      <c r="S492" s="311" t="n">
        <v>0</v>
      </c>
      <c r="T492" s="144" t="n">
        <v>0</v>
      </c>
      <c r="V492" s="144" t="n">
        <v>0</v>
      </c>
    </row>
    <row r="493" s="2" customFormat="true" ht="12.75" hidden="false" customHeight="false" outlineLevel="0" collapsed="false">
      <c r="B493" s="304" t="s">
        <v>641</v>
      </c>
      <c r="C493" s="305" t="s">
        <v>755</v>
      </c>
      <c r="D493" s="306" t="n">
        <v>43</v>
      </c>
      <c r="E493" s="306" t="n">
        <v>0</v>
      </c>
      <c r="F493" s="306" t="s">
        <v>643</v>
      </c>
      <c r="G493" s="306" t="n">
        <v>24</v>
      </c>
      <c r="H493" s="308" t="n">
        <v>42.1487603305785</v>
      </c>
      <c r="I493" s="315"/>
      <c r="J493" s="144"/>
      <c r="K493" s="310"/>
      <c r="L493" s="311" t="s">
        <v>12</v>
      </c>
      <c r="M493" s="311" t="s">
        <v>12</v>
      </c>
      <c r="N493" s="144" t="s">
        <v>12</v>
      </c>
      <c r="O493" s="310"/>
      <c r="P493" s="311" t="n">
        <v>0</v>
      </c>
      <c r="Q493" s="311" t="n">
        <v>0</v>
      </c>
      <c r="R493" s="311" t="n">
        <v>0</v>
      </c>
      <c r="S493" s="311" t="n">
        <v>0</v>
      </c>
      <c r="T493" s="144" t="n">
        <v>0</v>
      </c>
      <c r="V493" s="144" t="n">
        <v>1</v>
      </c>
    </row>
    <row r="494" s="2" customFormat="true" ht="12.75" hidden="false" customHeight="false" outlineLevel="0" collapsed="false">
      <c r="B494" s="304" t="s">
        <v>641</v>
      </c>
      <c r="C494" s="305" t="s">
        <v>756</v>
      </c>
      <c r="D494" s="306" t="n">
        <v>115</v>
      </c>
      <c r="E494" s="306" t="n">
        <v>5.25</v>
      </c>
      <c r="F494" s="306" t="s">
        <v>643</v>
      </c>
      <c r="G494" s="306" t="n">
        <v>24</v>
      </c>
      <c r="H494" s="308" t="n">
        <v>114.04958677686</v>
      </c>
      <c r="I494" s="315"/>
      <c r="J494" s="144"/>
      <c r="K494" s="310"/>
      <c r="L494" s="311" t="s">
        <v>12</v>
      </c>
      <c r="M494" s="311" t="s">
        <v>12</v>
      </c>
      <c r="N494" s="144" t="s">
        <v>12</v>
      </c>
      <c r="O494" s="310"/>
      <c r="P494" s="311" t="n">
        <v>0</v>
      </c>
      <c r="Q494" s="311" t="n">
        <v>0</v>
      </c>
      <c r="R494" s="311" t="n">
        <v>0</v>
      </c>
      <c r="S494" s="311" t="n">
        <v>0</v>
      </c>
      <c r="T494" s="144" t="n">
        <v>0</v>
      </c>
      <c r="V494" s="144" t="n">
        <v>1</v>
      </c>
    </row>
    <row r="495" s="2" customFormat="true" ht="12.75" hidden="false" customHeight="false" outlineLevel="0" collapsed="false">
      <c r="B495" s="304" t="s">
        <v>641</v>
      </c>
      <c r="C495" s="305" t="s">
        <v>757</v>
      </c>
      <c r="D495" s="306" t="n">
        <v>441</v>
      </c>
      <c r="E495" s="306" t="n">
        <v>0</v>
      </c>
      <c r="F495" s="306" t="s">
        <v>643</v>
      </c>
      <c r="G495" s="306" t="n">
        <v>24</v>
      </c>
      <c r="H495" s="308" t="n">
        <v>440.495867768595</v>
      </c>
      <c r="I495" s="315"/>
      <c r="J495" s="144"/>
      <c r="K495" s="310"/>
      <c r="L495" s="311" t="s">
        <v>12</v>
      </c>
      <c r="M495" s="311" t="s">
        <v>12</v>
      </c>
      <c r="N495" s="144" t="s">
        <v>12</v>
      </c>
      <c r="O495" s="310"/>
      <c r="P495" s="311" t="n">
        <v>0</v>
      </c>
      <c r="Q495" s="311" t="n">
        <v>0</v>
      </c>
      <c r="R495" s="311" t="n">
        <v>0</v>
      </c>
      <c r="S495" s="311" t="n">
        <v>0</v>
      </c>
      <c r="T495" s="144" t="n">
        <v>0</v>
      </c>
      <c r="V495" s="144" t="n">
        <v>1</v>
      </c>
    </row>
    <row r="496" s="2" customFormat="true" ht="12.75" hidden="false" customHeight="false" outlineLevel="0" collapsed="false">
      <c r="B496" s="304" t="s">
        <v>641</v>
      </c>
      <c r="C496" s="327" t="s">
        <v>758</v>
      </c>
      <c r="D496" s="306" t="n">
        <v>464</v>
      </c>
      <c r="E496" s="306" t="n">
        <v>0</v>
      </c>
      <c r="F496" s="306" t="s">
        <v>643</v>
      </c>
      <c r="G496" s="306" t="n">
        <v>24</v>
      </c>
      <c r="H496" s="308" t="n">
        <v>0</v>
      </c>
      <c r="I496" s="315"/>
      <c r="J496" s="144"/>
      <c r="K496" s="310"/>
      <c r="L496" s="311" t="s">
        <v>12</v>
      </c>
      <c r="M496" s="311" t="s">
        <v>12</v>
      </c>
      <c r="N496" s="144" t="s">
        <v>12</v>
      </c>
      <c r="O496" s="310"/>
      <c r="P496" s="311" t="n">
        <v>0</v>
      </c>
      <c r="Q496" s="311" t="n">
        <v>0</v>
      </c>
      <c r="R496" s="311" t="n">
        <v>0</v>
      </c>
      <c r="S496" s="311" t="n">
        <v>0</v>
      </c>
      <c r="T496" s="144" t="n">
        <v>0</v>
      </c>
      <c r="V496" s="144" t="n">
        <v>464</v>
      </c>
    </row>
    <row r="497" s="2" customFormat="true" ht="12.75" hidden="false" customHeight="false" outlineLevel="0" collapsed="false">
      <c r="B497" s="401" t="s">
        <v>641</v>
      </c>
      <c r="C497" s="402" t="s">
        <v>760</v>
      </c>
      <c r="D497" s="403" t="n">
        <v>63</v>
      </c>
      <c r="E497" s="403" t="n">
        <v>0</v>
      </c>
      <c r="F497" s="403" t="s">
        <v>643</v>
      </c>
      <c r="G497" s="403" t="n">
        <v>24</v>
      </c>
      <c r="H497" s="404" t="n">
        <v>62.8099173553719</v>
      </c>
      <c r="I497" s="405"/>
      <c r="J497" s="406"/>
      <c r="K497" s="407"/>
      <c r="L497" s="408" t="s">
        <v>12</v>
      </c>
      <c r="M497" s="408" t="s">
        <v>12</v>
      </c>
      <c r="N497" s="406" t="s">
        <v>12</v>
      </c>
      <c r="O497" s="407"/>
      <c r="P497" s="408" t="n">
        <v>0</v>
      </c>
      <c r="Q497" s="408" t="n">
        <v>0</v>
      </c>
      <c r="R497" s="408" t="n">
        <v>0</v>
      </c>
      <c r="S497" s="408" t="n">
        <v>0</v>
      </c>
      <c r="T497" s="406" t="n">
        <v>0</v>
      </c>
      <c r="U497" s="409"/>
      <c r="V497" s="406" t="n">
        <v>0</v>
      </c>
    </row>
  </sheetData>
  <autoFilter ref="B28:X497"/>
  <mergeCells count="26">
    <mergeCell ref="B2:G2"/>
    <mergeCell ref="H2:H4"/>
    <mergeCell ref="L2:T2"/>
    <mergeCell ref="D4:G4"/>
    <mergeCell ref="B5:C17"/>
    <mergeCell ref="D5:G12"/>
    <mergeCell ref="H5:H12"/>
    <mergeCell ref="J5:J12"/>
    <mergeCell ref="M5:M12"/>
    <mergeCell ref="N5:N12"/>
    <mergeCell ref="Q5:Q12"/>
    <mergeCell ref="R5:R12"/>
    <mergeCell ref="S5:S12"/>
    <mergeCell ref="T5:T12"/>
    <mergeCell ref="P7:P12"/>
    <mergeCell ref="D13:G14"/>
    <mergeCell ref="D15:G15"/>
    <mergeCell ref="D16:G16"/>
    <mergeCell ref="D17:G17"/>
    <mergeCell ref="B22:G26"/>
    <mergeCell ref="H22:H26"/>
    <mergeCell ref="J22:J24"/>
    <mergeCell ref="L22:T22"/>
    <mergeCell ref="V22:V26"/>
    <mergeCell ref="L24:N24"/>
    <mergeCell ref="P24:T24"/>
  </mergeCells>
  <printOptions headings="false" gridLines="false" gridLinesSet="true" horizontalCentered="false" verticalCentered="false"/>
  <pageMargins left="0.747916666666667" right="0.747916666666667" top="0.984027777777778" bottom="0.984027777777778" header="0.511811023622047" footer="0"/>
  <pageSetup paperSize="8" scale="100" fitToWidth="1" fitToHeight="1" pageOrder="downThenOver" orientation="portrait" blackAndWhite="false" draft="false" cellComments="none" horizontalDpi="300" verticalDpi="300" copies="1"/>
  <headerFooter differentFirst="false" differentOddEven="false">
    <oddHeader/>
    <oddFooter>&amp;C&amp;1#&amp;"Calibri,Normal"&amp;8&amp;Ked7d31Orange Restricted</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808080"/>
    <pageSetUpPr fitToPage="true"/>
  </sheetPr>
  <dimension ref="B1:AH56"/>
  <sheetViews>
    <sheetView showFormulas="false" showGridLines="false" showRowColHeaders="true" showZeros="true" rightToLeft="false" tabSelected="false" showOutlineSymbols="true" defaultGridColor="true" view="normal" topLeftCell="A1" colorId="64" zoomScale="70" zoomScaleNormal="70" zoomScalePageLayoutView="100" workbookViewId="0">
      <selection pane="topLeft" activeCell="B3" activeCellId="0" sqref="B3"/>
    </sheetView>
  </sheetViews>
  <sheetFormatPr defaultColWidth="11.43359375" defaultRowHeight="12.75" zeroHeight="false" outlineLevelRow="0" outlineLevelCol="0"/>
  <cols>
    <col collapsed="false" customWidth="true" hidden="false" outlineLevel="0" max="1" min="1" style="410" width="1.42"/>
    <col collapsed="false" customWidth="true" hidden="false" outlineLevel="0" max="2" min="2" style="410" width="15.86"/>
    <col collapsed="false" customWidth="true" hidden="false" outlineLevel="0" max="3" min="3" style="410" width="49.86"/>
    <col collapsed="false" customWidth="false" hidden="false" outlineLevel="0" max="4" min="4" style="410" width="11.42"/>
    <col collapsed="false" customWidth="true" hidden="false" outlineLevel="0" max="5" min="5" style="410" width="8.86"/>
    <col collapsed="false" customWidth="true" hidden="false" outlineLevel="0" max="6" min="6" style="410" width="10.14"/>
    <col collapsed="false" customWidth="true" hidden="false" outlineLevel="0" max="7" min="7" style="410" width="10.85"/>
    <col collapsed="false" customWidth="true" hidden="false" outlineLevel="0" max="8" min="8" style="410" width="13.86"/>
    <col collapsed="false" customWidth="true" hidden="false" outlineLevel="0" max="9" min="9" style="411" width="3.42"/>
    <col collapsed="false" customWidth="true" hidden="true" outlineLevel="0" max="10" min="10" style="411" width="1.58"/>
    <col collapsed="false" customWidth="true" hidden="true" outlineLevel="0" max="11" min="11" style="410" width="8.42"/>
    <col collapsed="false" customWidth="true" hidden="false" outlineLevel="0" max="12" min="12" style="411" width="11.14"/>
    <col collapsed="false" customWidth="true" hidden="false" outlineLevel="0" max="13" min="13" style="212" width="11.14"/>
    <col collapsed="false" customWidth="true" hidden="false" outlineLevel="0" max="19" min="14" style="410" width="11.14"/>
    <col collapsed="false" customWidth="true" hidden="false" outlineLevel="0" max="20" min="20" style="410" width="3.57"/>
    <col collapsed="false" customWidth="true" hidden="false" outlineLevel="0" max="21" min="21" style="410" width="13.86"/>
    <col collapsed="false" customWidth="true" hidden="true" outlineLevel="0" max="22" min="22" style="410" width="3.86"/>
    <col collapsed="false" customWidth="true" hidden="true" outlineLevel="0" max="24" min="23" style="410" width="11.52"/>
    <col collapsed="false" customWidth="true" hidden="false" outlineLevel="0" max="25" min="25" style="410" width="3.57"/>
    <col collapsed="false" customWidth="false" hidden="false" outlineLevel="0" max="1024" min="26" style="410" width="11.42"/>
  </cols>
  <sheetData>
    <row r="1" customFormat="false" ht="30" hidden="false" customHeight="true" outlineLevel="0" collapsed="false">
      <c r="B1" s="3" t="s">
        <v>0</v>
      </c>
      <c r="C1" s="3"/>
      <c r="D1" s="3"/>
      <c r="E1" s="3"/>
      <c r="F1" s="3"/>
      <c r="L1" s="410"/>
    </row>
    <row r="2" s="410" customFormat="true" ht="27" hidden="false" customHeight="false" outlineLevel="0" collapsed="false">
      <c r="B2" s="18" t="n">
        <v>45748</v>
      </c>
      <c r="C2" s="19" t="s">
        <v>395</v>
      </c>
      <c r="D2" s="412"/>
      <c r="E2" s="412"/>
      <c r="F2" s="412"/>
      <c r="G2" s="412"/>
      <c r="M2" s="212"/>
    </row>
    <row r="3" s="411" customFormat="true" ht="12.75" hidden="false" customHeight="true" outlineLevel="0" collapsed="false">
      <c r="B3" s="413" t="s">
        <v>9</v>
      </c>
      <c r="C3" s="413"/>
      <c r="D3" s="414" t="s">
        <v>10</v>
      </c>
      <c r="E3" s="414"/>
      <c r="F3" s="414"/>
      <c r="G3" s="414"/>
      <c r="H3" s="415" t="s">
        <v>11</v>
      </c>
      <c r="I3" s="416"/>
      <c r="J3" s="417" t="s">
        <v>11</v>
      </c>
      <c r="K3" s="417"/>
      <c r="L3" s="418" t="s">
        <v>392</v>
      </c>
      <c r="M3" s="418"/>
      <c r="N3" s="418" t="s">
        <v>391</v>
      </c>
      <c r="O3" s="418"/>
      <c r="P3" s="419" t="s">
        <v>778</v>
      </c>
      <c r="Q3" s="419"/>
      <c r="R3" s="420" t="s">
        <v>779</v>
      </c>
      <c r="S3" s="420"/>
      <c r="T3" s="410"/>
      <c r="U3" s="410"/>
      <c r="V3" s="410"/>
      <c r="W3" s="410"/>
      <c r="X3" s="410"/>
      <c r="Y3" s="410"/>
      <c r="Z3" s="410"/>
      <c r="AA3" s="410"/>
      <c r="AB3" s="410"/>
      <c r="AC3" s="410"/>
      <c r="AD3" s="410"/>
      <c r="AE3" s="410"/>
      <c r="AF3" s="410"/>
      <c r="AG3" s="410"/>
    </row>
    <row r="4" s="237" customFormat="true" ht="30" hidden="false" customHeight="true" outlineLevel="0" collapsed="false">
      <c r="B4" s="413"/>
      <c r="C4" s="413"/>
      <c r="D4" s="414"/>
      <c r="E4" s="414"/>
      <c r="F4" s="414"/>
      <c r="G4" s="414"/>
      <c r="H4" s="415"/>
      <c r="I4" s="421"/>
      <c r="J4" s="417"/>
      <c r="K4" s="417"/>
      <c r="L4" s="418"/>
      <c r="M4" s="418"/>
      <c r="N4" s="418"/>
      <c r="O4" s="418"/>
      <c r="P4" s="419"/>
      <c r="Q4" s="419"/>
      <c r="R4" s="420"/>
      <c r="S4" s="420"/>
      <c r="T4" s="410"/>
      <c r="U4" s="410"/>
      <c r="V4" s="410"/>
      <c r="W4" s="410"/>
      <c r="X4" s="410"/>
      <c r="Y4" s="410"/>
      <c r="Z4" s="410"/>
      <c r="AA4" s="410"/>
      <c r="AB4" s="410"/>
      <c r="AC4" s="410"/>
      <c r="AD4" s="410"/>
      <c r="AE4" s="410"/>
      <c r="AF4" s="410"/>
      <c r="AG4" s="410"/>
    </row>
    <row r="5" customFormat="false" ht="15.75" hidden="false" customHeight="true" outlineLevel="0" collapsed="false">
      <c r="B5" s="413"/>
      <c r="C5" s="413"/>
      <c r="D5" s="414"/>
      <c r="E5" s="414"/>
      <c r="F5" s="414"/>
      <c r="G5" s="414"/>
      <c r="H5" s="415"/>
      <c r="I5" s="421"/>
      <c r="J5" s="417"/>
      <c r="K5" s="417"/>
      <c r="L5" s="418"/>
      <c r="M5" s="418"/>
      <c r="N5" s="418"/>
      <c r="O5" s="418"/>
      <c r="P5" s="419"/>
      <c r="Q5" s="419"/>
      <c r="R5" s="420"/>
      <c r="S5" s="420"/>
    </row>
    <row r="6" customFormat="false" ht="15.75" hidden="false" customHeight="true" outlineLevel="0" collapsed="false">
      <c r="B6" s="413"/>
      <c r="C6" s="413"/>
      <c r="D6" s="414"/>
      <c r="E6" s="414"/>
      <c r="F6" s="414"/>
      <c r="G6" s="414"/>
      <c r="H6" s="415"/>
      <c r="I6" s="421"/>
      <c r="J6" s="417"/>
      <c r="K6" s="417"/>
      <c r="L6" s="418"/>
      <c r="M6" s="418"/>
      <c r="N6" s="418"/>
      <c r="O6" s="418"/>
      <c r="P6" s="419"/>
      <c r="Q6" s="419"/>
      <c r="R6" s="420"/>
      <c r="S6" s="420"/>
    </row>
    <row r="7" customFormat="false" ht="15.75" hidden="false" customHeight="true" outlineLevel="0" collapsed="false">
      <c r="B7" s="413"/>
      <c r="C7" s="413"/>
      <c r="D7" s="414"/>
      <c r="E7" s="414"/>
      <c r="F7" s="414"/>
      <c r="G7" s="414"/>
      <c r="H7" s="415"/>
      <c r="I7" s="421"/>
      <c r="J7" s="417"/>
      <c r="K7" s="417"/>
      <c r="L7" s="418"/>
      <c r="M7" s="418"/>
      <c r="N7" s="418"/>
      <c r="O7" s="418"/>
      <c r="P7" s="419"/>
      <c r="Q7" s="419"/>
      <c r="R7" s="420"/>
      <c r="S7" s="420"/>
    </row>
    <row r="8" customFormat="false" ht="15.75" hidden="false" customHeight="true" outlineLevel="0" collapsed="false">
      <c r="B8" s="413"/>
      <c r="C8" s="413"/>
      <c r="D8" s="414"/>
      <c r="E8" s="414"/>
      <c r="F8" s="414"/>
      <c r="G8" s="414"/>
      <c r="H8" s="415"/>
      <c r="I8" s="421"/>
      <c r="J8" s="417"/>
      <c r="K8" s="417"/>
      <c r="L8" s="418"/>
      <c r="M8" s="418"/>
      <c r="N8" s="418"/>
      <c r="O8" s="418"/>
      <c r="P8" s="419"/>
      <c r="Q8" s="419"/>
      <c r="R8" s="420"/>
      <c r="S8" s="420"/>
    </row>
    <row r="9" customFormat="false" ht="15.75" hidden="false" customHeight="true" outlineLevel="0" collapsed="false">
      <c r="B9" s="413"/>
      <c r="C9" s="413"/>
      <c r="D9" s="414"/>
      <c r="E9" s="414"/>
      <c r="F9" s="414"/>
      <c r="G9" s="414"/>
      <c r="H9" s="415"/>
      <c r="I9" s="421"/>
      <c r="J9" s="417"/>
      <c r="K9" s="417"/>
      <c r="L9" s="418"/>
      <c r="M9" s="418"/>
      <c r="N9" s="418"/>
      <c r="O9" s="418"/>
      <c r="P9" s="419"/>
      <c r="Q9" s="419"/>
      <c r="R9" s="420"/>
      <c r="S9" s="420"/>
    </row>
    <row r="10" customFormat="false" ht="15.75" hidden="false" customHeight="true" outlineLevel="0" collapsed="false">
      <c r="B10" s="413"/>
      <c r="C10" s="413"/>
      <c r="D10" s="414"/>
      <c r="E10" s="414"/>
      <c r="F10" s="414"/>
      <c r="G10" s="414"/>
      <c r="H10" s="415"/>
      <c r="I10" s="421"/>
      <c r="J10" s="417"/>
      <c r="K10" s="417"/>
      <c r="L10" s="418"/>
      <c r="M10" s="418"/>
      <c r="N10" s="418"/>
      <c r="O10" s="418"/>
      <c r="P10" s="419"/>
      <c r="Q10" s="419"/>
      <c r="R10" s="420"/>
      <c r="S10" s="420"/>
    </row>
    <row r="11" customFormat="false" ht="15.75" hidden="false" customHeight="true" outlineLevel="0" collapsed="false">
      <c r="B11" s="413"/>
      <c r="C11" s="413"/>
      <c r="D11" s="422" t="s">
        <v>34</v>
      </c>
      <c r="E11" s="422"/>
      <c r="F11" s="422"/>
      <c r="G11" s="422"/>
      <c r="H11" s="423" t="s">
        <v>12</v>
      </c>
      <c r="I11" s="424"/>
      <c r="J11" s="425" t="s">
        <v>12</v>
      </c>
      <c r="K11" s="425"/>
      <c r="L11" s="426" t="s">
        <v>12</v>
      </c>
      <c r="M11" s="426"/>
      <c r="N11" s="427" t="s">
        <v>12</v>
      </c>
      <c r="O11" s="427"/>
      <c r="P11" s="428" t="s">
        <v>12</v>
      </c>
      <c r="Q11" s="428"/>
      <c r="R11" s="429" t="s">
        <v>12</v>
      </c>
      <c r="S11" s="429"/>
    </row>
    <row r="12" customFormat="false" ht="42" hidden="false" customHeight="true" outlineLevel="0" collapsed="false">
      <c r="B12" s="413"/>
      <c r="C12" s="413"/>
      <c r="D12" s="422" t="s">
        <v>780</v>
      </c>
      <c r="E12" s="422"/>
      <c r="F12" s="422"/>
      <c r="G12" s="422"/>
      <c r="H12" s="423" t="s">
        <v>781</v>
      </c>
      <c r="I12" s="424"/>
      <c r="J12" s="430" t="s">
        <v>782</v>
      </c>
      <c r="K12" s="430"/>
      <c r="L12" s="431" t="s">
        <v>781</v>
      </c>
      <c r="M12" s="431"/>
      <c r="N12" s="432" t="s">
        <v>781</v>
      </c>
      <c r="O12" s="432"/>
      <c r="P12" s="433" t="s">
        <v>781</v>
      </c>
      <c r="Q12" s="433"/>
      <c r="R12" s="434" t="s">
        <v>781</v>
      </c>
      <c r="S12" s="434"/>
    </row>
    <row r="13" customFormat="false" ht="30.75" hidden="false" customHeight="true" outlineLevel="0" collapsed="false">
      <c r="B13" s="413"/>
      <c r="C13" s="413"/>
      <c r="D13" s="435" t="s">
        <v>783</v>
      </c>
      <c r="E13" s="435"/>
      <c r="F13" s="435"/>
      <c r="G13" s="435"/>
      <c r="H13" s="436" t="s">
        <v>12</v>
      </c>
      <c r="I13" s="437"/>
      <c r="J13" s="438" t="s">
        <v>12</v>
      </c>
      <c r="K13" s="438"/>
      <c r="L13" s="439" t="s">
        <v>784</v>
      </c>
      <c r="M13" s="439"/>
      <c r="N13" s="440" t="s">
        <v>784</v>
      </c>
      <c r="O13" s="440"/>
      <c r="P13" s="441" t="s">
        <v>784</v>
      </c>
      <c r="Q13" s="441"/>
      <c r="R13" s="441" t="s">
        <v>784</v>
      </c>
      <c r="S13" s="441"/>
    </row>
    <row r="14" customFormat="false" ht="32.25" hidden="false" customHeight="true" outlineLevel="0" collapsed="false">
      <c r="B14" s="442"/>
      <c r="C14" s="442"/>
      <c r="D14" s="442"/>
      <c r="E14" s="442"/>
      <c r="F14" s="442"/>
      <c r="G14" s="442"/>
      <c r="H14" s="442"/>
      <c r="I14" s="442"/>
      <c r="J14" s="442"/>
      <c r="K14" s="442"/>
      <c r="L14" s="442"/>
      <c r="M14" s="442"/>
      <c r="N14" s="442"/>
      <c r="O14" s="442"/>
      <c r="P14" s="442"/>
      <c r="Q14" s="442"/>
      <c r="R14" s="442"/>
      <c r="S14" s="442"/>
    </row>
    <row r="15" customFormat="false" ht="21" hidden="false" customHeight="true" outlineLevel="0" collapsed="false">
      <c r="B15" s="443" t="s">
        <v>785</v>
      </c>
      <c r="E15" s="443"/>
      <c r="J15" s="410"/>
      <c r="M15" s="444"/>
      <c r="V15" s="411"/>
      <c r="Y15" s="411"/>
    </row>
    <row r="16" s="410" customFormat="true" ht="21" hidden="false" customHeight="true" outlineLevel="0" collapsed="false">
      <c r="D16" s="445"/>
      <c r="I16" s="411"/>
      <c r="M16" s="444"/>
      <c r="V16" s="411"/>
      <c r="Y16" s="411"/>
    </row>
    <row r="17" s="411" customFormat="true" ht="33.75" hidden="false" customHeight="true" outlineLevel="0" collapsed="false">
      <c r="B17" s="446" t="s">
        <v>61</v>
      </c>
      <c r="C17" s="446"/>
      <c r="D17" s="446"/>
      <c r="E17" s="446"/>
      <c r="F17" s="446"/>
      <c r="G17" s="446"/>
      <c r="H17" s="447" t="s">
        <v>786</v>
      </c>
      <c r="J17" s="447" t="s">
        <v>787</v>
      </c>
      <c r="K17" s="447"/>
      <c r="L17" s="447" t="s">
        <v>788</v>
      </c>
      <c r="M17" s="447"/>
      <c r="N17" s="447"/>
      <c r="O17" s="447"/>
      <c r="P17" s="447"/>
      <c r="Q17" s="447"/>
      <c r="R17" s="447"/>
      <c r="S17" s="447"/>
      <c r="T17" s="410"/>
      <c r="U17" s="447" t="s">
        <v>65</v>
      </c>
      <c r="W17" s="447" t="s">
        <v>789</v>
      </c>
      <c r="X17" s="447"/>
      <c r="Z17" s="447" t="s">
        <v>790</v>
      </c>
      <c r="AA17" s="447"/>
      <c r="AB17" s="447"/>
      <c r="AC17" s="447"/>
      <c r="AD17" s="447"/>
      <c r="AE17" s="447"/>
      <c r="AF17" s="447"/>
      <c r="AG17" s="447"/>
    </row>
    <row r="18" s="411" customFormat="true" ht="11.25" hidden="false" customHeight="true" outlineLevel="0" collapsed="false">
      <c r="B18" s="446"/>
      <c r="C18" s="446"/>
      <c r="D18" s="446"/>
      <c r="E18" s="446"/>
      <c r="F18" s="446"/>
      <c r="G18" s="446"/>
      <c r="H18" s="447"/>
      <c r="J18" s="447"/>
      <c r="K18" s="447"/>
      <c r="L18" s="448"/>
      <c r="M18" s="449"/>
      <c r="N18" s="449"/>
      <c r="O18" s="449"/>
      <c r="P18" s="449"/>
      <c r="Q18" s="449"/>
      <c r="R18" s="449"/>
      <c r="S18" s="449"/>
      <c r="T18" s="410"/>
      <c r="U18" s="447"/>
      <c r="W18" s="447"/>
      <c r="X18" s="447"/>
      <c r="Z18" s="448"/>
      <c r="AA18" s="449"/>
      <c r="AB18" s="449"/>
      <c r="AC18" s="449"/>
      <c r="AD18" s="449"/>
      <c r="AE18" s="449"/>
      <c r="AF18" s="449"/>
      <c r="AG18" s="449"/>
    </row>
    <row r="19" customFormat="false" ht="38.25" hidden="false" customHeight="true" outlineLevel="0" collapsed="false">
      <c r="B19" s="446"/>
      <c r="C19" s="446"/>
      <c r="D19" s="446"/>
      <c r="E19" s="446"/>
      <c r="F19" s="446"/>
      <c r="G19" s="446"/>
      <c r="H19" s="447"/>
      <c r="J19" s="447"/>
      <c r="K19" s="447"/>
      <c r="L19" s="450" t="s">
        <v>791</v>
      </c>
      <c r="M19" s="450"/>
      <c r="N19" s="450"/>
      <c r="O19" s="450"/>
      <c r="P19" s="450"/>
      <c r="Q19" s="450"/>
      <c r="R19" s="450"/>
      <c r="S19" s="450"/>
      <c r="U19" s="447"/>
      <c r="V19" s="411"/>
      <c r="W19" s="447"/>
      <c r="X19" s="447"/>
      <c r="Y19" s="411"/>
      <c r="Z19" s="450" t="s">
        <v>791</v>
      </c>
      <c r="AA19" s="450"/>
      <c r="AB19" s="450"/>
      <c r="AC19" s="450"/>
      <c r="AD19" s="450"/>
      <c r="AE19" s="450"/>
      <c r="AF19" s="450"/>
      <c r="AG19" s="450"/>
    </row>
    <row r="20" customFormat="false" ht="14.25" hidden="false" customHeight="true" outlineLevel="0" collapsed="false">
      <c r="B20" s="446"/>
      <c r="C20" s="446"/>
      <c r="D20" s="446"/>
      <c r="E20" s="446"/>
      <c r="F20" s="446"/>
      <c r="G20" s="446"/>
      <c r="H20" s="447"/>
      <c r="J20" s="449"/>
      <c r="K20" s="449"/>
      <c r="L20" s="451"/>
      <c r="M20" s="444"/>
      <c r="S20" s="452"/>
      <c r="T20" s="411"/>
      <c r="U20" s="447"/>
      <c r="V20" s="411"/>
      <c r="W20" s="449"/>
      <c r="X20" s="449"/>
      <c r="Y20" s="411"/>
      <c r="Z20" s="453"/>
      <c r="AA20" s="454"/>
      <c r="AB20" s="454"/>
      <c r="AC20" s="454"/>
      <c r="AD20" s="454"/>
      <c r="AE20" s="454"/>
      <c r="AF20" s="454"/>
      <c r="AG20" s="455"/>
    </row>
    <row r="21" customFormat="false" ht="14.25" hidden="false" customHeight="true" outlineLevel="0" collapsed="false">
      <c r="B21" s="456"/>
      <c r="C21" s="411"/>
      <c r="D21" s="411"/>
      <c r="E21" s="411"/>
      <c r="F21" s="411"/>
      <c r="G21" s="411"/>
      <c r="H21" s="457"/>
      <c r="J21" s="456"/>
      <c r="K21" s="411"/>
      <c r="L21" s="458"/>
      <c r="M21" s="459"/>
      <c r="N21" s="411"/>
      <c r="O21" s="411"/>
      <c r="P21" s="411"/>
      <c r="Q21" s="411"/>
      <c r="R21" s="411"/>
      <c r="S21" s="460"/>
      <c r="T21" s="411"/>
      <c r="U21" s="461"/>
      <c r="V21" s="411"/>
      <c r="W21" s="456"/>
      <c r="X21" s="462"/>
      <c r="Y21" s="411"/>
      <c r="Z21" s="456"/>
      <c r="AA21" s="411"/>
      <c r="AB21" s="411"/>
      <c r="AC21" s="411"/>
      <c r="AD21" s="411"/>
      <c r="AE21" s="411"/>
      <c r="AF21" s="411"/>
      <c r="AG21" s="462"/>
    </row>
    <row r="22" customFormat="false" ht="32.25" hidden="false" customHeight="true" outlineLevel="0" collapsed="false">
      <c r="B22" s="463" t="s">
        <v>74</v>
      </c>
      <c r="C22" s="464" t="s">
        <v>420</v>
      </c>
      <c r="D22" s="465" t="s">
        <v>76</v>
      </c>
      <c r="E22" s="465" t="s">
        <v>77</v>
      </c>
      <c r="F22" s="464" t="s">
        <v>78</v>
      </c>
      <c r="G22" s="464" t="s">
        <v>79</v>
      </c>
      <c r="H22" s="464" t="s">
        <v>80</v>
      </c>
      <c r="I22" s="466"/>
      <c r="J22" s="467" t="s">
        <v>81</v>
      </c>
      <c r="K22" s="468" t="s">
        <v>82</v>
      </c>
      <c r="L22" s="467" t="s">
        <v>81</v>
      </c>
      <c r="M22" s="469" t="s">
        <v>83</v>
      </c>
      <c r="N22" s="467" t="s">
        <v>81</v>
      </c>
      <c r="O22" s="468" t="s">
        <v>83</v>
      </c>
      <c r="P22" s="467" t="s">
        <v>81</v>
      </c>
      <c r="Q22" s="468" t="s">
        <v>83</v>
      </c>
      <c r="R22" s="467" t="s">
        <v>81</v>
      </c>
      <c r="S22" s="468" t="s">
        <v>83</v>
      </c>
      <c r="U22" s="464" t="s">
        <v>792</v>
      </c>
      <c r="V22" s="466"/>
      <c r="W22" s="467" t="s">
        <v>86</v>
      </c>
      <c r="X22" s="468" t="s">
        <v>87</v>
      </c>
      <c r="Y22" s="466"/>
      <c r="Z22" s="467" t="s">
        <v>86</v>
      </c>
      <c r="AA22" s="468" t="s">
        <v>87</v>
      </c>
      <c r="AB22" s="467" t="s">
        <v>86</v>
      </c>
      <c r="AC22" s="468" t="s">
        <v>87</v>
      </c>
      <c r="AD22" s="467" t="s">
        <v>86</v>
      </c>
      <c r="AE22" s="468" t="s">
        <v>87</v>
      </c>
      <c r="AF22" s="467" t="s">
        <v>86</v>
      </c>
      <c r="AG22" s="468" t="s">
        <v>87</v>
      </c>
    </row>
    <row r="23" s="410" customFormat="true" ht="14.25" hidden="false" customHeight="true" outlineLevel="0" collapsed="false">
      <c r="B23" s="327" t="s">
        <v>793</v>
      </c>
      <c r="C23" s="470" t="s">
        <v>794</v>
      </c>
      <c r="D23" s="471" t="n">
        <v>0</v>
      </c>
      <c r="E23" s="471" t="n">
        <v>1</v>
      </c>
      <c r="F23" s="327" t="s">
        <v>795</v>
      </c>
      <c r="G23" s="471" t="n">
        <v>12</v>
      </c>
      <c r="H23" s="472" t="s">
        <v>12</v>
      </c>
      <c r="I23" s="473"/>
      <c r="J23" s="313" t="s">
        <v>12</v>
      </c>
      <c r="K23" s="474" t="s">
        <v>12</v>
      </c>
      <c r="L23" s="313" t="s">
        <v>12</v>
      </c>
      <c r="N23" s="313" t="s">
        <v>12</v>
      </c>
      <c r="O23" s="474" t="s">
        <v>12</v>
      </c>
      <c r="P23" s="313" t="s">
        <v>12</v>
      </c>
      <c r="Q23" s="474" t="s">
        <v>12</v>
      </c>
      <c r="R23" s="475" t="n">
        <v>0</v>
      </c>
      <c r="S23" s="476" t="n">
        <v>0</v>
      </c>
      <c r="U23" s="477" t="s">
        <v>12</v>
      </c>
      <c r="V23" s="473"/>
      <c r="W23" s="313" t="s">
        <v>12</v>
      </c>
      <c r="X23" s="474" t="s">
        <v>12</v>
      </c>
      <c r="Y23" s="377"/>
      <c r="Z23" s="313" t="s">
        <v>12</v>
      </c>
      <c r="AA23" s="474" t="s">
        <v>12</v>
      </c>
      <c r="AB23" s="313" t="s">
        <v>12</v>
      </c>
      <c r="AC23" s="474" t="s">
        <v>12</v>
      </c>
      <c r="AD23" s="313" t="s">
        <v>12</v>
      </c>
      <c r="AE23" s="474" t="s">
        <v>12</v>
      </c>
      <c r="AF23" s="313" t="n">
        <v>0</v>
      </c>
      <c r="AG23" s="474" t="n">
        <v>0</v>
      </c>
    </row>
    <row r="24" s="410" customFormat="true" ht="14.25" hidden="false" customHeight="true" outlineLevel="0" collapsed="false">
      <c r="B24" s="327" t="s">
        <v>130</v>
      </c>
      <c r="C24" s="470" t="s">
        <v>796</v>
      </c>
      <c r="D24" s="471" t="n">
        <v>0</v>
      </c>
      <c r="E24" s="471" t="n">
        <v>0</v>
      </c>
      <c r="F24" s="327" t="s">
        <v>795</v>
      </c>
      <c r="G24" s="471" t="n">
        <v>12</v>
      </c>
      <c r="H24" s="472" t="s">
        <v>12</v>
      </c>
      <c r="I24" s="473"/>
      <c r="J24" s="313" t="s">
        <v>12</v>
      </c>
      <c r="K24" s="474" t="s">
        <v>12</v>
      </c>
      <c r="L24" s="313" t="s">
        <v>12</v>
      </c>
      <c r="N24" s="313" t="s">
        <v>12</v>
      </c>
      <c r="O24" s="474" t="s">
        <v>12</v>
      </c>
      <c r="P24" s="313" t="s">
        <v>12</v>
      </c>
      <c r="Q24" s="474" t="s">
        <v>12</v>
      </c>
      <c r="R24" s="475" t="n">
        <v>0</v>
      </c>
      <c r="S24" s="476" t="n">
        <v>0</v>
      </c>
      <c r="U24" s="477" t="s">
        <v>12</v>
      </c>
      <c r="V24" s="473"/>
      <c r="W24" s="313" t="s">
        <v>12</v>
      </c>
      <c r="X24" s="474" t="s">
        <v>12</v>
      </c>
      <c r="Y24" s="377"/>
      <c r="Z24" s="313" t="s">
        <v>12</v>
      </c>
      <c r="AA24" s="474" t="s">
        <v>12</v>
      </c>
      <c r="AB24" s="313" t="s">
        <v>12</v>
      </c>
      <c r="AC24" s="474" t="s">
        <v>12</v>
      </c>
      <c r="AD24" s="313" t="s">
        <v>12</v>
      </c>
      <c r="AE24" s="474" t="s">
        <v>12</v>
      </c>
      <c r="AF24" s="313" t="n">
        <v>0</v>
      </c>
      <c r="AG24" s="474" t="n">
        <v>0</v>
      </c>
    </row>
    <row r="25" customFormat="false" ht="14.25" hidden="false" customHeight="true" outlineLevel="0" collapsed="false">
      <c r="B25" s="305" t="s">
        <v>90</v>
      </c>
      <c r="C25" s="305" t="s">
        <v>797</v>
      </c>
      <c r="D25" s="478" t="n">
        <v>49</v>
      </c>
      <c r="E25" s="478" t="n">
        <v>1</v>
      </c>
      <c r="F25" s="305" t="s">
        <v>795</v>
      </c>
      <c r="G25" s="478" t="n">
        <v>12</v>
      </c>
      <c r="H25" s="479" t="n">
        <v>42.1487603305785</v>
      </c>
      <c r="I25" s="473"/>
      <c r="J25" s="313" t="s">
        <v>12</v>
      </c>
      <c r="K25" s="474" t="s">
        <v>12</v>
      </c>
      <c r="L25" s="313" t="n">
        <v>0</v>
      </c>
      <c r="M25" s="474" t="n">
        <v>3</v>
      </c>
      <c r="N25" s="313" t="n">
        <v>0</v>
      </c>
      <c r="O25" s="474" t="n">
        <v>1</v>
      </c>
      <c r="P25" s="313" t="n">
        <v>0</v>
      </c>
      <c r="Q25" s="474" t="n">
        <v>1</v>
      </c>
      <c r="R25" s="377" t="n">
        <v>0</v>
      </c>
      <c r="S25" s="474" t="n">
        <v>0</v>
      </c>
      <c r="U25" s="480" t="n">
        <v>6.85123966942149</v>
      </c>
      <c r="V25" s="473"/>
      <c r="W25" s="313" t="s">
        <v>12</v>
      </c>
      <c r="X25" s="474" t="s">
        <v>12</v>
      </c>
      <c r="Y25" s="377"/>
      <c r="Z25" s="313" t="n">
        <v>13</v>
      </c>
      <c r="AA25" s="474" t="n">
        <v>36</v>
      </c>
      <c r="AB25" s="313" t="n">
        <v>37</v>
      </c>
      <c r="AC25" s="474" t="n">
        <v>12</v>
      </c>
      <c r="AD25" s="313" t="n">
        <v>37</v>
      </c>
      <c r="AE25" s="474" t="n">
        <v>12</v>
      </c>
      <c r="AF25" s="377" t="n">
        <v>49</v>
      </c>
      <c r="AG25" s="474" t="n">
        <v>0</v>
      </c>
    </row>
    <row r="26" customFormat="false" ht="14.25" hidden="false" customHeight="true" outlineLevel="0" collapsed="false">
      <c r="B26" s="305" t="s">
        <v>793</v>
      </c>
      <c r="C26" s="305" t="s">
        <v>798</v>
      </c>
      <c r="D26" s="478" t="n">
        <v>58</v>
      </c>
      <c r="E26" s="478" t="n">
        <v>1</v>
      </c>
      <c r="F26" s="305" t="s">
        <v>795</v>
      </c>
      <c r="G26" s="478" t="n">
        <v>12</v>
      </c>
      <c r="H26" s="479" t="n">
        <v>52.0661157024793</v>
      </c>
      <c r="I26" s="473"/>
      <c r="J26" s="313" t="s">
        <v>12</v>
      </c>
      <c r="K26" s="474" t="s">
        <v>12</v>
      </c>
      <c r="L26" s="313" t="n">
        <v>0</v>
      </c>
      <c r="M26" s="474" t="n">
        <v>4</v>
      </c>
      <c r="N26" s="313" t="n">
        <v>0</v>
      </c>
      <c r="O26" s="474" t="n">
        <v>2</v>
      </c>
      <c r="P26" s="313" t="n">
        <v>0</v>
      </c>
      <c r="Q26" s="474" t="n">
        <v>2</v>
      </c>
      <c r="R26" s="377" t="n">
        <v>0</v>
      </c>
      <c r="S26" s="474" t="n">
        <v>1</v>
      </c>
      <c r="U26" s="477" t="n">
        <v>5.93388429752066</v>
      </c>
      <c r="V26" s="473"/>
      <c r="W26" s="313" t="s">
        <v>12</v>
      </c>
      <c r="X26" s="474" t="s">
        <v>12</v>
      </c>
      <c r="Y26" s="377"/>
      <c r="Z26" s="313" t="n">
        <v>10</v>
      </c>
      <c r="AA26" s="474" t="n">
        <v>48</v>
      </c>
      <c r="AB26" s="313" t="n">
        <v>34</v>
      </c>
      <c r="AC26" s="474" t="n">
        <v>24</v>
      </c>
      <c r="AD26" s="313" t="n">
        <v>34</v>
      </c>
      <c r="AE26" s="474" t="n">
        <v>24</v>
      </c>
      <c r="AF26" s="377" t="n">
        <v>46</v>
      </c>
      <c r="AG26" s="474" t="n">
        <v>12</v>
      </c>
    </row>
    <row r="27" customFormat="false" ht="14.25" hidden="false" customHeight="true" outlineLevel="0" collapsed="false">
      <c r="B27" s="305" t="s">
        <v>510</v>
      </c>
      <c r="C27" s="305" t="s">
        <v>799</v>
      </c>
      <c r="D27" s="478" t="n">
        <v>66</v>
      </c>
      <c r="E27" s="478" t="n">
        <v>1</v>
      </c>
      <c r="F27" s="305" t="s">
        <v>795</v>
      </c>
      <c r="G27" s="478" t="n">
        <v>12</v>
      </c>
      <c r="H27" s="479" t="n">
        <v>42.9752066115703</v>
      </c>
      <c r="I27" s="473"/>
      <c r="J27" s="313" t="s">
        <v>12</v>
      </c>
      <c r="K27" s="474" t="s">
        <v>12</v>
      </c>
      <c r="L27" s="313" t="n">
        <v>0</v>
      </c>
      <c r="M27" s="474" t="n">
        <v>3</v>
      </c>
      <c r="N27" s="313" t="n">
        <v>0</v>
      </c>
      <c r="O27" s="474" t="n">
        <v>2</v>
      </c>
      <c r="P27" s="313" t="n">
        <v>0</v>
      </c>
      <c r="Q27" s="474" t="n">
        <v>2</v>
      </c>
      <c r="R27" s="377" t="n">
        <v>0</v>
      </c>
      <c r="S27" s="474" t="n">
        <v>0</v>
      </c>
      <c r="U27" s="477" t="n">
        <v>23.0247933884297</v>
      </c>
      <c r="V27" s="473"/>
      <c r="W27" s="313" t="s">
        <v>12</v>
      </c>
      <c r="X27" s="474" t="s">
        <v>12</v>
      </c>
      <c r="Y27" s="377"/>
      <c r="Z27" s="313" t="n">
        <v>30</v>
      </c>
      <c r="AA27" s="474" t="n">
        <v>36</v>
      </c>
      <c r="AB27" s="313" t="n">
        <v>42</v>
      </c>
      <c r="AC27" s="474" t="n">
        <v>24</v>
      </c>
      <c r="AD27" s="313" t="n">
        <v>42</v>
      </c>
      <c r="AE27" s="474" t="n">
        <v>24</v>
      </c>
      <c r="AF27" s="377" t="n">
        <v>66</v>
      </c>
      <c r="AG27" s="474" t="n">
        <v>0</v>
      </c>
    </row>
    <row r="28" customFormat="false" ht="12.75" hidden="false" customHeight="false" outlineLevel="0" collapsed="false">
      <c r="B28" s="305" t="s">
        <v>130</v>
      </c>
      <c r="C28" s="305" t="s">
        <v>800</v>
      </c>
      <c r="D28" s="478" t="n">
        <v>248</v>
      </c>
      <c r="E28" s="478" t="n">
        <v>1</v>
      </c>
      <c r="F28" s="305" t="s">
        <v>795</v>
      </c>
      <c r="G28" s="478" t="n">
        <v>24</v>
      </c>
      <c r="H28" s="479" t="n">
        <v>101.652892561983</v>
      </c>
      <c r="I28" s="473"/>
      <c r="J28" s="313" t="s">
        <v>12</v>
      </c>
      <c r="K28" s="474" t="s">
        <v>12</v>
      </c>
      <c r="L28" s="313" t="n">
        <v>0</v>
      </c>
      <c r="M28" s="474" t="n">
        <v>4</v>
      </c>
      <c r="N28" s="313" t="n">
        <v>0</v>
      </c>
      <c r="O28" s="474" t="n">
        <v>3</v>
      </c>
      <c r="P28" s="313" t="n">
        <v>0</v>
      </c>
      <c r="Q28" s="474" t="n">
        <v>3</v>
      </c>
      <c r="R28" s="377" t="n">
        <v>0</v>
      </c>
      <c r="S28" s="474" t="n">
        <v>2</v>
      </c>
      <c r="U28" s="477" t="n">
        <v>146.347107438017</v>
      </c>
      <c r="V28" s="473"/>
      <c r="W28" s="313" t="s">
        <v>12</v>
      </c>
      <c r="X28" s="474" t="s">
        <v>12</v>
      </c>
      <c r="Y28" s="377"/>
      <c r="Z28" s="313" t="n">
        <v>152</v>
      </c>
      <c r="AA28" s="474" t="n">
        <v>96</v>
      </c>
      <c r="AB28" s="313" t="n">
        <v>176</v>
      </c>
      <c r="AC28" s="474" t="n">
        <v>72</v>
      </c>
      <c r="AD28" s="313" t="n">
        <v>176</v>
      </c>
      <c r="AE28" s="474" t="n">
        <v>72</v>
      </c>
      <c r="AF28" s="377" t="n">
        <v>200</v>
      </c>
      <c r="AG28" s="474" t="n">
        <v>48</v>
      </c>
    </row>
    <row r="29" customFormat="false" ht="12.75" hidden="false" customHeight="false" outlineLevel="0" collapsed="false">
      <c r="B29" s="305" t="s">
        <v>801</v>
      </c>
      <c r="C29" s="305" t="s">
        <v>802</v>
      </c>
      <c r="D29" s="478" t="n">
        <v>207</v>
      </c>
      <c r="E29" s="478" t="n">
        <v>1</v>
      </c>
      <c r="F29" s="305" t="s">
        <v>795</v>
      </c>
      <c r="G29" s="478" t="n">
        <v>24</v>
      </c>
      <c r="H29" s="479" t="n">
        <v>157.02479338843</v>
      </c>
      <c r="I29" s="473"/>
      <c r="J29" s="313" t="s">
        <v>12</v>
      </c>
      <c r="K29" s="474" t="s">
        <v>12</v>
      </c>
      <c r="L29" s="313" t="n">
        <v>29</v>
      </c>
      <c r="M29" s="474" t="n">
        <v>4</v>
      </c>
      <c r="N29" s="313" t="n">
        <v>0</v>
      </c>
      <c r="O29" s="474" t="n">
        <v>5</v>
      </c>
      <c r="P29" s="313" t="n">
        <v>0</v>
      </c>
      <c r="Q29" s="474" t="n">
        <v>5</v>
      </c>
      <c r="R29" s="377" t="n">
        <v>0</v>
      </c>
      <c r="S29" s="474" t="n">
        <v>4</v>
      </c>
      <c r="U29" s="477" t="n">
        <v>49.9752066115702</v>
      </c>
      <c r="V29" s="473"/>
      <c r="W29" s="313" t="s">
        <v>12</v>
      </c>
      <c r="X29" s="474" t="s">
        <v>12</v>
      </c>
      <c r="Y29" s="377"/>
      <c r="Z29" s="313" t="n">
        <v>82</v>
      </c>
      <c r="AA29" s="474" t="n">
        <v>96</v>
      </c>
      <c r="AB29" s="313" t="n">
        <v>87</v>
      </c>
      <c r="AC29" s="474" t="n">
        <v>120</v>
      </c>
      <c r="AD29" s="313" t="n">
        <v>87</v>
      </c>
      <c r="AE29" s="474" t="n">
        <v>120</v>
      </c>
      <c r="AF29" s="377" t="n">
        <v>111</v>
      </c>
      <c r="AG29" s="474" t="n">
        <v>96</v>
      </c>
    </row>
    <row r="30" customFormat="false" ht="12.75" hidden="false" customHeight="false" outlineLevel="0" collapsed="false">
      <c r="B30" s="305" t="s">
        <v>510</v>
      </c>
      <c r="C30" s="305" t="s">
        <v>803</v>
      </c>
      <c r="D30" s="478" t="n">
        <v>244</v>
      </c>
      <c r="E30" s="478" t="n">
        <v>1</v>
      </c>
      <c r="F30" s="305" t="s">
        <v>795</v>
      </c>
      <c r="G30" s="478" t="n">
        <v>24</v>
      </c>
      <c r="H30" s="479" t="n">
        <v>243.801652892562</v>
      </c>
      <c r="I30" s="473"/>
      <c r="J30" s="313" t="s">
        <v>12</v>
      </c>
      <c r="K30" s="474" t="s">
        <v>12</v>
      </c>
      <c r="L30" s="313" t="n">
        <v>39</v>
      </c>
      <c r="M30" s="474" t="n">
        <v>6</v>
      </c>
      <c r="N30" s="313" t="n">
        <v>0</v>
      </c>
      <c r="O30" s="474" t="n">
        <v>7</v>
      </c>
      <c r="P30" s="313" t="n">
        <v>0</v>
      </c>
      <c r="Q30" s="474" t="n">
        <v>7</v>
      </c>
      <c r="R30" s="377" t="n">
        <v>0</v>
      </c>
      <c r="S30" s="474" t="n">
        <v>6</v>
      </c>
      <c r="U30" s="477" t="n">
        <v>0.198347107437996</v>
      </c>
      <c r="V30" s="473"/>
      <c r="W30" s="313" t="s">
        <v>12</v>
      </c>
      <c r="X30" s="474" t="s">
        <v>12</v>
      </c>
      <c r="Y30" s="377"/>
      <c r="Z30" s="313" t="n">
        <v>61</v>
      </c>
      <c r="AA30" s="474" t="n">
        <v>144</v>
      </c>
      <c r="AB30" s="313" t="n">
        <v>76</v>
      </c>
      <c r="AC30" s="474" t="n">
        <v>168</v>
      </c>
      <c r="AD30" s="313" t="n">
        <v>76</v>
      </c>
      <c r="AE30" s="474" t="n">
        <v>168</v>
      </c>
      <c r="AF30" s="377" t="n">
        <v>100</v>
      </c>
      <c r="AG30" s="474" t="n">
        <v>144</v>
      </c>
    </row>
    <row r="31" customFormat="false" ht="12.75" hidden="false" customHeight="true" outlineLevel="0" collapsed="false">
      <c r="B31" s="305" t="s">
        <v>200</v>
      </c>
      <c r="C31" s="305" t="s">
        <v>552</v>
      </c>
      <c r="D31" s="478" t="n">
        <v>182</v>
      </c>
      <c r="E31" s="478" t="n">
        <v>1</v>
      </c>
      <c r="F31" s="305" t="s">
        <v>541</v>
      </c>
      <c r="G31" s="478" t="n">
        <v>24</v>
      </c>
      <c r="H31" s="479" t="n">
        <v>161.98347107438</v>
      </c>
      <c r="I31" s="473"/>
      <c r="J31" s="313" t="s">
        <v>12</v>
      </c>
      <c r="K31" s="474" t="s">
        <v>12</v>
      </c>
      <c r="L31" s="313" t="n">
        <v>19</v>
      </c>
      <c r="M31" s="474" t="n">
        <v>4</v>
      </c>
      <c r="N31" s="313" t="n">
        <v>0</v>
      </c>
      <c r="O31" s="474" t="n">
        <v>4</v>
      </c>
      <c r="P31" s="313" t="n">
        <v>0</v>
      </c>
      <c r="Q31" s="474" t="n">
        <v>4</v>
      </c>
      <c r="R31" s="377" t="n">
        <v>0</v>
      </c>
      <c r="S31" s="474" t="n">
        <v>3</v>
      </c>
      <c r="U31" s="477" t="n">
        <v>20.0165289256198</v>
      </c>
      <c r="V31" s="473"/>
      <c r="W31" s="313" t="s">
        <v>12</v>
      </c>
      <c r="X31" s="474" t="s">
        <v>12</v>
      </c>
      <c r="Y31" s="377"/>
      <c r="Z31" s="313" t="n">
        <v>67</v>
      </c>
      <c r="AA31" s="474" t="n">
        <v>96</v>
      </c>
      <c r="AB31" s="313" t="n">
        <v>86</v>
      </c>
      <c r="AC31" s="474" t="n">
        <v>96</v>
      </c>
      <c r="AD31" s="313" t="n">
        <v>86</v>
      </c>
      <c r="AE31" s="474" t="n">
        <v>96</v>
      </c>
      <c r="AF31" s="377" t="n">
        <v>110</v>
      </c>
      <c r="AG31" s="474" t="n">
        <v>72</v>
      </c>
    </row>
    <row r="32" customFormat="false" ht="13.5" hidden="false" customHeight="false" outlineLevel="0" collapsed="false">
      <c r="B32" s="335" t="s">
        <v>497</v>
      </c>
      <c r="C32" s="335" t="s">
        <v>563</v>
      </c>
      <c r="D32" s="481" t="n">
        <v>208</v>
      </c>
      <c r="E32" s="481" t="n">
        <v>1</v>
      </c>
      <c r="F32" s="335" t="s">
        <v>541</v>
      </c>
      <c r="G32" s="481" t="n">
        <v>24</v>
      </c>
      <c r="H32" s="482" t="n">
        <v>171.900826446281</v>
      </c>
      <c r="I32" s="473"/>
      <c r="J32" s="313" t="s">
        <v>12</v>
      </c>
      <c r="K32" s="474" t="s">
        <v>12</v>
      </c>
      <c r="L32" s="346" t="n">
        <v>29</v>
      </c>
      <c r="M32" s="483" t="n">
        <v>5</v>
      </c>
      <c r="N32" s="346" t="n">
        <v>0</v>
      </c>
      <c r="O32" s="483" t="n">
        <v>5</v>
      </c>
      <c r="P32" s="346" t="n">
        <v>0</v>
      </c>
      <c r="Q32" s="483" t="n">
        <v>5</v>
      </c>
      <c r="R32" s="380" t="n">
        <v>0</v>
      </c>
      <c r="S32" s="483" t="n">
        <v>4</v>
      </c>
      <c r="U32" s="484" t="n">
        <v>36.099173553719</v>
      </c>
      <c r="V32" s="473"/>
      <c r="W32" s="313" t="s">
        <v>12</v>
      </c>
      <c r="X32" s="474" t="s">
        <v>12</v>
      </c>
      <c r="Y32" s="377"/>
      <c r="Z32" s="346" t="n">
        <v>59</v>
      </c>
      <c r="AA32" s="483" t="n">
        <v>120</v>
      </c>
      <c r="AB32" s="346" t="n">
        <v>88</v>
      </c>
      <c r="AC32" s="483" t="n">
        <v>120</v>
      </c>
      <c r="AD32" s="346" t="n">
        <v>88</v>
      </c>
      <c r="AE32" s="483" t="n">
        <v>120</v>
      </c>
      <c r="AF32" s="380" t="n">
        <v>112</v>
      </c>
      <c r="AG32" s="483" t="n">
        <v>96</v>
      </c>
    </row>
    <row r="33" customFormat="false" ht="15" hidden="false" customHeight="true" outlineLevel="0" collapsed="false">
      <c r="B33" s="411"/>
      <c r="C33" s="411"/>
      <c r="D33" s="411"/>
      <c r="E33" s="411"/>
      <c r="F33" s="411"/>
      <c r="G33" s="411"/>
      <c r="H33" s="485"/>
      <c r="K33" s="411"/>
      <c r="L33" s="410"/>
      <c r="M33" s="220"/>
      <c r="N33" s="411"/>
      <c r="O33" s="411"/>
      <c r="P33" s="411"/>
      <c r="Q33" s="411"/>
      <c r="R33" s="411"/>
      <c r="S33" s="411"/>
      <c r="T33" s="411"/>
      <c r="U33" s="486"/>
      <c r="V33" s="411"/>
      <c r="W33" s="411"/>
      <c r="X33" s="411"/>
      <c r="Y33" s="411"/>
      <c r="Z33" s="411"/>
      <c r="AA33" s="411"/>
      <c r="AB33" s="411"/>
      <c r="AC33" s="411"/>
      <c r="AD33" s="411"/>
      <c r="AE33" s="411"/>
      <c r="AF33" s="411"/>
      <c r="AG33" s="411"/>
    </row>
    <row r="34" customFormat="false" ht="12.75" hidden="false" customHeight="false" outlineLevel="0" collapsed="false">
      <c r="D34" s="487"/>
      <c r="H34" s="488"/>
      <c r="I34" s="410"/>
    </row>
    <row r="35" customFormat="false" ht="21" hidden="false" customHeight="false" outlineLevel="0" collapsed="false">
      <c r="B35" s="489" t="s">
        <v>804</v>
      </c>
      <c r="C35" s="490"/>
      <c r="D35" s="491"/>
      <c r="E35" s="491"/>
      <c r="F35" s="490"/>
      <c r="G35" s="491"/>
      <c r="H35" s="492"/>
      <c r="I35" s="491"/>
      <c r="J35" s="377"/>
      <c r="K35" s="377"/>
      <c r="L35" s="377"/>
      <c r="M35" s="377"/>
      <c r="N35" s="377"/>
      <c r="O35" s="377"/>
      <c r="P35" s="377"/>
      <c r="Q35" s="377"/>
      <c r="R35" s="377"/>
      <c r="S35" s="377"/>
      <c r="U35" s="493"/>
      <c r="V35" s="473"/>
      <c r="W35" s="377"/>
      <c r="X35" s="377"/>
      <c r="Y35" s="377"/>
      <c r="Z35" s="377"/>
      <c r="AA35" s="377"/>
      <c r="AB35" s="377"/>
      <c r="AC35" s="377"/>
      <c r="AD35" s="377"/>
      <c r="AE35" s="377"/>
      <c r="AF35" s="377"/>
      <c r="AG35" s="377"/>
      <c r="AH35" s="494"/>
    </row>
    <row r="36" customFormat="false" ht="12.75" hidden="false" customHeight="false" outlineLevel="0" collapsed="false">
      <c r="B36" s="495" t="s">
        <v>510</v>
      </c>
      <c r="C36" s="496" t="s">
        <v>799</v>
      </c>
      <c r="D36" s="497" t="n">
        <v>0</v>
      </c>
      <c r="E36" s="497" t="n">
        <v>1</v>
      </c>
      <c r="F36" s="495" t="s">
        <v>795</v>
      </c>
      <c r="G36" s="497" t="n">
        <v>12</v>
      </c>
      <c r="H36" s="498" t="n">
        <v>0</v>
      </c>
      <c r="I36" s="499"/>
      <c r="J36" s="500" t="s">
        <v>12</v>
      </c>
      <c r="K36" s="501" t="s">
        <v>12</v>
      </c>
      <c r="L36" s="500" t="s">
        <v>12</v>
      </c>
      <c r="M36" s="501" t="s">
        <v>12</v>
      </c>
      <c r="N36" s="500" t="s">
        <v>12</v>
      </c>
      <c r="O36" s="501" t="s">
        <v>12</v>
      </c>
      <c r="P36" s="500" t="s">
        <v>12</v>
      </c>
      <c r="Q36" s="501" t="s">
        <v>12</v>
      </c>
      <c r="R36" s="502" t="s">
        <v>12</v>
      </c>
      <c r="S36" s="501" t="s">
        <v>12</v>
      </c>
      <c r="T36" s="503"/>
      <c r="U36" s="504" t="s">
        <v>12</v>
      </c>
      <c r="V36" s="499"/>
      <c r="W36" s="500" t="s">
        <v>12</v>
      </c>
      <c r="X36" s="501" t="s">
        <v>12</v>
      </c>
      <c r="Y36" s="494"/>
      <c r="Z36" s="500" t="s">
        <v>12</v>
      </c>
      <c r="AA36" s="501" t="s">
        <v>12</v>
      </c>
      <c r="AB36" s="500" t="s">
        <v>12</v>
      </c>
      <c r="AC36" s="501" t="s">
        <v>12</v>
      </c>
      <c r="AD36" s="500" t="s">
        <v>12</v>
      </c>
      <c r="AE36" s="501" t="s">
        <v>12</v>
      </c>
      <c r="AF36" s="502" t="s">
        <v>12</v>
      </c>
      <c r="AG36" s="501" t="s">
        <v>12</v>
      </c>
      <c r="AH36" s="494"/>
    </row>
    <row r="37" customFormat="false" ht="13.5" hidden="false" customHeight="false" outlineLevel="0" collapsed="false">
      <c r="B37" s="335" t="s">
        <v>90</v>
      </c>
      <c r="C37" s="505" t="s">
        <v>797</v>
      </c>
      <c r="D37" s="481" t="n">
        <v>0</v>
      </c>
      <c r="E37" s="481" t="n">
        <v>1</v>
      </c>
      <c r="F37" s="335" t="s">
        <v>795</v>
      </c>
      <c r="G37" s="481" t="n">
        <v>12</v>
      </c>
      <c r="H37" s="482" t="n">
        <v>0</v>
      </c>
      <c r="I37" s="473"/>
      <c r="J37" s="346" t="s">
        <v>12</v>
      </c>
      <c r="K37" s="483" t="s">
        <v>12</v>
      </c>
      <c r="L37" s="346" t="s">
        <v>12</v>
      </c>
      <c r="M37" s="483" t="s">
        <v>12</v>
      </c>
      <c r="N37" s="346" t="s">
        <v>12</v>
      </c>
      <c r="O37" s="483" t="s">
        <v>12</v>
      </c>
      <c r="P37" s="346" t="s">
        <v>12</v>
      </c>
      <c r="Q37" s="483" t="s">
        <v>12</v>
      </c>
      <c r="R37" s="380" t="s">
        <v>12</v>
      </c>
      <c r="S37" s="483" t="s">
        <v>12</v>
      </c>
      <c r="U37" s="336" t="s">
        <v>12</v>
      </c>
      <c r="V37" s="473"/>
      <c r="W37" s="346" t="s">
        <v>12</v>
      </c>
      <c r="X37" s="483" t="s">
        <v>12</v>
      </c>
      <c r="Y37" s="506"/>
      <c r="Z37" s="346" t="s">
        <v>12</v>
      </c>
      <c r="AA37" s="483" t="s">
        <v>12</v>
      </c>
      <c r="AB37" s="346" t="s">
        <v>12</v>
      </c>
      <c r="AC37" s="483" t="s">
        <v>12</v>
      </c>
      <c r="AD37" s="346" t="s">
        <v>12</v>
      </c>
      <c r="AE37" s="483" t="s">
        <v>12</v>
      </c>
      <c r="AF37" s="380" t="s">
        <v>12</v>
      </c>
      <c r="AG37" s="483" t="s">
        <v>12</v>
      </c>
      <c r="AH37" s="377"/>
    </row>
    <row r="38" s="410" customFormat="true" ht="12.75" hidden="false" customHeight="false" outlineLevel="0" collapsed="false">
      <c r="C38" s="507"/>
      <c r="I38" s="411"/>
      <c r="M38" s="508"/>
      <c r="V38" s="411"/>
      <c r="Y38" s="411"/>
      <c r="AH38" s="494"/>
    </row>
    <row r="39" customFormat="false" ht="12.75" hidden="false" customHeight="false" outlineLevel="0" collapsed="false">
      <c r="L39" s="410"/>
      <c r="M39" s="410"/>
      <c r="O39" s="494"/>
    </row>
    <row r="40" s="410" customFormat="true" ht="12.75" hidden="false" customHeight="false" outlineLevel="0" collapsed="false">
      <c r="M40" s="212"/>
    </row>
    <row r="45" customFormat="false" ht="12.75" hidden="false" customHeight="false" outlineLevel="0" collapsed="false">
      <c r="M45" s="410"/>
      <c r="N45" s="411"/>
    </row>
    <row r="46" customFormat="false" ht="12.75" hidden="false" customHeight="false" outlineLevel="0" collapsed="false">
      <c r="M46" s="410"/>
      <c r="N46" s="411"/>
    </row>
    <row r="47" customFormat="false" ht="12.75" hidden="false" customHeight="false" outlineLevel="0" collapsed="false">
      <c r="M47" s="410"/>
      <c r="N47" s="411"/>
    </row>
    <row r="48" customFormat="false" ht="12.75" hidden="false" customHeight="false" outlineLevel="0" collapsed="false">
      <c r="M48" s="410"/>
      <c r="N48" s="411"/>
    </row>
    <row r="49" customFormat="false" ht="12.75" hidden="false" customHeight="false" outlineLevel="0" collapsed="false">
      <c r="M49" s="410"/>
      <c r="N49" s="411"/>
    </row>
    <row r="50" customFormat="false" ht="12.75" hidden="false" customHeight="false" outlineLevel="0" collapsed="false">
      <c r="M50" s="410"/>
      <c r="N50" s="411"/>
    </row>
    <row r="51" customFormat="false" ht="12.75" hidden="false" customHeight="false" outlineLevel="0" collapsed="false">
      <c r="M51" s="410"/>
      <c r="N51" s="411"/>
    </row>
    <row r="52" customFormat="false" ht="12.75" hidden="false" customHeight="false" outlineLevel="0" collapsed="false">
      <c r="M52" s="410"/>
      <c r="N52" s="411"/>
    </row>
    <row r="53" customFormat="false" ht="12.75" hidden="false" customHeight="false" outlineLevel="0" collapsed="false">
      <c r="M53" s="410"/>
      <c r="N53" s="411"/>
    </row>
    <row r="54" customFormat="false" ht="12.75" hidden="false" customHeight="false" outlineLevel="0" collapsed="false">
      <c r="M54" s="410"/>
      <c r="N54" s="411"/>
    </row>
    <row r="55" customFormat="false" ht="12.75" hidden="false" customHeight="false" outlineLevel="0" collapsed="false">
      <c r="M55" s="410"/>
      <c r="N55" s="411"/>
    </row>
    <row r="56" customFormat="false" ht="12.75" hidden="false" customHeight="false" outlineLevel="0" collapsed="false">
      <c r="M56" s="410"/>
      <c r="N56" s="411"/>
    </row>
  </sheetData>
  <mergeCells count="36">
    <mergeCell ref="B1:F1"/>
    <mergeCell ref="B3:C13"/>
    <mergeCell ref="D3:G10"/>
    <mergeCell ref="H3:H10"/>
    <mergeCell ref="J3:K10"/>
    <mergeCell ref="L3:M10"/>
    <mergeCell ref="N3:O10"/>
    <mergeCell ref="P3:Q10"/>
    <mergeCell ref="R3:S10"/>
    <mergeCell ref="D11:G11"/>
    <mergeCell ref="J11:K11"/>
    <mergeCell ref="L11:M11"/>
    <mergeCell ref="N11:O11"/>
    <mergeCell ref="P11:Q11"/>
    <mergeCell ref="R11:S11"/>
    <mergeCell ref="D12:G12"/>
    <mergeCell ref="J12:K12"/>
    <mergeCell ref="L12:M12"/>
    <mergeCell ref="N12:O12"/>
    <mergeCell ref="P12:Q12"/>
    <mergeCell ref="R12:S12"/>
    <mergeCell ref="D13:G13"/>
    <mergeCell ref="J13:K13"/>
    <mergeCell ref="L13:M13"/>
    <mergeCell ref="N13:O13"/>
    <mergeCell ref="P13:Q13"/>
    <mergeCell ref="R13:S13"/>
    <mergeCell ref="B17:G20"/>
    <mergeCell ref="H17:H20"/>
    <mergeCell ref="J17:K19"/>
    <mergeCell ref="L17:S17"/>
    <mergeCell ref="U17:U20"/>
    <mergeCell ref="W17:X19"/>
    <mergeCell ref="Z17:AG17"/>
    <mergeCell ref="L19:S19"/>
    <mergeCell ref="Z19:AG19"/>
  </mergeCells>
  <conditionalFormatting sqref="C38">
    <cfRule type="cellIs" priority="2" operator="equal" aboveAverage="0" equalAverage="0" bottom="0" percent="0" rank="0" text="" dxfId="113">
      <formula>"Phase Out"</formula>
    </cfRule>
    <cfRule type="cellIs" priority="3" operator="equal" aboveAverage="0" equalAverage="0" bottom="0" percent="0" rank="0" text="" dxfId="114">
      <formula>"Liquidado"</formula>
    </cfRule>
  </conditionalFormatting>
  <printOptions headings="false" gridLines="false" gridLinesSet="true" horizontalCentered="false" verticalCentered="false"/>
  <pageMargins left="0.708333333333333" right="0.708333333333333" top="0.747916666666667" bottom="0.748611111111111" header="0.511811023622047" footer="0.315277777777778"/>
  <pageSetup paperSize="9" scale="100" fitToWidth="1" fitToHeight="1" pageOrder="downThenOver" orientation="landscape" blackAndWhite="false" draft="false" cellComments="none" horizontalDpi="300" verticalDpi="300" copies="1"/>
  <headerFooter differentFirst="false" differentOddEven="false">
    <oddHeader/>
    <oddFooter>&amp;C&amp;1#&amp;"Calibri,Normal"&amp;8&amp;Ked7d31Orange Restricted</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F6600"/>
    <pageSetUpPr fitToPage="true"/>
  </sheetPr>
  <dimension ref="B1:Z47"/>
  <sheetViews>
    <sheetView showFormulas="false" showGridLines="false" showRowColHeaders="true" showZeros="true" rightToLeft="false" tabSelected="false" showOutlineSymbols="true" defaultGridColor="true" view="normal" topLeftCell="A3" colorId="64" zoomScale="70" zoomScaleNormal="70" zoomScalePageLayoutView="100" workbookViewId="0">
      <selection pane="topLeft" activeCell="B5" activeCellId="0" sqref="B5"/>
    </sheetView>
  </sheetViews>
  <sheetFormatPr defaultColWidth="11.43359375" defaultRowHeight="12.75" zeroHeight="false" outlineLevelRow="0" outlineLevelCol="0"/>
  <cols>
    <col collapsed="false" customWidth="true" hidden="false" outlineLevel="0" max="1" min="1" style="2" width="4.57"/>
    <col collapsed="false" customWidth="true" hidden="false" outlineLevel="0" max="2" min="2" style="2" width="22.57"/>
    <col collapsed="false" customWidth="true" hidden="false" outlineLevel="0" max="3" min="3" style="2" width="57.86"/>
    <col collapsed="false" customWidth="true" hidden="false" outlineLevel="0" max="4" min="4" style="2" width="9.58"/>
    <col collapsed="false" customWidth="true" hidden="false" outlineLevel="0" max="5" min="5" style="2" width="15.42"/>
    <col collapsed="false" customWidth="true" hidden="false" outlineLevel="0" max="6" min="6" style="2" width="18"/>
    <col collapsed="false" customWidth="true" hidden="false" outlineLevel="0" max="7" min="7" style="2" width="13.01"/>
    <col collapsed="false" customWidth="true" hidden="false" outlineLevel="0" max="8" min="8" style="2" width="18.58"/>
    <col collapsed="false" customWidth="true" hidden="false" outlineLevel="0" max="9" min="9" style="1" width="2.14"/>
    <col collapsed="false" customWidth="true" hidden="false" outlineLevel="0" max="10" min="10" style="2" width="10.85"/>
    <col collapsed="false" customWidth="true" hidden="false" outlineLevel="0" max="11" min="11" style="2" width="10.14"/>
    <col collapsed="false" customWidth="true" hidden="false" outlineLevel="0" max="12" min="12" style="1" width="2.42"/>
    <col collapsed="false" customWidth="true" hidden="false" outlineLevel="0" max="13" min="13" style="2" width="14.57"/>
    <col collapsed="false" customWidth="true" hidden="false" outlineLevel="0" max="14" min="14" style="2" width="9.85"/>
    <col collapsed="false" customWidth="true" hidden="false" outlineLevel="0" max="15" min="15" style="2" width="11.57"/>
    <col collapsed="false" customWidth="true" hidden="false" outlineLevel="0" max="16" min="16" style="2" width="9.85"/>
    <col collapsed="false" customWidth="true" hidden="false" outlineLevel="0" max="17" min="17" style="2" width="2.85"/>
    <col collapsed="false" customWidth="true" hidden="false" outlineLevel="0" max="18" min="18" style="2" width="9.85"/>
    <col collapsed="false" customWidth="true" hidden="false" outlineLevel="0" max="19" min="19" style="1" width="2.42"/>
    <col collapsed="false" customWidth="true" hidden="false" outlineLevel="0" max="20" min="20" style="509" width="9.58"/>
    <col collapsed="false" customWidth="true" hidden="false" outlineLevel="0" max="21" min="21" style="510" width="9.58"/>
    <col collapsed="false" customWidth="true" hidden="false" outlineLevel="0" max="22" min="22" style="510" width="5.57"/>
    <col collapsed="false" customWidth="true" hidden="false" outlineLevel="0" max="23" min="23" style="509" width="17.58"/>
    <col collapsed="false" customWidth="true" hidden="false" outlineLevel="0" max="24" min="24" style="510" width="9.58"/>
    <col collapsed="false" customWidth="true" hidden="false" outlineLevel="0" max="25" min="25" style="509" width="9.58"/>
    <col collapsed="false" customWidth="true" hidden="false" outlineLevel="0" max="26" min="26" style="510" width="9.58"/>
    <col collapsed="false" customWidth="true" hidden="false" outlineLevel="0" max="27" min="27" style="2" width="14.86"/>
    <col collapsed="false" customWidth="true" hidden="false" outlineLevel="0" max="28" min="28" style="2" width="41.42"/>
    <col collapsed="false" customWidth="false" hidden="false" outlineLevel="0" max="1024" min="29" style="2" width="11.42"/>
  </cols>
  <sheetData>
    <row r="1" customFormat="false" ht="13.5" hidden="false" customHeight="true" outlineLevel="0" collapsed="false">
      <c r="S1" s="2"/>
    </row>
    <row r="2" customFormat="false" ht="23.25" hidden="false" customHeight="true" outlineLevel="0" collapsed="false">
      <c r="B2" s="3" t="s">
        <v>0</v>
      </c>
      <c r="C2" s="3"/>
      <c r="D2" s="3"/>
      <c r="E2" s="3"/>
      <c r="F2" s="3"/>
      <c r="G2" s="511"/>
      <c r="H2" s="4" t="s">
        <v>1</v>
      </c>
      <c r="J2" s="5" t="s">
        <v>2</v>
      </c>
      <c r="K2" s="5"/>
      <c r="M2" s="7" t="s">
        <v>3</v>
      </c>
      <c r="N2" s="7"/>
      <c r="O2" s="7"/>
      <c r="P2" s="7"/>
      <c r="R2" s="8"/>
      <c r="S2" s="2"/>
      <c r="W2" s="512"/>
      <c r="X2" s="513"/>
      <c r="Y2" s="512"/>
      <c r="Z2" s="513"/>
    </row>
    <row r="3" customFormat="false" ht="3.75" hidden="false" customHeight="true" outlineLevel="0" collapsed="false">
      <c r="H3" s="4"/>
      <c r="M3" s="12"/>
      <c r="P3" s="514"/>
      <c r="R3" s="8"/>
      <c r="S3" s="15"/>
      <c r="T3" s="515"/>
      <c r="U3" s="516"/>
      <c r="V3" s="516"/>
      <c r="W3" s="517"/>
      <c r="X3" s="518"/>
      <c r="Y3" s="517"/>
      <c r="Z3" s="518"/>
    </row>
    <row r="4" s="28" customFormat="true" ht="30" hidden="false" customHeight="true" outlineLevel="0" collapsed="false">
      <c r="B4" s="18" t="n">
        <f aca="false">'PVP VaP Auton-McrPyme'!B4</f>
        <v>45748</v>
      </c>
      <c r="C4" s="19" t="str">
        <f aca="false">'PVP VaP Auton-McrPyme'!C4</f>
        <v>1/04 al 4/05</v>
      </c>
      <c r="D4" s="519"/>
      <c r="E4" s="519"/>
      <c r="F4" s="223" t="n">
        <f aca="true">+MIN(J25:INDIRECT("k"&amp;COUNTIF(C25:C45,"*")+24))</f>
        <v>0</v>
      </c>
      <c r="G4" s="520"/>
      <c r="H4" s="4"/>
      <c r="I4" s="521"/>
      <c r="J4" s="522" t="s">
        <v>4</v>
      </c>
      <c r="K4" s="522"/>
      <c r="L4" s="21"/>
      <c r="M4" s="522" t="s">
        <v>4</v>
      </c>
      <c r="N4" s="522"/>
      <c r="O4" s="523" t="s">
        <v>12</v>
      </c>
      <c r="P4" s="523"/>
      <c r="R4" s="8"/>
      <c r="S4" s="226"/>
      <c r="T4" s="524"/>
      <c r="U4" s="525"/>
      <c r="V4" s="525"/>
      <c r="W4" s="526"/>
      <c r="X4" s="527"/>
      <c r="Y4" s="526"/>
      <c r="Z4" s="527"/>
    </row>
    <row r="5" customFormat="false" ht="15.75" hidden="false" customHeight="true" outlineLevel="0" collapsed="false">
      <c r="B5" s="32" t="s">
        <v>805</v>
      </c>
      <c r="C5" s="32"/>
      <c r="D5" s="528" t="s">
        <v>10</v>
      </c>
      <c r="E5" s="528"/>
      <c r="F5" s="528"/>
      <c r="G5" s="528"/>
      <c r="H5" s="34" t="s">
        <v>393</v>
      </c>
      <c r="I5" s="35"/>
      <c r="J5" s="36" t="s">
        <v>393</v>
      </c>
      <c r="K5" s="36"/>
      <c r="L5" s="35"/>
      <c r="M5" s="529" t="s">
        <v>806</v>
      </c>
      <c r="N5" s="529"/>
      <c r="O5" s="67" t="s">
        <v>12</v>
      </c>
      <c r="P5" s="67"/>
      <c r="R5" s="45"/>
      <c r="S5" s="80"/>
      <c r="W5" s="524"/>
      <c r="X5" s="530"/>
      <c r="Y5" s="531"/>
      <c r="Z5" s="532"/>
    </row>
    <row r="6" customFormat="false" ht="15.75" hidden="false" customHeight="true" outlineLevel="0" collapsed="false">
      <c r="B6" s="32"/>
      <c r="C6" s="32"/>
      <c r="D6" s="528"/>
      <c r="E6" s="528"/>
      <c r="F6" s="528"/>
      <c r="G6" s="528"/>
      <c r="H6" s="34"/>
      <c r="I6" s="37"/>
      <c r="J6" s="36"/>
      <c r="K6" s="36"/>
      <c r="L6" s="37"/>
      <c r="M6" s="529"/>
      <c r="N6" s="529"/>
      <c r="O6" s="67"/>
      <c r="P6" s="67"/>
      <c r="R6" s="28"/>
      <c r="S6" s="88"/>
      <c r="W6" s="524"/>
      <c r="X6" s="533"/>
      <c r="Y6" s="534"/>
      <c r="Z6" s="532"/>
    </row>
    <row r="7" customFormat="false" ht="15.75" hidden="false" customHeight="true" outlineLevel="0" collapsed="false">
      <c r="B7" s="32"/>
      <c r="C7" s="32"/>
      <c r="D7" s="528"/>
      <c r="E7" s="528"/>
      <c r="F7" s="528"/>
      <c r="G7" s="528"/>
      <c r="H7" s="34"/>
      <c r="I7" s="37"/>
      <c r="J7" s="36"/>
      <c r="K7" s="36"/>
      <c r="L7" s="37"/>
      <c r="M7" s="529"/>
      <c r="N7" s="529"/>
      <c r="O7" s="67"/>
      <c r="P7" s="67"/>
      <c r="R7" s="28"/>
      <c r="S7" s="88"/>
      <c r="W7" s="524"/>
      <c r="X7" s="533"/>
      <c r="Y7" s="534"/>
      <c r="Z7" s="532"/>
    </row>
    <row r="8" customFormat="false" ht="15.75" hidden="false" customHeight="true" outlineLevel="0" collapsed="false">
      <c r="B8" s="32"/>
      <c r="C8" s="32"/>
      <c r="D8" s="528"/>
      <c r="E8" s="528"/>
      <c r="F8" s="528"/>
      <c r="G8" s="528"/>
      <c r="H8" s="34"/>
      <c r="I8" s="37"/>
      <c r="J8" s="36"/>
      <c r="K8" s="36"/>
      <c r="L8" s="37"/>
      <c r="M8" s="529"/>
      <c r="N8" s="529"/>
      <c r="O8" s="67"/>
      <c r="P8" s="67"/>
      <c r="R8" s="28"/>
      <c r="S8" s="88"/>
      <c r="W8" s="524"/>
      <c r="X8" s="533"/>
      <c r="Y8" s="534"/>
      <c r="Z8" s="532"/>
    </row>
    <row r="9" customFormat="false" ht="15.75" hidden="false" customHeight="true" outlineLevel="0" collapsed="false">
      <c r="B9" s="32"/>
      <c r="C9" s="32"/>
      <c r="D9" s="528"/>
      <c r="E9" s="528"/>
      <c r="F9" s="528"/>
      <c r="G9" s="528"/>
      <c r="H9" s="34"/>
      <c r="I9" s="37"/>
      <c r="J9" s="36"/>
      <c r="K9" s="36"/>
      <c r="L9" s="37"/>
      <c r="M9" s="529"/>
      <c r="N9" s="529"/>
      <c r="O9" s="67"/>
      <c r="P9" s="67"/>
      <c r="R9" s="28"/>
      <c r="S9" s="88"/>
      <c r="W9" s="524"/>
      <c r="X9" s="533"/>
      <c r="Y9" s="534"/>
      <c r="Z9" s="532"/>
    </row>
    <row r="10" customFormat="false" ht="15.75" hidden="false" customHeight="true" outlineLevel="0" collapsed="false">
      <c r="B10" s="32"/>
      <c r="C10" s="32"/>
      <c r="D10" s="528"/>
      <c r="E10" s="528"/>
      <c r="F10" s="528"/>
      <c r="G10" s="528"/>
      <c r="H10" s="34"/>
      <c r="I10" s="37"/>
      <c r="J10" s="36"/>
      <c r="K10" s="36"/>
      <c r="L10" s="37"/>
      <c r="M10" s="529"/>
      <c r="N10" s="529"/>
      <c r="O10" s="67"/>
      <c r="P10" s="67"/>
      <c r="R10" s="28"/>
      <c r="S10" s="88"/>
      <c r="T10" s="524"/>
      <c r="W10" s="524"/>
      <c r="X10" s="533"/>
      <c r="Y10" s="534"/>
      <c r="Z10" s="532"/>
    </row>
    <row r="11" customFormat="false" ht="15.75" hidden="false" customHeight="true" outlineLevel="0" collapsed="false">
      <c r="B11" s="32"/>
      <c r="C11" s="32"/>
      <c r="D11" s="528"/>
      <c r="E11" s="528"/>
      <c r="F11" s="528"/>
      <c r="G11" s="528"/>
      <c r="H11" s="34"/>
      <c r="I11" s="37"/>
      <c r="J11" s="36"/>
      <c r="K11" s="36"/>
      <c r="L11" s="37"/>
      <c r="M11" s="529"/>
      <c r="N11" s="529"/>
      <c r="O11" s="67"/>
      <c r="P11" s="67"/>
      <c r="R11" s="28"/>
      <c r="S11" s="88"/>
      <c r="W11" s="524"/>
      <c r="X11" s="533"/>
      <c r="Y11" s="534"/>
      <c r="Z11" s="532"/>
    </row>
    <row r="12" customFormat="false" ht="15.75" hidden="false" customHeight="true" outlineLevel="0" collapsed="false">
      <c r="B12" s="32"/>
      <c r="C12" s="32"/>
      <c r="D12" s="528"/>
      <c r="E12" s="528"/>
      <c r="F12" s="528"/>
      <c r="G12" s="528"/>
      <c r="H12" s="34"/>
      <c r="I12" s="37"/>
      <c r="J12" s="36"/>
      <c r="K12" s="36"/>
      <c r="L12" s="37"/>
      <c r="M12" s="529"/>
      <c r="N12" s="529"/>
      <c r="O12" s="67"/>
      <c r="P12" s="67"/>
      <c r="R12" s="28"/>
      <c r="S12" s="88"/>
      <c r="W12" s="524"/>
      <c r="X12" s="533"/>
      <c r="Y12" s="534"/>
      <c r="Z12" s="532"/>
    </row>
    <row r="13" customFormat="false" ht="30.75" hidden="false" customHeight="true" outlineLevel="0" collapsed="false">
      <c r="B13" s="32"/>
      <c r="C13" s="32"/>
      <c r="D13" s="535" t="s">
        <v>34</v>
      </c>
      <c r="E13" s="535"/>
      <c r="F13" s="535"/>
      <c r="G13" s="535"/>
      <c r="H13" s="73" t="s">
        <v>807</v>
      </c>
      <c r="I13" s="74"/>
      <c r="J13" s="75" t="s">
        <v>807</v>
      </c>
      <c r="K13" s="75"/>
      <c r="L13" s="74"/>
      <c r="M13" s="536" t="s">
        <v>807</v>
      </c>
      <c r="N13" s="536"/>
      <c r="O13" s="79" t="s">
        <v>12</v>
      </c>
      <c r="P13" s="79"/>
      <c r="R13" s="80"/>
      <c r="S13" s="80"/>
      <c r="W13" s="537"/>
      <c r="X13" s="538"/>
      <c r="Y13" s="539"/>
      <c r="Z13" s="540"/>
    </row>
    <row r="14" customFormat="false" ht="65.25" hidden="false" customHeight="true" outlineLevel="0" collapsed="false">
      <c r="B14" s="32"/>
      <c r="C14" s="32"/>
      <c r="D14" s="72" t="s">
        <v>808</v>
      </c>
      <c r="E14" s="72"/>
      <c r="F14" s="72"/>
      <c r="G14" s="72"/>
      <c r="H14" s="73" t="s">
        <v>38</v>
      </c>
      <c r="I14" s="74"/>
      <c r="J14" s="81" t="s">
        <v>809</v>
      </c>
      <c r="K14" s="81"/>
      <c r="L14" s="74"/>
      <c r="M14" s="93" t="s">
        <v>810</v>
      </c>
      <c r="N14" s="93"/>
      <c r="O14" s="83" t="s">
        <v>12</v>
      </c>
      <c r="P14" s="83"/>
      <c r="R14" s="80"/>
      <c r="S14" s="80"/>
      <c r="T14" s="541"/>
      <c r="W14" s="542"/>
      <c r="X14" s="538"/>
      <c r="Y14" s="539"/>
      <c r="Z14" s="543"/>
    </row>
    <row r="15" customFormat="false" ht="21" hidden="false" customHeight="true" outlineLevel="0" collapsed="false">
      <c r="B15" s="32"/>
      <c r="C15" s="32"/>
      <c r="D15" s="84" t="s">
        <v>42</v>
      </c>
      <c r="E15" s="84"/>
      <c r="F15" s="84"/>
      <c r="G15" s="84"/>
      <c r="H15" s="85" t="s">
        <v>12</v>
      </c>
      <c r="I15" s="86"/>
      <c r="J15" s="75" t="s">
        <v>12</v>
      </c>
      <c r="K15" s="75"/>
      <c r="L15" s="86"/>
      <c r="M15" s="536" t="s">
        <v>12</v>
      </c>
      <c r="N15" s="536" t="s">
        <v>12</v>
      </c>
      <c r="O15" s="79" t="s">
        <v>12</v>
      </c>
      <c r="P15" s="79"/>
      <c r="R15" s="88"/>
      <c r="S15" s="88"/>
      <c r="W15" s="537"/>
      <c r="X15" s="544"/>
      <c r="Y15" s="545"/>
      <c r="Z15" s="540"/>
    </row>
    <row r="16" customFormat="false" ht="21" hidden="false" customHeight="true" outlineLevel="0" collapsed="false">
      <c r="B16" s="32"/>
      <c r="C16" s="32"/>
      <c r="D16" s="90" t="s">
        <v>783</v>
      </c>
      <c r="E16" s="90"/>
      <c r="F16" s="90"/>
      <c r="G16" s="90"/>
      <c r="H16" s="85" t="s">
        <v>12</v>
      </c>
      <c r="I16" s="86"/>
      <c r="J16" s="75" t="s">
        <v>43</v>
      </c>
      <c r="K16" s="75"/>
      <c r="L16" s="86"/>
      <c r="M16" s="536" t="s">
        <v>43</v>
      </c>
      <c r="N16" s="536"/>
      <c r="O16" s="79" t="s">
        <v>12</v>
      </c>
      <c r="P16" s="79"/>
      <c r="W16" s="537"/>
      <c r="X16" s="544"/>
      <c r="Y16" s="545"/>
      <c r="Z16" s="540"/>
    </row>
    <row r="17" customFormat="false" ht="23.25" hidden="false" customHeight="true" outlineLevel="0" collapsed="false"/>
    <row r="18" customFormat="false" ht="23.25" hidden="false" customHeight="true" outlineLevel="0" collapsed="false">
      <c r="B18" s="101" t="s">
        <v>61</v>
      </c>
      <c r="C18" s="101"/>
      <c r="D18" s="101"/>
      <c r="E18" s="101"/>
      <c r="F18" s="101"/>
      <c r="G18" s="101"/>
      <c r="H18" s="102" t="s">
        <v>1</v>
      </c>
      <c r="J18" s="102" t="s">
        <v>787</v>
      </c>
      <c r="K18" s="102"/>
      <c r="M18" s="102" t="s">
        <v>63</v>
      </c>
      <c r="N18" s="102"/>
      <c r="O18" s="102"/>
      <c r="P18" s="102"/>
      <c r="R18" s="102" t="s">
        <v>65</v>
      </c>
      <c r="T18" s="546" t="s">
        <v>789</v>
      </c>
      <c r="U18" s="546"/>
      <c r="W18" s="546" t="s">
        <v>67</v>
      </c>
      <c r="X18" s="546"/>
      <c r="Y18" s="546"/>
      <c r="Z18" s="546"/>
    </row>
    <row r="19" customFormat="false" ht="3.75" hidden="false" customHeight="true" outlineLevel="0" collapsed="false">
      <c r="B19" s="101"/>
      <c r="C19" s="101"/>
      <c r="D19" s="101"/>
      <c r="E19" s="101"/>
      <c r="F19" s="101"/>
      <c r="G19" s="101"/>
      <c r="H19" s="102"/>
      <c r="J19" s="102"/>
      <c r="K19" s="102"/>
      <c r="M19" s="105"/>
      <c r="N19" s="6"/>
      <c r="O19" s="6"/>
      <c r="P19" s="6"/>
      <c r="R19" s="102"/>
      <c r="T19" s="546"/>
      <c r="U19" s="546"/>
      <c r="W19" s="547"/>
      <c r="X19" s="548"/>
      <c r="Y19" s="549"/>
      <c r="Z19" s="548"/>
    </row>
    <row r="20" customFormat="false" ht="33.75" hidden="false" customHeight="true" outlineLevel="0" collapsed="false">
      <c r="B20" s="101"/>
      <c r="C20" s="101"/>
      <c r="D20" s="101"/>
      <c r="E20" s="101"/>
      <c r="F20" s="101"/>
      <c r="G20" s="101"/>
      <c r="H20" s="102"/>
      <c r="J20" s="102"/>
      <c r="K20" s="102"/>
      <c r="M20" s="106" t="s">
        <v>811</v>
      </c>
      <c r="N20" s="106"/>
      <c r="O20" s="106"/>
      <c r="P20" s="106"/>
      <c r="R20" s="102"/>
      <c r="T20" s="546"/>
      <c r="U20" s="546"/>
      <c r="W20" s="550" t="s">
        <v>811</v>
      </c>
      <c r="X20" s="550"/>
      <c r="Y20" s="550"/>
      <c r="Z20" s="550"/>
    </row>
    <row r="21" s="1" customFormat="true" ht="3.75" hidden="false" customHeight="true" outlineLevel="0" collapsed="false">
      <c r="B21" s="101"/>
      <c r="C21" s="101"/>
      <c r="D21" s="101"/>
      <c r="E21" s="101"/>
      <c r="F21" s="101"/>
      <c r="G21" s="101"/>
      <c r="H21" s="102"/>
      <c r="J21" s="6"/>
      <c r="K21" s="6"/>
      <c r="M21" s="107"/>
      <c r="N21" s="14"/>
      <c r="O21" s="14"/>
      <c r="P21" s="108"/>
      <c r="R21" s="102"/>
      <c r="T21" s="549"/>
      <c r="U21" s="548"/>
      <c r="V21" s="551"/>
      <c r="W21" s="552"/>
      <c r="X21" s="553"/>
      <c r="Y21" s="554"/>
      <c r="Z21" s="555"/>
    </row>
    <row r="22" customFormat="false" ht="30" hidden="false" customHeight="true" outlineLevel="0" collapsed="false">
      <c r="B22" s="101"/>
      <c r="C22" s="101"/>
      <c r="D22" s="101"/>
      <c r="E22" s="101"/>
      <c r="F22" s="101"/>
      <c r="G22" s="101"/>
      <c r="H22" s="102"/>
      <c r="I22" s="110"/>
      <c r="J22" s="111" t="s">
        <v>4</v>
      </c>
      <c r="K22" s="111"/>
      <c r="L22" s="110"/>
      <c r="M22" s="111" t="s">
        <v>812</v>
      </c>
      <c r="N22" s="111"/>
      <c r="O22" s="111" t="s">
        <v>813</v>
      </c>
      <c r="P22" s="111"/>
      <c r="R22" s="102"/>
      <c r="S22" s="110"/>
      <c r="T22" s="556" t="s">
        <v>4</v>
      </c>
      <c r="U22" s="556"/>
      <c r="W22" s="556" t="s">
        <v>812</v>
      </c>
      <c r="X22" s="556"/>
      <c r="Y22" s="556" t="s">
        <v>813</v>
      </c>
      <c r="Z22" s="556"/>
    </row>
    <row r="23" customFormat="false" ht="3.75" hidden="false" customHeight="true" outlineLevel="0" collapsed="false">
      <c r="B23" s="119"/>
      <c r="G23" s="120"/>
      <c r="H23" s="118"/>
      <c r="J23" s="119"/>
      <c r="K23" s="120"/>
      <c r="M23" s="119"/>
      <c r="O23" s="119"/>
      <c r="R23" s="118"/>
      <c r="T23" s="557"/>
      <c r="U23" s="558"/>
      <c r="V23" s="516"/>
      <c r="W23" s="557"/>
      <c r="X23" s="559"/>
      <c r="Y23" s="560"/>
      <c r="Z23" s="561"/>
    </row>
    <row r="24" customFormat="false" ht="48.75" hidden="false" customHeight="true" outlineLevel="0" collapsed="false">
      <c r="B24" s="369" t="s">
        <v>74</v>
      </c>
      <c r="C24" s="370" t="s">
        <v>420</v>
      </c>
      <c r="D24" s="371" t="s">
        <v>76</v>
      </c>
      <c r="E24" s="562" t="s">
        <v>77</v>
      </c>
      <c r="F24" s="369" t="s">
        <v>78</v>
      </c>
      <c r="G24" s="370" t="s">
        <v>79</v>
      </c>
      <c r="H24" s="370" t="s">
        <v>80</v>
      </c>
      <c r="I24" s="563"/>
      <c r="J24" s="372" t="s">
        <v>81</v>
      </c>
      <c r="K24" s="374" t="s">
        <v>82</v>
      </c>
      <c r="L24" s="21"/>
      <c r="M24" s="372" t="s">
        <v>81</v>
      </c>
      <c r="N24" s="374" t="s">
        <v>83</v>
      </c>
      <c r="O24" s="372" t="s">
        <v>81</v>
      </c>
      <c r="P24" s="374" t="s">
        <v>83</v>
      </c>
      <c r="R24" s="370" t="s">
        <v>85</v>
      </c>
      <c r="S24" s="21"/>
      <c r="T24" s="564" t="s">
        <v>86</v>
      </c>
      <c r="U24" s="565" t="s">
        <v>87</v>
      </c>
      <c r="W24" s="564" t="s">
        <v>86</v>
      </c>
      <c r="X24" s="565" t="s">
        <v>87</v>
      </c>
      <c r="Y24" s="564" t="s">
        <v>86</v>
      </c>
      <c r="Z24" s="565" t="s">
        <v>87</v>
      </c>
    </row>
    <row r="25" customFormat="false" ht="12.75" hidden="false" customHeight="true" outlineLevel="0" collapsed="false">
      <c r="B25" s="480" t="str">
        <f aca="false">+'[1]Mi Fijo'!B8</f>
        <v>AD HOC</v>
      </c>
      <c r="C25" s="480" t="str">
        <f aca="false">+'[1]Mi Fijo'!C8</f>
        <v>ADOC SC01</v>
      </c>
      <c r="D25" s="566" t="n">
        <f aca="false">+'[1]Mi Fijo'!D8</f>
        <v>63.6363636363636</v>
      </c>
      <c r="E25" s="567" t="n">
        <f aca="false">+'[1]Mi Fijo'!E8</f>
        <v>1.1</v>
      </c>
      <c r="F25" s="568" t="str">
        <f aca="false">+'[1]Mi Fijo'!F8</f>
        <v>VOZ</v>
      </c>
      <c r="G25" s="312" t="n">
        <f aca="false">+'[1]Mi Fijo'!G8</f>
        <v>24</v>
      </c>
      <c r="H25" s="569" t="n">
        <f aca="false">+'[1]Mi Fijo'!H8</f>
        <v>63.6363636363636</v>
      </c>
      <c r="I25" s="570"/>
      <c r="J25" s="311" t="n">
        <f aca="false">+'[1]Mi Fijo'!J8</f>
        <v>0</v>
      </c>
      <c r="K25" s="571" t="n">
        <f aca="false">+'[1]Mi Fijo'!K8</f>
        <v>0</v>
      </c>
      <c r="L25" s="226"/>
      <c r="M25" s="311" t="n">
        <f aca="false">+'[1]Mi Fijo'!M8</f>
        <v>0</v>
      </c>
      <c r="N25" s="571" t="n">
        <f aca="false">+'[1]Mi Fijo'!N8</f>
        <v>0</v>
      </c>
      <c r="O25" s="311" t="n">
        <f aca="false">+'[1]Mi Fijo'!O8</f>
        <v>0</v>
      </c>
      <c r="P25" s="571" t="n">
        <f aca="false">+'[1]Mi Fijo'!P8</f>
        <v>0</v>
      </c>
      <c r="R25" s="572" t="n">
        <f aca="false">+'[1]Mi Fijo'!R8</f>
        <v>0</v>
      </c>
      <c r="S25" s="226"/>
      <c r="T25" s="311" t="n">
        <f aca="false">+'[1]Mi Fijo'!T8</f>
        <v>64</v>
      </c>
      <c r="U25" s="569" t="n">
        <f aca="false">+'[1]Mi Fijo'!U8</f>
        <v>0</v>
      </c>
      <c r="W25" s="311" t="n">
        <f aca="false">+'[1]Mi Fijo'!W8</f>
        <v>64</v>
      </c>
      <c r="X25" s="569" t="n">
        <f aca="false">+'[1]Mi Fijo'!X8</f>
        <v>0</v>
      </c>
      <c r="Y25" s="311" t="n">
        <f aca="false">+'[1]Mi Fijo'!Y8</f>
        <v>64</v>
      </c>
      <c r="Z25" s="569" t="n">
        <f aca="false">+'[1]Mi Fijo'!Z8</f>
        <v>0</v>
      </c>
    </row>
    <row r="26" customFormat="false" ht="12.75" hidden="false" customHeight="true" outlineLevel="0" collapsed="false">
      <c r="B26" s="480" t="str">
        <f aca="false">+'[1]Mi Fijo'!B9</f>
        <v>AD HOC</v>
      </c>
      <c r="C26" s="305" t="str">
        <f aca="false">+'[1]Mi Fijo'!C9</f>
        <v>ADOC SC04</v>
      </c>
      <c r="D26" s="566" t="n">
        <f aca="false">+'[1]Mi Fijo'!D9</f>
        <v>76.8595041322314</v>
      </c>
      <c r="E26" s="567" t="n">
        <f aca="false">+'[1]Mi Fijo'!E9</f>
        <v>1.1</v>
      </c>
      <c r="F26" s="568" t="str">
        <f aca="false">+'[1]Mi Fijo'!F9</f>
        <v>VOZ</v>
      </c>
      <c r="G26" s="312" t="n">
        <f aca="false">+'[1]Mi Fijo'!G9</f>
        <v>24</v>
      </c>
      <c r="H26" s="569" t="n">
        <f aca="false">+'[1]Mi Fijo'!H9</f>
        <v>76.8595041322314</v>
      </c>
      <c r="I26" s="570"/>
      <c r="J26" s="311" t="n">
        <f aca="false">+'[1]Mi Fijo'!J9</f>
        <v>0</v>
      </c>
      <c r="K26" s="571" t="n">
        <f aca="false">+'[1]Mi Fijo'!K9</f>
        <v>0.826446280991735</v>
      </c>
      <c r="L26" s="226"/>
      <c r="M26" s="311" t="n">
        <f aca="false">+'[1]Mi Fijo'!M9</f>
        <v>0</v>
      </c>
      <c r="N26" s="571" t="n">
        <f aca="false">+'[1]Mi Fijo'!N9</f>
        <v>0.826446280991735</v>
      </c>
      <c r="O26" s="311" t="n">
        <f aca="false">+'[1]Mi Fijo'!O9</f>
        <v>0</v>
      </c>
      <c r="P26" s="571" t="n">
        <f aca="false">+'[1]Mi Fijo'!P9</f>
        <v>0.826446280991735</v>
      </c>
      <c r="R26" s="572" t="n">
        <f aca="false">+'[1]Mi Fijo'!R9</f>
        <v>0</v>
      </c>
      <c r="S26" s="226"/>
      <c r="T26" s="311" t="n">
        <f aca="false">+'[1]Mi Fijo'!T9</f>
        <v>57</v>
      </c>
      <c r="U26" s="569" t="n">
        <f aca="false">+'[1]Mi Fijo'!U9</f>
        <v>19.8347107438017</v>
      </c>
      <c r="W26" s="311" t="n">
        <f aca="false">+'[1]Mi Fijo'!W9</f>
        <v>57</v>
      </c>
      <c r="X26" s="569" t="n">
        <f aca="false">+'[1]Mi Fijo'!X9</f>
        <v>19.8347107438017</v>
      </c>
      <c r="Y26" s="311" t="n">
        <f aca="false">+'[1]Mi Fijo'!Y9</f>
        <v>57</v>
      </c>
      <c r="Z26" s="569" t="n">
        <f aca="false">+'[1]Mi Fijo'!Z9</f>
        <v>19.8347107438017</v>
      </c>
    </row>
    <row r="27" customFormat="false" ht="12.75" hidden="false" customHeight="true" outlineLevel="0" collapsed="false">
      <c r="B27" s="480" t="str">
        <f aca="false">+'[1]Mi Fijo'!B10</f>
        <v>XIAOMI</v>
      </c>
      <c r="C27" s="305" t="str">
        <f aca="false">+'[1]Mi Fijo'!C10</f>
        <v>AURICULARES XIAOMI REDMI BUDS 6 LITE</v>
      </c>
      <c r="D27" s="566" t="n">
        <f aca="false">+'[1]Mi Fijo'!D10</f>
        <v>31.404958677686</v>
      </c>
      <c r="E27" s="567" t="n">
        <f aca="false">+'[1]Mi Fijo'!E10</f>
        <v>0</v>
      </c>
      <c r="F27" s="568" t="str">
        <f aca="false">+'[1]Mi Fijo'!F10</f>
        <v>OC_AURICULARES</v>
      </c>
      <c r="G27" s="312" t="n">
        <f aca="false">+'[1]Mi Fijo'!G10</f>
        <v>24</v>
      </c>
      <c r="H27" s="569" t="n">
        <f aca="false">+'[1]Mi Fijo'!H10</f>
        <v>31.404958677686</v>
      </c>
      <c r="I27" s="570"/>
      <c r="J27" s="311" t="n">
        <f aca="false">+'[1]Mi Fijo'!J10</f>
        <v>0</v>
      </c>
      <c r="K27" s="571" t="n">
        <f aca="false">+'[1]Mi Fijo'!K10</f>
        <v>0</v>
      </c>
      <c r="L27" s="226"/>
      <c r="M27" s="311" t="n">
        <f aca="false">+'[1]Mi Fijo'!M10</f>
        <v>0</v>
      </c>
      <c r="N27" s="571" t="n">
        <f aca="false">+'[1]Mi Fijo'!N10</f>
        <v>0</v>
      </c>
      <c r="O27" s="311" t="n">
        <f aca="false">+'[1]Mi Fijo'!O10</f>
        <v>0</v>
      </c>
      <c r="P27" s="571" t="n">
        <f aca="false">+'[1]Mi Fijo'!P10</f>
        <v>0</v>
      </c>
      <c r="R27" s="572" t="n">
        <f aca="false">+'[1]Mi Fijo'!R10</f>
        <v>0</v>
      </c>
      <c r="S27" s="226"/>
      <c r="T27" s="311" t="n">
        <f aca="false">+'[1]Mi Fijo'!T10</f>
        <v>31</v>
      </c>
      <c r="U27" s="569" t="n">
        <f aca="false">+'[1]Mi Fijo'!U10</f>
        <v>0</v>
      </c>
      <c r="W27" s="311" t="n">
        <f aca="false">+'[1]Mi Fijo'!W10</f>
        <v>31</v>
      </c>
      <c r="X27" s="569" t="n">
        <f aca="false">+'[1]Mi Fijo'!X10</f>
        <v>0</v>
      </c>
      <c r="Y27" s="311" t="n">
        <f aca="false">+'[1]Mi Fijo'!Y10</f>
        <v>31</v>
      </c>
      <c r="Z27" s="569" t="n">
        <f aca="false">+'[1]Mi Fijo'!Z10</f>
        <v>0</v>
      </c>
    </row>
    <row r="28" customFormat="false" ht="12.75" hidden="false" customHeight="true" outlineLevel="0" collapsed="false">
      <c r="B28" s="480" t="str">
        <f aca="false">+'[1]Mi Fijo'!B11</f>
        <v>DELONGHI</v>
      </c>
      <c r="C28" s="305" t="str">
        <f aca="false">+'[1]Mi Fijo'!C11</f>
        <v>CAFETERA DELONGHI CAPSULAS VERTUO POP+AEROCHINO</v>
      </c>
      <c r="D28" s="566" t="n">
        <f aca="false">+'[1]Mi Fijo'!D11</f>
        <v>91.7355371900826</v>
      </c>
      <c r="E28" s="567" t="n">
        <f aca="false">+'[1]Mi Fijo'!E11</f>
        <v>0</v>
      </c>
      <c r="F28" s="568" t="str">
        <f aca="false">+'[1]Mi Fijo'!F11</f>
        <v>OC_PAE</v>
      </c>
      <c r="G28" s="312" t="n">
        <f aca="false">+'[1]Mi Fijo'!G11</f>
        <v>24</v>
      </c>
      <c r="H28" s="569" t="n">
        <f aca="false">+'[1]Mi Fijo'!H11</f>
        <v>147.933884297521</v>
      </c>
      <c r="I28" s="570"/>
      <c r="J28" s="311" t="n">
        <f aca="false">+'[1]Mi Fijo'!J11</f>
        <v>0</v>
      </c>
      <c r="K28" s="571" t="n">
        <f aca="false">+'[1]Mi Fijo'!K11</f>
        <v>0.826446280991735</v>
      </c>
      <c r="L28" s="226"/>
      <c r="M28" s="311" t="n">
        <f aca="false">+'[1]Mi Fijo'!M11</f>
        <v>0</v>
      </c>
      <c r="N28" s="571" t="n">
        <f aca="false">+'[1]Mi Fijo'!N11</f>
        <v>0.826446280991735</v>
      </c>
      <c r="O28" s="311" t="n">
        <f aca="false">+'[1]Mi Fijo'!O11</f>
        <v>0</v>
      </c>
      <c r="P28" s="571" t="n">
        <f aca="false">+'[1]Mi Fijo'!P11</f>
        <v>0.826446280991735</v>
      </c>
      <c r="R28" s="572" t="n">
        <f aca="false">+'[1]Mi Fijo'!R11</f>
        <v>-56</v>
      </c>
      <c r="S28" s="226"/>
      <c r="T28" s="311" t="n">
        <f aca="false">+'[1]Mi Fijo'!T11</f>
        <v>72</v>
      </c>
      <c r="U28" s="569" t="n">
        <f aca="false">+'[1]Mi Fijo'!U11</f>
        <v>19.8347107438017</v>
      </c>
      <c r="W28" s="311" t="n">
        <f aca="false">+'[1]Mi Fijo'!W11</f>
        <v>72</v>
      </c>
      <c r="X28" s="569" t="n">
        <f aca="false">+'[1]Mi Fijo'!X11</f>
        <v>19.8347107438017</v>
      </c>
      <c r="Y28" s="311" t="n">
        <f aca="false">+'[1]Mi Fijo'!Y11</f>
        <v>72</v>
      </c>
      <c r="Z28" s="569" t="n">
        <f aca="false">+'[1]Mi Fijo'!Z11</f>
        <v>19.8347107438017</v>
      </c>
    </row>
    <row r="29" customFormat="false" ht="12.75" hidden="false" customHeight="true" outlineLevel="0" collapsed="false">
      <c r="B29" s="480" t="str">
        <f aca="false">+'[1]Mi Fijo'!B12</f>
        <v>MOTOROLA</v>
      </c>
      <c r="C29" s="305" t="str">
        <f aca="false">+'[1]Mi Fijo'!C12</f>
        <v>MOTOROLA MOTO G35 128GB 5G</v>
      </c>
      <c r="D29" s="566" t="n">
        <f aca="false">+'[1]Mi Fijo'!D12</f>
        <v>132.231404958678</v>
      </c>
      <c r="E29" s="567" t="n">
        <f aca="false">+'[1]Mi Fijo'!E12</f>
        <v>3.25</v>
      </c>
      <c r="F29" s="568" t="str">
        <f aca="false">+'[1]Mi Fijo'!F12</f>
        <v>SMARTPHONE</v>
      </c>
      <c r="G29" s="312" t="n">
        <f aca="false">+'[1]Mi Fijo'!G12</f>
        <v>24</v>
      </c>
      <c r="H29" s="569" t="n">
        <f aca="false">+'[1]Mi Fijo'!H12</f>
        <v>132.231404958678</v>
      </c>
      <c r="I29" s="570"/>
      <c r="J29" s="311" t="n">
        <f aca="false">+'[1]Mi Fijo'!J12</f>
        <v>0</v>
      </c>
      <c r="K29" s="571" t="n">
        <f aca="false">+'[1]Mi Fijo'!K12</f>
        <v>2.47933884297521</v>
      </c>
      <c r="L29" s="226"/>
      <c r="M29" s="311" t="n">
        <f aca="false">+'[1]Mi Fijo'!M12</f>
        <v>0</v>
      </c>
      <c r="N29" s="571" t="n">
        <f aca="false">+'[1]Mi Fijo'!N12</f>
        <v>2.47933884297521</v>
      </c>
      <c r="O29" s="311" t="n">
        <f aca="false">+'[1]Mi Fijo'!O12</f>
        <v>0</v>
      </c>
      <c r="P29" s="571" t="n">
        <f aca="false">+'[1]Mi Fijo'!P12</f>
        <v>2.47933884297521</v>
      </c>
      <c r="R29" s="572" t="n">
        <f aca="false">+'[1]Mi Fijo'!R12</f>
        <v>0</v>
      </c>
      <c r="S29" s="226"/>
      <c r="T29" s="311" t="n">
        <f aca="false">+'[1]Mi Fijo'!T12</f>
        <v>73</v>
      </c>
      <c r="U29" s="569" t="n">
        <f aca="false">+'[1]Mi Fijo'!U12</f>
        <v>59.504132231405</v>
      </c>
      <c r="W29" s="311" t="n">
        <f aca="false">+'[1]Mi Fijo'!W12</f>
        <v>73</v>
      </c>
      <c r="X29" s="569" t="n">
        <f aca="false">+'[1]Mi Fijo'!X12</f>
        <v>59.504132231405</v>
      </c>
      <c r="Y29" s="311" t="n">
        <f aca="false">+'[1]Mi Fijo'!Y12</f>
        <v>73</v>
      </c>
      <c r="Z29" s="569" t="n">
        <f aca="false">+'[1]Mi Fijo'!Z12</f>
        <v>59.504132231405</v>
      </c>
    </row>
    <row r="30" customFormat="false" ht="12.75" hidden="false" customHeight="true" outlineLevel="0" collapsed="false">
      <c r="B30" s="480" t="str">
        <f aca="false">+'[1]Mi Fijo'!B13</f>
        <v>OPPO</v>
      </c>
      <c r="C30" s="305" t="str">
        <f aca="false">+'[1]Mi Fijo'!C13</f>
        <v>OPPO A40 128GB</v>
      </c>
      <c r="D30" s="566" t="n">
        <f aca="false">+'[1]Mi Fijo'!D13</f>
        <v>88.4297520661157</v>
      </c>
      <c r="E30" s="567" t="n">
        <f aca="false">+'[1]Mi Fijo'!E13</f>
        <v>3.25</v>
      </c>
      <c r="F30" s="568" t="str">
        <f aca="false">+'[1]Mi Fijo'!F13</f>
        <v>SMARTPHONE</v>
      </c>
      <c r="G30" s="312" t="n">
        <f aca="false">+'[1]Mi Fijo'!G13</f>
        <v>24</v>
      </c>
      <c r="H30" s="569" t="n">
        <f aca="false">+'[1]Mi Fijo'!H13</f>
        <v>88.4297520661157</v>
      </c>
      <c r="I30" s="570"/>
      <c r="J30" s="311" t="n">
        <f aca="false">+'[1]Mi Fijo'!J13</f>
        <v>0</v>
      </c>
      <c r="K30" s="571" t="n">
        <f aca="false">+'[1]Mi Fijo'!K13</f>
        <v>1.2396694214876</v>
      </c>
      <c r="L30" s="226"/>
      <c r="M30" s="311" t="n">
        <f aca="false">+'[1]Mi Fijo'!M13</f>
        <v>0</v>
      </c>
      <c r="N30" s="571" t="n">
        <f aca="false">+'[1]Mi Fijo'!N13</f>
        <v>1.2396694214876</v>
      </c>
      <c r="O30" s="311" t="n">
        <f aca="false">+'[1]Mi Fijo'!O13</f>
        <v>0</v>
      </c>
      <c r="P30" s="571" t="n">
        <f aca="false">+'[1]Mi Fijo'!P13</f>
        <v>1.2396694214876</v>
      </c>
      <c r="R30" s="572" t="n">
        <f aca="false">+'[1]Mi Fijo'!R13</f>
        <v>0</v>
      </c>
      <c r="S30" s="226"/>
      <c r="T30" s="311" t="n">
        <f aca="false">+'[1]Mi Fijo'!T13</f>
        <v>59</v>
      </c>
      <c r="U30" s="569" t="n">
        <f aca="false">+'[1]Mi Fijo'!U13</f>
        <v>29.7520661157025</v>
      </c>
      <c r="W30" s="311" t="n">
        <f aca="false">+'[1]Mi Fijo'!W13</f>
        <v>59</v>
      </c>
      <c r="X30" s="569" t="n">
        <f aca="false">+'[1]Mi Fijo'!X13</f>
        <v>29.7520661157025</v>
      </c>
      <c r="Y30" s="311" t="n">
        <f aca="false">+'[1]Mi Fijo'!Y13</f>
        <v>59</v>
      </c>
      <c r="Z30" s="569" t="n">
        <f aca="false">+'[1]Mi Fijo'!Z13</f>
        <v>29.7520661157025</v>
      </c>
    </row>
    <row r="31" customFormat="false" ht="12.75" hidden="false" customHeight="true" outlineLevel="0" collapsed="false">
      <c r="B31" s="480" t="str">
        <f aca="false">+'[1]Mi Fijo'!B14</f>
        <v>OPPO</v>
      </c>
      <c r="C31" s="305" t="str">
        <f aca="false">+'[1]Mi Fijo'!C14</f>
        <v>OPPO A60 128GB 5G</v>
      </c>
      <c r="D31" s="566" t="n">
        <f aca="false">+'[1]Mi Fijo'!D14</f>
        <v>157.851239669422</v>
      </c>
      <c r="E31" s="567" t="n">
        <f aca="false">+'[1]Mi Fijo'!E14</f>
        <v>3.25</v>
      </c>
      <c r="F31" s="568" t="str">
        <f aca="false">+'[1]Mi Fijo'!F14</f>
        <v>SMARTPHONE</v>
      </c>
      <c r="G31" s="312" t="n">
        <f aca="false">+'[1]Mi Fijo'!G14</f>
        <v>24</v>
      </c>
      <c r="H31" s="569" t="n">
        <f aca="false">+'[1]Mi Fijo'!H14</f>
        <v>157.851239669422</v>
      </c>
      <c r="I31" s="570"/>
      <c r="J31" s="311" t="n">
        <f aca="false">+'[1]Mi Fijo'!J14</f>
        <v>0</v>
      </c>
      <c r="K31" s="571" t="n">
        <f aca="false">+'[1]Mi Fijo'!K14</f>
        <v>2.47933884297521</v>
      </c>
      <c r="L31" s="226"/>
      <c r="M31" s="311" t="n">
        <f aca="false">+'[1]Mi Fijo'!M14</f>
        <v>0</v>
      </c>
      <c r="N31" s="571" t="n">
        <f aca="false">+'[1]Mi Fijo'!N14</f>
        <v>2.47933884297521</v>
      </c>
      <c r="O31" s="311" t="n">
        <f aca="false">+'[1]Mi Fijo'!O14</f>
        <v>0</v>
      </c>
      <c r="P31" s="571" t="n">
        <f aca="false">+'[1]Mi Fijo'!P14</f>
        <v>2.47933884297521</v>
      </c>
      <c r="R31" s="572" t="n">
        <f aca="false">+'[1]Mi Fijo'!R14</f>
        <v>0</v>
      </c>
      <c r="S31" s="226"/>
      <c r="T31" s="311" t="n">
        <f aca="false">+'[1]Mi Fijo'!T14</f>
        <v>98</v>
      </c>
      <c r="U31" s="569" t="n">
        <f aca="false">+'[1]Mi Fijo'!U14</f>
        <v>59.504132231405</v>
      </c>
      <c r="W31" s="311" t="n">
        <f aca="false">+'[1]Mi Fijo'!W14</f>
        <v>98</v>
      </c>
      <c r="X31" s="569" t="n">
        <f aca="false">+'[1]Mi Fijo'!X14</f>
        <v>59.504132231405</v>
      </c>
      <c r="Y31" s="311" t="n">
        <f aca="false">+'[1]Mi Fijo'!Y14</f>
        <v>98</v>
      </c>
      <c r="Z31" s="569" t="n">
        <f aca="false">+'[1]Mi Fijo'!Z14</f>
        <v>59.504132231405</v>
      </c>
    </row>
    <row r="32" customFormat="false" ht="12.75" hidden="false" customHeight="true" outlineLevel="0" collapsed="false">
      <c r="B32" s="480" t="str">
        <f aca="false">+'[1]Mi Fijo'!B15</f>
        <v>ORANGE</v>
      </c>
      <c r="C32" s="305" t="str">
        <f aca="false">+'[1]Mi Fijo'!C15</f>
        <v>ORANGE GAMA 120 4G</v>
      </c>
      <c r="D32" s="566" t="n">
        <f aca="false">+'[1]Mi Fijo'!D15</f>
        <v>68.5950413223141</v>
      </c>
      <c r="E32" s="567" t="n">
        <f aca="false">+'[1]Mi Fijo'!E15</f>
        <v>1.1</v>
      </c>
      <c r="F32" s="568" t="str">
        <f aca="false">+'[1]Mi Fijo'!F15</f>
        <v>FIXED STYLE</v>
      </c>
      <c r="G32" s="312" t="n">
        <f aca="false">+'[1]Mi Fijo'!G15</f>
        <v>24</v>
      </c>
      <c r="H32" s="569" t="n">
        <f aca="false">+'[1]Mi Fijo'!H15</f>
        <v>73.5537190082645</v>
      </c>
      <c r="I32" s="570"/>
      <c r="J32" s="311" t="n">
        <f aca="false">+'[1]Mi Fijo'!J15</f>
        <v>0</v>
      </c>
      <c r="K32" s="571" t="n">
        <f aca="false">+'[1]Mi Fijo'!K15</f>
        <v>0.826446280991735</v>
      </c>
      <c r="L32" s="226"/>
      <c r="M32" s="311" t="n">
        <f aca="false">+'[1]Mi Fijo'!M15</f>
        <v>0</v>
      </c>
      <c r="N32" s="571" t="n">
        <f aca="false">+'[1]Mi Fijo'!N15</f>
        <v>0.826446280991735</v>
      </c>
      <c r="O32" s="311" t="n">
        <f aca="false">+'[1]Mi Fijo'!O15</f>
        <v>0</v>
      </c>
      <c r="P32" s="571" t="n">
        <f aca="false">+'[1]Mi Fijo'!P15</f>
        <v>0.826446280991735</v>
      </c>
      <c r="R32" s="572" t="n">
        <f aca="false">+'[1]Mi Fijo'!R15</f>
        <v>-5</v>
      </c>
      <c r="S32" s="226"/>
      <c r="T32" s="311" t="n">
        <f aca="false">+'[1]Mi Fijo'!T15</f>
        <v>49</v>
      </c>
      <c r="U32" s="569" t="n">
        <f aca="false">+'[1]Mi Fijo'!U15</f>
        <v>19.8347107438017</v>
      </c>
      <c r="W32" s="311" t="n">
        <f aca="false">+'[1]Mi Fijo'!W15</f>
        <v>49</v>
      </c>
      <c r="X32" s="569" t="n">
        <f aca="false">+'[1]Mi Fijo'!X15</f>
        <v>19.8347107438017</v>
      </c>
      <c r="Y32" s="311" t="n">
        <f aca="false">+'[1]Mi Fijo'!Y15</f>
        <v>49</v>
      </c>
      <c r="Z32" s="569" t="n">
        <f aca="false">+'[1]Mi Fijo'!Z15</f>
        <v>19.8347107438017</v>
      </c>
    </row>
    <row r="33" customFormat="false" ht="12.75" hidden="false" customHeight="true" outlineLevel="0" collapsed="false">
      <c r="B33" s="480" t="str">
        <f aca="false">+'[1]Mi Fijo'!B16</f>
        <v>ORANGE</v>
      </c>
      <c r="C33" s="305" t="str">
        <f aca="false">+'[1]Mi Fijo'!C16</f>
        <v>ORANGE GAMA 120 4G + SIM</v>
      </c>
      <c r="D33" s="566" t="n">
        <f aca="false">+'[1]Mi Fijo'!D16</f>
        <v>74.3801652892562</v>
      </c>
      <c r="E33" s="567" t="n">
        <f aca="false">+'[1]Mi Fijo'!E16</f>
        <v>1.1</v>
      </c>
      <c r="F33" s="568" t="str">
        <f aca="false">+'[1]Mi Fijo'!F16</f>
        <v>FIXED STYLE</v>
      </c>
      <c r="G33" s="312" t="n">
        <f aca="false">+'[1]Mi Fijo'!G16</f>
        <v>24</v>
      </c>
      <c r="H33" s="569" t="n">
        <f aca="false">+'[1]Mi Fijo'!H16</f>
        <v>74.3801652892562</v>
      </c>
      <c r="I33" s="570"/>
      <c r="J33" s="311" t="n">
        <f aca="false">+'[1]Mi Fijo'!J16</f>
        <v>0</v>
      </c>
      <c r="K33" s="571" t="n">
        <f aca="false">+'[1]Mi Fijo'!K16</f>
        <v>0.826446280991735</v>
      </c>
      <c r="L33" s="226"/>
      <c r="M33" s="311" t="n">
        <f aca="false">+'[1]Mi Fijo'!M16</f>
        <v>0</v>
      </c>
      <c r="N33" s="571" t="n">
        <f aca="false">+'[1]Mi Fijo'!N16</f>
        <v>0.826446280991735</v>
      </c>
      <c r="O33" s="311" t="n">
        <f aca="false">+'[1]Mi Fijo'!O16</f>
        <v>0</v>
      </c>
      <c r="P33" s="571" t="n">
        <f aca="false">+'[1]Mi Fijo'!P16</f>
        <v>0.826446280991735</v>
      </c>
      <c r="R33" s="572" t="n">
        <f aca="false">+'[1]Mi Fijo'!R16</f>
        <v>0</v>
      </c>
      <c r="S33" s="226"/>
      <c r="T33" s="311" t="n">
        <f aca="false">+'[1]Mi Fijo'!T16</f>
        <v>55</v>
      </c>
      <c r="U33" s="569" t="n">
        <f aca="false">+'[1]Mi Fijo'!U16</f>
        <v>19.8347107438017</v>
      </c>
      <c r="W33" s="311" t="n">
        <f aca="false">+'[1]Mi Fijo'!W16</f>
        <v>55</v>
      </c>
      <c r="X33" s="569" t="n">
        <f aca="false">+'[1]Mi Fijo'!X16</f>
        <v>19.8347107438017</v>
      </c>
      <c r="Y33" s="311" t="n">
        <f aca="false">+'[1]Mi Fijo'!Y16</f>
        <v>55</v>
      </c>
      <c r="Z33" s="569" t="n">
        <f aca="false">+'[1]Mi Fijo'!Z16</f>
        <v>19.8347107438017</v>
      </c>
    </row>
    <row r="34" customFormat="false" ht="12.75" hidden="false" customHeight="true" outlineLevel="0" collapsed="false">
      <c r="B34" s="480" t="str">
        <f aca="false">+'[1]Mi Fijo'!B17</f>
        <v>ORANGE</v>
      </c>
      <c r="C34" s="305" t="str">
        <f aca="false">+'[1]Mi Fijo'!C17</f>
        <v>ORANGE GAMA 402</v>
      </c>
      <c r="D34" s="566" t="n">
        <f aca="false">+'[1]Mi Fijo'!D17</f>
        <v>69.4214876033058</v>
      </c>
      <c r="E34" s="567" t="n">
        <f aca="false">+'[1]Mi Fijo'!E17</f>
        <v>1.1</v>
      </c>
      <c r="F34" s="568" t="str">
        <f aca="false">+'[1]Mi Fijo'!F17</f>
        <v>FIXED STYLE</v>
      </c>
      <c r="G34" s="312" t="n">
        <f aca="false">+'[1]Mi Fijo'!G17</f>
        <v>24</v>
      </c>
      <c r="H34" s="569" t="n">
        <f aca="false">+'[1]Mi Fijo'!H17</f>
        <v>69.4214876033058</v>
      </c>
      <c r="I34" s="570"/>
      <c r="J34" s="311" t="n">
        <f aca="false">+'[1]Mi Fijo'!J17</f>
        <v>0</v>
      </c>
      <c r="K34" s="571" t="n">
        <f aca="false">+'[1]Mi Fijo'!K17</f>
        <v>0.826446280991735</v>
      </c>
      <c r="L34" s="226"/>
      <c r="M34" s="311" t="n">
        <f aca="false">+'[1]Mi Fijo'!M17</f>
        <v>0</v>
      </c>
      <c r="N34" s="571" t="n">
        <f aca="false">+'[1]Mi Fijo'!N17</f>
        <v>0.826446280991735</v>
      </c>
      <c r="O34" s="311" t="n">
        <f aca="false">+'[1]Mi Fijo'!O17</f>
        <v>0</v>
      </c>
      <c r="P34" s="571" t="n">
        <f aca="false">+'[1]Mi Fijo'!P17</f>
        <v>0.826446280991735</v>
      </c>
      <c r="R34" s="572" t="n">
        <f aca="false">+'[1]Mi Fijo'!R17</f>
        <v>0</v>
      </c>
      <c r="S34" s="226"/>
      <c r="T34" s="311" t="n">
        <f aca="false">+'[1]Mi Fijo'!T17</f>
        <v>50</v>
      </c>
      <c r="U34" s="569" t="n">
        <f aca="false">+'[1]Mi Fijo'!U17</f>
        <v>19.8347107438017</v>
      </c>
      <c r="W34" s="311" t="n">
        <f aca="false">+'[1]Mi Fijo'!W17</f>
        <v>50</v>
      </c>
      <c r="X34" s="569" t="n">
        <f aca="false">+'[1]Mi Fijo'!X17</f>
        <v>19.8347107438017</v>
      </c>
      <c r="Y34" s="311" t="n">
        <f aca="false">+'[1]Mi Fijo'!Y17</f>
        <v>50</v>
      </c>
      <c r="Z34" s="569" t="n">
        <f aca="false">+'[1]Mi Fijo'!Z17</f>
        <v>19.8347107438017</v>
      </c>
    </row>
    <row r="35" customFormat="false" ht="12.75" hidden="false" customHeight="true" outlineLevel="0" collapsed="false">
      <c r="B35" s="480" t="str">
        <f aca="false">+'[1]Mi Fijo'!B18</f>
        <v>SAMSUNG</v>
      </c>
      <c r="C35" s="305" t="str">
        <f aca="false">+'[1]Mi Fijo'!C18</f>
        <v>SAMSUNG GALAXY A16 128GB</v>
      </c>
      <c r="D35" s="566" t="n">
        <f aca="false">+'[1]Mi Fijo'!D18</f>
        <v>166.115702479339</v>
      </c>
      <c r="E35" s="567" t="n">
        <f aca="false">+'[1]Mi Fijo'!E18</f>
        <v>3.25</v>
      </c>
      <c r="F35" s="568" t="str">
        <f aca="false">+'[1]Mi Fijo'!F18</f>
        <v>SMARTPHONE</v>
      </c>
      <c r="G35" s="312" t="n">
        <f aca="false">+'[1]Mi Fijo'!G18</f>
        <v>24</v>
      </c>
      <c r="H35" s="569" t="n">
        <f aca="false">+'[1]Mi Fijo'!H18</f>
        <v>166.115702479339</v>
      </c>
      <c r="I35" s="570"/>
      <c r="J35" s="311" t="n">
        <f aca="false">+'[1]Mi Fijo'!J18</f>
        <v>0</v>
      </c>
      <c r="K35" s="571" t="n">
        <f aca="false">+'[1]Mi Fijo'!K18</f>
        <v>2.89256198347107</v>
      </c>
      <c r="L35" s="226"/>
      <c r="M35" s="311" t="n">
        <f aca="false">+'[1]Mi Fijo'!M18</f>
        <v>0</v>
      </c>
      <c r="N35" s="571" t="n">
        <f aca="false">+'[1]Mi Fijo'!N18</f>
        <v>2.89256198347107</v>
      </c>
      <c r="O35" s="311" t="str">
        <f aca="false">+'[1]Mi Fijo'!O18</f>
        <v>-</v>
      </c>
      <c r="P35" s="571" t="str">
        <f aca="false">+'[1]Mi Fijo'!P18</f>
        <v>-</v>
      </c>
      <c r="R35" s="572" t="n">
        <f aca="false">+'[1]Mi Fijo'!R18</f>
        <v>0</v>
      </c>
      <c r="S35" s="226"/>
      <c r="T35" s="311" t="n">
        <f aca="false">+'[1]Mi Fijo'!T18</f>
        <v>97</v>
      </c>
      <c r="U35" s="569" t="n">
        <f aca="false">+'[1]Mi Fijo'!U18</f>
        <v>69.4214876033058</v>
      </c>
      <c r="W35" s="311" t="n">
        <f aca="false">+'[1]Mi Fijo'!W18</f>
        <v>97</v>
      </c>
      <c r="X35" s="569" t="n">
        <f aca="false">+'[1]Mi Fijo'!X18</f>
        <v>69.4214876033058</v>
      </c>
      <c r="Y35" s="311" t="n">
        <f aca="false">+'[1]Mi Fijo'!Y18</f>
        <v>97</v>
      </c>
      <c r="Z35" s="569" t="n">
        <f aca="false">+'[1]Mi Fijo'!Z18</f>
        <v>69.4214876033058</v>
      </c>
    </row>
    <row r="36" customFormat="false" ht="12.75" hidden="false" customHeight="true" outlineLevel="0" collapsed="false">
      <c r="B36" s="480" t="str">
        <f aca="false">+'[1]Mi Fijo'!B19</f>
        <v>SAMSUNG</v>
      </c>
      <c r="C36" s="305" t="str">
        <f aca="false">+'[1]Mi Fijo'!C19</f>
        <v>SAMSUNG GALAXY A16 128GB 5G</v>
      </c>
      <c r="D36" s="566" t="n">
        <f aca="false">+'[1]Mi Fijo'!D19</f>
        <v>190.909090909091</v>
      </c>
      <c r="E36" s="567" t="n">
        <f aca="false">+'[1]Mi Fijo'!E19</f>
        <v>3.25</v>
      </c>
      <c r="F36" s="568" t="str">
        <f aca="false">+'[1]Mi Fijo'!F19</f>
        <v>SMARTPHONE</v>
      </c>
      <c r="G36" s="312" t="n">
        <f aca="false">+'[1]Mi Fijo'!G19</f>
        <v>24</v>
      </c>
      <c r="H36" s="569" t="n">
        <f aca="false">+'[1]Mi Fijo'!H19</f>
        <v>190.909090909091</v>
      </c>
      <c r="I36" s="570"/>
      <c r="J36" s="311" t="n">
        <f aca="false">+'[1]Mi Fijo'!J19</f>
        <v>0</v>
      </c>
      <c r="K36" s="571" t="n">
        <f aca="false">+'[1]Mi Fijo'!K19</f>
        <v>4.13223140495868</v>
      </c>
      <c r="L36" s="226"/>
      <c r="M36" s="311" t="n">
        <f aca="false">+'[1]Mi Fijo'!M19</f>
        <v>0</v>
      </c>
      <c r="N36" s="571" t="n">
        <f aca="false">+'[1]Mi Fijo'!N19</f>
        <v>4.13223140495868</v>
      </c>
      <c r="O36" s="311" t="str">
        <f aca="false">+'[1]Mi Fijo'!O19</f>
        <v>-</v>
      </c>
      <c r="P36" s="571" t="str">
        <f aca="false">+'[1]Mi Fijo'!P19</f>
        <v>-</v>
      </c>
      <c r="R36" s="572" t="n">
        <f aca="false">+'[1]Mi Fijo'!R19</f>
        <v>0</v>
      </c>
      <c r="S36" s="226"/>
      <c r="T36" s="311" t="n">
        <f aca="false">+'[1]Mi Fijo'!T19</f>
        <v>92</v>
      </c>
      <c r="U36" s="569" t="n">
        <f aca="false">+'[1]Mi Fijo'!U19</f>
        <v>99.1735537190083</v>
      </c>
      <c r="W36" s="311" t="n">
        <f aca="false">+'[1]Mi Fijo'!W19</f>
        <v>92</v>
      </c>
      <c r="X36" s="569" t="n">
        <f aca="false">+'[1]Mi Fijo'!X19</f>
        <v>99.1735537190083</v>
      </c>
      <c r="Y36" s="311" t="n">
        <f aca="false">+'[1]Mi Fijo'!Y19</f>
        <v>92</v>
      </c>
      <c r="Z36" s="569" t="n">
        <f aca="false">+'[1]Mi Fijo'!Z19</f>
        <v>99.1735537190083</v>
      </c>
    </row>
    <row r="37" customFormat="false" ht="12.75" hidden="false" customHeight="true" outlineLevel="0" collapsed="false">
      <c r="B37" s="480" t="str">
        <f aca="false">+'[1]Mi Fijo'!B20</f>
        <v>TCL</v>
      </c>
      <c r="C37" s="305" t="str">
        <f aca="false">+'[1]Mi Fijo'!C20</f>
        <v>TCL 40 SE</v>
      </c>
      <c r="D37" s="566" t="n">
        <f aca="false">+'[1]Mi Fijo'!D20</f>
        <v>114.04958677686</v>
      </c>
      <c r="E37" s="567" t="n">
        <f aca="false">+'[1]Mi Fijo'!E20</f>
        <v>3.25</v>
      </c>
      <c r="F37" s="568" t="str">
        <f aca="false">+'[1]Mi Fijo'!F20</f>
        <v>SMARTPHONE</v>
      </c>
      <c r="G37" s="312" t="n">
        <f aca="false">+'[1]Mi Fijo'!G20</f>
        <v>24</v>
      </c>
      <c r="H37" s="569" t="n">
        <f aca="false">+'[1]Mi Fijo'!H20</f>
        <v>93.3884297520661</v>
      </c>
      <c r="I37" s="570"/>
      <c r="J37" s="311" t="n">
        <f aca="false">+'[1]Mi Fijo'!J20</f>
        <v>0</v>
      </c>
      <c r="K37" s="571" t="n">
        <f aca="false">+'[1]Mi Fijo'!K20</f>
        <v>1.65289256198347</v>
      </c>
      <c r="L37" s="226"/>
      <c r="M37" s="311" t="n">
        <f aca="false">+'[1]Mi Fijo'!M20</f>
        <v>0</v>
      </c>
      <c r="N37" s="571" t="n">
        <f aca="false">+'[1]Mi Fijo'!N20</f>
        <v>1.65289256198347</v>
      </c>
      <c r="O37" s="311" t="n">
        <f aca="false">+'[1]Mi Fijo'!O20</f>
        <v>0</v>
      </c>
      <c r="P37" s="571" t="n">
        <f aca="false">+'[1]Mi Fijo'!P20</f>
        <v>1.65289256198347</v>
      </c>
      <c r="R37" s="572" t="n">
        <f aca="false">+'[1]Mi Fijo'!R20</f>
        <v>21</v>
      </c>
      <c r="S37" s="226"/>
      <c r="T37" s="311" t="n">
        <f aca="false">+'[1]Mi Fijo'!T20</f>
        <v>74</v>
      </c>
      <c r="U37" s="569" t="n">
        <f aca="false">+'[1]Mi Fijo'!U20</f>
        <v>39.6694214876033</v>
      </c>
      <c r="W37" s="311" t="n">
        <f aca="false">+'[1]Mi Fijo'!W20</f>
        <v>74</v>
      </c>
      <c r="X37" s="569" t="n">
        <f aca="false">+'[1]Mi Fijo'!X20</f>
        <v>39.6694214876033</v>
      </c>
      <c r="Y37" s="311" t="n">
        <f aca="false">+'[1]Mi Fijo'!Y20</f>
        <v>74</v>
      </c>
      <c r="Z37" s="569" t="n">
        <f aca="false">+'[1]Mi Fijo'!Z20</f>
        <v>39.6694214876033</v>
      </c>
    </row>
    <row r="38" customFormat="false" ht="12.75" hidden="false" customHeight="true" outlineLevel="0" collapsed="false">
      <c r="B38" s="480" t="str">
        <f aca="false">+'[1]Mi Fijo'!B21</f>
        <v>TCL</v>
      </c>
      <c r="C38" s="305" t="str">
        <f aca="false">+'[1]Mi Fijo'!C21</f>
        <v>TCL 50 5G</v>
      </c>
      <c r="D38" s="566" t="n">
        <f aca="false">+'[1]Mi Fijo'!D21</f>
        <v>134.710743801653</v>
      </c>
      <c r="E38" s="567" t="n">
        <f aca="false">+'[1]Mi Fijo'!E21</f>
        <v>3.25</v>
      </c>
      <c r="F38" s="568" t="str">
        <f aca="false">+'[1]Mi Fijo'!F21</f>
        <v>SMARTPHONE</v>
      </c>
      <c r="G38" s="312" t="n">
        <f aca="false">+'[1]Mi Fijo'!G21</f>
        <v>24</v>
      </c>
      <c r="H38" s="569" t="n">
        <f aca="false">+'[1]Mi Fijo'!H21</f>
        <v>134.710743801653</v>
      </c>
      <c r="I38" s="570"/>
      <c r="J38" s="311" t="n">
        <f aca="false">+'[1]Mi Fijo'!J21</f>
        <v>0</v>
      </c>
      <c r="K38" s="571" t="n">
        <f aca="false">+'[1]Mi Fijo'!K21</f>
        <v>2.47933884297521</v>
      </c>
      <c r="L38" s="226"/>
      <c r="M38" s="311" t="n">
        <f aca="false">+'[1]Mi Fijo'!M21</f>
        <v>0</v>
      </c>
      <c r="N38" s="571" t="n">
        <f aca="false">+'[1]Mi Fijo'!N21</f>
        <v>2.47933884297521</v>
      </c>
      <c r="O38" s="311" t="n">
        <f aca="false">+'[1]Mi Fijo'!O21</f>
        <v>0</v>
      </c>
      <c r="P38" s="571" t="n">
        <f aca="false">+'[1]Mi Fijo'!P21</f>
        <v>2.47933884297521</v>
      </c>
      <c r="R38" s="572" t="n">
        <f aca="false">+'[1]Mi Fijo'!R21</f>
        <v>0</v>
      </c>
      <c r="S38" s="226"/>
      <c r="T38" s="311" t="n">
        <f aca="false">+'[1]Mi Fijo'!T21</f>
        <v>75</v>
      </c>
      <c r="U38" s="569" t="n">
        <f aca="false">+'[1]Mi Fijo'!U21</f>
        <v>59.504132231405</v>
      </c>
      <c r="W38" s="311" t="n">
        <f aca="false">+'[1]Mi Fijo'!W21</f>
        <v>75</v>
      </c>
      <c r="X38" s="569" t="n">
        <f aca="false">+'[1]Mi Fijo'!X21</f>
        <v>59.504132231405</v>
      </c>
      <c r="Y38" s="311" t="n">
        <f aca="false">+'[1]Mi Fijo'!Y21</f>
        <v>75</v>
      </c>
      <c r="Z38" s="569" t="n">
        <f aca="false">+'[1]Mi Fijo'!Z21</f>
        <v>59.504132231405</v>
      </c>
    </row>
    <row r="39" customFormat="false" ht="12.75" hidden="false" customHeight="true" outlineLevel="0" collapsed="false">
      <c r="B39" s="480" t="str">
        <f aca="false">+'[1]Mi Fijo'!B22</f>
        <v>TCL</v>
      </c>
      <c r="C39" s="305" t="str">
        <f aca="false">+'[1]Mi Fijo'!C22</f>
        <v>TCL ONETOUCH 4042s</v>
      </c>
      <c r="D39" s="566" t="n">
        <f aca="false">+'[1]Mi Fijo'!D22</f>
        <v>47.1074380165289</v>
      </c>
      <c r="E39" s="567" t="n">
        <f aca="false">+'[1]Mi Fijo'!E22</f>
        <v>1.1</v>
      </c>
      <c r="F39" s="568" t="str">
        <f aca="false">+'[1]Mi Fijo'!F22</f>
        <v>VOZ</v>
      </c>
      <c r="G39" s="312" t="n">
        <f aca="false">+'[1]Mi Fijo'!G22</f>
        <v>24</v>
      </c>
      <c r="H39" s="569" t="n">
        <f aca="false">+'[1]Mi Fijo'!H22</f>
        <v>47.1074380165289</v>
      </c>
      <c r="I39" s="570"/>
      <c r="J39" s="311" t="n">
        <f aca="false">+'[1]Mi Fijo'!J22</f>
        <v>0</v>
      </c>
      <c r="K39" s="571" t="n">
        <f aca="false">+'[1]Mi Fijo'!K22</f>
        <v>0</v>
      </c>
      <c r="L39" s="226"/>
      <c r="M39" s="311" t="n">
        <f aca="false">+'[1]Mi Fijo'!M22</f>
        <v>0</v>
      </c>
      <c r="N39" s="571" t="n">
        <f aca="false">+'[1]Mi Fijo'!N22</f>
        <v>0</v>
      </c>
      <c r="O39" s="311" t="n">
        <f aca="false">+'[1]Mi Fijo'!O22</f>
        <v>0</v>
      </c>
      <c r="P39" s="571" t="n">
        <f aca="false">+'[1]Mi Fijo'!P22</f>
        <v>0</v>
      </c>
      <c r="R39" s="572" t="n">
        <f aca="false">+'[1]Mi Fijo'!R22</f>
        <v>0</v>
      </c>
      <c r="S39" s="226"/>
      <c r="T39" s="311" t="n">
        <f aca="false">+'[1]Mi Fijo'!T22</f>
        <v>47</v>
      </c>
      <c r="U39" s="569" t="n">
        <f aca="false">+'[1]Mi Fijo'!U22</f>
        <v>0</v>
      </c>
      <c r="W39" s="311" t="n">
        <f aca="false">+'[1]Mi Fijo'!W22</f>
        <v>47</v>
      </c>
      <c r="X39" s="569" t="n">
        <f aca="false">+'[1]Mi Fijo'!X22</f>
        <v>0</v>
      </c>
      <c r="Y39" s="311" t="n">
        <f aca="false">+'[1]Mi Fijo'!Y22</f>
        <v>47</v>
      </c>
      <c r="Z39" s="569" t="n">
        <f aca="false">+'[1]Mi Fijo'!Z22</f>
        <v>0</v>
      </c>
    </row>
    <row r="40" customFormat="false" ht="12.75" hidden="false" customHeight="true" outlineLevel="0" collapsed="false">
      <c r="B40" s="480" t="str">
        <f aca="false">+'[1]Mi Fijo'!B23</f>
        <v>TCL</v>
      </c>
      <c r="C40" s="305" t="str">
        <f aca="false">+'[1]Mi Fijo'!C23</f>
        <v>TCL ONETOUCH 4043</v>
      </c>
      <c r="D40" s="566" t="n">
        <f aca="false">+'[1]Mi Fijo'!D23</f>
        <v>59.504132231405</v>
      </c>
      <c r="E40" s="567" t="n">
        <f aca="false">+'[1]Mi Fijo'!E23</f>
        <v>1.1</v>
      </c>
      <c r="F40" s="568" t="str">
        <f aca="false">+'[1]Mi Fijo'!F23</f>
        <v>VOZ</v>
      </c>
      <c r="G40" s="312" t="n">
        <f aca="false">+'[1]Mi Fijo'!G23</f>
        <v>24</v>
      </c>
      <c r="H40" s="569" t="n">
        <f aca="false">+'[1]Mi Fijo'!H23</f>
        <v>59.504132231405</v>
      </c>
      <c r="I40" s="570"/>
      <c r="J40" s="311" t="n">
        <f aca="false">+'[1]Mi Fijo'!J23</f>
        <v>0</v>
      </c>
      <c r="K40" s="571" t="n">
        <f aca="false">+'[1]Mi Fijo'!K23</f>
        <v>0.413223140495868</v>
      </c>
      <c r="L40" s="226"/>
      <c r="M40" s="311" t="n">
        <f aca="false">+'[1]Mi Fijo'!M23</f>
        <v>0</v>
      </c>
      <c r="N40" s="571" t="n">
        <f aca="false">+'[1]Mi Fijo'!N23</f>
        <v>0.413223140495868</v>
      </c>
      <c r="O40" s="311" t="n">
        <f aca="false">+'[1]Mi Fijo'!O23</f>
        <v>0</v>
      </c>
      <c r="P40" s="571" t="n">
        <f aca="false">+'[1]Mi Fijo'!P23</f>
        <v>0.413223140495868</v>
      </c>
      <c r="R40" s="572" t="n">
        <f aca="false">+'[1]Mi Fijo'!R23</f>
        <v>0</v>
      </c>
      <c r="S40" s="226"/>
      <c r="T40" s="311" t="n">
        <f aca="false">+'[1]Mi Fijo'!T23</f>
        <v>50</v>
      </c>
      <c r="U40" s="569" t="n">
        <f aca="false">+'[1]Mi Fijo'!U23</f>
        <v>9.91735537190083</v>
      </c>
      <c r="W40" s="311" t="n">
        <f aca="false">+'[1]Mi Fijo'!W23</f>
        <v>50</v>
      </c>
      <c r="X40" s="569" t="n">
        <f aca="false">+'[1]Mi Fijo'!X23</f>
        <v>9.91735537190083</v>
      </c>
      <c r="Y40" s="311" t="n">
        <f aca="false">+'[1]Mi Fijo'!Y23</f>
        <v>50</v>
      </c>
      <c r="Z40" s="569" t="n">
        <f aca="false">+'[1]Mi Fijo'!Z23</f>
        <v>9.91735537190083</v>
      </c>
    </row>
    <row r="41" customFormat="false" ht="12.75" hidden="false" customHeight="true" outlineLevel="0" collapsed="false">
      <c r="B41" s="480" t="str">
        <f aca="false">+'[1]Mi Fijo'!B24</f>
        <v>XIAOMI</v>
      </c>
      <c r="C41" s="305" t="str">
        <f aca="false">+'[1]Mi Fijo'!C24</f>
        <v>XIAOMI 14C 128GB</v>
      </c>
      <c r="D41" s="566" t="n">
        <f aca="false">+'[1]Mi Fijo'!D24</f>
        <v>88.4297520661157</v>
      </c>
      <c r="E41" s="567" t="n">
        <f aca="false">+'[1]Mi Fijo'!E24</f>
        <v>3.25</v>
      </c>
      <c r="F41" s="568" t="str">
        <f aca="false">+'[1]Mi Fijo'!F24</f>
        <v>SMARTPHONE</v>
      </c>
      <c r="G41" s="312" t="n">
        <f aca="false">+'[1]Mi Fijo'!G24</f>
        <v>24</v>
      </c>
      <c r="H41" s="569" t="n">
        <f aca="false">+'[1]Mi Fijo'!H24</f>
        <v>88.4297520661157</v>
      </c>
      <c r="I41" s="570"/>
      <c r="J41" s="311" t="n">
        <f aca="false">+'[1]Mi Fijo'!J24</f>
        <v>0</v>
      </c>
      <c r="K41" s="571" t="n">
        <f aca="false">+'[1]Mi Fijo'!K24</f>
        <v>1.2396694214876</v>
      </c>
      <c r="L41" s="226"/>
      <c r="M41" s="311" t="n">
        <f aca="false">+'[1]Mi Fijo'!M24</f>
        <v>0</v>
      </c>
      <c r="N41" s="571" t="n">
        <f aca="false">+'[1]Mi Fijo'!N24</f>
        <v>1.2396694214876</v>
      </c>
      <c r="O41" s="311" t="n">
        <f aca="false">+'[1]Mi Fijo'!O24</f>
        <v>0</v>
      </c>
      <c r="P41" s="571" t="n">
        <f aca="false">+'[1]Mi Fijo'!P24</f>
        <v>1.2396694214876</v>
      </c>
      <c r="R41" s="572" t="n">
        <f aca="false">+'[1]Mi Fijo'!R24</f>
        <v>0</v>
      </c>
      <c r="S41" s="226"/>
      <c r="T41" s="311" t="n">
        <f aca="false">+'[1]Mi Fijo'!T24</f>
        <v>59</v>
      </c>
      <c r="U41" s="569" t="n">
        <f aca="false">+'[1]Mi Fijo'!U24</f>
        <v>29.7520661157025</v>
      </c>
      <c r="W41" s="311" t="n">
        <f aca="false">+'[1]Mi Fijo'!W24</f>
        <v>59</v>
      </c>
      <c r="X41" s="569" t="n">
        <f aca="false">+'[1]Mi Fijo'!X24</f>
        <v>29.7520661157025</v>
      </c>
      <c r="Y41" s="311" t="n">
        <f aca="false">+'[1]Mi Fijo'!Y24</f>
        <v>59</v>
      </c>
      <c r="Z41" s="569" t="n">
        <f aca="false">+'[1]Mi Fijo'!Z24</f>
        <v>29.7520661157025</v>
      </c>
    </row>
    <row r="42" customFormat="false" ht="12.75" hidden="false" customHeight="true" outlineLevel="0" collapsed="false">
      <c r="B42" s="480" t="str">
        <f aca="false">+'[1]Mi Fijo'!B25</f>
        <v>XIAOMI</v>
      </c>
      <c r="C42" s="305" t="str">
        <f aca="false">+'[1]Mi Fijo'!C25</f>
        <v>XIAOMI REDMI 13C 256GB 5G</v>
      </c>
      <c r="D42" s="566" t="n">
        <f aca="false">+'[1]Mi Fijo'!D25</f>
        <v>154.545454545455</v>
      </c>
      <c r="E42" s="567" t="n">
        <f aca="false">+'[1]Mi Fijo'!E25</f>
        <v>3.25</v>
      </c>
      <c r="F42" s="568" t="str">
        <f aca="false">+'[1]Mi Fijo'!F25</f>
        <v>SMARTPHONE</v>
      </c>
      <c r="G42" s="312" t="n">
        <f aca="false">+'[1]Mi Fijo'!G25</f>
        <v>24</v>
      </c>
      <c r="H42" s="569" t="n">
        <f aca="false">+'[1]Mi Fijo'!H25</f>
        <v>154.545454545455</v>
      </c>
      <c r="I42" s="570"/>
      <c r="J42" s="311" t="n">
        <f aca="false">+'[1]Mi Fijo'!J25</f>
        <v>0</v>
      </c>
      <c r="K42" s="571" t="n">
        <f aca="false">+'[1]Mi Fijo'!K25</f>
        <v>2.47933884297521</v>
      </c>
      <c r="L42" s="226"/>
      <c r="M42" s="311" t="n">
        <f aca="false">+'[1]Mi Fijo'!M25</f>
        <v>0</v>
      </c>
      <c r="N42" s="571" t="n">
        <f aca="false">+'[1]Mi Fijo'!N25</f>
        <v>2.47933884297521</v>
      </c>
      <c r="O42" s="311" t="n">
        <f aca="false">+'[1]Mi Fijo'!O25</f>
        <v>0</v>
      </c>
      <c r="P42" s="571" t="n">
        <f aca="false">+'[1]Mi Fijo'!P25</f>
        <v>2.47933884297521</v>
      </c>
      <c r="R42" s="572" t="n">
        <f aca="false">+'[1]Mi Fijo'!R25</f>
        <v>0</v>
      </c>
      <c r="S42" s="226"/>
      <c r="T42" s="311" t="n">
        <f aca="false">+'[1]Mi Fijo'!T25</f>
        <v>95</v>
      </c>
      <c r="U42" s="569" t="n">
        <f aca="false">+'[1]Mi Fijo'!U25</f>
        <v>59.504132231405</v>
      </c>
      <c r="W42" s="311" t="n">
        <f aca="false">+'[1]Mi Fijo'!W25</f>
        <v>95</v>
      </c>
      <c r="X42" s="569" t="n">
        <f aca="false">+'[1]Mi Fijo'!X25</f>
        <v>59.504132231405</v>
      </c>
      <c r="Y42" s="311" t="n">
        <f aca="false">+'[1]Mi Fijo'!Y25</f>
        <v>95</v>
      </c>
      <c r="Z42" s="569" t="n">
        <f aca="false">+'[1]Mi Fijo'!Z25</f>
        <v>59.504132231405</v>
      </c>
    </row>
    <row r="43" customFormat="false" ht="12.75" hidden="false" customHeight="true" outlineLevel="0" collapsed="false">
      <c r="B43" s="480" t="str">
        <f aca="false">+'[1]Mi Fijo'!B26</f>
        <v>XIAOMI</v>
      </c>
      <c r="C43" s="305" t="str">
        <f aca="false">+'[1]Mi Fijo'!C26</f>
        <v>XIAOMI REDMI 13C 5G</v>
      </c>
      <c r="D43" s="566" t="n">
        <f aca="false">+'[1]Mi Fijo'!D26</f>
        <v>128.925619834711</v>
      </c>
      <c r="E43" s="567" t="n">
        <f aca="false">+'[1]Mi Fijo'!E26</f>
        <v>3.25</v>
      </c>
      <c r="F43" s="568" t="str">
        <f aca="false">+'[1]Mi Fijo'!F26</f>
        <v>SMARTPHONE</v>
      </c>
      <c r="G43" s="312" t="n">
        <f aca="false">+'[1]Mi Fijo'!G26</f>
        <v>24</v>
      </c>
      <c r="H43" s="569" t="n">
        <f aca="false">+'[1]Mi Fijo'!H26</f>
        <v>98.3471074380165</v>
      </c>
      <c r="I43" s="570"/>
      <c r="J43" s="311" t="n">
        <f aca="false">+'[1]Mi Fijo'!J26</f>
        <v>0</v>
      </c>
      <c r="K43" s="571" t="n">
        <f aca="false">+'[1]Mi Fijo'!K26</f>
        <v>1.65289256198347</v>
      </c>
      <c r="L43" s="226"/>
      <c r="M43" s="311" t="n">
        <f aca="false">+'[1]Mi Fijo'!M26</f>
        <v>0</v>
      </c>
      <c r="N43" s="571" t="n">
        <f aca="false">+'[1]Mi Fijo'!N26</f>
        <v>1.65289256198347</v>
      </c>
      <c r="O43" s="311" t="n">
        <f aca="false">+'[1]Mi Fijo'!O26</f>
        <v>0</v>
      </c>
      <c r="P43" s="571" t="n">
        <f aca="false">+'[1]Mi Fijo'!P26</f>
        <v>1.65289256198347</v>
      </c>
      <c r="R43" s="572" t="n">
        <f aca="false">+'[1]Mi Fijo'!R26</f>
        <v>31</v>
      </c>
      <c r="S43" s="226"/>
      <c r="T43" s="311" t="n">
        <f aca="false">+'[1]Mi Fijo'!T26</f>
        <v>89</v>
      </c>
      <c r="U43" s="569" t="n">
        <f aca="false">+'[1]Mi Fijo'!U26</f>
        <v>39.6694214876033</v>
      </c>
      <c r="W43" s="311" t="n">
        <f aca="false">+'[1]Mi Fijo'!W26</f>
        <v>89</v>
      </c>
      <c r="X43" s="569" t="n">
        <f aca="false">+'[1]Mi Fijo'!X26</f>
        <v>39.6694214876033</v>
      </c>
      <c r="Y43" s="311" t="n">
        <f aca="false">+'[1]Mi Fijo'!Y26</f>
        <v>89</v>
      </c>
      <c r="Z43" s="569" t="n">
        <f aca="false">+'[1]Mi Fijo'!Z26</f>
        <v>39.6694214876033</v>
      </c>
    </row>
    <row r="44" customFormat="false" ht="12.75" hidden="false" customHeight="true" outlineLevel="0" collapsed="false">
      <c r="B44" s="480" t="str">
        <f aca="false">+'[1]Mi Fijo'!B27</f>
        <v>XIAOMI</v>
      </c>
      <c r="C44" s="305" t="str">
        <f aca="false">+'[1]Mi Fijo'!C27</f>
        <v>XIAOMI REDMI WATCH 5 LITE</v>
      </c>
      <c r="D44" s="566" t="n">
        <f aca="false">+'[1]Mi Fijo'!D27</f>
        <v>58.6776859504132</v>
      </c>
      <c r="E44" s="567" t="n">
        <f aca="false">+'[1]Mi Fijo'!E27</f>
        <v>2.5</v>
      </c>
      <c r="F44" s="568" t="str">
        <f aca="false">+'[1]Mi Fijo'!F27</f>
        <v>OC_SMART WATCH</v>
      </c>
      <c r="G44" s="312" t="n">
        <f aca="false">+'[1]Mi Fijo'!G27</f>
        <v>24</v>
      </c>
      <c r="H44" s="569" t="n">
        <f aca="false">+'[1]Mi Fijo'!H27</f>
        <v>58.6776859504132</v>
      </c>
      <c r="I44" s="570"/>
      <c r="J44" s="311" t="n">
        <f aca="false">+'[1]Mi Fijo'!J27</f>
        <v>0</v>
      </c>
      <c r="K44" s="571" t="n">
        <f aca="false">+'[1]Mi Fijo'!K27</f>
        <v>0</v>
      </c>
      <c r="L44" s="226"/>
      <c r="M44" s="311" t="n">
        <f aca="false">+'[1]Mi Fijo'!M27</f>
        <v>0</v>
      </c>
      <c r="N44" s="571" t="n">
        <f aca="false">+'[1]Mi Fijo'!N27</f>
        <v>0</v>
      </c>
      <c r="O44" s="311" t="n">
        <f aca="false">+'[1]Mi Fijo'!O27</f>
        <v>0</v>
      </c>
      <c r="P44" s="571" t="n">
        <f aca="false">+'[1]Mi Fijo'!P27</f>
        <v>0</v>
      </c>
      <c r="R44" s="572" t="n">
        <f aca="false">+'[1]Mi Fijo'!R27</f>
        <v>0</v>
      </c>
      <c r="S44" s="226"/>
      <c r="T44" s="311" t="n">
        <f aca="false">+'[1]Mi Fijo'!T27</f>
        <v>59</v>
      </c>
      <c r="U44" s="569" t="n">
        <f aca="false">+'[1]Mi Fijo'!U27</f>
        <v>0</v>
      </c>
      <c r="W44" s="311" t="n">
        <f aca="false">+'[1]Mi Fijo'!W27</f>
        <v>59</v>
      </c>
      <c r="X44" s="569" t="n">
        <f aca="false">+'[1]Mi Fijo'!X27</f>
        <v>0</v>
      </c>
      <c r="Y44" s="311" t="n">
        <f aca="false">+'[1]Mi Fijo'!Y27</f>
        <v>59</v>
      </c>
      <c r="Z44" s="569" t="n">
        <f aca="false">+'[1]Mi Fijo'!Z27</f>
        <v>0</v>
      </c>
    </row>
    <row r="45" customFormat="false" ht="12.75" hidden="false" customHeight="true" outlineLevel="0" collapsed="false">
      <c r="B45" s="573" t="str">
        <f aca="false">+'[1]Mi Fijo'!B28</f>
        <v>ZTE</v>
      </c>
      <c r="C45" s="402" t="str">
        <f aca="false">+'[1]Mi Fijo'!C28</f>
        <v>ZTE A75 128GB 5G</v>
      </c>
      <c r="D45" s="574" t="n">
        <f aca="false">+'[1]Mi Fijo'!D28</f>
        <v>96.6942148760331</v>
      </c>
      <c r="E45" s="575" t="n">
        <f aca="false">+'[1]Mi Fijo'!E28</f>
        <v>3.25</v>
      </c>
      <c r="F45" s="576" t="str">
        <f aca="false">+'[1]Mi Fijo'!F28</f>
        <v>SMARTPHONE</v>
      </c>
      <c r="G45" s="577" t="n">
        <f aca="false">+'[1]Mi Fijo'!G28</f>
        <v>24</v>
      </c>
      <c r="H45" s="578" t="n">
        <f aca="false">+'[1]Mi Fijo'!H28</f>
        <v>96.6942148760331</v>
      </c>
      <c r="I45" s="579"/>
      <c r="J45" s="408" t="n">
        <f aca="false">+'[1]Mi Fijo'!J28</f>
        <v>0</v>
      </c>
      <c r="K45" s="580" t="n">
        <f aca="false">+'[1]Mi Fijo'!K28</f>
        <v>1.65289256198347</v>
      </c>
      <c r="L45" s="581"/>
      <c r="M45" s="408" t="n">
        <f aca="false">+'[1]Mi Fijo'!M28</f>
        <v>0</v>
      </c>
      <c r="N45" s="580" t="n">
        <f aca="false">+'[1]Mi Fijo'!N28</f>
        <v>1.65289256198347</v>
      </c>
      <c r="O45" s="408" t="n">
        <f aca="false">+'[1]Mi Fijo'!O28</f>
        <v>0</v>
      </c>
      <c r="P45" s="580" t="n">
        <f aca="false">+'[1]Mi Fijo'!P28</f>
        <v>1.65289256198347</v>
      </c>
      <c r="Q45" s="409"/>
      <c r="R45" s="582" t="n">
        <f aca="false">+'[1]Mi Fijo'!R28</f>
        <v>0</v>
      </c>
      <c r="S45" s="581"/>
      <c r="T45" s="408" t="n">
        <f aca="false">+'[1]Mi Fijo'!T28</f>
        <v>57</v>
      </c>
      <c r="U45" s="578" t="n">
        <f aca="false">+'[1]Mi Fijo'!U28</f>
        <v>39.6694214876033</v>
      </c>
      <c r="V45" s="583"/>
      <c r="W45" s="408" t="n">
        <f aca="false">+'[1]Mi Fijo'!W28</f>
        <v>57</v>
      </c>
      <c r="X45" s="578" t="n">
        <f aca="false">+'[1]Mi Fijo'!X28</f>
        <v>39.6694214876033</v>
      </c>
      <c r="Y45" s="408" t="n">
        <f aca="false">+'[1]Mi Fijo'!Y28</f>
        <v>57</v>
      </c>
      <c r="Z45" s="578" t="n">
        <f aca="false">+'[1]Mi Fijo'!Z28</f>
        <v>39.6694214876033</v>
      </c>
    </row>
    <row r="46" s="2" customFormat="true" ht="12.75" hidden="false" customHeight="true" outlineLevel="0" collapsed="false"/>
    <row r="47" s="2" customFormat="true" ht="12.75" hidden="false" customHeight="true" outlineLevel="0" collapsed="false"/>
  </sheetData>
  <mergeCells count="44">
    <mergeCell ref="B2:F2"/>
    <mergeCell ref="H2:H4"/>
    <mergeCell ref="J2:K2"/>
    <mergeCell ref="M2:P2"/>
    <mergeCell ref="J4:K4"/>
    <mergeCell ref="M4:N4"/>
    <mergeCell ref="O4:P4"/>
    <mergeCell ref="B5:C16"/>
    <mergeCell ref="D5:G12"/>
    <mergeCell ref="H5:H12"/>
    <mergeCell ref="J5:K12"/>
    <mergeCell ref="M5:N12"/>
    <mergeCell ref="O5:P12"/>
    <mergeCell ref="D13:G13"/>
    <mergeCell ref="J13:K13"/>
    <mergeCell ref="M13:N13"/>
    <mergeCell ref="O13:P13"/>
    <mergeCell ref="D14:G14"/>
    <mergeCell ref="J14:K14"/>
    <mergeCell ref="M14:N14"/>
    <mergeCell ref="O14:P14"/>
    <mergeCell ref="D15:G15"/>
    <mergeCell ref="J15:K15"/>
    <mergeCell ref="M15:N15"/>
    <mergeCell ref="O15:P15"/>
    <mergeCell ref="D16:G16"/>
    <mergeCell ref="J16:K16"/>
    <mergeCell ref="M16:N16"/>
    <mergeCell ref="O16:P16"/>
    <mergeCell ref="B18:G22"/>
    <mergeCell ref="H18:H22"/>
    <mergeCell ref="J18:K20"/>
    <mergeCell ref="M18:P18"/>
    <mergeCell ref="R18:R22"/>
    <mergeCell ref="T18:U20"/>
    <mergeCell ref="W18:Z18"/>
    <mergeCell ref="M20:P20"/>
    <mergeCell ref="W20:Z20"/>
    <mergeCell ref="J22:K22"/>
    <mergeCell ref="M22:N22"/>
    <mergeCell ref="O22:P22"/>
    <mergeCell ref="T22:U22"/>
    <mergeCell ref="W22:X22"/>
    <mergeCell ref="Y22:Z22"/>
  </mergeCells>
  <conditionalFormatting sqref="F4">
    <cfRule type="expression" priority="2" aboveAverage="0" equalAverage="0" bottom="0" percent="0" rank="0" text="" dxfId="115">
      <formula>ISERROR(F4)</formula>
    </cfRule>
    <cfRule type="cellIs" priority="3" operator="lessThan" aboveAverage="0" equalAverage="0" bottom="0" percent="0" rank="0" text="" dxfId="116">
      <formula>0</formula>
    </cfRule>
  </conditionalFormatting>
  <printOptions headings="false" gridLines="false" gridLinesSet="true" horizontalCentered="false" verticalCentered="false"/>
  <pageMargins left="0.708333333333333" right="0.708333333333333" top="0.747916666666667" bottom="0.748611111111111" header="0.511811023622047" footer="0.315277777777778"/>
  <pageSetup paperSize="9" scale="100" fitToWidth="1" fitToHeight="1" pageOrder="downThenOver" orientation="landscape" blackAndWhite="false" draft="false" cellComments="none" horizontalDpi="300" verticalDpi="300" copies="1"/>
  <headerFooter differentFirst="false" differentOddEven="false">
    <oddHeader/>
    <oddFooter>&amp;C&amp;1#&amp;"Calibri,Normal"&amp;8&amp;Ked7d31Orange Restricted</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808080"/>
    <pageSetUpPr fitToPage="true"/>
  </sheetPr>
  <dimension ref="B1:U41"/>
  <sheetViews>
    <sheetView showFormulas="false" showGridLines="false" showRowColHeaders="true" showZeros="true" rightToLeft="false" tabSelected="false" showOutlineSymbols="true" defaultGridColor="true" view="normal" topLeftCell="A1" colorId="64" zoomScale="70" zoomScaleNormal="70" zoomScalePageLayoutView="100" workbookViewId="0">
      <selection pane="topLeft" activeCell="B5" activeCellId="0" sqref="B5"/>
    </sheetView>
  </sheetViews>
  <sheetFormatPr defaultColWidth="11.43359375" defaultRowHeight="12.75" zeroHeight="false" outlineLevelRow="0" outlineLevelCol="0"/>
  <cols>
    <col collapsed="false" customWidth="true" hidden="false" outlineLevel="0" max="1" min="1" style="2" width="1.42"/>
    <col collapsed="false" customWidth="true" hidden="false" outlineLevel="0" max="2" min="2" style="2" width="34.58"/>
    <col collapsed="false" customWidth="true" hidden="false" outlineLevel="0" max="3" min="3" style="2" width="49.86"/>
    <col collapsed="false" customWidth="true" hidden="false" outlineLevel="0" max="4" min="4" style="2" width="10.14"/>
    <col collapsed="false" customWidth="true" hidden="false" outlineLevel="0" max="5" min="5" style="2" width="12.57"/>
    <col collapsed="false" customWidth="true" hidden="false" outlineLevel="0" max="6" min="6" style="2" width="14.43"/>
    <col collapsed="false" customWidth="true" hidden="false" outlineLevel="0" max="7" min="7" style="2" width="6.01"/>
    <col collapsed="false" customWidth="true" hidden="false" outlineLevel="0" max="8" min="8" style="2" width="8.57"/>
    <col collapsed="false" customWidth="true" hidden="false" outlineLevel="0" max="11" min="9" style="2" width="17.86"/>
    <col collapsed="false" customWidth="true" hidden="false" outlineLevel="0" max="12" min="12" style="2" width="17.42"/>
    <col collapsed="false" customWidth="true" hidden="false" outlineLevel="0" max="13" min="13" style="2" width="4.86"/>
    <col collapsed="false" customWidth="true" hidden="false" outlineLevel="0" max="14" min="14" style="2" width="18.42"/>
    <col collapsed="false" customWidth="true" hidden="false" outlineLevel="0" max="15" min="15" style="2" width="18"/>
    <col collapsed="false" customWidth="true" hidden="false" outlineLevel="0" max="17" min="16" style="2" width="18.42"/>
    <col collapsed="false" customWidth="false" hidden="false" outlineLevel="0" max="1024" min="18" style="2" width="11.42"/>
  </cols>
  <sheetData>
    <row r="1" customFormat="false" ht="13.5" hidden="false" customHeight="true" outlineLevel="0" collapsed="false">
      <c r="H1" s="1"/>
    </row>
    <row r="2" customFormat="false" ht="23.25" hidden="false" customHeight="true" outlineLevel="0" collapsed="false">
      <c r="B2" s="3" t="s">
        <v>0</v>
      </c>
      <c r="C2" s="3"/>
      <c r="D2" s="3"/>
      <c r="E2" s="3"/>
      <c r="F2" s="3"/>
      <c r="G2" s="3"/>
      <c r="H2" s="1"/>
    </row>
    <row r="3" customFormat="false" ht="3.75" hidden="false" customHeight="true" outlineLevel="0" collapsed="false">
      <c r="I3" s="12"/>
    </row>
    <row r="4" s="28" customFormat="true" ht="30" hidden="false" customHeight="true" outlineLevel="0" collapsed="false">
      <c r="B4" s="18" t="n">
        <v>45748</v>
      </c>
      <c r="C4" s="19" t="s">
        <v>395</v>
      </c>
      <c r="D4" s="584"/>
      <c r="E4" s="584"/>
      <c r="F4" s="584"/>
      <c r="G4" s="584"/>
      <c r="H4" s="21"/>
      <c r="I4" s="7" t="s">
        <v>814</v>
      </c>
      <c r="J4" s="7"/>
      <c r="K4" s="7"/>
      <c r="L4" s="7"/>
    </row>
    <row r="5" customFormat="false" ht="15.75" hidden="false" customHeight="true" outlineLevel="0" collapsed="false">
      <c r="B5" s="32" t="s">
        <v>805</v>
      </c>
      <c r="C5" s="32"/>
      <c r="D5" s="33" t="s">
        <v>10</v>
      </c>
      <c r="E5" s="33"/>
      <c r="F5" s="33"/>
      <c r="G5" s="33"/>
      <c r="H5" s="35"/>
      <c r="I5" s="585" t="s">
        <v>392</v>
      </c>
      <c r="J5" s="66" t="s">
        <v>391</v>
      </c>
      <c r="K5" s="66" t="s">
        <v>390</v>
      </c>
      <c r="L5" s="67" t="s">
        <v>815</v>
      </c>
      <c r="N5" s="28"/>
      <c r="O5" s="28"/>
      <c r="P5" s="28"/>
      <c r="Q5" s="28"/>
      <c r="R5" s="28"/>
      <c r="S5" s="28"/>
      <c r="T5" s="28"/>
      <c r="U5" s="28"/>
    </row>
    <row r="6" customFormat="false" ht="15.75" hidden="false" customHeight="true" outlineLevel="0" collapsed="false">
      <c r="B6" s="32"/>
      <c r="C6" s="32"/>
      <c r="D6" s="33"/>
      <c r="E6" s="33"/>
      <c r="F6" s="33"/>
      <c r="G6" s="33"/>
      <c r="H6" s="37"/>
      <c r="I6" s="585"/>
      <c r="J6" s="66"/>
      <c r="K6" s="66"/>
      <c r="L6" s="67"/>
      <c r="N6" s="28"/>
      <c r="O6" s="28"/>
      <c r="P6" s="28"/>
      <c r="Q6" s="28"/>
      <c r="R6" s="28"/>
      <c r="S6" s="28"/>
      <c r="T6" s="28"/>
      <c r="U6" s="28"/>
    </row>
    <row r="7" customFormat="false" ht="15.75" hidden="false" customHeight="true" outlineLevel="0" collapsed="false">
      <c r="B7" s="32"/>
      <c r="C7" s="32"/>
      <c r="D7" s="33"/>
      <c r="E7" s="33"/>
      <c r="F7" s="33"/>
      <c r="G7" s="33"/>
      <c r="H7" s="37"/>
      <c r="I7" s="585"/>
      <c r="J7" s="66"/>
      <c r="K7" s="66"/>
      <c r="L7" s="67"/>
      <c r="N7" s="28"/>
      <c r="O7" s="28"/>
      <c r="P7" s="28"/>
      <c r="Q7" s="28"/>
      <c r="R7" s="28"/>
      <c r="S7" s="28"/>
      <c r="T7" s="28"/>
      <c r="U7" s="28"/>
    </row>
    <row r="8" customFormat="false" ht="15.75" hidden="false" customHeight="true" outlineLevel="0" collapsed="false">
      <c r="B8" s="32"/>
      <c r="C8" s="32"/>
      <c r="D8" s="33"/>
      <c r="E8" s="33"/>
      <c r="F8" s="33"/>
      <c r="G8" s="33"/>
      <c r="H8" s="37"/>
      <c r="I8" s="585"/>
      <c r="J8" s="66"/>
      <c r="K8" s="66"/>
      <c r="L8" s="67"/>
      <c r="N8" s="28"/>
      <c r="O8" s="28"/>
      <c r="P8" s="28"/>
      <c r="Q8" s="28"/>
      <c r="R8" s="28"/>
      <c r="S8" s="28"/>
      <c r="T8" s="28"/>
      <c r="U8" s="28"/>
    </row>
    <row r="9" customFormat="false" ht="15.75" hidden="false" customHeight="true" outlineLevel="0" collapsed="false">
      <c r="B9" s="32"/>
      <c r="C9" s="32"/>
      <c r="D9" s="33"/>
      <c r="E9" s="33"/>
      <c r="F9" s="33"/>
      <c r="G9" s="33"/>
      <c r="H9" s="37"/>
      <c r="I9" s="585"/>
      <c r="J9" s="66"/>
      <c r="K9" s="66"/>
      <c r="L9" s="67"/>
      <c r="N9" s="28"/>
      <c r="O9" s="28"/>
      <c r="P9" s="28"/>
      <c r="Q9" s="28"/>
      <c r="R9" s="28"/>
      <c r="S9" s="28"/>
      <c r="T9" s="28"/>
      <c r="U9" s="28"/>
    </row>
    <row r="10" customFormat="false" ht="15.75" hidden="false" customHeight="true" outlineLevel="0" collapsed="false">
      <c r="B10" s="32"/>
      <c r="C10" s="32"/>
      <c r="D10" s="33"/>
      <c r="E10" s="33"/>
      <c r="F10" s="33"/>
      <c r="G10" s="33"/>
      <c r="H10" s="37"/>
      <c r="I10" s="585"/>
      <c r="J10" s="66"/>
      <c r="K10" s="66"/>
      <c r="L10" s="67"/>
      <c r="N10" s="28"/>
      <c r="O10" s="28"/>
      <c r="P10" s="28"/>
      <c r="Q10" s="28"/>
      <c r="R10" s="28"/>
      <c r="S10" s="28"/>
      <c r="T10" s="28"/>
      <c r="U10" s="28"/>
    </row>
    <row r="11" customFormat="false" ht="15.75" hidden="false" customHeight="true" outlineLevel="0" collapsed="false">
      <c r="B11" s="32"/>
      <c r="C11" s="32"/>
      <c r="D11" s="33"/>
      <c r="E11" s="33"/>
      <c r="F11" s="33"/>
      <c r="G11" s="33"/>
      <c r="H11" s="37"/>
      <c r="I11" s="585"/>
      <c r="J11" s="66"/>
      <c r="K11" s="66"/>
      <c r="L11" s="67"/>
      <c r="N11" s="28"/>
      <c r="O11" s="28"/>
      <c r="P11" s="28"/>
      <c r="Q11" s="28"/>
      <c r="R11" s="28"/>
      <c r="S11" s="28"/>
      <c r="T11" s="28"/>
      <c r="U11" s="28"/>
    </row>
    <row r="12" customFormat="false" ht="15.75" hidden="false" customHeight="true" outlineLevel="0" collapsed="false">
      <c r="B12" s="32"/>
      <c r="C12" s="32"/>
      <c r="D12" s="33"/>
      <c r="E12" s="33"/>
      <c r="F12" s="33"/>
      <c r="G12" s="33"/>
      <c r="H12" s="37"/>
      <c r="I12" s="585"/>
      <c r="J12" s="66"/>
      <c r="K12" s="66"/>
      <c r="L12" s="67"/>
      <c r="N12" s="28"/>
      <c r="O12" s="28"/>
      <c r="P12" s="28"/>
      <c r="Q12" s="28"/>
      <c r="R12" s="28"/>
      <c r="S12" s="28"/>
      <c r="T12" s="28"/>
      <c r="U12" s="28"/>
    </row>
    <row r="13" customFormat="false" ht="30.75" hidden="false" customHeight="true" outlineLevel="0" collapsed="false">
      <c r="B13" s="32"/>
      <c r="C13" s="32"/>
      <c r="D13" s="72" t="s">
        <v>34</v>
      </c>
      <c r="E13" s="72"/>
      <c r="F13" s="72"/>
      <c r="G13" s="72"/>
      <c r="H13" s="74"/>
      <c r="I13" s="87" t="s">
        <v>12</v>
      </c>
      <c r="J13" s="92" t="s">
        <v>12</v>
      </c>
      <c r="K13" s="92" t="s">
        <v>12</v>
      </c>
      <c r="L13" s="586" t="s">
        <v>12</v>
      </c>
    </row>
    <row r="14" customFormat="false" ht="65.25" hidden="false" customHeight="true" outlineLevel="0" collapsed="false">
      <c r="B14" s="32"/>
      <c r="C14" s="32"/>
      <c r="D14" s="72" t="s">
        <v>808</v>
      </c>
      <c r="E14" s="72"/>
      <c r="F14" s="72"/>
      <c r="G14" s="72"/>
      <c r="H14" s="74"/>
      <c r="I14" s="76" t="s">
        <v>781</v>
      </c>
      <c r="J14" s="92" t="s">
        <v>781</v>
      </c>
      <c r="K14" s="92" t="s">
        <v>781</v>
      </c>
      <c r="L14" s="587" t="s">
        <v>781</v>
      </c>
    </row>
    <row r="15" customFormat="false" ht="21" hidden="false" customHeight="true" outlineLevel="0" collapsed="false">
      <c r="B15" s="32"/>
      <c r="C15" s="32"/>
      <c r="D15" s="90" t="s">
        <v>783</v>
      </c>
      <c r="E15" s="90"/>
      <c r="F15" s="90"/>
      <c r="G15" s="90"/>
      <c r="H15" s="588"/>
      <c r="I15" s="589" t="s">
        <v>784</v>
      </c>
      <c r="J15" s="590" t="s">
        <v>784</v>
      </c>
      <c r="K15" s="590" t="s">
        <v>784</v>
      </c>
      <c r="L15" s="591" t="s">
        <v>784</v>
      </c>
    </row>
    <row r="16" customFormat="false" ht="23.25" hidden="false" customHeight="true" outlineLevel="0" collapsed="false">
      <c r="H16" s="1"/>
    </row>
    <row r="17" customFormat="false" ht="23.25" hidden="false" customHeight="true" outlineLevel="0" collapsed="false">
      <c r="B17" s="101" t="s">
        <v>61</v>
      </c>
      <c r="C17" s="101"/>
      <c r="D17" s="101"/>
      <c r="E17" s="101"/>
      <c r="F17" s="101"/>
      <c r="G17" s="101"/>
      <c r="H17" s="1"/>
      <c r="I17" s="102" t="s">
        <v>788</v>
      </c>
      <c r="J17" s="102"/>
      <c r="K17" s="102"/>
      <c r="L17" s="102"/>
      <c r="N17" s="102" t="s">
        <v>816</v>
      </c>
      <c r="O17" s="102"/>
      <c r="P17" s="102"/>
      <c r="Q17" s="102"/>
    </row>
    <row r="18" customFormat="false" ht="3.75" hidden="false" customHeight="true" outlineLevel="0" collapsed="false">
      <c r="B18" s="101"/>
      <c r="C18" s="101"/>
      <c r="D18" s="101"/>
      <c r="E18" s="101"/>
      <c r="F18" s="101"/>
      <c r="G18" s="101"/>
      <c r="H18" s="1"/>
      <c r="I18" s="105"/>
      <c r="J18" s="6"/>
      <c r="K18" s="6"/>
      <c r="L18" s="6"/>
      <c r="N18" s="105"/>
      <c r="O18" s="6"/>
      <c r="P18" s="6"/>
      <c r="Q18" s="6"/>
    </row>
    <row r="19" customFormat="false" ht="34.5" hidden="false" customHeight="true" outlineLevel="0" collapsed="false">
      <c r="B19" s="101"/>
      <c r="C19" s="101"/>
      <c r="D19" s="101"/>
      <c r="E19" s="101"/>
      <c r="F19" s="101"/>
      <c r="G19" s="101"/>
      <c r="H19" s="1"/>
      <c r="I19" s="106" t="s">
        <v>791</v>
      </c>
      <c r="J19" s="106"/>
      <c r="K19" s="106"/>
      <c r="L19" s="106"/>
      <c r="N19" s="106" t="s">
        <v>791</v>
      </c>
      <c r="O19" s="106"/>
      <c r="P19" s="106"/>
      <c r="Q19" s="106"/>
    </row>
    <row r="20" s="1" customFormat="true" ht="3.75" hidden="false" customHeight="true" outlineLevel="0" collapsed="false">
      <c r="B20" s="101"/>
      <c r="C20" s="101"/>
      <c r="D20" s="101"/>
      <c r="E20" s="101"/>
      <c r="F20" s="101"/>
      <c r="G20" s="101"/>
      <c r="I20" s="107"/>
      <c r="J20" s="14"/>
      <c r="K20" s="14"/>
      <c r="L20" s="14"/>
      <c r="N20" s="107"/>
      <c r="O20" s="14"/>
      <c r="P20" s="14"/>
      <c r="Q20" s="14"/>
    </row>
    <row r="21" customFormat="false" ht="30" hidden="false" customHeight="true" outlineLevel="0" collapsed="false">
      <c r="B21" s="101"/>
      <c r="C21" s="101"/>
      <c r="D21" s="101"/>
      <c r="E21" s="101"/>
      <c r="F21" s="101"/>
      <c r="G21" s="101"/>
      <c r="H21" s="110"/>
      <c r="I21" s="112" t="s">
        <v>4</v>
      </c>
      <c r="J21" s="112" t="s">
        <v>8</v>
      </c>
      <c r="K21" s="111" t="s">
        <v>6</v>
      </c>
      <c r="L21" s="111" t="s">
        <v>7</v>
      </c>
      <c r="N21" s="112" t="s">
        <v>4</v>
      </c>
      <c r="O21" s="112" t="s">
        <v>8</v>
      </c>
      <c r="P21" s="111" t="s">
        <v>6</v>
      </c>
      <c r="Q21" s="111" t="s">
        <v>7</v>
      </c>
    </row>
    <row r="22" customFormat="false" ht="3.75" hidden="false" customHeight="true" outlineLevel="0" collapsed="false">
      <c r="B22" s="119"/>
      <c r="I22" s="119"/>
      <c r="K22" s="120"/>
      <c r="L22" s="120"/>
      <c r="N22" s="119"/>
    </row>
    <row r="23" customFormat="false" ht="48.75" hidden="false" customHeight="true" outlineLevel="0" collapsed="false">
      <c r="B23" s="121" t="s">
        <v>74</v>
      </c>
      <c r="C23" s="122" t="s">
        <v>420</v>
      </c>
      <c r="D23" s="123" t="s">
        <v>76</v>
      </c>
      <c r="E23" s="592" t="s">
        <v>77</v>
      </c>
      <c r="F23" s="122" t="s">
        <v>78</v>
      </c>
      <c r="G23" s="122"/>
      <c r="H23" s="217"/>
      <c r="I23" s="124" t="s">
        <v>817</v>
      </c>
      <c r="J23" s="124" t="s">
        <v>817</v>
      </c>
      <c r="K23" s="124" t="s">
        <v>817</v>
      </c>
      <c r="L23" s="124" t="s">
        <v>817</v>
      </c>
      <c r="N23" s="124" t="s">
        <v>790</v>
      </c>
      <c r="O23" s="124" t="s">
        <v>790</v>
      </c>
      <c r="P23" s="122" t="s">
        <v>790</v>
      </c>
      <c r="Q23" s="122" t="s">
        <v>790</v>
      </c>
    </row>
    <row r="24" customFormat="false" ht="12.75" hidden="false" customHeight="false" outlineLevel="0" collapsed="false">
      <c r="B24" s="305" t="s">
        <v>90</v>
      </c>
      <c r="C24" s="305" t="s">
        <v>797</v>
      </c>
      <c r="D24" s="593" t="n">
        <v>49</v>
      </c>
      <c r="E24" s="478" t="n">
        <v>1</v>
      </c>
      <c r="F24" s="305" t="s">
        <v>795</v>
      </c>
      <c r="G24" s="305" t="n">
        <v>9</v>
      </c>
      <c r="H24" s="594"/>
      <c r="I24" s="313" t="n">
        <v>9</v>
      </c>
      <c r="J24" s="313" t="n">
        <v>0</v>
      </c>
      <c r="K24" s="506" t="n">
        <v>0</v>
      </c>
      <c r="L24" s="506" t="n">
        <v>0</v>
      </c>
      <c r="M24" s="410"/>
      <c r="N24" s="313" t="n">
        <v>40</v>
      </c>
      <c r="O24" s="313" t="n">
        <v>49</v>
      </c>
      <c r="P24" s="313" t="n">
        <v>49</v>
      </c>
      <c r="Q24" s="506" t="n">
        <v>49</v>
      </c>
    </row>
    <row r="25" customFormat="false" ht="12.75" hidden="false" customHeight="false" outlineLevel="0" collapsed="false">
      <c r="B25" s="595" t="s">
        <v>793</v>
      </c>
      <c r="C25" s="595" t="s">
        <v>798</v>
      </c>
      <c r="D25" s="593" t="n">
        <v>58</v>
      </c>
      <c r="E25" s="478" t="n">
        <v>1</v>
      </c>
      <c r="F25" s="305" t="s">
        <v>795</v>
      </c>
      <c r="G25" s="305" t="n">
        <v>19</v>
      </c>
      <c r="H25" s="594"/>
      <c r="I25" s="313" t="n">
        <v>19</v>
      </c>
      <c r="J25" s="313" t="n">
        <v>9</v>
      </c>
      <c r="K25" s="506" t="n">
        <v>0</v>
      </c>
      <c r="L25" s="506" t="n">
        <v>0</v>
      </c>
      <c r="M25" s="410"/>
      <c r="N25" s="313" t="n">
        <v>39</v>
      </c>
      <c r="O25" s="313" t="n">
        <v>49</v>
      </c>
      <c r="P25" s="506" t="n">
        <v>58</v>
      </c>
      <c r="Q25" s="506" t="n">
        <v>58</v>
      </c>
    </row>
    <row r="26" customFormat="false" ht="12.75" hidden="false" customHeight="false" outlineLevel="0" collapsed="false">
      <c r="B26" s="305" t="s">
        <v>510</v>
      </c>
      <c r="C26" s="305" t="s">
        <v>799</v>
      </c>
      <c r="D26" s="593" t="n">
        <v>66</v>
      </c>
      <c r="E26" s="478" t="n">
        <v>1</v>
      </c>
      <c r="F26" s="305" t="s">
        <v>795</v>
      </c>
      <c r="G26" s="305" t="n">
        <v>9</v>
      </c>
      <c r="H26" s="594"/>
      <c r="I26" s="313" t="n">
        <v>9</v>
      </c>
      <c r="J26" s="313" t="n">
        <v>0</v>
      </c>
      <c r="K26" s="506" t="n">
        <v>0</v>
      </c>
      <c r="L26" s="506" t="n">
        <v>0</v>
      </c>
      <c r="M26" s="410"/>
      <c r="N26" s="313" t="n">
        <v>57</v>
      </c>
      <c r="O26" s="313" t="n">
        <v>66</v>
      </c>
      <c r="P26" s="313" t="n">
        <v>66</v>
      </c>
      <c r="Q26" s="506" t="n">
        <v>66</v>
      </c>
    </row>
    <row r="27" customFormat="false" ht="12.75" hidden="false" customHeight="false" outlineLevel="0" collapsed="false">
      <c r="B27" s="595" t="s">
        <v>130</v>
      </c>
      <c r="C27" s="595" t="s">
        <v>800</v>
      </c>
      <c r="D27" s="593" t="n">
        <v>248</v>
      </c>
      <c r="E27" s="478" t="n">
        <v>1</v>
      </c>
      <c r="F27" s="305" t="s">
        <v>795</v>
      </c>
      <c r="G27" s="305" t="n">
        <v>69</v>
      </c>
      <c r="H27" s="594"/>
      <c r="I27" s="313" t="n">
        <v>69</v>
      </c>
      <c r="J27" s="313" t="n">
        <v>59</v>
      </c>
      <c r="K27" s="506" t="n">
        <v>49</v>
      </c>
      <c r="L27" s="506" t="n">
        <v>29</v>
      </c>
      <c r="M27" s="410"/>
      <c r="N27" s="313" t="n">
        <v>179</v>
      </c>
      <c r="O27" s="313" t="n">
        <v>189</v>
      </c>
      <c r="P27" s="313" t="n">
        <v>199</v>
      </c>
      <c r="Q27" s="506" t="n">
        <v>219</v>
      </c>
    </row>
    <row r="28" customFormat="false" ht="12.75" hidden="false" customHeight="false" outlineLevel="0" collapsed="false">
      <c r="B28" s="305" t="s">
        <v>801</v>
      </c>
      <c r="C28" s="305" t="s">
        <v>802</v>
      </c>
      <c r="D28" s="593" t="n">
        <v>207</v>
      </c>
      <c r="E28" s="478" t="n">
        <v>1</v>
      </c>
      <c r="F28" s="305" t="s">
        <v>795</v>
      </c>
      <c r="G28" s="305" t="n">
        <v>109</v>
      </c>
      <c r="H28" s="594"/>
      <c r="I28" s="313" t="n">
        <v>109</v>
      </c>
      <c r="J28" s="313" t="n">
        <v>99</v>
      </c>
      <c r="K28" s="506" t="n">
        <v>89</v>
      </c>
      <c r="L28" s="506" t="n">
        <v>59</v>
      </c>
      <c r="M28" s="410"/>
      <c r="N28" s="313" t="n">
        <v>98</v>
      </c>
      <c r="O28" s="313" t="n">
        <v>108</v>
      </c>
      <c r="P28" s="313" t="n">
        <v>118</v>
      </c>
      <c r="Q28" s="506" t="n">
        <v>148</v>
      </c>
    </row>
    <row r="29" customFormat="false" ht="12.75" hidden="false" customHeight="false" outlineLevel="0" collapsed="false">
      <c r="B29" s="595" t="s">
        <v>510</v>
      </c>
      <c r="C29" s="595" t="s">
        <v>803</v>
      </c>
      <c r="D29" s="593" t="n">
        <v>244</v>
      </c>
      <c r="E29" s="478" t="n">
        <v>1</v>
      </c>
      <c r="F29" s="305" t="s">
        <v>795</v>
      </c>
      <c r="G29" s="305" t="n">
        <v>169</v>
      </c>
      <c r="H29" s="594"/>
      <c r="I29" s="313" t="n">
        <v>169</v>
      </c>
      <c r="J29" s="313" t="n">
        <v>159</v>
      </c>
      <c r="K29" s="506" t="n">
        <v>149</v>
      </c>
      <c r="L29" s="506" t="n">
        <v>129</v>
      </c>
      <c r="M29" s="410"/>
      <c r="N29" s="313" t="n">
        <v>75</v>
      </c>
      <c r="O29" s="313" t="n">
        <v>85</v>
      </c>
      <c r="P29" s="506" t="n">
        <v>95</v>
      </c>
      <c r="Q29" s="506" t="n">
        <v>115</v>
      </c>
    </row>
    <row r="30" customFormat="false" ht="12" hidden="false" customHeight="true" outlineLevel="0" collapsed="false">
      <c r="B30" s="305" t="s">
        <v>200</v>
      </c>
      <c r="C30" s="305" t="s">
        <v>552</v>
      </c>
      <c r="D30" s="593" t="n">
        <v>182</v>
      </c>
      <c r="E30" s="478" t="n">
        <v>1</v>
      </c>
      <c r="F30" s="305" t="s">
        <v>541</v>
      </c>
      <c r="G30" s="305" t="n">
        <v>99</v>
      </c>
      <c r="H30" s="594"/>
      <c r="I30" s="313" t="n">
        <v>99</v>
      </c>
      <c r="J30" s="313" t="n">
        <v>79</v>
      </c>
      <c r="K30" s="506" t="n">
        <v>69</v>
      </c>
      <c r="L30" s="506" t="n">
        <v>49</v>
      </c>
      <c r="M30" s="410"/>
      <c r="N30" s="313" t="n">
        <v>83</v>
      </c>
      <c r="O30" s="313" t="n">
        <v>103</v>
      </c>
      <c r="P30" s="313" t="n">
        <v>113</v>
      </c>
      <c r="Q30" s="506" t="n">
        <v>133</v>
      </c>
    </row>
    <row r="31" customFormat="false" ht="12.75" hidden="false" customHeight="false" outlineLevel="0" collapsed="false">
      <c r="B31" s="595" t="s">
        <v>497</v>
      </c>
      <c r="C31" s="595" t="s">
        <v>563</v>
      </c>
      <c r="D31" s="593" t="n">
        <v>208</v>
      </c>
      <c r="E31" s="478" t="n">
        <v>1</v>
      </c>
      <c r="F31" s="305" t="s">
        <v>541</v>
      </c>
      <c r="G31" s="305" t="n">
        <v>119</v>
      </c>
      <c r="H31" s="594"/>
      <c r="I31" s="313" t="n">
        <v>119</v>
      </c>
      <c r="J31" s="313" t="n">
        <v>109</v>
      </c>
      <c r="K31" s="506" t="n">
        <v>99</v>
      </c>
      <c r="L31" s="506" t="n">
        <v>79</v>
      </c>
      <c r="M31" s="410"/>
      <c r="N31" s="313" t="n">
        <v>89</v>
      </c>
      <c r="O31" s="313" t="n">
        <v>99</v>
      </c>
      <c r="P31" s="506" t="n">
        <v>109</v>
      </c>
      <c r="Q31" s="506" t="n">
        <v>129</v>
      </c>
    </row>
    <row r="32" customFormat="false" ht="13.5" hidden="false" customHeight="false" outlineLevel="0" collapsed="false">
      <c r="B32" s="596"/>
      <c r="C32" s="596"/>
      <c r="D32" s="597"/>
      <c r="E32" s="337"/>
      <c r="F32" s="598"/>
      <c r="G32" s="598"/>
      <c r="H32" s="15"/>
      <c r="I32" s="346"/>
      <c r="J32" s="346"/>
      <c r="K32" s="336"/>
      <c r="L32" s="336"/>
      <c r="M32" s="410"/>
      <c r="N32" s="346"/>
      <c r="O32" s="346"/>
      <c r="P32" s="336"/>
      <c r="Q32" s="336"/>
    </row>
    <row r="33" customFormat="false" ht="12.75" hidden="false" customHeight="false" outlineLevel="0" collapsed="false">
      <c r="B33" s="410"/>
      <c r="C33" s="410"/>
      <c r="D33" s="410"/>
      <c r="E33" s="410"/>
      <c r="F33" s="410"/>
      <c r="G33" s="410"/>
      <c r="H33" s="410"/>
      <c r="I33" s="410"/>
      <c r="J33" s="410"/>
      <c r="K33" s="410"/>
      <c r="L33" s="410"/>
      <c r="M33" s="410"/>
      <c r="N33" s="410"/>
      <c r="O33" s="410"/>
      <c r="P33" s="410"/>
      <c r="Q33" s="410"/>
    </row>
    <row r="34" customFormat="false" ht="12.75" hidden="false" customHeight="false" outlineLevel="0" collapsed="false">
      <c r="B34" s="410"/>
      <c r="C34" s="410"/>
      <c r="D34" s="410"/>
      <c r="E34" s="410"/>
      <c r="F34" s="410"/>
      <c r="G34" s="410"/>
      <c r="H34" s="410"/>
      <c r="I34" s="410"/>
      <c r="J34" s="410"/>
      <c r="K34" s="410"/>
      <c r="L34" s="410"/>
      <c r="M34" s="410"/>
      <c r="N34" s="410"/>
      <c r="O34" s="410"/>
      <c r="P34" s="410"/>
      <c r="Q34" s="410"/>
    </row>
    <row r="35" customFormat="false" ht="12.75" hidden="false" customHeight="false" outlineLevel="0" collapsed="false">
      <c r="B35" s="410"/>
      <c r="C35" s="410"/>
      <c r="D35" s="410"/>
      <c r="E35" s="410"/>
      <c r="F35" s="410"/>
      <c r="G35" s="410"/>
      <c r="H35" s="410"/>
      <c r="I35" s="410"/>
      <c r="J35" s="410"/>
      <c r="K35" s="410"/>
      <c r="L35" s="410"/>
      <c r="M35" s="410"/>
      <c r="N35" s="410"/>
      <c r="O35" s="410"/>
      <c r="P35" s="410"/>
      <c r="Q35" s="410"/>
    </row>
    <row r="36" customFormat="false" ht="12.75" hidden="false" customHeight="false" outlineLevel="0" collapsed="false">
      <c r="B36" s="410"/>
      <c r="C36" s="410"/>
      <c r="D36" s="410"/>
      <c r="E36" s="410"/>
      <c r="F36" s="410"/>
      <c r="G36" s="410"/>
      <c r="H36" s="410"/>
      <c r="I36" s="410"/>
      <c r="J36" s="410"/>
      <c r="K36" s="410"/>
      <c r="L36" s="410"/>
      <c r="M36" s="410"/>
      <c r="N36" s="410"/>
      <c r="O36" s="410"/>
      <c r="P36" s="410"/>
      <c r="Q36" s="410"/>
    </row>
    <row r="37" customFormat="false" ht="12.75" hidden="false" customHeight="false" outlineLevel="0" collapsed="false">
      <c r="B37" s="410"/>
      <c r="C37" s="410"/>
      <c r="D37" s="410"/>
      <c r="E37" s="410"/>
      <c r="F37" s="410"/>
      <c r="G37" s="410"/>
      <c r="H37" s="410"/>
      <c r="I37" s="410"/>
      <c r="J37" s="410"/>
      <c r="K37" s="410"/>
      <c r="L37" s="410"/>
      <c r="M37" s="410"/>
      <c r="N37" s="410"/>
      <c r="O37" s="410"/>
      <c r="P37" s="410"/>
      <c r="Q37" s="410"/>
    </row>
    <row r="38" customFormat="false" ht="12.75" hidden="false" customHeight="false" outlineLevel="0" collapsed="false">
      <c r="B38" s="410"/>
      <c r="C38" s="410"/>
      <c r="D38" s="410"/>
      <c r="E38" s="410"/>
      <c r="F38" s="410"/>
      <c r="G38" s="410"/>
      <c r="H38" s="410"/>
      <c r="I38" s="410"/>
      <c r="J38" s="410"/>
      <c r="K38" s="410"/>
      <c r="L38" s="410"/>
      <c r="M38" s="410"/>
      <c r="N38" s="410"/>
      <c r="O38" s="410"/>
      <c r="P38" s="410"/>
      <c r="Q38" s="410"/>
    </row>
    <row r="39" customFormat="false" ht="12.75" hidden="false" customHeight="false" outlineLevel="0" collapsed="false">
      <c r="B39" s="410"/>
      <c r="C39" s="410"/>
      <c r="D39" s="410"/>
      <c r="E39" s="410"/>
      <c r="F39" s="410"/>
      <c r="G39" s="410"/>
      <c r="H39" s="410"/>
      <c r="I39" s="410"/>
      <c r="J39" s="410"/>
      <c r="K39" s="410"/>
      <c r="L39" s="410"/>
      <c r="M39" s="410"/>
      <c r="N39" s="410"/>
      <c r="O39" s="410"/>
      <c r="P39" s="410"/>
      <c r="Q39" s="410"/>
    </row>
    <row r="40" customFormat="false" ht="12.75" hidden="false" customHeight="false" outlineLevel="0" collapsed="false">
      <c r="B40" s="410"/>
      <c r="C40" s="410"/>
      <c r="D40" s="410"/>
      <c r="E40" s="410"/>
      <c r="F40" s="410"/>
      <c r="G40" s="410"/>
      <c r="H40" s="410"/>
      <c r="I40" s="410"/>
      <c r="J40" s="410"/>
      <c r="K40" s="410"/>
      <c r="L40" s="410"/>
      <c r="M40" s="410"/>
      <c r="N40" s="410"/>
      <c r="O40" s="410"/>
      <c r="P40" s="410"/>
      <c r="Q40" s="410"/>
    </row>
    <row r="41" customFormat="false" ht="12.75" hidden="false" customHeight="false" outlineLevel="0" collapsed="false">
      <c r="B41" s="410"/>
      <c r="C41" s="410"/>
      <c r="D41" s="410"/>
      <c r="E41" s="410"/>
      <c r="F41" s="410"/>
      <c r="G41" s="410"/>
      <c r="H41" s="410"/>
      <c r="I41" s="410"/>
      <c r="J41" s="410"/>
      <c r="K41" s="410"/>
      <c r="L41" s="410"/>
      <c r="M41" s="410"/>
      <c r="N41" s="410"/>
      <c r="O41" s="410"/>
      <c r="P41" s="410"/>
      <c r="Q41" s="410"/>
    </row>
  </sheetData>
  <mergeCells count="27">
    <mergeCell ref="B2:G2"/>
    <mergeCell ref="D4:G4"/>
    <mergeCell ref="I4:L4"/>
    <mergeCell ref="B5:C15"/>
    <mergeCell ref="D5:G12"/>
    <mergeCell ref="I5:I12"/>
    <mergeCell ref="J5:J12"/>
    <mergeCell ref="K5:K12"/>
    <mergeCell ref="L5:L12"/>
    <mergeCell ref="D13:G13"/>
    <mergeCell ref="D14:G14"/>
    <mergeCell ref="D15:G15"/>
    <mergeCell ref="B17:G21"/>
    <mergeCell ref="I17:L17"/>
    <mergeCell ref="N17:Q17"/>
    <mergeCell ref="I19:L19"/>
    <mergeCell ref="N19:Q19"/>
    <mergeCell ref="F23:G23"/>
    <mergeCell ref="F24:G24"/>
    <mergeCell ref="F25:G25"/>
    <mergeCell ref="F26:G26"/>
    <mergeCell ref="F27:G27"/>
    <mergeCell ref="F28:G28"/>
    <mergeCell ref="F29:G29"/>
    <mergeCell ref="F30:G30"/>
    <mergeCell ref="F31:G31"/>
    <mergeCell ref="F32:G32"/>
  </mergeCells>
  <printOptions headings="false" gridLines="false" gridLinesSet="true" horizontalCentered="false" verticalCentered="false"/>
  <pageMargins left="0.708333333333333" right="0.708333333333333" top="0.747916666666667" bottom="0.748611111111111" header="0.511811023622047" footer="0.315277777777778"/>
  <pageSetup paperSize="9" scale="100" fitToWidth="1" fitToHeight="1" pageOrder="downThenOver" orientation="landscape" blackAndWhite="false" draft="false" cellComments="none" horizontalDpi="300" verticalDpi="300" copies="1"/>
  <headerFooter differentFirst="false" differentOddEven="false">
    <oddHeader/>
    <oddFooter>&amp;C&amp;1#&amp;"Calibri,Normal"&amp;8&amp;Ked7d31Orange Restricted</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808080"/>
    <pageSetUpPr fitToPage="false"/>
  </sheetPr>
  <dimension ref="A1:AH987"/>
  <sheetViews>
    <sheetView showFormulas="false" showGridLines="false" showRowColHeaders="true" showZeros="true" rightToLeft="false" tabSelected="false" showOutlineSymbols="true" defaultGridColor="true" view="normal" topLeftCell="A1" colorId="64" zoomScale="70" zoomScaleNormal="70" zoomScalePageLayoutView="100" workbookViewId="0">
      <selection pane="topLeft" activeCell="B5" activeCellId="0" sqref="B5"/>
    </sheetView>
  </sheetViews>
  <sheetFormatPr defaultColWidth="11.43359375" defaultRowHeight="12.75" zeroHeight="false" outlineLevelRow="0" outlineLevelCol="0"/>
  <cols>
    <col collapsed="false" customWidth="true" hidden="false" outlineLevel="0" max="1" min="1" style="410" width="2.99"/>
    <col collapsed="false" customWidth="true" hidden="false" outlineLevel="0" max="2" min="2" style="410" width="15.86"/>
    <col collapsed="false" customWidth="true" hidden="false" outlineLevel="0" max="3" min="3" style="410" width="61.85"/>
    <col collapsed="false" customWidth="true" hidden="false" outlineLevel="0" max="5" min="4" style="410" width="8.57"/>
    <col collapsed="false" customWidth="true" hidden="false" outlineLevel="0" max="6" min="6" style="410" width="52.14"/>
    <col collapsed="false" customWidth="true" hidden="false" outlineLevel="0" max="7" min="7" style="410" width="9.42"/>
    <col collapsed="false" customWidth="true" hidden="false" outlineLevel="0" max="8" min="8" style="410" width="13.14"/>
    <col collapsed="false" customWidth="true" hidden="false" outlineLevel="0" max="9" min="9" style="411" width="2.57"/>
    <col collapsed="false" customWidth="true" hidden="false" outlineLevel="0" max="11" min="10" style="410" width="10.85"/>
    <col collapsed="false" customWidth="true" hidden="false" outlineLevel="0" max="12" min="12" style="411" width="2"/>
    <col collapsed="false" customWidth="true" hidden="false" outlineLevel="0" max="13" min="13" style="410" width="10"/>
    <col collapsed="false" customWidth="true" hidden="false" outlineLevel="0" max="14" min="14" style="411" width="2"/>
    <col collapsed="false" customWidth="true" hidden="false" outlineLevel="0" max="16" min="15" style="410" width="10.85"/>
    <col collapsed="false" customWidth="true" hidden="false" outlineLevel="0" max="17" min="17" style="0" width="8.86"/>
    <col collapsed="false" customWidth="false" hidden="false" outlineLevel="0" max="18" min="18" style="15" width="11.42"/>
    <col collapsed="false" customWidth="true" hidden="false" outlineLevel="0" max="19" min="19" style="15" width="59.86"/>
    <col collapsed="false" customWidth="false" hidden="false" outlineLevel="0" max="24" min="20" style="15" width="11.42"/>
    <col collapsed="false" customWidth="true" hidden="false" outlineLevel="0" max="25" min="25" style="15" width="49.57"/>
    <col collapsed="false" customWidth="true" hidden="false" outlineLevel="0" max="26" min="26" style="15" width="13.57"/>
    <col collapsed="false" customWidth="false" hidden="false" outlineLevel="0" max="1024" min="27" style="15" width="11.42"/>
  </cols>
  <sheetData>
    <row r="1" customFormat="false" ht="13.5" hidden="false" customHeight="false" outlineLevel="0" collapsed="false"/>
    <row r="2" s="410" customFormat="true" ht="23.25" hidden="false" customHeight="true" outlineLevel="0" collapsed="false">
      <c r="B2" s="599" t="s">
        <v>0</v>
      </c>
      <c r="C2" s="599"/>
      <c r="D2" s="599"/>
      <c r="E2" s="599"/>
      <c r="F2" s="599"/>
      <c r="G2" s="599"/>
      <c r="H2" s="600" t="s">
        <v>1</v>
      </c>
      <c r="I2" s="411"/>
      <c r="J2" s="601" t="s">
        <v>818</v>
      </c>
      <c r="K2" s="601"/>
      <c r="L2" s="411"/>
      <c r="M2" s="602"/>
      <c r="N2" s="411"/>
      <c r="O2" s="603"/>
      <c r="P2" s="603"/>
      <c r="Q2" s="411"/>
      <c r="S2" s="15"/>
      <c r="T2" s="15"/>
      <c r="U2" s="15"/>
    </row>
    <row r="3" s="15" customFormat="true" ht="3.75" hidden="false" customHeight="true" outlineLevel="0" collapsed="false">
      <c r="A3" s="410"/>
      <c r="H3" s="600"/>
      <c r="I3" s="11"/>
      <c r="J3" s="410"/>
      <c r="K3" s="410"/>
      <c r="L3" s="411"/>
      <c r="M3" s="602"/>
      <c r="N3" s="411"/>
      <c r="Q3" s="0"/>
    </row>
    <row r="4" s="237" customFormat="true" ht="30" hidden="false" customHeight="true" outlineLevel="0" collapsed="false">
      <c r="B4" s="18" t="n">
        <v>45748</v>
      </c>
      <c r="C4" s="19" t="s">
        <v>395</v>
      </c>
      <c r="D4" s="604"/>
      <c r="E4" s="604"/>
      <c r="F4" s="223" t="n">
        <v>0</v>
      </c>
      <c r="G4" s="605"/>
      <c r="H4" s="600"/>
      <c r="I4" s="416"/>
      <c r="J4" s="606" t="s">
        <v>819</v>
      </c>
      <c r="K4" s="606"/>
      <c r="L4" s="607"/>
      <c r="M4" s="602"/>
      <c r="N4" s="607"/>
      <c r="O4" s="608"/>
      <c r="P4" s="608"/>
      <c r="Q4" s="607"/>
      <c r="S4" s="15"/>
      <c r="T4" s="15"/>
      <c r="U4" s="15"/>
    </row>
    <row r="5" s="410" customFormat="true" ht="15.75" hidden="false" customHeight="true" outlineLevel="0" collapsed="false">
      <c r="B5" s="413" t="s">
        <v>820</v>
      </c>
      <c r="C5" s="413"/>
      <c r="D5" s="414" t="s">
        <v>10</v>
      </c>
      <c r="E5" s="414"/>
      <c r="F5" s="414"/>
      <c r="G5" s="414"/>
      <c r="H5" s="609" t="s">
        <v>11</v>
      </c>
      <c r="I5" s="416"/>
      <c r="J5" s="610" t="s">
        <v>11</v>
      </c>
      <c r="K5" s="610"/>
      <c r="L5" s="411"/>
      <c r="M5" s="611"/>
      <c r="N5" s="411"/>
      <c r="O5" s="237"/>
      <c r="P5" s="237"/>
      <c r="Q5" s="411"/>
      <c r="S5" s="15"/>
      <c r="T5" s="15"/>
      <c r="U5" s="15"/>
    </row>
    <row r="6" s="410" customFormat="true" ht="15.75" hidden="false" customHeight="true" outlineLevel="0" collapsed="false">
      <c r="B6" s="413"/>
      <c r="C6" s="413"/>
      <c r="D6" s="414"/>
      <c r="E6" s="414"/>
      <c r="F6" s="414"/>
      <c r="G6" s="414"/>
      <c r="H6" s="609"/>
      <c r="I6" s="421"/>
      <c r="J6" s="610"/>
      <c r="K6" s="610"/>
      <c r="L6" s="411"/>
      <c r="M6" s="237"/>
      <c r="N6" s="411"/>
      <c r="O6" s="237"/>
      <c r="P6" s="237"/>
      <c r="Q6" s="411"/>
      <c r="S6" s="15"/>
      <c r="T6" s="15"/>
      <c r="U6" s="15"/>
    </row>
    <row r="7" s="410" customFormat="true" ht="15.75" hidden="false" customHeight="true" outlineLevel="0" collapsed="false">
      <c r="B7" s="413"/>
      <c r="C7" s="413"/>
      <c r="D7" s="414"/>
      <c r="E7" s="414"/>
      <c r="F7" s="414"/>
      <c r="G7" s="414"/>
      <c r="H7" s="609"/>
      <c r="I7" s="421"/>
      <c r="J7" s="610"/>
      <c r="K7" s="610"/>
      <c r="L7" s="411"/>
      <c r="M7" s="237"/>
      <c r="N7" s="411"/>
      <c r="O7" s="237"/>
      <c r="P7" s="237"/>
      <c r="Q7" s="411"/>
      <c r="S7" s="15"/>
      <c r="T7" s="15"/>
      <c r="U7" s="15"/>
    </row>
    <row r="8" s="410" customFormat="true" ht="15.75" hidden="false" customHeight="true" outlineLevel="0" collapsed="false">
      <c r="B8" s="413"/>
      <c r="C8" s="413"/>
      <c r="D8" s="414"/>
      <c r="E8" s="414"/>
      <c r="F8" s="414"/>
      <c r="G8" s="414"/>
      <c r="H8" s="609"/>
      <c r="I8" s="421"/>
      <c r="J8" s="610"/>
      <c r="K8" s="610"/>
      <c r="L8" s="411"/>
      <c r="M8" s="237"/>
      <c r="N8" s="411"/>
      <c r="O8" s="237"/>
      <c r="P8" s="237"/>
      <c r="Q8" s="411"/>
      <c r="S8" s="15"/>
      <c r="T8" s="15"/>
      <c r="U8" s="15"/>
    </row>
    <row r="9" s="410" customFormat="true" ht="15.75" hidden="false" customHeight="true" outlineLevel="0" collapsed="false">
      <c r="B9" s="413"/>
      <c r="C9" s="413"/>
      <c r="D9" s="414"/>
      <c r="E9" s="414"/>
      <c r="F9" s="414"/>
      <c r="G9" s="414"/>
      <c r="H9" s="609"/>
      <c r="I9" s="421"/>
      <c r="J9" s="610"/>
      <c r="K9" s="610"/>
      <c r="L9" s="411"/>
      <c r="M9" s="237"/>
      <c r="N9" s="411"/>
      <c r="O9" s="237"/>
      <c r="P9" s="237"/>
      <c r="Q9" s="411"/>
      <c r="S9" s="15"/>
      <c r="T9" s="15"/>
      <c r="U9" s="15"/>
    </row>
    <row r="10" s="410" customFormat="true" ht="15.75" hidden="false" customHeight="true" outlineLevel="0" collapsed="false">
      <c r="B10" s="413"/>
      <c r="C10" s="413"/>
      <c r="D10" s="414"/>
      <c r="E10" s="414"/>
      <c r="F10" s="414"/>
      <c r="G10" s="414"/>
      <c r="H10" s="609"/>
      <c r="I10" s="421"/>
      <c r="J10" s="610"/>
      <c r="K10" s="610"/>
      <c r="L10" s="411"/>
      <c r="M10" s="237"/>
      <c r="N10" s="411"/>
      <c r="O10" s="237"/>
      <c r="P10" s="237"/>
      <c r="Q10" s="411"/>
      <c r="S10" s="15"/>
      <c r="T10" s="15"/>
      <c r="U10" s="15"/>
    </row>
    <row r="11" s="410" customFormat="true" ht="15.75" hidden="false" customHeight="true" outlineLevel="0" collapsed="false">
      <c r="B11" s="413"/>
      <c r="C11" s="413"/>
      <c r="D11" s="414"/>
      <c r="E11" s="414"/>
      <c r="F11" s="414"/>
      <c r="G11" s="414"/>
      <c r="H11" s="609"/>
      <c r="I11" s="421"/>
      <c r="J11" s="610"/>
      <c r="K11" s="610"/>
      <c r="L11" s="411"/>
      <c r="M11" s="237"/>
      <c r="N11" s="411"/>
      <c r="O11" s="237"/>
      <c r="P11" s="237"/>
      <c r="Q11" s="411"/>
      <c r="S11" s="15"/>
      <c r="T11" s="15"/>
      <c r="U11" s="15"/>
    </row>
    <row r="12" s="410" customFormat="true" ht="13.5" hidden="false" customHeight="false" outlineLevel="0" collapsed="false">
      <c r="B12" s="413"/>
      <c r="C12" s="413"/>
      <c r="D12" s="414"/>
      <c r="E12" s="414"/>
      <c r="F12" s="414"/>
      <c r="G12" s="414"/>
      <c r="H12" s="609"/>
      <c r="I12" s="421"/>
      <c r="J12" s="610"/>
      <c r="K12" s="610"/>
      <c r="L12" s="411"/>
      <c r="M12" s="237"/>
      <c r="N12" s="411"/>
      <c r="O12" s="237"/>
      <c r="P12" s="237"/>
      <c r="Q12" s="411"/>
      <c r="S12" s="15"/>
      <c r="T12" s="15"/>
      <c r="U12" s="15"/>
    </row>
    <row r="13" s="410" customFormat="true" ht="30.75" hidden="false" customHeight="true" outlineLevel="0" collapsed="false">
      <c r="B13" s="413"/>
      <c r="C13" s="413"/>
      <c r="D13" s="422" t="s">
        <v>34</v>
      </c>
      <c r="E13" s="422"/>
      <c r="F13" s="422"/>
      <c r="G13" s="422"/>
      <c r="H13" s="423" t="s">
        <v>12</v>
      </c>
      <c r="I13" s="424"/>
      <c r="J13" s="612" t="s">
        <v>807</v>
      </c>
      <c r="K13" s="612"/>
      <c r="L13" s="411"/>
      <c r="M13" s="613"/>
      <c r="N13" s="411"/>
      <c r="O13" s="237"/>
      <c r="P13" s="237"/>
      <c r="Q13" s="411"/>
      <c r="S13" s="15"/>
      <c r="T13" s="15"/>
      <c r="U13" s="15"/>
    </row>
    <row r="14" s="410" customFormat="true" ht="65.25" hidden="false" customHeight="true" outlineLevel="0" collapsed="false">
      <c r="B14" s="413"/>
      <c r="C14" s="413"/>
      <c r="D14" s="422" t="s">
        <v>808</v>
      </c>
      <c r="E14" s="422"/>
      <c r="F14" s="422"/>
      <c r="G14" s="422"/>
      <c r="H14" s="423" t="s">
        <v>38</v>
      </c>
      <c r="I14" s="424"/>
      <c r="J14" s="423" t="s">
        <v>821</v>
      </c>
      <c r="K14" s="423"/>
      <c r="L14" s="411"/>
      <c r="M14" s="613"/>
      <c r="N14" s="411"/>
      <c r="O14" s="611"/>
      <c r="P14" s="611"/>
      <c r="Q14" s="411"/>
      <c r="S14" s="15"/>
      <c r="T14" s="15"/>
      <c r="U14" s="15"/>
    </row>
    <row r="15" s="410" customFormat="true" ht="21" hidden="false" customHeight="true" outlineLevel="0" collapsed="false">
      <c r="B15" s="413"/>
      <c r="C15" s="413"/>
      <c r="D15" s="614" t="s">
        <v>42</v>
      </c>
      <c r="E15" s="614"/>
      <c r="F15" s="614"/>
      <c r="G15" s="614"/>
      <c r="H15" s="436" t="s">
        <v>12</v>
      </c>
      <c r="I15" s="437"/>
      <c r="J15" s="612" t="s">
        <v>43</v>
      </c>
      <c r="K15" s="612"/>
      <c r="L15" s="411"/>
      <c r="M15" s="615"/>
      <c r="N15" s="411"/>
      <c r="O15" s="237"/>
      <c r="P15" s="237"/>
      <c r="Q15" s="411"/>
      <c r="S15" s="15"/>
      <c r="T15" s="15"/>
      <c r="U15" s="15"/>
    </row>
    <row r="16" customFormat="false" ht="18" hidden="false" customHeight="false" outlineLevel="0" collapsed="false">
      <c r="B16" s="616"/>
    </row>
    <row r="17" customFormat="false" ht="13.5" hidden="false" customHeight="false" outlineLevel="0" collapsed="false">
      <c r="V17" s="410"/>
      <c r="W17" s="410"/>
      <c r="X17" s="410"/>
      <c r="Y17" s="410"/>
      <c r="Z17" s="410"/>
      <c r="AA17" s="410"/>
      <c r="AB17" s="410"/>
      <c r="AC17" s="410"/>
      <c r="AD17" s="410"/>
      <c r="AE17" s="410"/>
      <c r="AF17" s="410"/>
      <c r="AG17" s="410"/>
      <c r="AH17" s="410"/>
    </row>
    <row r="18" s="410" customFormat="true" ht="23.25" hidden="false" customHeight="true" outlineLevel="0" collapsed="false">
      <c r="B18" s="446" t="s">
        <v>822</v>
      </c>
      <c r="C18" s="446"/>
      <c r="D18" s="446"/>
      <c r="E18" s="446"/>
      <c r="F18" s="446"/>
      <c r="G18" s="446"/>
      <c r="H18" s="447" t="s">
        <v>1</v>
      </c>
      <c r="I18" s="411"/>
      <c r="J18" s="447" t="s">
        <v>823</v>
      </c>
      <c r="K18" s="447"/>
      <c r="L18" s="411"/>
      <c r="M18" s="447" t="s">
        <v>65</v>
      </c>
      <c r="N18" s="411"/>
      <c r="O18" s="447" t="s">
        <v>824</v>
      </c>
      <c r="P18" s="447"/>
      <c r="Q18" s="411"/>
      <c r="S18" s="15"/>
      <c r="T18" s="15"/>
      <c r="U18" s="15"/>
      <c r="V18" s="15"/>
      <c r="W18" s="15"/>
      <c r="X18" s="15"/>
      <c r="Y18" s="15"/>
      <c r="Z18" s="15"/>
      <c r="AA18" s="15"/>
      <c r="AB18" s="15"/>
      <c r="AC18" s="15"/>
      <c r="AD18" s="15"/>
      <c r="AE18" s="15"/>
      <c r="AF18" s="15"/>
      <c r="AG18" s="15"/>
      <c r="AH18" s="15"/>
    </row>
    <row r="19" s="410" customFormat="true" ht="3.75" hidden="false" customHeight="true" outlineLevel="0" collapsed="false">
      <c r="B19" s="446"/>
      <c r="C19" s="446"/>
      <c r="D19" s="446"/>
      <c r="E19" s="446"/>
      <c r="F19" s="446"/>
      <c r="G19" s="446"/>
      <c r="H19" s="447"/>
      <c r="I19" s="411"/>
      <c r="J19" s="447"/>
      <c r="K19" s="447"/>
      <c r="L19" s="411"/>
      <c r="M19" s="447"/>
      <c r="N19" s="411"/>
      <c r="O19" s="447"/>
      <c r="P19" s="447"/>
      <c r="Q19" s="411"/>
      <c r="S19" s="15"/>
      <c r="T19" s="15"/>
      <c r="U19" s="15"/>
    </row>
    <row r="20" s="410" customFormat="true" ht="33.75" hidden="false" customHeight="true" outlineLevel="0" collapsed="false">
      <c r="B20" s="446"/>
      <c r="C20" s="446"/>
      <c r="D20" s="446"/>
      <c r="E20" s="446"/>
      <c r="F20" s="446"/>
      <c r="G20" s="446"/>
      <c r="H20" s="447"/>
      <c r="I20" s="411"/>
      <c r="J20" s="447"/>
      <c r="K20" s="447"/>
      <c r="L20" s="411"/>
      <c r="M20" s="447"/>
      <c r="N20" s="411"/>
      <c r="O20" s="447"/>
      <c r="P20" s="447"/>
      <c r="Q20" s="411"/>
      <c r="S20" s="15"/>
      <c r="T20" s="15"/>
      <c r="U20" s="15"/>
      <c r="V20" s="15"/>
      <c r="W20" s="15"/>
      <c r="X20" s="15"/>
      <c r="Y20" s="15"/>
      <c r="Z20" s="15"/>
      <c r="AA20" s="15"/>
      <c r="AB20" s="15"/>
      <c r="AC20" s="15"/>
      <c r="AD20" s="15"/>
      <c r="AE20" s="15"/>
      <c r="AF20" s="15"/>
      <c r="AG20" s="15"/>
      <c r="AH20" s="15"/>
    </row>
    <row r="21" s="411" customFormat="true" ht="3.75" hidden="false" customHeight="true" outlineLevel="0" collapsed="false">
      <c r="B21" s="446"/>
      <c r="C21" s="446"/>
      <c r="D21" s="446"/>
      <c r="E21" s="446"/>
      <c r="F21" s="446"/>
      <c r="G21" s="446"/>
      <c r="H21" s="447"/>
      <c r="J21" s="453"/>
      <c r="K21" s="455"/>
      <c r="M21" s="447"/>
      <c r="O21" s="453"/>
      <c r="P21" s="455"/>
      <c r="S21" s="15"/>
      <c r="T21" s="15"/>
      <c r="U21" s="15"/>
      <c r="V21" s="410"/>
      <c r="W21" s="410"/>
      <c r="X21" s="410"/>
      <c r="Y21" s="410"/>
      <c r="Z21" s="410"/>
      <c r="AA21" s="410"/>
      <c r="AB21" s="410"/>
      <c r="AC21" s="410"/>
      <c r="AD21" s="410"/>
      <c r="AE21" s="410"/>
      <c r="AF21" s="410"/>
      <c r="AG21" s="410"/>
      <c r="AH21" s="410"/>
    </row>
    <row r="22" s="410" customFormat="true" ht="30" hidden="false" customHeight="true" outlineLevel="0" collapsed="false">
      <c r="B22" s="446"/>
      <c r="C22" s="446"/>
      <c r="D22" s="446"/>
      <c r="E22" s="446"/>
      <c r="F22" s="446"/>
      <c r="G22" s="446"/>
      <c r="H22" s="447"/>
      <c r="I22" s="617"/>
      <c r="J22" s="618" t="s">
        <v>819</v>
      </c>
      <c r="K22" s="618"/>
      <c r="L22" s="411"/>
      <c r="M22" s="447"/>
      <c r="N22" s="411"/>
      <c r="O22" s="618" t="s">
        <v>819</v>
      </c>
      <c r="P22" s="618"/>
      <c r="Q22" s="411"/>
      <c r="S22" s="15"/>
      <c r="T22" s="15"/>
      <c r="U22" s="15"/>
      <c r="V22" s="15"/>
      <c r="W22" s="15"/>
      <c r="X22" s="15"/>
      <c r="Y22" s="15"/>
      <c r="Z22" s="15"/>
      <c r="AA22" s="15"/>
      <c r="AB22" s="15"/>
      <c r="AC22" s="15"/>
      <c r="AD22" s="15"/>
      <c r="AE22" s="15"/>
      <c r="AF22" s="15"/>
      <c r="AG22" s="15"/>
      <c r="AH22" s="15"/>
    </row>
    <row r="23" customFormat="false" ht="3.75" hidden="false" customHeight="true" outlineLevel="0" collapsed="false">
      <c r="B23" s="119"/>
      <c r="H23" s="118"/>
      <c r="I23" s="11"/>
      <c r="J23" s="119"/>
      <c r="K23" s="120"/>
      <c r="M23" s="118"/>
      <c r="O23" s="119"/>
      <c r="P23" s="120"/>
      <c r="V23" s="410"/>
      <c r="W23" s="410"/>
      <c r="X23" s="410"/>
      <c r="Y23" s="410"/>
      <c r="Z23" s="410"/>
      <c r="AA23" s="410"/>
      <c r="AB23" s="410"/>
      <c r="AC23" s="410"/>
      <c r="AD23" s="410"/>
      <c r="AE23" s="410"/>
      <c r="AF23" s="410"/>
      <c r="AG23" s="410"/>
      <c r="AH23" s="410"/>
    </row>
    <row r="24" s="410" customFormat="true" ht="48.75" hidden="false" customHeight="true" outlineLevel="0" collapsed="false">
      <c r="B24" s="619" t="s">
        <v>74</v>
      </c>
      <c r="C24" s="620" t="s">
        <v>825</v>
      </c>
      <c r="D24" s="621" t="s">
        <v>76</v>
      </c>
      <c r="E24" s="621" t="s">
        <v>77</v>
      </c>
      <c r="F24" s="620" t="s">
        <v>78</v>
      </c>
      <c r="G24" s="620" t="s">
        <v>79</v>
      </c>
      <c r="H24" s="620" t="s">
        <v>80</v>
      </c>
      <c r="I24" s="622"/>
      <c r="J24" s="623" t="s">
        <v>81</v>
      </c>
      <c r="K24" s="624" t="s">
        <v>83</v>
      </c>
      <c r="L24" s="411"/>
      <c r="M24" s="620" t="s">
        <v>85</v>
      </c>
      <c r="N24" s="411"/>
      <c r="O24" s="623" t="s">
        <v>86</v>
      </c>
      <c r="P24" s="624" t="s">
        <v>87</v>
      </c>
      <c r="Q24" s="625"/>
      <c r="S24" s="15"/>
      <c r="T24" s="15"/>
      <c r="U24" s="15"/>
      <c r="V24" s="15"/>
      <c r="W24" s="15"/>
      <c r="X24" s="15"/>
      <c r="Y24" s="15"/>
      <c r="Z24" s="15"/>
      <c r="AA24" s="15"/>
      <c r="AB24" s="15"/>
      <c r="AC24" s="15"/>
      <c r="AD24" s="15"/>
      <c r="AE24" s="15"/>
      <c r="AF24" s="15"/>
      <c r="AG24" s="15"/>
    </row>
    <row r="25" customFormat="false" ht="12.75" hidden="false" customHeight="false" outlineLevel="0" collapsed="false">
      <c r="A25" s="626"/>
      <c r="B25" s="305" t="s">
        <v>424</v>
      </c>
      <c r="C25" s="305" t="s">
        <v>749</v>
      </c>
      <c r="D25" s="306" t="n">
        <v>239</v>
      </c>
      <c r="E25" s="306" t="n">
        <v>3.75</v>
      </c>
      <c r="F25" s="305" t="s">
        <v>743</v>
      </c>
      <c r="G25" s="306" t="n">
        <v>24</v>
      </c>
      <c r="H25" s="325" t="n">
        <v>238.842975206612</v>
      </c>
      <c r="I25" s="473"/>
      <c r="J25" s="313" t="n">
        <v>0</v>
      </c>
      <c r="K25" s="627" t="n">
        <v>7.63541666666667</v>
      </c>
      <c r="L25" s="410"/>
      <c r="M25" s="506" t="n">
        <v>0</v>
      </c>
      <c r="N25" s="410"/>
      <c r="O25" s="313" t="n">
        <v>56</v>
      </c>
      <c r="P25" s="474" t="n">
        <v>183.25</v>
      </c>
      <c r="Q25" s="377"/>
      <c r="R25" s="410"/>
      <c r="V25" s="517"/>
    </row>
    <row r="26" customFormat="false" ht="12.75" hidden="false" customHeight="false" outlineLevel="0" collapsed="false">
      <c r="A26" s="626"/>
      <c r="B26" s="305" t="s">
        <v>219</v>
      </c>
      <c r="C26" s="305" t="s">
        <v>747</v>
      </c>
      <c r="D26" s="306" t="n">
        <v>64</v>
      </c>
      <c r="E26" s="306" t="n">
        <v>1.1</v>
      </c>
      <c r="F26" s="305" t="s">
        <v>743</v>
      </c>
      <c r="G26" s="306" t="n">
        <v>24</v>
      </c>
      <c r="H26" s="325" t="n">
        <v>63.6363636363636</v>
      </c>
      <c r="I26" s="473"/>
      <c r="J26" s="313" t="n">
        <v>0</v>
      </c>
      <c r="K26" s="628" t="n">
        <v>0</v>
      </c>
      <c r="L26" s="410"/>
      <c r="M26" s="506" t="n">
        <v>0</v>
      </c>
      <c r="N26" s="410"/>
      <c r="O26" s="313" t="n">
        <v>64</v>
      </c>
      <c r="P26" s="474" t="n">
        <v>0</v>
      </c>
      <c r="Q26" s="377"/>
      <c r="R26" s="410"/>
      <c r="V26" s="517"/>
    </row>
    <row r="27" customFormat="false" ht="12.75" hidden="false" customHeight="false" outlineLevel="0" collapsed="false">
      <c r="A27" s="626"/>
      <c r="B27" s="305" t="s">
        <v>219</v>
      </c>
      <c r="C27" s="305" t="s">
        <v>745</v>
      </c>
      <c r="D27" s="306" t="n">
        <v>70</v>
      </c>
      <c r="E27" s="306" t="n">
        <v>1.1</v>
      </c>
      <c r="F27" s="305" t="s">
        <v>743</v>
      </c>
      <c r="G27" s="306" t="n">
        <v>24</v>
      </c>
      <c r="H27" s="325" t="n">
        <v>69.4214876033058</v>
      </c>
      <c r="I27" s="473"/>
      <c r="J27" s="313" t="n">
        <v>0</v>
      </c>
      <c r="K27" s="628" t="n">
        <v>0</v>
      </c>
      <c r="L27" s="410"/>
      <c r="M27" s="506" t="n">
        <v>1</v>
      </c>
      <c r="N27" s="410"/>
      <c r="O27" s="313" t="n">
        <v>70</v>
      </c>
      <c r="P27" s="474" t="n">
        <v>0</v>
      </c>
      <c r="Q27" s="377"/>
      <c r="R27" s="410"/>
      <c r="V27" s="517"/>
    </row>
    <row r="28" customFormat="false" ht="12.75" hidden="false" customHeight="false" outlineLevel="0" collapsed="false">
      <c r="A28" s="626"/>
      <c r="B28" s="305" t="s">
        <v>219</v>
      </c>
      <c r="C28" s="305" t="s">
        <v>746</v>
      </c>
      <c r="D28" s="306" t="n">
        <v>137</v>
      </c>
      <c r="E28" s="306" t="n">
        <v>1.1</v>
      </c>
      <c r="F28" s="305" t="s">
        <v>743</v>
      </c>
      <c r="G28" s="306" t="n">
        <v>24</v>
      </c>
      <c r="H28" s="325" t="n">
        <v>152.066115702479</v>
      </c>
      <c r="I28" s="473"/>
      <c r="J28" s="313" t="n">
        <v>0</v>
      </c>
      <c r="K28" s="628" t="n">
        <v>2</v>
      </c>
      <c r="L28" s="410"/>
      <c r="M28" s="506" t="n">
        <v>-15</v>
      </c>
      <c r="N28" s="410"/>
      <c r="O28" s="313" t="n">
        <v>89</v>
      </c>
      <c r="P28" s="474" t="n">
        <v>48</v>
      </c>
      <c r="Q28" s="377"/>
      <c r="R28" s="410"/>
      <c r="V28" s="517"/>
    </row>
    <row r="29" customFormat="false" ht="12.75" hidden="false" customHeight="false" outlineLevel="0" collapsed="false">
      <c r="A29" s="626"/>
      <c r="B29" s="305" t="s">
        <v>219</v>
      </c>
      <c r="C29" s="305" t="s">
        <v>748</v>
      </c>
      <c r="D29" s="306" t="n">
        <v>115</v>
      </c>
      <c r="E29" s="306" t="n">
        <v>1.1</v>
      </c>
      <c r="F29" s="305" t="s">
        <v>743</v>
      </c>
      <c r="G29" s="306" t="n">
        <v>24</v>
      </c>
      <c r="H29" s="325" t="n">
        <v>113.223140495868</v>
      </c>
      <c r="I29" s="473"/>
      <c r="J29" s="313" t="n">
        <v>0</v>
      </c>
      <c r="K29" s="628" t="n">
        <v>2</v>
      </c>
      <c r="L29" s="410"/>
      <c r="M29" s="506" t="n">
        <v>2</v>
      </c>
      <c r="N29" s="410"/>
      <c r="O29" s="313" t="n">
        <v>67</v>
      </c>
      <c r="P29" s="474" t="n">
        <v>48</v>
      </c>
      <c r="Q29" s="377"/>
      <c r="R29" s="410"/>
      <c r="V29" s="517"/>
    </row>
    <row r="30" customFormat="false" ht="12.75" hidden="false" customHeight="false" outlineLevel="0" collapsed="false">
      <c r="A30" s="626"/>
      <c r="B30" s="305" t="s">
        <v>200</v>
      </c>
      <c r="C30" s="305" t="s">
        <v>590</v>
      </c>
      <c r="D30" s="306" t="n">
        <v>921</v>
      </c>
      <c r="E30" s="306" t="n">
        <v>5.33</v>
      </c>
      <c r="F30" s="305" t="s">
        <v>580</v>
      </c>
      <c r="G30" s="306" t="n">
        <v>24</v>
      </c>
      <c r="H30" s="325" t="n">
        <v>792.561983471074</v>
      </c>
      <c r="I30" s="473"/>
      <c r="J30" s="313" t="n">
        <v>0</v>
      </c>
      <c r="K30" s="627" t="n">
        <v>23.38875</v>
      </c>
      <c r="L30" s="410"/>
      <c r="M30" s="506" t="n">
        <v>128</v>
      </c>
      <c r="N30" s="410"/>
      <c r="O30" s="313" t="n">
        <v>360</v>
      </c>
      <c r="P30" s="474" t="n">
        <v>561.33</v>
      </c>
      <c r="Q30" s="377"/>
      <c r="R30" s="410"/>
      <c r="V30" s="517"/>
    </row>
    <row r="31" customFormat="false" ht="12.75" hidden="false" customHeight="false" outlineLevel="0" collapsed="false">
      <c r="A31" s="626"/>
      <c r="B31" s="305" t="s">
        <v>200</v>
      </c>
      <c r="C31" s="305" t="s">
        <v>590</v>
      </c>
      <c r="D31" s="306" t="n">
        <v>921</v>
      </c>
      <c r="E31" s="306" t="n">
        <v>5.33</v>
      </c>
      <c r="F31" s="305" t="s">
        <v>580</v>
      </c>
      <c r="G31" s="306" t="n">
        <v>48</v>
      </c>
      <c r="H31" s="325" t="n">
        <v>792.561983471074</v>
      </c>
      <c r="I31" s="473"/>
      <c r="J31" s="313" t="n">
        <v>0</v>
      </c>
      <c r="K31" s="627" t="n">
        <v>11.694375</v>
      </c>
      <c r="L31" s="410"/>
      <c r="M31" s="506" t="n">
        <v>128</v>
      </c>
      <c r="N31" s="410"/>
      <c r="O31" s="313" t="n">
        <v>360</v>
      </c>
      <c r="P31" s="474" t="n">
        <v>561.33</v>
      </c>
      <c r="Q31" s="377"/>
      <c r="R31" s="410"/>
      <c r="V31" s="517"/>
    </row>
    <row r="32" customFormat="false" ht="12.75" hidden="false" customHeight="false" outlineLevel="0" collapsed="false">
      <c r="A32" s="626"/>
      <c r="B32" s="305" t="s">
        <v>184</v>
      </c>
      <c r="C32" s="305" t="s">
        <v>586</v>
      </c>
      <c r="D32" s="306" t="n">
        <v>867</v>
      </c>
      <c r="E32" s="306" t="n">
        <v>5.33</v>
      </c>
      <c r="F32" s="305" t="s">
        <v>580</v>
      </c>
      <c r="G32" s="306" t="n">
        <v>24</v>
      </c>
      <c r="H32" s="325" t="n">
        <v>638.01652892562</v>
      </c>
      <c r="I32" s="473"/>
      <c r="J32" s="313" t="n">
        <v>0</v>
      </c>
      <c r="K32" s="627" t="n">
        <v>22.1845833333333</v>
      </c>
      <c r="L32" s="410"/>
      <c r="M32" s="506" t="n">
        <v>229</v>
      </c>
      <c r="N32" s="410"/>
      <c r="O32" s="313" t="n">
        <v>335</v>
      </c>
      <c r="P32" s="474" t="n">
        <v>532.43</v>
      </c>
      <c r="Q32" s="377"/>
      <c r="R32" s="410"/>
      <c r="V32" s="517"/>
    </row>
    <row r="33" customFormat="false" ht="12.75" hidden="false" customHeight="false" outlineLevel="0" collapsed="false">
      <c r="A33" s="626"/>
      <c r="B33" s="305" t="s">
        <v>184</v>
      </c>
      <c r="C33" s="305" t="s">
        <v>586</v>
      </c>
      <c r="D33" s="306" t="n">
        <v>867</v>
      </c>
      <c r="E33" s="306" t="n">
        <v>5.33</v>
      </c>
      <c r="F33" s="305" t="s">
        <v>580</v>
      </c>
      <c r="G33" s="306" t="n">
        <v>48</v>
      </c>
      <c r="H33" s="325" t="n">
        <v>638.01652892562</v>
      </c>
      <c r="I33" s="473"/>
      <c r="J33" s="313" t="n">
        <v>0</v>
      </c>
      <c r="K33" s="627" t="n">
        <v>11.0922916666667</v>
      </c>
      <c r="L33" s="410"/>
      <c r="M33" s="506" t="n">
        <v>229</v>
      </c>
      <c r="N33" s="410"/>
      <c r="O33" s="313" t="n">
        <v>335</v>
      </c>
      <c r="P33" s="474" t="n">
        <v>532.43</v>
      </c>
      <c r="Q33" s="377"/>
      <c r="R33" s="410"/>
      <c r="V33" s="517"/>
    </row>
    <row r="34" customFormat="false" ht="12.75" hidden="false" customHeight="false" outlineLevel="0" collapsed="false">
      <c r="A34" s="626"/>
      <c r="B34" s="305" t="s">
        <v>200</v>
      </c>
      <c r="C34" s="305" t="s">
        <v>557</v>
      </c>
      <c r="D34" s="306" t="n">
        <v>544</v>
      </c>
      <c r="E34" s="306" t="n">
        <v>3.75</v>
      </c>
      <c r="F34" s="305" t="s">
        <v>541</v>
      </c>
      <c r="G34" s="306" t="n">
        <v>24</v>
      </c>
      <c r="H34" s="325" t="n">
        <v>443.801652892562</v>
      </c>
      <c r="I34" s="473"/>
      <c r="J34" s="313" t="n">
        <v>0</v>
      </c>
      <c r="K34" s="627" t="n">
        <v>14.90625</v>
      </c>
      <c r="L34" s="410"/>
      <c r="M34" s="506" t="n">
        <v>100</v>
      </c>
      <c r="N34" s="410"/>
      <c r="O34" s="313" t="n">
        <v>186</v>
      </c>
      <c r="P34" s="474" t="n">
        <v>357.75</v>
      </c>
      <c r="Q34" s="377"/>
      <c r="R34" s="410"/>
      <c r="V34" s="517"/>
    </row>
    <row r="35" customFormat="false" ht="12.75" hidden="false" customHeight="false" outlineLevel="0" collapsed="false">
      <c r="A35" s="626"/>
      <c r="B35" s="305" t="s">
        <v>200</v>
      </c>
      <c r="C35" s="305" t="s">
        <v>493</v>
      </c>
      <c r="D35" s="306" t="n">
        <v>343</v>
      </c>
      <c r="E35" s="306" t="n">
        <v>3.25</v>
      </c>
      <c r="F35" s="305" t="s">
        <v>432</v>
      </c>
      <c r="G35" s="306" t="n">
        <v>24</v>
      </c>
      <c r="H35" s="325" t="n">
        <v>282.644628099174</v>
      </c>
      <c r="I35" s="473"/>
      <c r="J35" s="313" t="n">
        <v>0</v>
      </c>
      <c r="K35" s="627" t="n">
        <v>7.80208333333333</v>
      </c>
      <c r="L35" s="410"/>
      <c r="M35" s="506" t="n">
        <v>60</v>
      </c>
      <c r="N35" s="410"/>
      <c r="O35" s="313" t="n">
        <v>156</v>
      </c>
      <c r="P35" s="474" t="n">
        <v>187.25</v>
      </c>
      <c r="Q35" s="377"/>
      <c r="R35" s="410"/>
      <c r="V35" s="517"/>
    </row>
    <row r="36" customFormat="false" ht="12.75" hidden="false" customHeight="false" outlineLevel="0" collapsed="false">
      <c r="A36" s="626"/>
      <c r="B36" s="305" t="s">
        <v>211</v>
      </c>
      <c r="C36" s="305" t="s">
        <v>464</v>
      </c>
      <c r="D36" s="306" t="n">
        <v>481</v>
      </c>
      <c r="E36" s="306" t="n">
        <v>3.25</v>
      </c>
      <c r="F36" s="305" t="s">
        <v>432</v>
      </c>
      <c r="G36" s="306" t="n">
        <v>24</v>
      </c>
      <c r="H36" s="325" t="n">
        <v>350.413223140496</v>
      </c>
      <c r="I36" s="473"/>
      <c r="J36" s="313" t="n">
        <v>0</v>
      </c>
      <c r="K36" s="627" t="n">
        <v>11.4595833333333</v>
      </c>
      <c r="L36" s="410"/>
      <c r="M36" s="506" t="n">
        <v>131</v>
      </c>
      <c r="N36" s="410"/>
      <c r="O36" s="313" t="n">
        <v>206</v>
      </c>
      <c r="P36" s="474" t="n">
        <v>275.03</v>
      </c>
      <c r="Q36" s="377"/>
      <c r="R36" s="410"/>
      <c r="V36" s="517"/>
    </row>
    <row r="37" customFormat="false" ht="12.75" hidden="false" customHeight="false" outlineLevel="0" collapsed="false">
      <c r="A37" s="626"/>
      <c r="B37" s="305" t="s">
        <v>211</v>
      </c>
      <c r="C37" s="305" t="s">
        <v>464</v>
      </c>
      <c r="D37" s="306" t="n">
        <v>481</v>
      </c>
      <c r="E37" s="306" t="n">
        <v>3.25</v>
      </c>
      <c r="F37" s="305" t="s">
        <v>432</v>
      </c>
      <c r="G37" s="306" t="n">
        <v>48</v>
      </c>
      <c r="H37" s="325" t="n">
        <v>350.413223140496</v>
      </c>
      <c r="I37" s="473"/>
      <c r="J37" s="313" t="n">
        <v>0</v>
      </c>
      <c r="K37" s="627" t="n">
        <v>5.72979166666667</v>
      </c>
      <c r="L37" s="410"/>
      <c r="M37" s="506" t="n">
        <v>131</v>
      </c>
      <c r="N37" s="410"/>
      <c r="O37" s="313" t="n">
        <v>206</v>
      </c>
      <c r="P37" s="474" t="n">
        <v>275.03</v>
      </c>
      <c r="Q37" s="377"/>
      <c r="R37" s="410"/>
      <c r="V37" s="517"/>
    </row>
    <row r="38" customFormat="false" ht="12.75" hidden="false" customHeight="false" outlineLevel="0" collapsed="false">
      <c r="A38" s="626"/>
      <c r="B38" s="305" t="s">
        <v>424</v>
      </c>
      <c r="C38" s="305" t="s">
        <v>425</v>
      </c>
      <c r="D38" s="306" t="n">
        <v>64</v>
      </c>
      <c r="E38" s="306" t="n">
        <v>1.1</v>
      </c>
      <c r="F38" s="305" t="s">
        <v>426</v>
      </c>
      <c r="G38" s="306" t="n">
        <v>24</v>
      </c>
      <c r="H38" s="325" t="n">
        <v>63.6363636363636</v>
      </c>
      <c r="I38" s="473"/>
      <c r="J38" s="313" t="n">
        <v>0</v>
      </c>
      <c r="K38" s="627" t="n">
        <v>1.89125</v>
      </c>
      <c r="L38" s="410"/>
      <c r="M38" s="506" t="n">
        <v>0</v>
      </c>
      <c r="N38" s="410"/>
      <c r="O38" s="313" t="n">
        <v>19</v>
      </c>
      <c r="P38" s="474" t="n">
        <v>45.39</v>
      </c>
      <c r="Q38" s="377"/>
      <c r="R38" s="410"/>
      <c r="V38" s="517"/>
    </row>
    <row r="39" customFormat="false" ht="12.75" hidden="false" customHeight="false" outlineLevel="0" collapsed="false">
      <c r="A39" s="626"/>
      <c r="B39" s="305" t="s">
        <v>424</v>
      </c>
      <c r="C39" s="305" t="s">
        <v>427</v>
      </c>
      <c r="D39" s="306" t="n">
        <v>77</v>
      </c>
      <c r="E39" s="306" t="n">
        <v>1.1</v>
      </c>
      <c r="F39" s="305" t="s">
        <v>426</v>
      </c>
      <c r="G39" s="306" t="n">
        <v>24</v>
      </c>
      <c r="H39" s="325" t="n">
        <v>76.8595041322314</v>
      </c>
      <c r="I39" s="473"/>
      <c r="J39" s="313" t="n">
        <v>0</v>
      </c>
      <c r="K39" s="627" t="n">
        <v>2.42708333333333</v>
      </c>
      <c r="L39" s="410"/>
      <c r="M39" s="506" t="n">
        <v>0</v>
      </c>
      <c r="N39" s="410"/>
      <c r="O39" s="313" t="n">
        <v>19</v>
      </c>
      <c r="P39" s="474" t="n">
        <v>58.25</v>
      </c>
      <c r="Q39" s="377"/>
      <c r="R39" s="410"/>
      <c r="V39" s="517"/>
    </row>
    <row r="40" customFormat="false" ht="12.75" hidden="false" customHeight="false" outlineLevel="0" collapsed="false">
      <c r="A40" s="626"/>
      <c r="B40" s="305" t="s">
        <v>428</v>
      </c>
      <c r="C40" s="305" t="s">
        <v>429</v>
      </c>
      <c r="D40" s="306" t="n">
        <v>49</v>
      </c>
      <c r="E40" s="306" t="n">
        <v>1.1</v>
      </c>
      <c r="F40" s="305" t="s">
        <v>426</v>
      </c>
      <c r="G40" s="306" t="n">
        <v>24</v>
      </c>
      <c r="H40" s="325" t="n">
        <v>47.1074380165289</v>
      </c>
      <c r="I40" s="473"/>
      <c r="J40" s="313" t="n">
        <v>0</v>
      </c>
      <c r="K40" s="627" t="n">
        <v>1.25416666666667</v>
      </c>
      <c r="L40" s="410"/>
      <c r="M40" s="506" t="n">
        <v>2</v>
      </c>
      <c r="N40" s="410"/>
      <c r="O40" s="313" t="n">
        <v>19</v>
      </c>
      <c r="P40" s="474" t="n">
        <v>30.1</v>
      </c>
      <c r="Q40" s="377"/>
      <c r="R40" s="410"/>
      <c r="V40" s="517"/>
    </row>
    <row r="41" customFormat="false" ht="12.75" hidden="false" customHeight="false" outlineLevel="0" collapsed="false">
      <c r="A41" s="626"/>
      <c r="B41" s="305" t="s">
        <v>428</v>
      </c>
      <c r="C41" s="305" t="s">
        <v>430</v>
      </c>
      <c r="D41" s="306" t="n">
        <v>60</v>
      </c>
      <c r="E41" s="306" t="n">
        <v>1.1</v>
      </c>
      <c r="F41" s="305" t="s">
        <v>426</v>
      </c>
      <c r="G41" s="306" t="n">
        <v>24</v>
      </c>
      <c r="H41" s="325" t="n">
        <v>59.504132231405</v>
      </c>
      <c r="I41" s="473"/>
      <c r="J41" s="313" t="n">
        <v>0</v>
      </c>
      <c r="K41" s="627" t="n">
        <v>1.7</v>
      </c>
      <c r="L41" s="410"/>
      <c r="M41" s="506" t="n">
        <v>0</v>
      </c>
      <c r="N41" s="410"/>
      <c r="O41" s="313" t="n">
        <v>19</v>
      </c>
      <c r="P41" s="474" t="n">
        <v>40.8</v>
      </c>
      <c r="Q41" s="377"/>
      <c r="R41" s="410"/>
      <c r="V41" s="517"/>
    </row>
    <row r="42" customFormat="false" ht="12.75" hidden="false" customHeight="false" outlineLevel="0" collapsed="false">
      <c r="A42" s="626"/>
      <c r="B42" s="305" t="s">
        <v>124</v>
      </c>
      <c r="C42" s="305" t="s">
        <v>443</v>
      </c>
      <c r="D42" s="306" t="n">
        <v>520</v>
      </c>
      <c r="E42" s="306" t="n">
        <v>3.25</v>
      </c>
      <c r="F42" s="305" t="s">
        <v>432</v>
      </c>
      <c r="G42" s="306" t="n">
        <v>24</v>
      </c>
      <c r="H42" s="325" t="n">
        <v>378.512396694215</v>
      </c>
      <c r="I42" s="473"/>
      <c r="J42" s="313" t="n">
        <v>0</v>
      </c>
      <c r="K42" s="627" t="n">
        <v>12.62</v>
      </c>
      <c r="L42" s="410"/>
      <c r="M42" s="506" t="n">
        <v>141</v>
      </c>
      <c r="N42" s="410"/>
      <c r="O42" s="313" t="n">
        <v>217</v>
      </c>
      <c r="P42" s="474" t="n">
        <v>302.88</v>
      </c>
      <c r="Q42" s="377"/>
      <c r="R42" s="410"/>
      <c r="V42" s="517"/>
    </row>
    <row r="43" customFormat="false" ht="12.75" hidden="false" customHeight="false" outlineLevel="0" collapsed="false">
      <c r="A43" s="626"/>
      <c r="B43" s="305" t="s">
        <v>124</v>
      </c>
      <c r="C43" s="305" t="s">
        <v>443</v>
      </c>
      <c r="D43" s="306" t="n">
        <v>520</v>
      </c>
      <c r="E43" s="306" t="n">
        <v>3.25</v>
      </c>
      <c r="F43" s="305" t="s">
        <v>432</v>
      </c>
      <c r="G43" s="306" t="n">
        <v>48</v>
      </c>
      <c r="H43" s="325" t="n">
        <v>378.512396694215</v>
      </c>
      <c r="I43" s="473"/>
      <c r="J43" s="313" t="n">
        <v>0</v>
      </c>
      <c r="K43" s="627" t="n">
        <v>6.31</v>
      </c>
      <c r="L43" s="410"/>
      <c r="M43" s="506" t="n">
        <v>141</v>
      </c>
      <c r="N43" s="410"/>
      <c r="O43" s="313" t="n">
        <v>217</v>
      </c>
      <c r="P43" s="474" t="n">
        <v>302.88</v>
      </c>
      <c r="Q43" s="377"/>
      <c r="R43" s="410"/>
      <c r="V43" s="517"/>
    </row>
    <row r="44" customFormat="false" ht="12.75" hidden="false" customHeight="false" outlineLevel="0" collapsed="false">
      <c r="A44" s="626"/>
      <c r="B44" s="305" t="s">
        <v>124</v>
      </c>
      <c r="C44" s="305" t="s">
        <v>444</v>
      </c>
      <c r="D44" s="306" t="n">
        <v>564</v>
      </c>
      <c r="E44" s="306" t="n">
        <v>3.25</v>
      </c>
      <c r="F44" s="305" t="s">
        <v>432</v>
      </c>
      <c r="G44" s="306" t="n">
        <v>24</v>
      </c>
      <c r="H44" s="325" t="n">
        <v>433.884297520661</v>
      </c>
      <c r="I44" s="473"/>
      <c r="J44" s="313" t="n">
        <v>0</v>
      </c>
      <c r="K44" s="627" t="n">
        <v>14.5004166666667</v>
      </c>
      <c r="L44" s="410"/>
      <c r="M44" s="506" t="n">
        <v>130</v>
      </c>
      <c r="N44" s="410"/>
      <c r="O44" s="313" t="n">
        <v>216</v>
      </c>
      <c r="P44" s="474" t="n">
        <v>348.01</v>
      </c>
      <c r="Q44" s="377"/>
      <c r="R44" s="410"/>
      <c r="V44" s="517"/>
    </row>
    <row r="45" customFormat="false" ht="12.75" hidden="false" customHeight="false" outlineLevel="0" collapsed="false">
      <c r="A45" s="626"/>
      <c r="B45" s="305" t="s">
        <v>124</v>
      </c>
      <c r="C45" s="305" t="s">
        <v>444</v>
      </c>
      <c r="D45" s="306" t="n">
        <v>564</v>
      </c>
      <c r="E45" s="306" t="n">
        <v>3.25</v>
      </c>
      <c r="F45" s="305" t="s">
        <v>432</v>
      </c>
      <c r="G45" s="306" t="n">
        <v>48</v>
      </c>
      <c r="H45" s="325" t="n">
        <v>433.884297520661</v>
      </c>
      <c r="I45" s="473"/>
      <c r="J45" s="313" t="n">
        <v>0</v>
      </c>
      <c r="K45" s="627" t="n">
        <v>7.25020833333333</v>
      </c>
      <c r="L45" s="410"/>
      <c r="M45" s="506" t="n">
        <v>130</v>
      </c>
      <c r="N45" s="410"/>
      <c r="O45" s="313" t="n">
        <v>216</v>
      </c>
      <c r="P45" s="474" t="n">
        <v>348.01</v>
      </c>
      <c r="Q45" s="377"/>
      <c r="R45" s="410"/>
      <c r="V45" s="517"/>
    </row>
    <row r="46" customFormat="false" ht="12.75" hidden="false" customHeight="false" outlineLevel="0" collapsed="false">
      <c r="A46" s="626"/>
      <c r="B46" s="305" t="s">
        <v>124</v>
      </c>
      <c r="C46" s="305" t="s">
        <v>445</v>
      </c>
      <c r="D46" s="306" t="n">
        <v>823</v>
      </c>
      <c r="E46" s="306" t="n">
        <v>3.25</v>
      </c>
      <c r="F46" s="305" t="s">
        <v>432</v>
      </c>
      <c r="G46" s="306" t="n">
        <v>24</v>
      </c>
      <c r="H46" s="325" t="n">
        <v>657.02479338843</v>
      </c>
      <c r="I46" s="473"/>
      <c r="J46" s="313" t="n">
        <v>0</v>
      </c>
      <c r="K46" s="627" t="n">
        <v>22.9629166666667</v>
      </c>
      <c r="L46" s="410"/>
      <c r="M46" s="506" t="n">
        <v>166</v>
      </c>
      <c r="N46" s="410"/>
      <c r="O46" s="313" t="n">
        <v>272</v>
      </c>
      <c r="P46" s="474" t="n">
        <v>551.11</v>
      </c>
      <c r="Q46" s="377"/>
      <c r="R46" s="410"/>
      <c r="V46" s="517"/>
    </row>
    <row r="47" customFormat="false" ht="12.75" hidden="false" customHeight="false" outlineLevel="0" collapsed="false">
      <c r="A47" s="626"/>
      <c r="B47" s="305" t="s">
        <v>124</v>
      </c>
      <c r="C47" s="305" t="s">
        <v>445</v>
      </c>
      <c r="D47" s="306" t="n">
        <v>823</v>
      </c>
      <c r="E47" s="306" t="n">
        <v>3.25</v>
      </c>
      <c r="F47" s="305" t="s">
        <v>432</v>
      </c>
      <c r="G47" s="306" t="n">
        <v>48</v>
      </c>
      <c r="H47" s="325" t="n">
        <v>657.02479338843</v>
      </c>
      <c r="I47" s="473"/>
      <c r="J47" s="313" t="n">
        <v>0</v>
      </c>
      <c r="K47" s="627" t="n">
        <v>11.4814583333333</v>
      </c>
      <c r="L47" s="410"/>
      <c r="M47" s="506" t="n">
        <v>166</v>
      </c>
      <c r="N47" s="410"/>
      <c r="O47" s="313" t="n">
        <v>272</v>
      </c>
      <c r="P47" s="474" t="n">
        <v>551.11</v>
      </c>
      <c r="Q47" s="377"/>
      <c r="R47" s="410"/>
      <c r="V47" s="517"/>
    </row>
    <row r="48" customFormat="false" ht="12.75" hidden="false" customHeight="false" outlineLevel="0" collapsed="false">
      <c r="A48" s="626"/>
      <c r="B48" s="305" t="s">
        <v>124</v>
      </c>
      <c r="C48" s="305" t="s">
        <v>448</v>
      </c>
      <c r="D48" s="306" t="n">
        <v>1062</v>
      </c>
      <c r="E48" s="306" t="n">
        <v>3.25</v>
      </c>
      <c r="F48" s="305" t="s">
        <v>432</v>
      </c>
      <c r="G48" s="306" t="n">
        <v>24</v>
      </c>
      <c r="H48" s="325" t="n">
        <v>876.03305785124</v>
      </c>
      <c r="I48" s="473"/>
      <c r="J48" s="313" t="n">
        <v>0</v>
      </c>
      <c r="K48" s="627" t="n">
        <v>29.86375</v>
      </c>
      <c r="L48" s="410"/>
      <c r="M48" s="506" t="n">
        <v>186</v>
      </c>
      <c r="N48" s="410"/>
      <c r="O48" s="313" t="n">
        <v>345</v>
      </c>
      <c r="P48" s="474" t="n">
        <v>716.73</v>
      </c>
      <c r="Q48" s="377"/>
      <c r="R48" s="410"/>
      <c r="V48" s="517"/>
    </row>
    <row r="49" customFormat="false" ht="12.75" hidden="false" customHeight="false" outlineLevel="0" collapsed="false">
      <c r="A49" s="626"/>
      <c r="B49" s="305" t="s">
        <v>124</v>
      </c>
      <c r="C49" s="305" t="s">
        <v>448</v>
      </c>
      <c r="D49" s="306" t="n">
        <v>1062</v>
      </c>
      <c r="E49" s="306" t="n">
        <v>3.25</v>
      </c>
      <c r="F49" s="305" t="s">
        <v>432</v>
      </c>
      <c r="G49" s="306" t="n">
        <v>48</v>
      </c>
      <c r="H49" s="325" t="n">
        <v>876.03305785124</v>
      </c>
      <c r="I49" s="473"/>
      <c r="J49" s="313" t="n">
        <v>0</v>
      </c>
      <c r="K49" s="627" t="n">
        <v>14.931875</v>
      </c>
      <c r="L49" s="410"/>
      <c r="M49" s="506" t="n">
        <v>186</v>
      </c>
      <c r="N49" s="410"/>
      <c r="O49" s="313" t="n">
        <v>345</v>
      </c>
      <c r="P49" s="474" t="n">
        <v>716.73</v>
      </c>
      <c r="Q49" s="377"/>
      <c r="R49" s="410"/>
      <c r="V49" s="517"/>
    </row>
    <row r="50" customFormat="false" ht="12.75" hidden="false" customHeight="false" outlineLevel="0" collapsed="false">
      <c r="A50" s="626"/>
      <c r="B50" s="305" t="s">
        <v>124</v>
      </c>
      <c r="C50" s="305" t="s">
        <v>449</v>
      </c>
      <c r="D50" s="306" t="n">
        <v>1234</v>
      </c>
      <c r="E50" s="306" t="n">
        <v>3.25</v>
      </c>
      <c r="F50" s="305" t="s">
        <v>432</v>
      </c>
      <c r="G50" s="306" t="n">
        <v>24</v>
      </c>
      <c r="H50" s="325" t="n">
        <v>1019.00826446281</v>
      </c>
      <c r="I50" s="473"/>
      <c r="J50" s="313" t="n">
        <v>0</v>
      </c>
      <c r="K50" s="627" t="n">
        <v>35.8208333333333</v>
      </c>
      <c r="L50" s="410"/>
      <c r="M50" s="506" t="n">
        <v>215</v>
      </c>
      <c r="N50" s="410"/>
      <c r="O50" s="313" t="n">
        <v>374</v>
      </c>
      <c r="P50" s="474" t="n">
        <v>859.7</v>
      </c>
      <c r="Q50" s="377"/>
      <c r="R50" s="410"/>
      <c r="V50" s="517"/>
    </row>
    <row r="51" customFormat="false" ht="12.75" hidden="false" customHeight="false" outlineLevel="0" collapsed="false">
      <c r="A51" s="626"/>
      <c r="B51" s="305" t="s">
        <v>124</v>
      </c>
      <c r="C51" s="305" t="s">
        <v>449</v>
      </c>
      <c r="D51" s="306" t="n">
        <v>1234</v>
      </c>
      <c r="E51" s="306" t="n">
        <v>3.25</v>
      </c>
      <c r="F51" s="305" t="s">
        <v>432</v>
      </c>
      <c r="G51" s="306" t="n">
        <v>48</v>
      </c>
      <c r="H51" s="325" t="n">
        <v>1019.00826446281</v>
      </c>
      <c r="I51" s="473"/>
      <c r="J51" s="313" t="n">
        <v>0</v>
      </c>
      <c r="K51" s="627" t="n">
        <v>17.9104166666667</v>
      </c>
      <c r="L51" s="410"/>
      <c r="M51" s="506" t="n">
        <v>215</v>
      </c>
      <c r="N51" s="410"/>
      <c r="O51" s="313" t="n">
        <v>374</v>
      </c>
      <c r="P51" s="474" t="n">
        <v>859.7</v>
      </c>
      <c r="Q51" s="377"/>
      <c r="R51" s="410"/>
      <c r="V51" s="517"/>
    </row>
    <row r="52" customFormat="false" ht="12.75" hidden="false" customHeight="false" outlineLevel="0" collapsed="false">
      <c r="A52" s="626"/>
      <c r="B52" s="305" t="s">
        <v>124</v>
      </c>
      <c r="C52" s="305" t="s">
        <v>446</v>
      </c>
      <c r="D52" s="306" t="n">
        <v>520</v>
      </c>
      <c r="E52" s="306" t="n">
        <v>3.25</v>
      </c>
      <c r="F52" s="305" t="s">
        <v>432</v>
      </c>
      <c r="G52" s="306" t="n">
        <v>24</v>
      </c>
      <c r="H52" s="325" t="n">
        <v>409.090909090909</v>
      </c>
      <c r="I52" s="473"/>
      <c r="J52" s="313" t="n">
        <v>0</v>
      </c>
      <c r="K52" s="627" t="n">
        <v>13.4533333333333</v>
      </c>
      <c r="L52" s="410"/>
      <c r="M52" s="506" t="n">
        <v>111</v>
      </c>
      <c r="N52" s="410"/>
      <c r="O52" s="313" t="n">
        <v>197</v>
      </c>
      <c r="P52" s="474" t="n">
        <v>322.88</v>
      </c>
      <c r="Q52" s="377"/>
      <c r="R52" s="410"/>
      <c r="V52" s="517"/>
    </row>
    <row r="53" customFormat="false" ht="12.75" hidden="false" customHeight="false" outlineLevel="0" collapsed="false">
      <c r="A53" s="626"/>
      <c r="B53" s="305" t="s">
        <v>124</v>
      </c>
      <c r="C53" s="305" t="s">
        <v>446</v>
      </c>
      <c r="D53" s="306" t="n">
        <v>520</v>
      </c>
      <c r="E53" s="306" t="n">
        <v>3.25</v>
      </c>
      <c r="F53" s="305" t="s">
        <v>432</v>
      </c>
      <c r="G53" s="306" t="n">
        <v>48</v>
      </c>
      <c r="H53" s="325" t="n">
        <v>409.090909090909</v>
      </c>
      <c r="I53" s="473"/>
      <c r="J53" s="313" t="n">
        <v>0</v>
      </c>
      <c r="K53" s="627" t="n">
        <v>6.72666666666667</v>
      </c>
      <c r="L53" s="410"/>
      <c r="M53" s="506" t="n">
        <v>111</v>
      </c>
      <c r="N53" s="410"/>
      <c r="O53" s="313" t="n">
        <v>197</v>
      </c>
      <c r="P53" s="474" t="n">
        <v>322.88</v>
      </c>
      <c r="Q53" s="377"/>
      <c r="R53" s="410"/>
      <c r="V53" s="517"/>
    </row>
    <row r="54" customFormat="false" ht="12.75" hidden="false" customHeight="false" outlineLevel="0" collapsed="false">
      <c r="A54" s="626"/>
      <c r="B54" s="305" t="s">
        <v>124</v>
      </c>
      <c r="C54" s="305" t="s">
        <v>447</v>
      </c>
      <c r="D54" s="306" t="n">
        <v>595</v>
      </c>
      <c r="E54" s="306" t="n">
        <v>3.25</v>
      </c>
      <c r="F54" s="305" t="s">
        <v>432</v>
      </c>
      <c r="G54" s="306" t="n">
        <v>24</v>
      </c>
      <c r="H54" s="325" t="n">
        <v>463.636363636364</v>
      </c>
      <c r="I54" s="473"/>
      <c r="J54" s="313" t="n">
        <v>0</v>
      </c>
      <c r="K54" s="627" t="n">
        <v>15.75375</v>
      </c>
      <c r="L54" s="410"/>
      <c r="M54" s="506" t="n">
        <v>131</v>
      </c>
      <c r="N54" s="410"/>
      <c r="O54" s="313" t="n">
        <v>217</v>
      </c>
      <c r="P54" s="474" t="n">
        <v>378.09</v>
      </c>
      <c r="Q54" s="377"/>
      <c r="R54" s="410"/>
      <c r="V54" s="517"/>
    </row>
    <row r="55" customFormat="false" ht="12.75" hidden="false" customHeight="false" outlineLevel="0" collapsed="false">
      <c r="A55" s="626"/>
      <c r="B55" s="305" t="s">
        <v>124</v>
      </c>
      <c r="C55" s="305" t="s">
        <v>447</v>
      </c>
      <c r="D55" s="306" t="n">
        <v>595</v>
      </c>
      <c r="E55" s="306" t="n">
        <v>3.25</v>
      </c>
      <c r="F55" s="305" t="s">
        <v>432</v>
      </c>
      <c r="G55" s="306" t="n">
        <v>48</v>
      </c>
      <c r="H55" s="325" t="n">
        <v>463.636363636364</v>
      </c>
      <c r="I55" s="473"/>
      <c r="J55" s="313" t="n">
        <v>0</v>
      </c>
      <c r="K55" s="627" t="n">
        <v>7.876875</v>
      </c>
      <c r="L55" s="410"/>
      <c r="M55" s="506" t="n">
        <v>131</v>
      </c>
      <c r="N55" s="410"/>
      <c r="O55" s="313" t="n">
        <v>217</v>
      </c>
      <c r="P55" s="474" t="n">
        <v>378.09</v>
      </c>
      <c r="Q55" s="377"/>
      <c r="R55" s="410"/>
      <c r="V55" s="517"/>
    </row>
    <row r="56" customFormat="false" ht="12.75" hidden="false" customHeight="false" outlineLevel="0" collapsed="false">
      <c r="A56" s="626"/>
      <c r="B56" s="305" t="s">
        <v>450</v>
      </c>
      <c r="C56" s="305" t="s">
        <v>451</v>
      </c>
      <c r="D56" s="306" t="n">
        <v>539</v>
      </c>
      <c r="E56" s="306" t="n">
        <v>3.25</v>
      </c>
      <c r="F56" s="305" t="s">
        <v>432</v>
      </c>
      <c r="G56" s="306" t="n">
        <v>24</v>
      </c>
      <c r="H56" s="325" t="n">
        <v>428.099173553719</v>
      </c>
      <c r="I56" s="473"/>
      <c r="J56" s="313" t="n">
        <v>0</v>
      </c>
      <c r="K56" s="627" t="n">
        <v>12.59375</v>
      </c>
      <c r="L56" s="410"/>
      <c r="M56" s="506" t="n">
        <v>111</v>
      </c>
      <c r="N56" s="410"/>
      <c r="O56" s="313" t="n">
        <v>237</v>
      </c>
      <c r="P56" s="474" t="n">
        <v>302.25</v>
      </c>
      <c r="Q56" s="377"/>
      <c r="R56" s="410"/>
      <c r="V56" s="517"/>
    </row>
    <row r="57" customFormat="false" ht="12.75" hidden="false" customHeight="false" outlineLevel="0" collapsed="false">
      <c r="A57" s="626"/>
      <c r="B57" s="305" t="s">
        <v>450</v>
      </c>
      <c r="C57" s="305" t="s">
        <v>451</v>
      </c>
      <c r="D57" s="306" t="n">
        <v>539</v>
      </c>
      <c r="E57" s="306" t="n">
        <v>3.25</v>
      </c>
      <c r="F57" s="305" t="s">
        <v>432</v>
      </c>
      <c r="G57" s="306" t="n">
        <v>48</v>
      </c>
      <c r="H57" s="325" t="n">
        <v>428.099173553719</v>
      </c>
      <c r="I57" s="473"/>
      <c r="J57" s="313" t="n">
        <v>0</v>
      </c>
      <c r="K57" s="627" t="n">
        <v>6.296875</v>
      </c>
      <c r="L57" s="410"/>
      <c r="M57" s="506" t="n">
        <v>111</v>
      </c>
      <c r="N57" s="410"/>
      <c r="O57" s="313" t="n">
        <v>237</v>
      </c>
      <c r="P57" s="474" t="n">
        <v>302.25</v>
      </c>
      <c r="Q57" s="377"/>
      <c r="R57" s="410"/>
      <c r="V57" s="517"/>
    </row>
    <row r="58" customFormat="false" ht="12.75" hidden="false" customHeight="false" outlineLevel="0" collapsed="false">
      <c r="A58" s="626"/>
      <c r="B58" s="305" t="s">
        <v>450</v>
      </c>
      <c r="C58" s="305" t="s">
        <v>452</v>
      </c>
      <c r="D58" s="306" t="n">
        <v>309</v>
      </c>
      <c r="E58" s="306" t="n">
        <v>3.25</v>
      </c>
      <c r="F58" s="305" t="s">
        <v>432</v>
      </c>
      <c r="G58" s="306" t="n">
        <v>24</v>
      </c>
      <c r="H58" s="325" t="n">
        <v>240.495867768595</v>
      </c>
      <c r="I58" s="473"/>
      <c r="J58" s="313" t="n">
        <v>0</v>
      </c>
      <c r="K58" s="627" t="n">
        <v>5.21875</v>
      </c>
      <c r="L58" s="410"/>
      <c r="M58" s="506" t="n">
        <v>69</v>
      </c>
      <c r="N58" s="410"/>
      <c r="O58" s="313" t="n">
        <v>184</v>
      </c>
      <c r="P58" s="474" t="n">
        <v>125.25</v>
      </c>
      <c r="Q58" s="377"/>
      <c r="R58" s="410"/>
      <c r="V58" s="517"/>
    </row>
    <row r="59" customFormat="false" ht="12.75" hidden="false" customHeight="false" outlineLevel="0" collapsed="false">
      <c r="A59" s="626"/>
      <c r="B59" s="305" t="s">
        <v>450</v>
      </c>
      <c r="C59" s="305" t="s">
        <v>452</v>
      </c>
      <c r="D59" s="306" t="n">
        <v>309</v>
      </c>
      <c r="E59" s="306" t="n">
        <v>3.25</v>
      </c>
      <c r="F59" s="305" t="s">
        <v>432</v>
      </c>
      <c r="G59" s="306" t="n">
        <v>48</v>
      </c>
      <c r="H59" s="325" t="n">
        <v>240.495867768595</v>
      </c>
      <c r="I59" s="473"/>
      <c r="J59" s="313" t="n">
        <v>0</v>
      </c>
      <c r="K59" s="627" t="n">
        <v>2.609375</v>
      </c>
      <c r="L59" s="410"/>
      <c r="M59" s="506" t="n">
        <v>69</v>
      </c>
      <c r="N59" s="410"/>
      <c r="O59" s="313" t="n">
        <v>184</v>
      </c>
      <c r="P59" s="474" t="n">
        <v>125.25</v>
      </c>
      <c r="Q59" s="377"/>
      <c r="R59" s="410"/>
      <c r="V59" s="517"/>
    </row>
    <row r="60" customFormat="false" ht="12.75" hidden="false" customHeight="false" outlineLevel="0" collapsed="false">
      <c r="A60" s="626"/>
      <c r="B60" s="305" t="s">
        <v>450</v>
      </c>
      <c r="C60" s="305" t="s">
        <v>453</v>
      </c>
      <c r="D60" s="306" t="n">
        <v>661</v>
      </c>
      <c r="E60" s="306" t="n">
        <v>3.25</v>
      </c>
      <c r="F60" s="305" t="s">
        <v>432</v>
      </c>
      <c r="G60" s="306" t="n">
        <v>24</v>
      </c>
      <c r="H60" s="325" t="n">
        <v>547.933884297521</v>
      </c>
      <c r="I60" s="473"/>
      <c r="J60" s="313" t="n">
        <v>0</v>
      </c>
      <c r="K60" s="627" t="n">
        <v>15.5104166666667</v>
      </c>
      <c r="L60" s="410"/>
      <c r="M60" s="506" t="n">
        <v>113</v>
      </c>
      <c r="N60" s="410"/>
      <c r="O60" s="313" t="n">
        <v>289</v>
      </c>
      <c r="P60" s="474" t="n">
        <v>372.25</v>
      </c>
      <c r="Q60" s="377"/>
      <c r="R60" s="410"/>
      <c r="V60" s="517"/>
    </row>
    <row r="61" customFormat="false" ht="12.75" hidden="false" customHeight="false" outlineLevel="0" collapsed="false">
      <c r="A61" s="626"/>
      <c r="B61" s="305" t="s">
        <v>450</v>
      </c>
      <c r="C61" s="305" t="s">
        <v>453</v>
      </c>
      <c r="D61" s="306" t="n">
        <v>661</v>
      </c>
      <c r="E61" s="306" t="n">
        <v>3.25</v>
      </c>
      <c r="F61" s="305" t="s">
        <v>432</v>
      </c>
      <c r="G61" s="306" t="n">
        <v>48</v>
      </c>
      <c r="H61" s="325" t="n">
        <v>547.933884297521</v>
      </c>
      <c r="I61" s="473"/>
      <c r="J61" s="313" t="n">
        <v>0</v>
      </c>
      <c r="K61" s="627" t="n">
        <v>7.75520833333333</v>
      </c>
      <c r="L61" s="410"/>
      <c r="M61" s="506" t="n">
        <v>113</v>
      </c>
      <c r="N61" s="410"/>
      <c r="O61" s="313" t="n">
        <v>289</v>
      </c>
      <c r="P61" s="474" t="n">
        <v>372.25</v>
      </c>
      <c r="Q61" s="377"/>
      <c r="R61" s="410"/>
      <c r="V61" s="517"/>
    </row>
    <row r="62" customFormat="false" ht="12.75" hidden="false" customHeight="false" outlineLevel="0" collapsed="false">
      <c r="A62" s="626"/>
      <c r="B62" s="305" t="s">
        <v>450</v>
      </c>
      <c r="C62" s="305" t="s">
        <v>454</v>
      </c>
      <c r="D62" s="306" t="n">
        <v>181</v>
      </c>
      <c r="E62" s="306" t="n">
        <v>3.25</v>
      </c>
      <c r="F62" s="305" t="s">
        <v>432</v>
      </c>
      <c r="G62" s="306" t="n">
        <v>24</v>
      </c>
      <c r="H62" s="325" t="n">
        <v>135.537190082645</v>
      </c>
      <c r="I62" s="473"/>
      <c r="J62" s="313" t="n">
        <v>0</v>
      </c>
      <c r="K62" s="627" t="n">
        <v>4.26041666666667</v>
      </c>
      <c r="L62" s="410"/>
      <c r="M62" s="506" t="n">
        <v>45</v>
      </c>
      <c r="N62" s="410"/>
      <c r="O62" s="313" t="n">
        <v>79</v>
      </c>
      <c r="P62" s="474" t="n">
        <v>102.25</v>
      </c>
      <c r="Q62" s="377"/>
      <c r="R62" s="410"/>
      <c r="V62" s="517"/>
    </row>
    <row r="63" customFormat="false" ht="12.75" hidden="false" customHeight="false" outlineLevel="0" collapsed="false">
      <c r="A63" s="626"/>
      <c r="B63" s="305" t="s">
        <v>450</v>
      </c>
      <c r="C63" s="305" t="s">
        <v>454</v>
      </c>
      <c r="D63" s="306" t="n">
        <v>181</v>
      </c>
      <c r="E63" s="306" t="n">
        <v>3.25</v>
      </c>
      <c r="F63" s="305" t="s">
        <v>432</v>
      </c>
      <c r="G63" s="306" t="n">
        <v>48</v>
      </c>
      <c r="H63" s="325" t="n">
        <v>135.537190082645</v>
      </c>
      <c r="I63" s="473"/>
      <c r="J63" s="313" t="n">
        <v>0</v>
      </c>
      <c r="K63" s="627" t="n">
        <v>2.13020833333333</v>
      </c>
      <c r="L63" s="410"/>
      <c r="M63" s="506" t="n">
        <v>45</v>
      </c>
      <c r="N63" s="410"/>
      <c r="O63" s="313" t="n">
        <v>79</v>
      </c>
      <c r="P63" s="474" t="n">
        <v>102.25</v>
      </c>
      <c r="Q63" s="377"/>
      <c r="R63" s="410"/>
      <c r="V63" s="517"/>
    </row>
    <row r="64" customFormat="false" ht="12.75" hidden="false" customHeight="false" outlineLevel="0" collapsed="false">
      <c r="A64" s="626"/>
      <c r="B64" s="305" t="s">
        <v>450</v>
      </c>
      <c r="C64" s="305" t="s">
        <v>455</v>
      </c>
      <c r="D64" s="306" t="n">
        <v>1653</v>
      </c>
      <c r="E64" s="306" t="n">
        <v>3.25</v>
      </c>
      <c r="F64" s="305" t="s">
        <v>432</v>
      </c>
      <c r="G64" s="306" t="n">
        <v>24</v>
      </c>
      <c r="H64" s="325" t="n">
        <v>1282.64462809917</v>
      </c>
      <c r="I64" s="473"/>
      <c r="J64" s="313" t="n">
        <v>0</v>
      </c>
      <c r="K64" s="627" t="n">
        <v>46.8020833333333</v>
      </c>
      <c r="L64" s="410"/>
      <c r="M64" s="506" t="n">
        <v>370</v>
      </c>
      <c r="N64" s="410"/>
      <c r="O64" s="313" t="n">
        <v>530</v>
      </c>
      <c r="P64" s="474" t="n">
        <v>1123.25</v>
      </c>
      <c r="Q64" s="377"/>
      <c r="R64" s="410"/>
      <c r="V64" s="517"/>
    </row>
    <row r="65" customFormat="false" ht="12.75" hidden="false" customHeight="false" outlineLevel="0" collapsed="false">
      <c r="A65" s="626"/>
      <c r="B65" s="305" t="s">
        <v>450</v>
      </c>
      <c r="C65" s="305" t="s">
        <v>455</v>
      </c>
      <c r="D65" s="306" t="n">
        <v>1653</v>
      </c>
      <c r="E65" s="306" t="n">
        <v>3.25</v>
      </c>
      <c r="F65" s="305" t="s">
        <v>432</v>
      </c>
      <c r="G65" s="306" t="n">
        <v>48</v>
      </c>
      <c r="H65" s="325" t="n">
        <v>1282.64462809917</v>
      </c>
      <c r="I65" s="473"/>
      <c r="J65" s="313" t="n">
        <v>0</v>
      </c>
      <c r="K65" s="627" t="n">
        <v>23.4010416666667</v>
      </c>
      <c r="L65" s="410"/>
      <c r="M65" s="506" t="n">
        <v>370</v>
      </c>
      <c r="N65" s="410"/>
      <c r="O65" s="313" t="n">
        <v>530</v>
      </c>
      <c r="P65" s="474" t="n">
        <v>1123.25</v>
      </c>
      <c r="Q65" s="377"/>
      <c r="R65" s="410"/>
      <c r="V65" s="517"/>
    </row>
    <row r="66" customFormat="false" ht="12.75" hidden="false" customHeight="false" outlineLevel="0" collapsed="false">
      <c r="A66" s="626"/>
      <c r="B66" s="305" t="s">
        <v>450</v>
      </c>
      <c r="C66" s="305" t="s">
        <v>456</v>
      </c>
      <c r="D66" s="306" t="n">
        <v>405</v>
      </c>
      <c r="E66" s="306" t="n">
        <v>3.25</v>
      </c>
      <c r="F66" s="305" t="s">
        <v>432</v>
      </c>
      <c r="G66" s="306" t="n">
        <v>24</v>
      </c>
      <c r="H66" s="325" t="n">
        <v>338.842975206612</v>
      </c>
      <c r="I66" s="473"/>
      <c r="J66" s="313" t="n">
        <v>0</v>
      </c>
      <c r="K66" s="627" t="n">
        <v>10.96875</v>
      </c>
      <c r="L66" s="410"/>
      <c r="M66" s="506" t="n">
        <v>66</v>
      </c>
      <c r="N66" s="410"/>
      <c r="O66" s="313" t="n">
        <v>142</v>
      </c>
      <c r="P66" s="474" t="n">
        <v>263.25</v>
      </c>
      <c r="Q66" s="377"/>
      <c r="R66" s="410"/>
      <c r="V66" s="517"/>
    </row>
    <row r="67" customFormat="false" ht="12.75" hidden="false" customHeight="false" outlineLevel="0" collapsed="false">
      <c r="A67" s="626"/>
      <c r="B67" s="305" t="s">
        <v>450</v>
      </c>
      <c r="C67" s="305" t="s">
        <v>456</v>
      </c>
      <c r="D67" s="306" t="n">
        <v>405</v>
      </c>
      <c r="E67" s="306" t="n">
        <v>3.25</v>
      </c>
      <c r="F67" s="305" t="s">
        <v>432</v>
      </c>
      <c r="G67" s="306" t="n">
        <v>48</v>
      </c>
      <c r="H67" s="325" t="n">
        <v>338.842975206612</v>
      </c>
      <c r="I67" s="473"/>
      <c r="J67" s="313" t="n">
        <v>0</v>
      </c>
      <c r="K67" s="627" t="n">
        <v>5.484375</v>
      </c>
      <c r="L67" s="410"/>
      <c r="M67" s="506" t="n">
        <v>66</v>
      </c>
      <c r="N67" s="410"/>
      <c r="O67" s="313" t="n">
        <v>142</v>
      </c>
      <c r="P67" s="474" t="n">
        <v>263.25</v>
      </c>
      <c r="Q67" s="377"/>
      <c r="R67" s="410"/>
      <c r="V67" s="517"/>
    </row>
    <row r="68" customFormat="false" ht="12.75" hidden="false" customHeight="false" outlineLevel="0" collapsed="false">
      <c r="A68" s="626"/>
      <c r="B68" s="305" t="s">
        <v>450</v>
      </c>
      <c r="C68" s="305" t="s">
        <v>457</v>
      </c>
      <c r="D68" s="306" t="n">
        <v>1074</v>
      </c>
      <c r="E68" s="306" t="n">
        <v>3.25</v>
      </c>
      <c r="F68" s="305" t="s">
        <v>432</v>
      </c>
      <c r="G68" s="306" t="n">
        <v>24</v>
      </c>
      <c r="H68" s="325" t="n">
        <v>961.98347107438</v>
      </c>
      <c r="I68" s="473"/>
      <c r="J68" s="313" t="n">
        <v>0</v>
      </c>
      <c r="K68" s="627" t="n">
        <v>33.4270833333333</v>
      </c>
      <c r="L68" s="410"/>
      <c r="M68" s="506" t="n">
        <v>112</v>
      </c>
      <c r="N68" s="410"/>
      <c r="O68" s="313" t="n">
        <v>272</v>
      </c>
      <c r="P68" s="474" t="n">
        <v>802.25</v>
      </c>
      <c r="Q68" s="377"/>
      <c r="R68" s="410"/>
      <c r="V68" s="517"/>
    </row>
    <row r="69" customFormat="false" ht="12.75" hidden="false" customHeight="false" outlineLevel="0" collapsed="false">
      <c r="A69" s="626"/>
      <c r="B69" s="305" t="s">
        <v>450</v>
      </c>
      <c r="C69" s="305" t="s">
        <v>457</v>
      </c>
      <c r="D69" s="306" t="n">
        <v>1074</v>
      </c>
      <c r="E69" s="306" t="n">
        <v>3.25</v>
      </c>
      <c r="F69" s="305" t="s">
        <v>432</v>
      </c>
      <c r="G69" s="306" t="n">
        <v>48</v>
      </c>
      <c r="H69" s="325" t="n">
        <v>961.98347107438</v>
      </c>
      <c r="I69" s="473"/>
      <c r="J69" s="313" t="n">
        <v>0</v>
      </c>
      <c r="K69" s="627" t="n">
        <v>16.7135416666667</v>
      </c>
      <c r="L69" s="410"/>
      <c r="M69" s="506" t="n">
        <v>112</v>
      </c>
      <c r="N69" s="410"/>
      <c r="O69" s="313" t="n">
        <v>272</v>
      </c>
      <c r="P69" s="474" t="n">
        <v>802.25</v>
      </c>
      <c r="Q69" s="377"/>
      <c r="R69" s="410"/>
      <c r="V69" s="517"/>
    </row>
    <row r="70" customFormat="false" ht="12.75" hidden="false" customHeight="false" outlineLevel="0" collapsed="false">
      <c r="A70" s="626"/>
      <c r="B70" s="305" t="s">
        <v>112</v>
      </c>
      <c r="C70" s="305" t="s">
        <v>431</v>
      </c>
      <c r="D70" s="306" t="n">
        <v>883</v>
      </c>
      <c r="E70" s="306" t="n">
        <v>3.25</v>
      </c>
      <c r="F70" s="305" t="s">
        <v>432</v>
      </c>
      <c r="G70" s="306" t="n">
        <v>24</v>
      </c>
      <c r="H70" s="325" t="n">
        <v>673.553719008264</v>
      </c>
      <c r="I70" s="473"/>
      <c r="J70" s="313" t="n">
        <v>0</v>
      </c>
      <c r="K70" s="627" t="n">
        <v>23.6354166666667</v>
      </c>
      <c r="L70" s="410"/>
      <c r="M70" s="506" t="n">
        <v>209</v>
      </c>
      <c r="N70" s="410"/>
      <c r="O70" s="313" t="n">
        <v>316</v>
      </c>
      <c r="P70" s="474" t="n">
        <v>567.25</v>
      </c>
      <c r="Q70" s="377"/>
      <c r="R70" s="410"/>
      <c r="V70" s="517"/>
    </row>
    <row r="71" customFormat="false" ht="12.75" hidden="false" customHeight="false" outlineLevel="0" collapsed="false">
      <c r="A71" s="626"/>
      <c r="B71" s="305" t="s">
        <v>112</v>
      </c>
      <c r="C71" s="305" t="s">
        <v>431</v>
      </c>
      <c r="D71" s="306" t="n">
        <v>883</v>
      </c>
      <c r="E71" s="306" t="n">
        <v>3.25</v>
      </c>
      <c r="F71" s="305" t="s">
        <v>432</v>
      </c>
      <c r="G71" s="306" t="n">
        <v>48</v>
      </c>
      <c r="H71" s="325" t="n">
        <v>673.553719008264</v>
      </c>
      <c r="I71" s="473"/>
      <c r="J71" s="313" t="n">
        <v>0</v>
      </c>
      <c r="K71" s="627" t="n">
        <v>11.8177083333333</v>
      </c>
      <c r="L71" s="410"/>
      <c r="M71" s="506" t="n">
        <v>209</v>
      </c>
      <c r="N71" s="410"/>
      <c r="O71" s="313" t="n">
        <v>316</v>
      </c>
      <c r="P71" s="474" t="n">
        <v>567.25</v>
      </c>
      <c r="Q71" s="377"/>
      <c r="R71" s="410"/>
      <c r="V71" s="517"/>
    </row>
    <row r="72" customFormat="false" ht="12.75" hidden="false" customHeight="false" outlineLevel="0" collapsed="false">
      <c r="A72" s="626"/>
      <c r="B72" s="305" t="s">
        <v>112</v>
      </c>
      <c r="C72" s="305" t="s">
        <v>435</v>
      </c>
      <c r="D72" s="306" t="n">
        <v>883</v>
      </c>
      <c r="E72" s="306" t="n">
        <v>3.25</v>
      </c>
      <c r="F72" s="305" t="s">
        <v>432</v>
      </c>
      <c r="G72" s="306" t="n">
        <v>24</v>
      </c>
      <c r="H72" s="325" t="n">
        <v>789.256198347107</v>
      </c>
      <c r="I72" s="473"/>
      <c r="J72" s="313" t="n">
        <v>0</v>
      </c>
      <c r="K72" s="627" t="n">
        <v>26.8020833333333</v>
      </c>
      <c r="L72" s="410"/>
      <c r="M72" s="506" t="n">
        <v>94</v>
      </c>
      <c r="N72" s="410"/>
      <c r="O72" s="313" t="n">
        <v>240</v>
      </c>
      <c r="P72" s="474" t="n">
        <v>643.25</v>
      </c>
      <c r="Q72" s="377"/>
      <c r="R72" s="410"/>
      <c r="V72" s="517"/>
    </row>
    <row r="73" customFormat="false" ht="12.75" hidden="false" customHeight="false" outlineLevel="0" collapsed="false">
      <c r="A73" s="626"/>
      <c r="B73" s="305" t="s">
        <v>112</v>
      </c>
      <c r="C73" s="305" t="s">
        <v>435</v>
      </c>
      <c r="D73" s="306" t="n">
        <v>883</v>
      </c>
      <c r="E73" s="306" t="n">
        <v>3.25</v>
      </c>
      <c r="F73" s="305" t="s">
        <v>432</v>
      </c>
      <c r="G73" s="306" t="n">
        <v>48</v>
      </c>
      <c r="H73" s="325" t="n">
        <v>789.256198347107</v>
      </c>
      <c r="I73" s="473"/>
      <c r="J73" s="313" t="n">
        <v>0</v>
      </c>
      <c r="K73" s="627" t="n">
        <v>13.4010416666667</v>
      </c>
      <c r="L73" s="410"/>
      <c r="M73" s="506" t="n">
        <v>94</v>
      </c>
      <c r="N73" s="410"/>
      <c r="O73" s="313" t="n">
        <v>240</v>
      </c>
      <c r="P73" s="474" t="n">
        <v>643.25</v>
      </c>
      <c r="Q73" s="377"/>
      <c r="R73" s="410"/>
      <c r="V73" s="517"/>
    </row>
    <row r="74" customFormat="false" ht="12.75" hidden="false" customHeight="false" outlineLevel="0" collapsed="false">
      <c r="A74" s="626"/>
      <c r="B74" s="305" t="s">
        <v>112</v>
      </c>
      <c r="C74" s="305" t="s">
        <v>436</v>
      </c>
      <c r="D74" s="306" t="n">
        <v>983</v>
      </c>
      <c r="E74" s="306" t="n">
        <v>3.25</v>
      </c>
      <c r="F74" s="305" t="s">
        <v>432</v>
      </c>
      <c r="G74" s="306" t="n">
        <v>24</v>
      </c>
      <c r="H74" s="325" t="n">
        <v>902.479338842975</v>
      </c>
      <c r="I74" s="473"/>
      <c r="J74" s="313" t="n">
        <v>0</v>
      </c>
      <c r="K74" s="627" t="n">
        <v>30.96875</v>
      </c>
      <c r="L74" s="410"/>
      <c r="M74" s="506" t="n">
        <v>81</v>
      </c>
      <c r="N74" s="410"/>
      <c r="O74" s="313" t="n">
        <v>240</v>
      </c>
      <c r="P74" s="474" t="n">
        <v>743.25</v>
      </c>
      <c r="Q74" s="377"/>
      <c r="R74" s="410"/>
      <c r="V74" s="517"/>
    </row>
    <row r="75" customFormat="false" ht="12.75" hidden="false" customHeight="false" outlineLevel="0" collapsed="false">
      <c r="A75" s="626"/>
      <c r="B75" s="305" t="s">
        <v>112</v>
      </c>
      <c r="C75" s="305" t="s">
        <v>436</v>
      </c>
      <c r="D75" s="306" t="n">
        <v>983</v>
      </c>
      <c r="E75" s="306" t="n">
        <v>3.25</v>
      </c>
      <c r="F75" s="305" t="s">
        <v>432</v>
      </c>
      <c r="G75" s="306" t="n">
        <v>48</v>
      </c>
      <c r="H75" s="325" t="n">
        <v>902.479338842975</v>
      </c>
      <c r="I75" s="473"/>
      <c r="J75" s="313" t="n">
        <v>0</v>
      </c>
      <c r="K75" s="627" t="n">
        <v>15.484375</v>
      </c>
      <c r="L75" s="410"/>
      <c r="M75" s="506" t="n">
        <v>81</v>
      </c>
      <c r="N75" s="410"/>
      <c r="O75" s="313" t="n">
        <v>240</v>
      </c>
      <c r="P75" s="474" t="n">
        <v>743.25</v>
      </c>
      <c r="Q75" s="377"/>
      <c r="R75" s="410"/>
      <c r="V75" s="517"/>
    </row>
    <row r="76" customFormat="false" ht="12.75" hidden="false" customHeight="false" outlineLevel="0" collapsed="false">
      <c r="A76" s="626"/>
      <c r="B76" s="305" t="s">
        <v>112</v>
      </c>
      <c r="C76" s="305" t="s">
        <v>437</v>
      </c>
      <c r="D76" s="306" t="n">
        <v>998</v>
      </c>
      <c r="E76" s="306" t="n">
        <v>3.25</v>
      </c>
      <c r="F76" s="305" t="s">
        <v>432</v>
      </c>
      <c r="G76" s="306" t="n">
        <v>24</v>
      </c>
      <c r="H76" s="325" t="n">
        <v>917.355371900826</v>
      </c>
      <c r="I76" s="473"/>
      <c r="J76" s="313" t="n">
        <v>0</v>
      </c>
      <c r="K76" s="627" t="n">
        <v>31.59375</v>
      </c>
      <c r="L76" s="410"/>
      <c r="M76" s="506" t="n">
        <v>81</v>
      </c>
      <c r="N76" s="410"/>
      <c r="O76" s="313" t="n">
        <v>240</v>
      </c>
      <c r="P76" s="474" t="n">
        <v>758.25</v>
      </c>
      <c r="Q76" s="377"/>
      <c r="R76" s="410"/>
      <c r="V76" s="517"/>
    </row>
    <row r="77" customFormat="false" ht="12.75" hidden="false" customHeight="false" outlineLevel="0" collapsed="false">
      <c r="A77" s="626"/>
      <c r="B77" s="305" t="s">
        <v>112</v>
      </c>
      <c r="C77" s="305" t="s">
        <v>437</v>
      </c>
      <c r="D77" s="306" t="n">
        <v>998</v>
      </c>
      <c r="E77" s="306" t="n">
        <v>3.25</v>
      </c>
      <c r="F77" s="305" t="s">
        <v>432</v>
      </c>
      <c r="G77" s="306" t="n">
        <v>48</v>
      </c>
      <c r="H77" s="325" t="n">
        <v>917.355371900826</v>
      </c>
      <c r="I77" s="473"/>
      <c r="J77" s="313" t="n">
        <v>0</v>
      </c>
      <c r="K77" s="627" t="n">
        <v>15.796875</v>
      </c>
      <c r="L77" s="410"/>
      <c r="M77" s="506" t="n">
        <v>81</v>
      </c>
      <c r="N77" s="410"/>
      <c r="O77" s="313" t="n">
        <v>240</v>
      </c>
      <c r="P77" s="474" t="n">
        <v>758.25</v>
      </c>
      <c r="Q77" s="377"/>
      <c r="R77" s="410"/>
      <c r="V77" s="517"/>
    </row>
    <row r="78" customFormat="false" ht="12.75" hidden="false" customHeight="false" outlineLevel="0" collapsed="false">
      <c r="A78" s="626"/>
      <c r="B78" s="305" t="s">
        <v>112</v>
      </c>
      <c r="C78" s="305" t="s">
        <v>438</v>
      </c>
      <c r="D78" s="306" t="n">
        <v>1097</v>
      </c>
      <c r="E78" s="306" t="n">
        <v>3.25</v>
      </c>
      <c r="F78" s="305" t="s">
        <v>432</v>
      </c>
      <c r="G78" s="306" t="n">
        <v>24</v>
      </c>
      <c r="H78" s="325" t="n">
        <v>1016.52892561983</v>
      </c>
      <c r="I78" s="473"/>
      <c r="J78" s="313" t="n">
        <v>0</v>
      </c>
      <c r="K78" s="627" t="n">
        <v>35.71875</v>
      </c>
      <c r="L78" s="410"/>
      <c r="M78" s="506" t="n">
        <v>80</v>
      </c>
      <c r="N78" s="410"/>
      <c r="O78" s="313" t="n">
        <v>240</v>
      </c>
      <c r="P78" s="474" t="n">
        <v>857.25</v>
      </c>
      <c r="Q78" s="377"/>
      <c r="R78" s="410"/>
      <c r="V78" s="517"/>
    </row>
    <row r="79" customFormat="false" ht="12.75" hidden="false" customHeight="false" outlineLevel="0" collapsed="false">
      <c r="A79" s="626"/>
      <c r="B79" s="305" t="s">
        <v>112</v>
      </c>
      <c r="C79" s="305" t="s">
        <v>438</v>
      </c>
      <c r="D79" s="306" t="n">
        <v>1097</v>
      </c>
      <c r="E79" s="306" t="n">
        <v>3.25</v>
      </c>
      <c r="F79" s="305" t="s">
        <v>432</v>
      </c>
      <c r="G79" s="306" t="n">
        <v>48</v>
      </c>
      <c r="H79" s="325" t="n">
        <v>1016.52892561983</v>
      </c>
      <c r="I79" s="473"/>
      <c r="J79" s="313" t="n">
        <v>0</v>
      </c>
      <c r="K79" s="627" t="n">
        <v>17.859375</v>
      </c>
      <c r="L79" s="410"/>
      <c r="M79" s="506" t="n">
        <v>80</v>
      </c>
      <c r="N79" s="410"/>
      <c r="O79" s="313" t="n">
        <v>240</v>
      </c>
      <c r="P79" s="474" t="n">
        <v>857.25</v>
      </c>
      <c r="Q79" s="377"/>
      <c r="R79" s="410"/>
      <c r="V79" s="517"/>
    </row>
    <row r="80" customFormat="false" ht="12.75" hidden="false" customHeight="false" outlineLevel="0" collapsed="false">
      <c r="A80" s="626"/>
      <c r="B80" s="305" t="s">
        <v>112</v>
      </c>
      <c r="C80" s="305" t="s">
        <v>439</v>
      </c>
      <c r="D80" s="306" t="n">
        <v>1074</v>
      </c>
      <c r="E80" s="306" t="n">
        <v>3.25</v>
      </c>
      <c r="F80" s="305" t="s">
        <v>432</v>
      </c>
      <c r="G80" s="306" t="n">
        <v>24</v>
      </c>
      <c r="H80" s="325" t="n">
        <v>1001.65289256198</v>
      </c>
      <c r="I80" s="473"/>
      <c r="J80" s="313" t="n">
        <v>0</v>
      </c>
      <c r="K80" s="627" t="n">
        <v>35.09375</v>
      </c>
      <c r="L80" s="410"/>
      <c r="M80" s="506" t="n">
        <v>72</v>
      </c>
      <c r="N80" s="410"/>
      <c r="O80" s="313" t="n">
        <v>232</v>
      </c>
      <c r="P80" s="474" t="n">
        <v>842.25</v>
      </c>
      <c r="Q80" s="377"/>
      <c r="R80" s="410"/>
      <c r="V80" s="517"/>
    </row>
    <row r="81" customFormat="false" ht="12.75" hidden="false" customHeight="false" outlineLevel="0" collapsed="false">
      <c r="A81" s="626"/>
      <c r="B81" s="305" t="s">
        <v>112</v>
      </c>
      <c r="C81" s="305" t="s">
        <v>439</v>
      </c>
      <c r="D81" s="306" t="n">
        <v>1074</v>
      </c>
      <c r="E81" s="306" t="n">
        <v>3.25</v>
      </c>
      <c r="F81" s="305" t="s">
        <v>432</v>
      </c>
      <c r="G81" s="306" t="n">
        <v>48</v>
      </c>
      <c r="H81" s="325" t="n">
        <v>1001.65289256198</v>
      </c>
      <c r="I81" s="473"/>
      <c r="J81" s="313" t="n">
        <v>0</v>
      </c>
      <c r="K81" s="627" t="n">
        <v>17.546875</v>
      </c>
      <c r="L81" s="410"/>
      <c r="M81" s="506" t="n">
        <v>72</v>
      </c>
      <c r="N81" s="410"/>
      <c r="O81" s="313" t="n">
        <v>232</v>
      </c>
      <c r="P81" s="474" t="n">
        <v>842.25</v>
      </c>
      <c r="Q81" s="377"/>
      <c r="R81" s="410"/>
      <c r="V81" s="517"/>
    </row>
    <row r="82" customFormat="false" ht="12.75" hidden="false" customHeight="false" outlineLevel="0" collapsed="false">
      <c r="A82" s="626"/>
      <c r="B82" s="305" t="s">
        <v>112</v>
      </c>
      <c r="C82" s="305" t="s">
        <v>440</v>
      </c>
      <c r="D82" s="306" t="n">
        <v>1174</v>
      </c>
      <c r="E82" s="306" t="n">
        <v>3.25</v>
      </c>
      <c r="F82" s="305" t="s">
        <v>432</v>
      </c>
      <c r="G82" s="306" t="n">
        <v>24</v>
      </c>
      <c r="H82" s="325" t="n">
        <v>1101.65289256198</v>
      </c>
      <c r="I82" s="473"/>
      <c r="J82" s="313" t="n">
        <v>0</v>
      </c>
      <c r="K82" s="627" t="n">
        <v>39.2604166666667</v>
      </c>
      <c r="L82" s="410"/>
      <c r="M82" s="506" t="n">
        <v>72</v>
      </c>
      <c r="N82" s="410"/>
      <c r="O82" s="313" t="n">
        <v>232</v>
      </c>
      <c r="P82" s="474" t="n">
        <v>942.25</v>
      </c>
      <c r="Q82" s="377"/>
      <c r="R82" s="410"/>
      <c r="V82" s="517"/>
    </row>
    <row r="83" customFormat="false" ht="12.75" hidden="false" customHeight="false" outlineLevel="0" collapsed="false">
      <c r="A83" s="626"/>
      <c r="B83" s="305" t="s">
        <v>112</v>
      </c>
      <c r="C83" s="305" t="s">
        <v>440</v>
      </c>
      <c r="D83" s="306" t="n">
        <v>1174</v>
      </c>
      <c r="E83" s="306" t="n">
        <v>3.25</v>
      </c>
      <c r="F83" s="305" t="s">
        <v>432</v>
      </c>
      <c r="G83" s="306" t="n">
        <v>48</v>
      </c>
      <c r="H83" s="325" t="n">
        <v>1101.65289256198</v>
      </c>
      <c r="I83" s="473"/>
      <c r="J83" s="313" t="n">
        <v>0</v>
      </c>
      <c r="K83" s="627" t="n">
        <v>19.6302083333333</v>
      </c>
      <c r="L83" s="410"/>
      <c r="M83" s="506" t="n">
        <v>72</v>
      </c>
      <c r="N83" s="410"/>
      <c r="O83" s="313" t="n">
        <v>232</v>
      </c>
      <c r="P83" s="474" t="n">
        <v>942.25</v>
      </c>
      <c r="Q83" s="377"/>
      <c r="R83" s="410"/>
      <c r="V83" s="517"/>
    </row>
    <row r="84" customFormat="false" ht="12.75" hidden="false" customHeight="false" outlineLevel="0" collapsed="false">
      <c r="A84" s="626"/>
      <c r="B84" s="305" t="s">
        <v>112</v>
      </c>
      <c r="C84" s="305" t="s">
        <v>441</v>
      </c>
      <c r="D84" s="306" t="n">
        <v>1265</v>
      </c>
      <c r="E84" s="306" t="n">
        <v>3.25</v>
      </c>
      <c r="F84" s="305" t="s">
        <v>432</v>
      </c>
      <c r="G84" s="306" t="n">
        <v>24</v>
      </c>
      <c r="H84" s="325" t="n">
        <v>1192.56198347107</v>
      </c>
      <c r="I84" s="473"/>
      <c r="J84" s="313" t="n">
        <v>0</v>
      </c>
      <c r="K84" s="627" t="n">
        <v>43.0520833333333</v>
      </c>
      <c r="L84" s="410"/>
      <c r="M84" s="506" t="n">
        <v>72</v>
      </c>
      <c r="N84" s="410"/>
      <c r="O84" s="313" t="n">
        <v>232</v>
      </c>
      <c r="P84" s="474" t="n">
        <v>1033.25</v>
      </c>
      <c r="Q84" s="377"/>
      <c r="R84" s="410"/>
      <c r="V84" s="517"/>
    </row>
    <row r="85" customFormat="false" ht="12.75" hidden="false" customHeight="false" outlineLevel="0" collapsed="false">
      <c r="A85" s="626"/>
      <c r="B85" s="305" t="s">
        <v>112</v>
      </c>
      <c r="C85" s="305" t="s">
        <v>441</v>
      </c>
      <c r="D85" s="306" t="n">
        <v>1265</v>
      </c>
      <c r="E85" s="306" t="n">
        <v>3.25</v>
      </c>
      <c r="F85" s="305" t="s">
        <v>432</v>
      </c>
      <c r="G85" s="306" t="n">
        <v>48</v>
      </c>
      <c r="H85" s="325" t="n">
        <v>1192.56198347107</v>
      </c>
      <c r="I85" s="473"/>
      <c r="J85" s="313" t="n">
        <v>0</v>
      </c>
      <c r="K85" s="627" t="n">
        <v>21.5260416666667</v>
      </c>
      <c r="L85" s="410"/>
      <c r="M85" s="506" t="n">
        <v>72</v>
      </c>
      <c r="N85" s="410"/>
      <c r="O85" s="313" t="n">
        <v>232</v>
      </c>
      <c r="P85" s="474" t="n">
        <v>1033.25</v>
      </c>
      <c r="Q85" s="377"/>
      <c r="R85" s="410"/>
      <c r="V85" s="517"/>
    </row>
    <row r="86" customFormat="false" ht="12.75" hidden="false" customHeight="false" outlineLevel="0" collapsed="false">
      <c r="A86" s="626"/>
      <c r="B86" s="305" t="s">
        <v>112</v>
      </c>
      <c r="C86" s="305" t="s">
        <v>442</v>
      </c>
      <c r="D86" s="306" t="n">
        <v>1456</v>
      </c>
      <c r="E86" s="306" t="n">
        <v>3.25</v>
      </c>
      <c r="F86" s="305" t="s">
        <v>432</v>
      </c>
      <c r="G86" s="306" t="n">
        <v>24</v>
      </c>
      <c r="H86" s="325" t="n">
        <v>1383.47107438017</v>
      </c>
      <c r="I86" s="473"/>
      <c r="J86" s="313" t="n">
        <v>0</v>
      </c>
      <c r="K86" s="627" t="n">
        <v>51.0104166666667</v>
      </c>
      <c r="L86" s="410"/>
      <c r="M86" s="506" t="n">
        <v>73</v>
      </c>
      <c r="N86" s="410"/>
      <c r="O86" s="313" t="n">
        <v>232</v>
      </c>
      <c r="P86" s="474" t="n">
        <v>1224.25</v>
      </c>
      <c r="Q86" s="377"/>
      <c r="R86" s="410"/>
      <c r="V86" s="517"/>
    </row>
    <row r="87" customFormat="false" ht="12.75" hidden="false" customHeight="false" outlineLevel="0" collapsed="false">
      <c r="A87" s="626"/>
      <c r="B87" s="305" t="s">
        <v>112</v>
      </c>
      <c r="C87" s="305" t="s">
        <v>442</v>
      </c>
      <c r="D87" s="306" t="n">
        <v>1456</v>
      </c>
      <c r="E87" s="306" t="n">
        <v>3.25</v>
      </c>
      <c r="F87" s="305" t="s">
        <v>432</v>
      </c>
      <c r="G87" s="306" t="n">
        <v>48</v>
      </c>
      <c r="H87" s="325" t="n">
        <v>1383.47107438017</v>
      </c>
      <c r="I87" s="473"/>
      <c r="J87" s="313" t="n">
        <v>0</v>
      </c>
      <c r="K87" s="627" t="n">
        <v>25.5052083333333</v>
      </c>
      <c r="L87" s="410"/>
      <c r="M87" s="506" t="n">
        <v>73</v>
      </c>
      <c r="N87" s="410"/>
      <c r="O87" s="313" t="n">
        <v>232</v>
      </c>
      <c r="P87" s="474" t="n">
        <v>1224.25</v>
      </c>
      <c r="Q87" s="377"/>
      <c r="R87" s="410"/>
      <c r="V87" s="517"/>
    </row>
    <row r="88" customFormat="false" ht="12.75" hidden="false" customHeight="false" outlineLevel="0" collapsed="false">
      <c r="A88" s="626"/>
      <c r="B88" s="305" t="s">
        <v>112</v>
      </c>
      <c r="C88" s="305" t="s">
        <v>433</v>
      </c>
      <c r="D88" s="306" t="n">
        <v>639</v>
      </c>
      <c r="E88" s="306" t="n">
        <v>3.25</v>
      </c>
      <c r="F88" s="305" t="s">
        <v>432</v>
      </c>
      <c r="G88" s="306" t="n">
        <v>24</v>
      </c>
      <c r="H88" s="325" t="n">
        <v>586.776859504132</v>
      </c>
      <c r="I88" s="473"/>
      <c r="J88" s="313" t="n">
        <v>0</v>
      </c>
      <c r="K88" s="627" t="n">
        <v>22.1770833333333</v>
      </c>
      <c r="L88" s="410"/>
      <c r="M88" s="506" t="n">
        <v>52</v>
      </c>
      <c r="N88" s="410"/>
      <c r="O88" s="313" t="n">
        <v>107</v>
      </c>
      <c r="P88" s="474" t="n">
        <v>532.25</v>
      </c>
      <c r="Q88" s="377"/>
      <c r="R88" s="410"/>
      <c r="V88" s="517"/>
    </row>
    <row r="89" customFormat="false" ht="12.75" hidden="false" customHeight="false" outlineLevel="0" collapsed="false">
      <c r="A89" s="626"/>
      <c r="B89" s="305" t="s">
        <v>112</v>
      </c>
      <c r="C89" s="305" t="s">
        <v>433</v>
      </c>
      <c r="D89" s="306" t="n">
        <v>639</v>
      </c>
      <c r="E89" s="306" t="n">
        <v>3.25</v>
      </c>
      <c r="F89" s="305" t="s">
        <v>432</v>
      </c>
      <c r="G89" s="306" t="n">
        <v>48</v>
      </c>
      <c r="H89" s="325" t="n">
        <v>586.776859504132</v>
      </c>
      <c r="I89" s="473"/>
      <c r="J89" s="313" t="n">
        <v>0</v>
      </c>
      <c r="K89" s="627" t="n">
        <v>11.0885416666667</v>
      </c>
      <c r="L89" s="410"/>
      <c r="M89" s="506" t="n">
        <v>52</v>
      </c>
      <c r="N89" s="410"/>
      <c r="O89" s="313" t="n">
        <v>107</v>
      </c>
      <c r="P89" s="474" t="n">
        <v>532.25</v>
      </c>
      <c r="Q89" s="377"/>
      <c r="R89" s="410"/>
      <c r="V89" s="517"/>
    </row>
    <row r="90" customFormat="false" ht="12.75" hidden="false" customHeight="false" outlineLevel="0" collapsed="false">
      <c r="A90" s="626"/>
      <c r="B90" s="305" t="s">
        <v>112</v>
      </c>
      <c r="C90" s="305" t="s">
        <v>434</v>
      </c>
      <c r="D90" s="306" t="n">
        <v>779</v>
      </c>
      <c r="E90" s="306" t="n">
        <v>3.25</v>
      </c>
      <c r="F90" s="305" t="s">
        <v>432</v>
      </c>
      <c r="G90" s="306" t="n">
        <v>24</v>
      </c>
      <c r="H90" s="325" t="n">
        <v>697.520661157025</v>
      </c>
      <c r="I90" s="473"/>
      <c r="J90" s="313" t="n">
        <v>0</v>
      </c>
      <c r="K90" s="627" t="n">
        <v>26.34375</v>
      </c>
      <c r="L90" s="410"/>
      <c r="M90" s="506" t="n">
        <v>81</v>
      </c>
      <c r="N90" s="410"/>
      <c r="O90" s="313" t="n">
        <v>147</v>
      </c>
      <c r="P90" s="474" t="n">
        <v>632.25</v>
      </c>
      <c r="Q90" s="377"/>
      <c r="R90" s="410"/>
      <c r="V90" s="517"/>
    </row>
    <row r="91" customFormat="false" ht="12.75" hidden="false" customHeight="false" outlineLevel="0" collapsed="false">
      <c r="A91" s="626"/>
      <c r="B91" s="305" t="s">
        <v>112</v>
      </c>
      <c r="C91" s="305" t="s">
        <v>434</v>
      </c>
      <c r="D91" s="306" t="n">
        <v>779</v>
      </c>
      <c r="E91" s="306" t="n">
        <v>3.25</v>
      </c>
      <c r="F91" s="305" t="s">
        <v>432</v>
      </c>
      <c r="G91" s="306" t="n">
        <v>48</v>
      </c>
      <c r="H91" s="325" t="n">
        <v>697.520661157025</v>
      </c>
      <c r="I91" s="473"/>
      <c r="J91" s="313" t="n">
        <v>0</v>
      </c>
      <c r="K91" s="627" t="n">
        <v>13.171875</v>
      </c>
      <c r="L91" s="410"/>
      <c r="M91" s="506" t="n">
        <v>81</v>
      </c>
      <c r="N91" s="410"/>
      <c r="O91" s="313" t="n">
        <v>147</v>
      </c>
      <c r="P91" s="474" t="n">
        <v>632.25</v>
      </c>
      <c r="Q91" s="377"/>
      <c r="R91" s="410"/>
      <c r="V91" s="517"/>
    </row>
    <row r="92" customFormat="false" ht="12.75" hidden="false" customHeight="false" outlineLevel="0" collapsed="false">
      <c r="A92" s="626"/>
      <c r="B92" s="305" t="s">
        <v>211</v>
      </c>
      <c r="C92" s="305" t="s">
        <v>458</v>
      </c>
      <c r="D92" s="306" t="n">
        <v>481</v>
      </c>
      <c r="E92" s="306" t="n">
        <v>3.25</v>
      </c>
      <c r="F92" s="305" t="s">
        <v>432</v>
      </c>
      <c r="G92" s="306" t="n">
        <v>24</v>
      </c>
      <c r="H92" s="325" t="n">
        <v>420.661157024793</v>
      </c>
      <c r="I92" s="473"/>
      <c r="J92" s="313" t="n">
        <v>0</v>
      </c>
      <c r="K92" s="627" t="n">
        <v>11.87625</v>
      </c>
      <c r="L92" s="410"/>
      <c r="M92" s="506" t="n">
        <v>60</v>
      </c>
      <c r="N92" s="410"/>
      <c r="O92" s="313" t="n">
        <v>196</v>
      </c>
      <c r="P92" s="474" t="n">
        <v>285.03</v>
      </c>
      <c r="Q92" s="377"/>
      <c r="R92" s="410"/>
      <c r="V92" s="517"/>
    </row>
    <row r="93" s="218" customFormat="true" ht="12.75" hidden="false" customHeight="false" outlineLevel="0" collapsed="false">
      <c r="A93" s="626"/>
      <c r="B93" s="305" t="s">
        <v>211</v>
      </c>
      <c r="C93" s="305" t="s">
        <v>458</v>
      </c>
      <c r="D93" s="306" t="n">
        <v>481</v>
      </c>
      <c r="E93" s="306" t="n">
        <v>3.25</v>
      </c>
      <c r="F93" s="305" t="s">
        <v>432</v>
      </c>
      <c r="G93" s="306" t="n">
        <v>48</v>
      </c>
      <c r="H93" s="325" t="n">
        <v>420.661157024793</v>
      </c>
      <c r="I93" s="473"/>
      <c r="J93" s="313" t="n">
        <v>0</v>
      </c>
      <c r="K93" s="627" t="n">
        <v>5.938125</v>
      </c>
      <c r="L93" s="410"/>
      <c r="M93" s="506" t="n">
        <v>60</v>
      </c>
      <c r="N93" s="410"/>
      <c r="O93" s="313" t="n">
        <v>196</v>
      </c>
      <c r="P93" s="474" t="n">
        <v>285.03</v>
      </c>
      <c r="Q93" s="377"/>
      <c r="R93" s="410"/>
      <c r="S93" s="15"/>
      <c r="T93" s="15"/>
      <c r="U93" s="15"/>
      <c r="V93" s="629"/>
    </row>
    <row r="94" s="218" customFormat="true" ht="12.75" hidden="false" customHeight="false" outlineLevel="0" collapsed="false">
      <c r="A94" s="626"/>
      <c r="B94" s="305" t="s">
        <v>211</v>
      </c>
      <c r="C94" s="305" t="s">
        <v>459</v>
      </c>
      <c r="D94" s="306" t="n">
        <v>658</v>
      </c>
      <c r="E94" s="306" t="n">
        <v>3.25</v>
      </c>
      <c r="F94" s="305" t="s">
        <v>432</v>
      </c>
      <c r="G94" s="306" t="n">
        <v>24</v>
      </c>
      <c r="H94" s="325" t="n">
        <v>429.752066115703</v>
      </c>
      <c r="I94" s="473"/>
      <c r="J94" s="313" t="n">
        <v>0</v>
      </c>
      <c r="K94" s="627" t="n">
        <v>14.3354166666667</v>
      </c>
      <c r="L94" s="410"/>
      <c r="M94" s="506" t="n">
        <v>228</v>
      </c>
      <c r="N94" s="410"/>
      <c r="O94" s="313" t="n">
        <v>314</v>
      </c>
      <c r="P94" s="474" t="n">
        <v>344.05</v>
      </c>
      <c r="Q94" s="377"/>
      <c r="R94" s="410"/>
      <c r="S94" s="15"/>
      <c r="T94" s="15"/>
      <c r="U94" s="15"/>
      <c r="V94" s="629"/>
    </row>
    <row r="95" s="218" customFormat="true" ht="12.75" hidden="false" customHeight="false" outlineLevel="0" collapsed="false">
      <c r="A95" s="626"/>
      <c r="B95" s="305" t="s">
        <v>211</v>
      </c>
      <c r="C95" s="305" t="s">
        <v>459</v>
      </c>
      <c r="D95" s="306" t="n">
        <v>658</v>
      </c>
      <c r="E95" s="306" t="n">
        <v>3.25</v>
      </c>
      <c r="F95" s="305" t="s">
        <v>432</v>
      </c>
      <c r="G95" s="306" t="n">
        <v>48</v>
      </c>
      <c r="H95" s="325" t="n">
        <v>429.752066115703</v>
      </c>
      <c r="I95" s="473"/>
      <c r="J95" s="313" t="n">
        <v>0</v>
      </c>
      <c r="K95" s="627" t="n">
        <v>7.16770833333333</v>
      </c>
      <c r="L95" s="410"/>
      <c r="M95" s="506" t="n">
        <v>228</v>
      </c>
      <c r="N95" s="410"/>
      <c r="O95" s="313" t="n">
        <v>314</v>
      </c>
      <c r="P95" s="474" t="n">
        <v>344.05</v>
      </c>
      <c r="Q95" s="377"/>
      <c r="R95" s="410"/>
      <c r="S95" s="15"/>
      <c r="T95" s="15"/>
      <c r="U95" s="15"/>
      <c r="V95" s="629"/>
    </row>
    <row r="96" customFormat="false" ht="12.75" hidden="false" customHeight="false" outlineLevel="0" collapsed="false">
      <c r="A96" s="626"/>
      <c r="B96" s="305" t="s">
        <v>211</v>
      </c>
      <c r="C96" s="305" t="s">
        <v>460</v>
      </c>
      <c r="D96" s="306" t="n">
        <v>183</v>
      </c>
      <c r="E96" s="306" t="n">
        <v>3.25</v>
      </c>
      <c r="F96" s="305" t="s">
        <v>432</v>
      </c>
      <c r="G96" s="306" t="n">
        <v>24</v>
      </c>
      <c r="H96" s="325" t="n">
        <v>132.231404958678</v>
      </c>
      <c r="I96" s="473"/>
      <c r="J96" s="313" t="n">
        <v>0</v>
      </c>
      <c r="K96" s="627" t="n">
        <v>3.65791666666667</v>
      </c>
      <c r="L96" s="410"/>
      <c r="M96" s="506" t="n">
        <v>51</v>
      </c>
      <c r="N96" s="410"/>
      <c r="O96" s="313" t="n">
        <v>95</v>
      </c>
      <c r="P96" s="474" t="n">
        <v>87.79</v>
      </c>
      <c r="Q96" s="377"/>
      <c r="R96" s="410"/>
      <c r="V96" s="517"/>
    </row>
    <row r="97" customFormat="false" ht="12.75" hidden="false" customHeight="false" outlineLevel="0" collapsed="false">
      <c r="A97" s="626"/>
      <c r="B97" s="305" t="s">
        <v>211</v>
      </c>
      <c r="C97" s="305" t="s">
        <v>460</v>
      </c>
      <c r="D97" s="306" t="n">
        <v>183</v>
      </c>
      <c r="E97" s="306" t="n">
        <v>3.25</v>
      </c>
      <c r="F97" s="305" t="s">
        <v>432</v>
      </c>
      <c r="G97" s="306" t="n">
        <v>48</v>
      </c>
      <c r="H97" s="325" t="n">
        <v>132.231404958678</v>
      </c>
      <c r="I97" s="473"/>
      <c r="J97" s="313" t="n">
        <v>0</v>
      </c>
      <c r="K97" s="627" t="n">
        <v>1.82895833333333</v>
      </c>
      <c r="L97" s="410"/>
      <c r="M97" s="506" t="n">
        <v>51</v>
      </c>
      <c r="N97" s="410"/>
      <c r="O97" s="313" t="n">
        <v>95</v>
      </c>
      <c r="P97" s="474" t="n">
        <v>87.79</v>
      </c>
      <c r="Q97" s="377"/>
      <c r="R97" s="410"/>
      <c r="V97" s="517"/>
    </row>
    <row r="98" customFormat="false" ht="12.75" hidden="false" customHeight="false" outlineLevel="0" collapsed="false">
      <c r="A98" s="626"/>
      <c r="B98" s="305" t="s">
        <v>211</v>
      </c>
      <c r="C98" s="305" t="s">
        <v>461</v>
      </c>
      <c r="D98" s="306" t="n">
        <v>255</v>
      </c>
      <c r="E98" s="306" t="n">
        <v>3.25</v>
      </c>
      <c r="F98" s="305" t="s">
        <v>432</v>
      </c>
      <c r="G98" s="306" t="n">
        <v>24</v>
      </c>
      <c r="H98" s="325" t="n">
        <v>177.685950413223</v>
      </c>
      <c r="I98" s="473"/>
      <c r="J98" s="313" t="n">
        <v>0</v>
      </c>
      <c r="K98" s="627" t="n">
        <v>5.36458333333333</v>
      </c>
      <c r="L98" s="410"/>
      <c r="M98" s="506" t="n">
        <v>77</v>
      </c>
      <c r="N98" s="410"/>
      <c r="O98" s="313" t="n">
        <v>126</v>
      </c>
      <c r="P98" s="474" t="n">
        <v>128.75</v>
      </c>
      <c r="Q98" s="377"/>
      <c r="R98" s="410"/>
      <c r="V98" s="517"/>
    </row>
    <row r="99" customFormat="false" ht="12.75" hidden="false" customHeight="false" outlineLevel="0" collapsed="false">
      <c r="A99" s="626"/>
      <c r="B99" s="305" t="s">
        <v>211</v>
      </c>
      <c r="C99" s="305" t="s">
        <v>461</v>
      </c>
      <c r="D99" s="306" t="n">
        <v>255</v>
      </c>
      <c r="E99" s="306" t="n">
        <v>3.25</v>
      </c>
      <c r="F99" s="305" t="s">
        <v>432</v>
      </c>
      <c r="G99" s="306" t="n">
        <v>48</v>
      </c>
      <c r="H99" s="325" t="n">
        <v>177.685950413223</v>
      </c>
      <c r="I99" s="473"/>
      <c r="J99" s="313" t="n">
        <v>0</v>
      </c>
      <c r="K99" s="627" t="n">
        <v>2.68229166666667</v>
      </c>
      <c r="L99" s="410"/>
      <c r="M99" s="506" t="n">
        <v>77</v>
      </c>
      <c r="N99" s="410"/>
      <c r="O99" s="313" t="n">
        <v>126</v>
      </c>
      <c r="P99" s="474" t="n">
        <v>128.75</v>
      </c>
      <c r="Q99" s="377"/>
      <c r="R99" s="410"/>
      <c r="V99" s="517"/>
    </row>
    <row r="100" customFormat="false" ht="12.75" hidden="false" customHeight="false" outlineLevel="0" collapsed="false">
      <c r="A100" s="626"/>
      <c r="B100" s="305" t="s">
        <v>211</v>
      </c>
      <c r="C100" s="305" t="s">
        <v>462</v>
      </c>
      <c r="D100" s="306" t="n">
        <v>353</v>
      </c>
      <c r="E100" s="306" t="n">
        <v>3.25</v>
      </c>
      <c r="F100" s="305" t="s">
        <v>432</v>
      </c>
      <c r="G100" s="306" t="n">
        <v>24</v>
      </c>
      <c r="H100" s="325" t="n">
        <v>312.396694214876</v>
      </c>
      <c r="I100" s="473"/>
      <c r="J100" s="313" t="n">
        <v>0</v>
      </c>
      <c r="K100" s="627" t="n">
        <v>9.88583333333333</v>
      </c>
      <c r="L100" s="410"/>
      <c r="M100" s="506" t="n">
        <v>41</v>
      </c>
      <c r="N100" s="410"/>
      <c r="O100" s="313" t="n">
        <v>116</v>
      </c>
      <c r="P100" s="474" t="n">
        <v>237.26</v>
      </c>
      <c r="Q100" s="377"/>
      <c r="R100" s="410"/>
      <c r="V100" s="517"/>
    </row>
    <row r="101" customFormat="false" ht="12.75" hidden="false" customHeight="false" outlineLevel="0" collapsed="false">
      <c r="A101" s="626"/>
      <c r="B101" s="305" t="s">
        <v>211</v>
      </c>
      <c r="C101" s="305" t="s">
        <v>462</v>
      </c>
      <c r="D101" s="306" t="n">
        <v>353</v>
      </c>
      <c r="E101" s="306" t="n">
        <v>3.25</v>
      </c>
      <c r="F101" s="305" t="s">
        <v>432</v>
      </c>
      <c r="G101" s="306" t="n">
        <v>48</v>
      </c>
      <c r="H101" s="325" t="n">
        <v>312.396694214876</v>
      </c>
      <c r="I101" s="473"/>
      <c r="J101" s="313" t="n">
        <v>0</v>
      </c>
      <c r="K101" s="627" t="n">
        <v>4.94291666666667</v>
      </c>
      <c r="L101" s="410"/>
      <c r="M101" s="506" t="n">
        <v>41</v>
      </c>
      <c r="N101" s="410"/>
      <c r="O101" s="313" t="n">
        <v>116</v>
      </c>
      <c r="P101" s="474" t="n">
        <v>237.26</v>
      </c>
      <c r="Q101" s="377"/>
      <c r="R101" s="410"/>
      <c r="V101" s="517"/>
    </row>
    <row r="102" customFormat="false" ht="12.75" hidden="false" customHeight="false" outlineLevel="0" collapsed="false">
      <c r="A102" s="626"/>
      <c r="B102" s="305" t="s">
        <v>211</v>
      </c>
      <c r="C102" s="305" t="s">
        <v>463</v>
      </c>
      <c r="D102" s="306" t="n">
        <v>869</v>
      </c>
      <c r="E102" s="306" t="n">
        <v>3.25</v>
      </c>
      <c r="F102" s="305" t="s">
        <v>432</v>
      </c>
      <c r="G102" s="306" t="n">
        <v>24</v>
      </c>
      <c r="H102" s="325" t="n">
        <v>655.371900826446</v>
      </c>
      <c r="I102" s="473"/>
      <c r="J102" s="313" t="n">
        <v>0</v>
      </c>
      <c r="K102" s="627" t="n">
        <v>22.9075</v>
      </c>
      <c r="L102" s="410"/>
      <c r="M102" s="506" t="n">
        <v>214</v>
      </c>
      <c r="N102" s="410"/>
      <c r="O102" s="313" t="n">
        <v>319</v>
      </c>
      <c r="P102" s="474" t="n">
        <v>549.78</v>
      </c>
      <c r="Q102" s="377"/>
      <c r="R102" s="410"/>
      <c r="V102" s="517"/>
    </row>
    <row r="103" customFormat="false" ht="12.75" hidden="false" customHeight="false" outlineLevel="0" collapsed="false">
      <c r="A103" s="626"/>
      <c r="B103" s="305" t="s">
        <v>211</v>
      </c>
      <c r="C103" s="305" t="s">
        <v>463</v>
      </c>
      <c r="D103" s="306" t="n">
        <v>869</v>
      </c>
      <c r="E103" s="306" t="n">
        <v>3.25</v>
      </c>
      <c r="F103" s="305" t="s">
        <v>432</v>
      </c>
      <c r="G103" s="306" t="n">
        <v>48</v>
      </c>
      <c r="H103" s="325" t="n">
        <v>655.371900826446</v>
      </c>
      <c r="I103" s="473"/>
      <c r="J103" s="313" t="n">
        <v>0</v>
      </c>
      <c r="K103" s="627" t="n">
        <v>11.45375</v>
      </c>
      <c r="L103" s="410"/>
      <c r="M103" s="506" t="n">
        <v>214</v>
      </c>
      <c r="N103" s="410"/>
      <c r="O103" s="313" t="n">
        <v>319</v>
      </c>
      <c r="P103" s="474" t="n">
        <v>549.78</v>
      </c>
      <c r="Q103" s="377"/>
      <c r="R103" s="410"/>
      <c r="V103" s="517"/>
    </row>
    <row r="104" customFormat="false" ht="12.75" hidden="false" customHeight="false" outlineLevel="0" collapsed="false">
      <c r="A104" s="626"/>
      <c r="B104" s="305" t="s">
        <v>465</v>
      </c>
      <c r="C104" s="305" t="s">
        <v>466</v>
      </c>
      <c r="D104" s="306" t="n">
        <v>160</v>
      </c>
      <c r="E104" s="306" t="n">
        <v>3.25</v>
      </c>
      <c r="F104" s="305" t="s">
        <v>432</v>
      </c>
      <c r="G104" s="306" t="n">
        <v>24</v>
      </c>
      <c r="H104" s="325" t="n">
        <v>88.4297520661157</v>
      </c>
      <c r="I104" s="473"/>
      <c r="J104" s="313" t="n">
        <v>0</v>
      </c>
      <c r="K104" s="627" t="n">
        <v>2.91583333333333</v>
      </c>
      <c r="L104" s="410"/>
      <c r="M104" s="506" t="n">
        <v>72</v>
      </c>
      <c r="N104" s="410"/>
      <c r="O104" s="313" t="n">
        <v>90</v>
      </c>
      <c r="P104" s="474" t="n">
        <v>69.98</v>
      </c>
      <c r="Q104" s="377"/>
      <c r="R104" s="410"/>
      <c r="V104" s="517"/>
    </row>
    <row r="105" customFormat="false" ht="12.75" hidden="false" customHeight="false" outlineLevel="0" collapsed="false">
      <c r="A105" s="626"/>
      <c r="B105" s="305" t="s">
        <v>465</v>
      </c>
      <c r="C105" s="305" t="s">
        <v>467</v>
      </c>
      <c r="D105" s="306" t="n">
        <v>176</v>
      </c>
      <c r="E105" s="306" t="n">
        <v>3.25</v>
      </c>
      <c r="F105" s="305" t="s">
        <v>432</v>
      </c>
      <c r="G105" s="306" t="n">
        <v>24</v>
      </c>
      <c r="H105" s="325" t="n">
        <v>157.851239669422</v>
      </c>
      <c r="I105" s="473"/>
      <c r="J105" s="313" t="n">
        <v>0</v>
      </c>
      <c r="K105" s="627" t="n">
        <v>3.67416666666667</v>
      </c>
      <c r="L105" s="410"/>
      <c r="M105" s="506" t="n">
        <v>18</v>
      </c>
      <c r="N105" s="410"/>
      <c r="O105" s="313" t="n">
        <v>88</v>
      </c>
      <c r="P105" s="474" t="n">
        <v>88.18</v>
      </c>
      <c r="Q105" s="377"/>
      <c r="R105" s="410"/>
      <c r="V105" s="517"/>
    </row>
    <row r="106" customFormat="false" ht="12.75" hidden="false" customHeight="false" outlineLevel="0" collapsed="false">
      <c r="A106" s="626"/>
      <c r="B106" s="305" t="s">
        <v>465</v>
      </c>
      <c r="C106" s="305" t="s">
        <v>467</v>
      </c>
      <c r="D106" s="306" t="n">
        <v>176</v>
      </c>
      <c r="E106" s="306" t="n">
        <v>3.25</v>
      </c>
      <c r="F106" s="305" t="s">
        <v>432</v>
      </c>
      <c r="G106" s="306" t="n">
        <v>48</v>
      </c>
      <c r="H106" s="325" t="n">
        <v>157.851239669422</v>
      </c>
      <c r="I106" s="473"/>
      <c r="J106" s="313" t="n">
        <v>0</v>
      </c>
      <c r="K106" s="627" t="n">
        <v>1.83708333333333</v>
      </c>
      <c r="L106" s="410"/>
      <c r="M106" s="506" t="n">
        <v>18</v>
      </c>
      <c r="N106" s="410"/>
      <c r="O106" s="313" t="n">
        <v>88</v>
      </c>
      <c r="P106" s="474" t="n">
        <v>88.18</v>
      </c>
      <c r="Q106" s="377"/>
      <c r="R106" s="410"/>
      <c r="V106" s="517"/>
    </row>
    <row r="107" customFormat="false" ht="12.75" hidden="false" customHeight="false" outlineLevel="0" collapsed="false">
      <c r="A107" s="626"/>
      <c r="B107" s="305" t="s">
        <v>465</v>
      </c>
      <c r="C107" s="305" t="s">
        <v>468</v>
      </c>
      <c r="D107" s="306" t="n">
        <v>245</v>
      </c>
      <c r="E107" s="306" t="n">
        <v>3.25</v>
      </c>
      <c r="F107" s="305" t="s">
        <v>432</v>
      </c>
      <c r="G107" s="306" t="n">
        <v>24</v>
      </c>
      <c r="H107" s="325" t="n">
        <v>188.429752066116</v>
      </c>
      <c r="I107" s="473"/>
      <c r="J107" s="313" t="n">
        <v>0</v>
      </c>
      <c r="K107" s="627" t="n">
        <v>6.22166666666667</v>
      </c>
      <c r="L107" s="410"/>
      <c r="M107" s="506" t="n">
        <v>57</v>
      </c>
      <c r="N107" s="410"/>
      <c r="O107" s="313" t="n">
        <v>96</v>
      </c>
      <c r="P107" s="474" t="n">
        <v>149.32</v>
      </c>
      <c r="Q107" s="377"/>
      <c r="R107" s="410"/>
      <c r="V107" s="517"/>
    </row>
    <row r="108" customFormat="false" ht="12.75" hidden="false" customHeight="false" outlineLevel="0" collapsed="false">
      <c r="A108" s="626"/>
      <c r="B108" s="305" t="s">
        <v>465</v>
      </c>
      <c r="C108" s="305" t="s">
        <v>468</v>
      </c>
      <c r="D108" s="306" t="n">
        <v>245</v>
      </c>
      <c r="E108" s="306" t="n">
        <v>3.25</v>
      </c>
      <c r="F108" s="305" t="s">
        <v>432</v>
      </c>
      <c r="G108" s="306" t="n">
        <v>48</v>
      </c>
      <c r="H108" s="325" t="n">
        <v>188.429752066116</v>
      </c>
      <c r="I108" s="473"/>
      <c r="J108" s="313" t="n">
        <v>0</v>
      </c>
      <c r="K108" s="627" t="n">
        <v>3.11083333333333</v>
      </c>
      <c r="L108" s="410"/>
      <c r="M108" s="506" t="n">
        <v>57</v>
      </c>
      <c r="N108" s="410"/>
      <c r="O108" s="313" t="n">
        <v>96</v>
      </c>
      <c r="P108" s="474" t="n">
        <v>149.32</v>
      </c>
      <c r="Q108" s="377"/>
      <c r="R108" s="410"/>
      <c r="V108" s="517"/>
    </row>
    <row r="109" customFormat="false" ht="12.75" hidden="false" customHeight="false" outlineLevel="0" collapsed="false">
      <c r="A109" s="626"/>
      <c r="B109" s="305" t="s">
        <v>465</v>
      </c>
      <c r="C109" s="305" t="s">
        <v>469</v>
      </c>
      <c r="D109" s="306" t="n">
        <v>1072</v>
      </c>
      <c r="E109" s="306" t="n">
        <v>3.25</v>
      </c>
      <c r="F109" s="305" t="s">
        <v>432</v>
      </c>
      <c r="G109" s="306" t="n">
        <v>24</v>
      </c>
      <c r="H109" s="325" t="n">
        <v>935.537190082645</v>
      </c>
      <c r="I109" s="473"/>
      <c r="J109" s="313" t="n">
        <v>0</v>
      </c>
      <c r="K109" s="627" t="n">
        <v>32.3520833333333</v>
      </c>
      <c r="L109" s="410"/>
      <c r="M109" s="506" t="n">
        <v>136</v>
      </c>
      <c r="N109" s="410"/>
      <c r="O109" s="313" t="n">
        <v>296</v>
      </c>
      <c r="P109" s="474" t="n">
        <v>776.45</v>
      </c>
      <c r="Q109" s="377"/>
      <c r="R109" s="410"/>
      <c r="V109" s="517"/>
    </row>
    <row r="110" customFormat="false" ht="12.75" hidden="false" customHeight="false" outlineLevel="0" collapsed="false">
      <c r="A110" s="626"/>
      <c r="B110" s="305" t="s">
        <v>465</v>
      </c>
      <c r="C110" s="305" t="s">
        <v>469</v>
      </c>
      <c r="D110" s="306" t="n">
        <v>1072</v>
      </c>
      <c r="E110" s="306" t="n">
        <v>3.25</v>
      </c>
      <c r="F110" s="305" t="s">
        <v>432</v>
      </c>
      <c r="G110" s="306" t="n">
        <v>48</v>
      </c>
      <c r="H110" s="325" t="n">
        <v>935.537190082645</v>
      </c>
      <c r="I110" s="473"/>
      <c r="J110" s="313" t="n">
        <v>0</v>
      </c>
      <c r="K110" s="627" t="n">
        <v>16.1760416666667</v>
      </c>
      <c r="L110" s="410"/>
      <c r="M110" s="506" t="n">
        <v>136</v>
      </c>
      <c r="N110" s="410"/>
      <c r="O110" s="313" t="n">
        <v>296</v>
      </c>
      <c r="P110" s="474" t="n">
        <v>776.45</v>
      </c>
      <c r="Q110" s="377"/>
      <c r="R110" s="410"/>
      <c r="V110" s="517"/>
    </row>
    <row r="111" customFormat="false" ht="12.75" hidden="false" customHeight="false" outlineLevel="0" collapsed="false">
      <c r="A111" s="626"/>
      <c r="B111" s="305" t="s">
        <v>465</v>
      </c>
      <c r="C111" s="305" t="s">
        <v>470</v>
      </c>
      <c r="D111" s="306" t="n">
        <v>524</v>
      </c>
      <c r="E111" s="306" t="n">
        <v>3.25</v>
      </c>
      <c r="F111" s="305" t="s">
        <v>432</v>
      </c>
      <c r="G111" s="306" t="n">
        <v>24</v>
      </c>
      <c r="H111" s="325" t="n">
        <v>433.05785123967</v>
      </c>
      <c r="I111" s="473"/>
      <c r="J111" s="313" t="n">
        <v>0</v>
      </c>
      <c r="K111" s="627" t="n">
        <v>13.43375</v>
      </c>
      <c r="L111" s="410"/>
      <c r="M111" s="506" t="n">
        <v>91</v>
      </c>
      <c r="N111" s="410"/>
      <c r="O111" s="313" t="n">
        <v>202</v>
      </c>
      <c r="P111" s="474" t="n">
        <v>322.41</v>
      </c>
      <c r="Q111" s="377"/>
      <c r="R111" s="410"/>
      <c r="V111" s="517"/>
    </row>
    <row r="112" customFormat="false" ht="12.75" hidden="false" customHeight="false" outlineLevel="0" collapsed="false">
      <c r="A112" s="626"/>
      <c r="B112" s="305" t="s">
        <v>465</v>
      </c>
      <c r="C112" s="305" t="s">
        <v>470</v>
      </c>
      <c r="D112" s="306" t="n">
        <v>524</v>
      </c>
      <c r="E112" s="306" t="n">
        <v>3.25</v>
      </c>
      <c r="F112" s="305" t="s">
        <v>432</v>
      </c>
      <c r="G112" s="306" t="n">
        <v>48</v>
      </c>
      <c r="H112" s="325" t="n">
        <v>433.05785123967</v>
      </c>
      <c r="I112" s="473"/>
      <c r="J112" s="313" t="n">
        <v>0</v>
      </c>
      <c r="K112" s="627" t="n">
        <v>6.716875</v>
      </c>
      <c r="L112" s="410"/>
      <c r="M112" s="506" t="n">
        <v>91</v>
      </c>
      <c r="N112" s="410"/>
      <c r="O112" s="313" t="n">
        <v>202</v>
      </c>
      <c r="P112" s="474" t="n">
        <v>322.41</v>
      </c>
      <c r="Q112" s="377"/>
      <c r="R112" s="410"/>
      <c r="V112" s="517"/>
    </row>
    <row r="113" customFormat="false" ht="12.75" hidden="false" customHeight="false" outlineLevel="0" collapsed="false">
      <c r="A113" s="626"/>
      <c r="B113" s="305" t="s">
        <v>465</v>
      </c>
      <c r="C113" s="305" t="s">
        <v>471</v>
      </c>
      <c r="D113" s="306" t="n">
        <v>364</v>
      </c>
      <c r="E113" s="306" t="n">
        <v>3.25</v>
      </c>
      <c r="F113" s="305" t="s">
        <v>432</v>
      </c>
      <c r="G113" s="306" t="n">
        <v>24</v>
      </c>
      <c r="H113" s="325" t="n">
        <v>303.305785123967</v>
      </c>
      <c r="I113" s="473"/>
      <c r="J113" s="313" t="n">
        <v>0</v>
      </c>
      <c r="K113" s="627" t="n">
        <v>8.75833333333333</v>
      </c>
      <c r="L113" s="410"/>
      <c r="M113" s="506" t="n">
        <v>61</v>
      </c>
      <c r="N113" s="410"/>
      <c r="O113" s="313" t="n">
        <v>154</v>
      </c>
      <c r="P113" s="474" t="n">
        <v>210.2</v>
      </c>
      <c r="Q113" s="377"/>
      <c r="R113" s="410"/>
      <c r="V113" s="517"/>
    </row>
    <row r="114" customFormat="false" ht="12.75" hidden="false" customHeight="false" outlineLevel="0" collapsed="false">
      <c r="A114" s="626"/>
      <c r="B114" s="305" t="s">
        <v>465</v>
      </c>
      <c r="C114" s="305" t="s">
        <v>471</v>
      </c>
      <c r="D114" s="306" t="n">
        <v>364</v>
      </c>
      <c r="E114" s="306" t="n">
        <v>3.25</v>
      </c>
      <c r="F114" s="305" t="s">
        <v>432</v>
      </c>
      <c r="G114" s="306" t="n">
        <v>48</v>
      </c>
      <c r="H114" s="325" t="n">
        <v>303.305785123967</v>
      </c>
      <c r="I114" s="473"/>
      <c r="J114" s="313" t="n">
        <v>0</v>
      </c>
      <c r="K114" s="627" t="n">
        <v>4.37916666666667</v>
      </c>
      <c r="L114" s="410"/>
      <c r="M114" s="506" t="n">
        <v>61</v>
      </c>
      <c r="N114" s="410"/>
      <c r="O114" s="313" t="n">
        <v>154</v>
      </c>
      <c r="P114" s="474" t="n">
        <v>210.2</v>
      </c>
      <c r="Q114" s="377"/>
      <c r="R114" s="410"/>
      <c r="V114" s="517"/>
    </row>
    <row r="115" customFormat="false" ht="12.75" hidden="false" customHeight="false" outlineLevel="0" collapsed="false">
      <c r="A115" s="626"/>
      <c r="B115" s="305" t="s">
        <v>465</v>
      </c>
      <c r="C115" s="305" t="s">
        <v>472</v>
      </c>
      <c r="D115" s="306" t="n">
        <v>754</v>
      </c>
      <c r="E115" s="306" t="n">
        <v>3.25</v>
      </c>
      <c r="F115" s="305" t="s">
        <v>432</v>
      </c>
      <c r="G115" s="306" t="n">
        <v>24</v>
      </c>
      <c r="H115" s="325" t="n">
        <v>613.223140495868</v>
      </c>
      <c r="I115" s="473"/>
      <c r="J115" s="313" t="n">
        <v>0</v>
      </c>
      <c r="K115" s="627" t="n">
        <v>19.8925</v>
      </c>
      <c r="L115" s="410"/>
      <c r="M115" s="506" t="n">
        <v>141</v>
      </c>
      <c r="N115" s="410"/>
      <c r="O115" s="313" t="n">
        <v>277</v>
      </c>
      <c r="P115" s="474" t="n">
        <v>477.42</v>
      </c>
      <c r="Q115" s="377"/>
      <c r="R115" s="410"/>
      <c r="V115" s="517"/>
    </row>
    <row r="116" customFormat="false" ht="12.75" hidden="false" customHeight="false" outlineLevel="0" collapsed="false">
      <c r="A116" s="626"/>
      <c r="B116" s="305" t="s">
        <v>465</v>
      </c>
      <c r="C116" s="305" t="s">
        <v>472</v>
      </c>
      <c r="D116" s="306" t="n">
        <v>754</v>
      </c>
      <c r="E116" s="306" t="n">
        <v>3.25</v>
      </c>
      <c r="F116" s="305" t="s">
        <v>432</v>
      </c>
      <c r="G116" s="306" t="n">
        <v>48</v>
      </c>
      <c r="H116" s="325" t="n">
        <v>613.223140495868</v>
      </c>
      <c r="I116" s="473"/>
      <c r="J116" s="313" t="n">
        <v>0</v>
      </c>
      <c r="K116" s="627" t="n">
        <v>9.94625</v>
      </c>
      <c r="L116" s="410"/>
      <c r="M116" s="506" t="n">
        <v>141</v>
      </c>
      <c r="N116" s="410"/>
      <c r="O116" s="313" t="n">
        <v>277</v>
      </c>
      <c r="P116" s="474" t="n">
        <v>477.42</v>
      </c>
      <c r="Q116" s="377"/>
      <c r="R116" s="410"/>
      <c r="V116" s="517"/>
    </row>
    <row r="117" customFormat="false" ht="12.75" hidden="false" customHeight="false" outlineLevel="0" collapsed="false">
      <c r="A117" s="626"/>
      <c r="B117" s="305" t="s">
        <v>200</v>
      </c>
      <c r="C117" s="305" t="s">
        <v>473</v>
      </c>
      <c r="D117" s="306" t="n">
        <v>186</v>
      </c>
      <c r="E117" s="306" t="n">
        <v>3.25</v>
      </c>
      <c r="F117" s="305" t="s">
        <v>432</v>
      </c>
      <c r="G117" s="306" t="n">
        <v>24</v>
      </c>
      <c r="H117" s="325" t="n">
        <v>166.115702479339</v>
      </c>
      <c r="I117" s="473"/>
      <c r="J117" s="313" t="n">
        <v>0</v>
      </c>
      <c r="K117" s="627" t="n">
        <v>4.26041666666667</v>
      </c>
      <c r="L117" s="410"/>
      <c r="M117" s="506" t="n">
        <v>20</v>
      </c>
      <c r="N117" s="410"/>
      <c r="O117" s="313" t="n">
        <v>84</v>
      </c>
      <c r="P117" s="474" t="n">
        <v>102.25</v>
      </c>
      <c r="Q117" s="377"/>
      <c r="R117" s="410"/>
      <c r="V117" s="517"/>
    </row>
    <row r="118" customFormat="false" ht="12.75" hidden="false" customHeight="false" outlineLevel="0" collapsed="false">
      <c r="A118" s="626"/>
      <c r="B118" s="305" t="s">
        <v>200</v>
      </c>
      <c r="C118" s="305" t="s">
        <v>474</v>
      </c>
      <c r="D118" s="306" t="n">
        <v>248</v>
      </c>
      <c r="E118" s="306" t="n">
        <v>3.25</v>
      </c>
      <c r="F118" s="305" t="s">
        <v>432</v>
      </c>
      <c r="G118" s="306" t="n">
        <v>24</v>
      </c>
      <c r="H118" s="325" t="n">
        <v>190.909090909091</v>
      </c>
      <c r="I118" s="473"/>
      <c r="J118" s="313" t="n">
        <v>0</v>
      </c>
      <c r="K118" s="627" t="n">
        <v>5.30208333333333</v>
      </c>
      <c r="L118" s="410"/>
      <c r="M118" s="506" t="n">
        <v>57</v>
      </c>
      <c r="N118" s="410"/>
      <c r="O118" s="313" t="n">
        <v>121</v>
      </c>
      <c r="P118" s="474" t="n">
        <v>127.25</v>
      </c>
      <c r="Q118" s="377"/>
      <c r="R118" s="410"/>
      <c r="V118" s="517"/>
    </row>
    <row r="119" customFormat="false" ht="12.75" hidden="false" customHeight="false" outlineLevel="0" collapsed="false">
      <c r="A119" s="626"/>
      <c r="B119" s="305" t="s">
        <v>200</v>
      </c>
      <c r="C119" s="305" t="s">
        <v>474</v>
      </c>
      <c r="D119" s="306" t="n">
        <v>248</v>
      </c>
      <c r="E119" s="306" t="n">
        <v>3.25</v>
      </c>
      <c r="F119" s="305" t="s">
        <v>432</v>
      </c>
      <c r="G119" s="306" t="n">
        <v>48</v>
      </c>
      <c r="H119" s="325" t="n">
        <v>190.909090909091</v>
      </c>
      <c r="I119" s="473"/>
      <c r="J119" s="313" t="n">
        <v>0</v>
      </c>
      <c r="K119" s="627" t="n">
        <v>2.65104166666667</v>
      </c>
      <c r="L119" s="410"/>
      <c r="M119" s="506" t="n">
        <v>57</v>
      </c>
      <c r="N119" s="410"/>
      <c r="O119" s="313" t="n">
        <v>121</v>
      </c>
      <c r="P119" s="474" t="n">
        <v>127.25</v>
      </c>
      <c r="Q119" s="377"/>
      <c r="R119" s="410"/>
      <c r="V119" s="517"/>
    </row>
    <row r="120" customFormat="false" ht="12.75" hidden="false" customHeight="false" outlineLevel="0" collapsed="false">
      <c r="A120" s="626"/>
      <c r="B120" s="305" t="s">
        <v>200</v>
      </c>
      <c r="C120" s="305" t="s">
        <v>475</v>
      </c>
      <c r="D120" s="306" t="n">
        <v>308</v>
      </c>
      <c r="E120" s="306" t="n">
        <v>3.25</v>
      </c>
      <c r="F120" s="305" t="s">
        <v>432</v>
      </c>
      <c r="G120" s="306" t="n">
        <v>24</v>
      </c>
      <c r="H120" s="325" t="n">
        <v>278.512396694215</v>
      </c>
      <c r="I120" s="473"/>
      <c r="J120" s="313" t="n">
        <v>0</v>
      </c>
      <c r="K120" s="627" t="n">
        <v>8.46875</v>
      </c>
      <c r="L120" s="410"/>
      <c r="M120" s="506" t="n">
        <v>29</v>
      </c>
      <c r="N120" s="410"/>
      <c r="O120" s="313" t="n">
        <v>105</v>
      </c>
      <c r="P120" s="474" t="n">
        <v>203.25</v>
      </c>
      <c r="Q120" s="377"/>
      <c r="R120" s="410"/>
      <c r="V120" s="517"/>
    </row>
    <row r="121" customFormat="false" ht="12.75" hidden="false" customHeight="false" outlineLevel="0" collapsed="false">
      <c r="A121" s="626"/>
      <c r="B121" s="305" t="s">
        <v>200</v>
      </c>
      <c r="C121" s="305" t="s">
        <v>475</v>
      </c>
      <c r="D121" s="306" t="n">
        <v>308</v>
      </c>
      <c r="E121" s="306" t="n">
        <v>3.25</v>
      </c>
      <c r="F121" s="305" t="s">
        <v>432</v>
      </c>
      <c r="G121" s="306" t="n">
        <v>48</v>
      </c>
      <c r="H121" s="325" t="n">
        <v>278.512396694215</v>
      </c>
      <c r="I121" s="473"/>
      <c r="J121" s="313" t="n">
        <v>0</v>
      </c>
      <c r="K121" s="627" t="n">
        <v>4.234375</v>
      </c>
      <c r="L121" s="410"/>
      <c r="M121" s="506" t="n">
        <v>29</v>
      </c>
      <c r="N121" s="410"/>
      <c r="O121" s="313" t="n">
        <v>105</v>
      </c>
      <c r="P121" s="474" t="n">
        <v>203.25</v>
      </c>
      <c r="Q121" s="377"/>
      <c r="R121" s="410"/>
      <c r="V121" s="517"/>
    </row>
    <row r="122" customFormat="false" ht="12.75" hidden="false" customHeight="false" outlineLevel="0" collapsed="false">
      <c r="A122" s="626"/>
      <c r="B122" s="305" t="s">
        <v>200</v>
      </c>
      <c r="C122" s="305" t="s">
        <v>476</v>
      </c>
      <c r="D122" s="306" t="n">
        <v>369</v>
      </c>
      <c r="E122" s="306" t="n">
        <v>3.25</v>
      </c>
      <c r="F122" s="305" t="s">
        <v>432</v>
      </c>
      <c r="G122" s="306" t="n">
        <v>24</v>
      </c>
      <c r="H122" s="325" t="n">
        <v>336.363636363636</v>
      </c>
      <c r="I122" s="473"/>
      <c r="J122" s="313" t="n">
        <v>0</v>
      </c>
      <c r="K122" s="627" t="n">
        <v>9.63541666666667</v>
      </c>
      <c r="L122" s="410"/>
      <c r="M122" s="506" t="n">
        <v>33</v>
      </c>
      <c r="N122" s="410"/>
      <c r="O122" s="313" t="n">
        <v>138</v>
      </c>
      <c r="P122" s="474" t="n">
        <v>231.25</v>
      </c>
      <c r="Q122" s="377"/>
      <c r="R122" s="410"/>
      <c r="V122" s="517"/>
    </row>
    <row r="123" customFormat="false" ht="12.75" hidden="false" customHeight="false" outlineLevel="0" collapsed="false">
      <c r="A123" s="626"/>
      <c r="B123" s="305" t="s">
        <v>200</v>
      </c>
      <c r="C123" s="305" t="s">
        <v>476</v>
      </c>
      <c r="D123" s="306" t="n">
        <v>369</v>
      </c>
      <c r="E123" s="306" t="n">
        <v>3.25</v>
      </c>
      <c r="F123" s="305" t="s">
        <v>432</v>
      </c>
      <c r="G123" s="306" t="n">
        <v>48</v>
      </c>
      <c r="H123" s="325" t="n">
        <v>336.363636363636</v>
      </c>
      <c r="I123" s="473"/>
      <c r="J123" s="313" t="n">
        <v>0</v>
      </c>
      <c r="K123" s="627" t="n">
        <v>4.81770833333333</v>
      </c>
      <c r="L123" s="410"/>
      <c r="M123" s="506" t="n">
        <v>33</v>
      </c>
      <c r="N123" s="410"/>
      <c r="O123" s="313" t="n">
        <v>138</v>
      </c>
      <c r="P123" s="474" t="n">
        <v>231.25</v>
      </c>
      <c r="Q123" s="377"/>
      <c r="R123" s="410"/>
      <c r="V123" s="517"/>
    </row>
    <row r="124" customFormat="false" ht="12.75" hidden="false" customHeight="false" outlineLevel="0" collapsed="false">
      <c r="A124" s="626"/>
      <c r="B124" s="305" t="s">
        <v>200</v>
      </c>
      <c r="C124" s="305" t="s">
        <v>477</v>
      </c>
      <c r="D124" s="306" t="n">
        <v>457</v>
      </c>
      <c r="E124" s="306" t="n">
        <v>3.25</v>
      </c>
      <c r="F124" s="305" t="s">
        <v>432</v>
      </c>
      <c r="G124" s="306" t="n">
        <v>24</v>
      </c>
      <c r="H124" s="325" t="n">
        <v>380.99173553719</v>
      </c>
      <c r="I124" s="473"/>
      <c r="J124" s="313" t="n">
        <v>0</v>
      </c>
      <c r="K124" s="627" t="n">
        <v>12.71875</v>
      </c>
      <c r="L124" s="410"/>
      <c r="M124" s="506" t="n">
        <v>76</v>
      </c>
      <c r="N124" s="410"/>
      <c r="O124" s="313" t="n">
        <v>152</v>
      </c>
      <c r="P124" s="474" t="n">
        <v>305.25</v>
      </c>
      <c r="Q124" s="377"/>
      <c r="R124" s="410"/>
      <c r="V124" s="517"/>
    </row>
    <row r="125" customFormat="false" ht="12.75" hidden="false" customHeight="false" outlineLevel="0" collapsed="false">
      <c r="A125" s="626"/>
      <c r="B125" s="305" t="s">
        <v>200</v>
      </c>
      <c r="C125" s="305" t="s">
        <v>477</v>
      </c>
      <c r="D125" s="306" t="n">
        <v>457</v>
      </c>
      <c r="E125" s="306" t="n">
        <v>3.25</v>
      </c>
      <c r="F125" s="305" t="s">
        <v>432</v>
      </c>
      <c r="G125" s="306" t="n">
        <v>48</v>
      </c>
      <c r="H125" s="325" t="n">
        <v>380.99173553719</v>
      </c>
      <c r="I125" s="473"/>
      <c r="J125" s="313" t="n">
        <v>0</v>
      </c>
      <c r="K125" s="627" t="n">
        <v>6.359375</v>
      </c>
      <c r="L125" s="410"/>
      <c r="M125" s="506" t="n">
        <v>76</v>
      </c>
      <c r="N125" s="410"/>
      <c r="O125" s="313" t="n">
        <v>152</v>
      </c>
      <c r="P125" s="474" t="n">
        <v>305.25</v>
      </c>
      <c r="Q125" s="377"/>
      <c r="R125" s="410"/>
      <c r="V125" s="517"/>
    </row>
    <row r="126" customFormat="false" ht="12.75" hidden="false" customHeight="false" outlineLevel="0" collapsed="false">
      <c r="A126" s="626"/>
      <c r="B126" s="305" t="s">
        <v>200</v>
      </c>
      <c r="C126" s="305" t="s">
        <v>478</v>
      </c>
      <c r="D126" s="306" t="n">
        <v>938</v>
      </c>
      <c r="E126" s="306" t="n">
        <v>3.25</v>
      </c>
      <c r="F126" s="305" t="s">
        <v>432</v>
      </c>
      <c r="G126" s="306" t="n">
        <v>24</v>
      </c>
      <c r="H126" s="325" t="n">
        <v>570.247933884297</v>
      </c>
      <c r="I126" s="473"/>
      <c r="J126" s="313" t="n">
        <v>0</v>
      </c>
      <c r="K126" s="627" t="n">
        <v>19.34375</v>
      </c>
      <c r="L126" s="410"/>
      <c r="M126" s="506" t="n">
        <v>368</v>
      </c>
      <c r="N126" s="410"/>
      <c r="O126" s="313" t="n">
        <v>474</v>
      </c>
      <c r="P126" s="474" t="n">
        <v>464.25</v>
      </c>
      <c r="Q126" s="377"/>
      <c r="R126" s="410"/>
      <c r="V126" s="517"/>
    </row>
    <row r="127" customFormat="false" ht="12.75" hidden="false" customHeight="false" outlineLevel="0" collapsed="false">
      <c r="A127" s="626"/>
      <c r="B127" s="305" t="s">
        <v>200</v>
      </c>
      <c r="C127" s="305" t="s">
        <v>478</v>
      </c>
      <c r="D127" s="306" t="n">
        <v>938</v>
      </c>
      <c r="E127" s="306" t="n">
        <v>3.25</v>
      </c>
      <c r="F127" s="305" t="s">
        <v>432</v>
      </c>
      <c r="G127" s="306" t="n">
        <v>48</v>
      </c>
      <c r="H127" s="325" t="n">
        <v>570.247933884297</v>
      </c>
      <c r="I127" s="473"/>
      <c r="J127" s="313" t="n">
        <v>0</v>
      </c>
      <c r="K127" s="627" t="n">
        <v>9.671875</v>
      </c>
      <c r="L127" s="410"/>
      <c r="M127" s="506" t="n">
        <v>368</v>
      </c>
      <c r="N127" s="410"/>
      <c r="O127" s="313" t="n">
        <v>474</v>
      </c>
      <c r="P127" s="474" t="n">
        <v>464.25</v>
      </c>
      <c r="Q127" s="377"/>
      <c r="R127" s="410"/>
      <c r="V127" s="517"/>
    </row>
    <row r="128" customFormat="false" ht="12.75" hidden="false" customHeight="false" outlineLevel="0" collapsed="false">
      <c r="A128" s="626"/>
      <c r="B128" s="305" t="s">
        <v>200</v>
      </c>
      <c r="C128" s="305" t="s">
        <v>479</v>
      </c>
      <c r="D128" s="306" t="n">
        <v>842</v>
      </c>
      <c r="E128" s="306" t="n">
        <v>3.25</v>
      </c>
      <c r="F128" s="305" t="s">
        <v>432</v>
      </c>
      <c r="G128" s="306" t="n">
        <v>24</v>
      </c>
      <c r="H128" s="325" t="n">
        <v>651.239669421488</v>
      </c>
      <c r="I128" s="473"/>
      <c r="J128" s="313" t="n">
        <v>0</v>
      </c>
      <c r="K128" s="627" t="n">
        <v>22.71875</v>
      </c>
      <c r="L128" s="410"/>
      <c r="M128" s="506" t="n">
        <v>191</v>
      </c>
      <c r="N128" s="410"/>
      <c r="O128" s="313" t="n">
        <v>297</v>
      </c>
      <c r="P128" s="474" t="n">
        <v>545.25</v>
      </c>
      <c r="Q128" s="377"/>
      <c r="R128" s="410"/>
      <c r="V128" s="517"/>
    </row>
    <row r="129" customFormat="false" ht="12.75" hidden="false" customHeight="false" outlineLevel="0" collapsed="false">
      <c r="A129" s="626"/>
      <c r="B129" s="305" t="s">
        <v>200</v>
      </c>
      <c r="C129" s="305" t="s">
        <v>479</v>
      </c>
      <c r="D129" s="306" t="n">
        <v>842</v>
      </c>
      <c r="E129" s="306" t="n">
        <v>3.25</v>
      </c>
      <c r="F129" s="305" t="s">
        <v>432</v>
      </c>
      <c r="G129" s="306" t="n">
        <v>48</v>
      </c>
      <c r="H129" s="325" t="n">
        <v>651.239669421488</v>
      </c>
      <c r="I129" s="473"/>
      <c r="J129" s="313" t="n">
        <v>0</v>
      </c>
      <c r="K129" s="627" t="n">
        <v>11.359375</v>
      </c>
      <c r="L129" s="410"/>
      <c r="M129" s="506" t="n">
        <v>191</v>
      </c>
      <c r="N129" s="410"/>
      <c r="O129" s="313" t="n">
        <v>297</v>
      </c>
      <c r="P129" s="474" t="n">
        <v>545.25</v>
      </c>
      <c r="Q129" s="377"/>
      <c r="R129" s="410"/>
      <c r="V129" s="517"/>
    </row>
    <row r="130" customFormat="false" ht="12.75" hidden="false" customHeight="false" outlineLevel="0" collapsed="false">
      <c r="A130" s="626"/>
      <c r="B130" s="305" t="s">
        <v>200</v>
      </c>
      <c r="C130" s="305" t="s">
        <v>480</v>
      </c>
      <c r="D130" s="306" t="n">
        <v>902</v>
      </c>
      <c r="E130" s="306" t="n">
        <v>3.25</v>
      </c>
      <c r="F130" s="305" t="s">
        <v>432</v>
      </c>
      <c r="G130" s="306" t="n">
        <v>24</v>
      </c>
      <c r="H130" s="325" t="n">
        <v>670.247933884298</v>
      </c>
      <c r="I130" s="473"/>
      <c r="J130" s="313" t="n">
        <v>0</v>
      </c>
      <c r="K130" s="627" t="n">
        <v>23.5104166666667</v>
      </c>
      <c r="L130" s="410"/>
      <c r="M130" s="506" t="n">
        <v>232</v>
      </c>
      <c r="N130" s="410"/>
      <c r="O130" s="313" t="n">
        <v>338</v>
      </c>
      <c r="P130" s="474" t="n">
        <v>564.25</v>
      </c>
      <c r="Q130" s="377"/>
      <c r="R130" s="410"/>
      <c r="V130" s="517"/>
    </row>
    <row r="131" customFormat="false" ht="12.75" hidden="false" customHeight="false" outlineLevel="0" collapsed="false">
      <c r="A131" s="626"/>
      <c r="B131" s="305" t="s">
        <v>200</v>
      </c>
      <c r="C131" s="305" t="s">
        <v>480</v>
      </c>
      <c r="D131" s="306" t="n">
        <v>902</v>
      </c>
      <c r="E131" s="306" t="n">
        <v>3.25</v>
      </c>
      <c r="F131" s="305" t="s">
        <v>432</v>
      </c>
      <c r="G131" s="306" t="n">
        <v>48</v>
      </c>
      <c r="H131" s="325" t="n">
        <v>670.247933884298</v>
      </c>
      <c r="I131" s="473"/>
      <c r="J131" s="313" t="n">
        <v>0</v>
      </c>
      <c r="K131" s="627" t="n">
        <v>11.7552083333333</v>
      </c>
      <c r="L131" s="410"/>
      <c r="M131" s="506" t="n">
        <v>232</v>
      </c>
      <c r="N131" s="410"/>
      <c r="O131" s="313" t="n">
        <v>338</v>
      </c>
      <c r="P131" s="474" t="n">
        <v>564.25</v>
      </c>
      <c r="Q131" s="377"/>
      <c r="R131" s="410"/>
      <c r="V131" s="517"/>
    </row>
    <row r="132" customFormat="false" ht="12.75" hidden="false" customHeight="false" outlineLevel="0" collapsed="false">
      <c r="A132" s="626"/>
      <c r="B132" s="305" t="s">
        <v>200</v>
      </c>
      <c r="C132" s="305" t="s">
        <v>481</v>
      </c>
      <c r="D132" s="306" t="n">
        <v>686</v>
      </c>
      <c r="E132" s="306" t="n">
        <v>3.25</v>
      </c>
      <c r="F132" s="305" t="s">
        <v>432</v>
      </c>
      <c r="G132" s="306" t="n">
        <v>24</v>
      </c>
      <c r="H132" s="325" t="n">
        <v>626.446280991736</v>
      </c>
      <c r="I132" s="473"/>
      <c r="J132" s="313" t="n">
        <v>0</v>
      </c>
      <c r="K132" s="627" t="n">
        <v>21.6770833333333</v>
      </c>
      <c r="L132" s="410"/>
      <c r="M132" s="506" t="n">
        <v>60</v>
      </c>
      <c r="N132" s="410"/>
      <c r="O132" s="313" t="n">
        <v>166</v>
      </c>
      <c r="P132" s="474" t="n">
        <v>520.25</v>
      </c>
      <c r="Q132" s="377"/>
      <c r="R132" s="410"/>
      <c r="V132" s="517"/>
    </row>
    <row r="133" customFormat="false" ht="12.75" hidden="false" customHeight="false" outlineLevel="0" collapsed="false">
      <c r="A133" s="626"/>
      <c r="B133" s="305" t="s">
        <v>200</v>
      </c>
      <c r="C133" s="305" t="s">
        <v>481</v>
      </c>
      <c r="D133" s="306" t="n">
        <v>686</v>
      </c>
      <c r="E133" s="306" t="n">
        <v>3.25</v>
      </c>
      <c r="F133" s="305" t="s">
        <v>432</v>
      </c>
      <c r="G133" s="306" t="n">
        <v>48</v>
      </c>
      <c r="H133" s="325" t="n">
        <v>626.446280991736</v>
      </c>
      <c r="I133" s="473"/>
      <c r="J133" s="313" t="n">
        <v>0</v>
      </c>
      <c r="K133" s="627" t="n">
        <v>10.8385416666667</v>
      </c>
      <c r="L133" s="410"/>
      <c r="M133" s="506" t="n">
        <v>60</v>
      </c>
      <c r="N133" s="410"/>
      <c r="O133" s="313" t="n">
        <v>166</v>
      </c>
      <c r="P133" s="474" t="n">
        <v>520.25</v>
      </c>
      <c r="Q133" s="377"/>
      <c r="R133" s="410"/>
      <c r="V133" s="517"/>
    </row>
    <row r="134" customFormat="false" ht="12.75" hidden="false" customHeight="false" outlineLevel="0" collapsed="false">
      <c r="A134" s="626"/>
      <c r="B134" s="305" t="s">
        <v>200</v>
      </c>
      <c r="C134" s="305" t="s">
        <v>482</v>
      </c>
      <c r="D134" s="306" t="n">
        <v>843</v>
      </c>
      <c r="E134" s="306" t="n">
        <v>3.25</v>
      </c>
      <c r="F134" s="305" t="s">
        <v>432</v>
      </c>
      <c r="G134" s="306" t="n">
        <v>24</v>
      </c>
      <c r="H134" s="325" t="n">
        <v>792.561983471074</v>
      </c>
      <c r="I134" s="473"/>
      <c r="J134" s="313" t="n">
        <v>0</v>
      </c>
      <c r="K134" s="627" t="n">
        <v>26.9270833333333</v>
      </c>
      <c r="L134" s="410"/>
      <c r="M134" s="506" t="n">
        <v>50</v>
      </c>
      <c r="N134" s="410"/>
      <c r="O134" s="313" t="n">
        <v>197</v>
      </c>
      <c r="P134" s="474" t="n">
        <v>646.25</v>
      </c>
      <c r="Q134" s="377"/>
      <c r="R134" s="410"/>
      <c r="V134" s="517"/>
    </row>
    <row r="135" customFormat="false" ht="12.75" hidden="false" customHeight="false" outlineLevel="0" collapsed="false">
      <c r="A135" s="626"/>
      <c r="B135" s="305" t="s">
        <v>200</v>
      </c>
      <c r="C135" s="305" t="s">
        <v>482</v>
      </c>
      <c r="D135" s="306" t="n">
        <v>843</v>
      </c>
      <c r="E135" s="306" t="n">
        <v>3.25</v>
      </c>
      <c r="F135" s="305" t="s">
        <v>432</v>
      </c>
      <c r="G135" s="306" t="n">
        <v>48</v>
      </c>
      <c r="H135" s="325" t="n">
        <v>792.561983471074</v>
      </c>
      <c r="I135" s="473"/>
      <c r="J135" s="313" t="n">
        <v>0</v>
      </c>
      <c r="K135" s="627" t="n">
        <v>13.4635416666667</v>
      </c>
      <c r="L135" s="410"/>
      <c r="M135" s="506" t="n">
        <v>50</v>
      </c>
      <c r="N135" s="410"/>
      <c r="O135" s="313" t="n">
        <v>197</v>
      </c>
      <c r="P135" s="474" t="n">
        <v>646.25</v>
      </c>
      <c r="Q135" s="377"/>
      <c r="R135" s="410"/>
      <c r="V135" s="517"/>
    </row>
    <row r="136" customFormat="false" ht="12.75" hidden="false" customHeight="false" outlineLevel="0" collapsed="false">
      <c r="A136" s="626"/>
      <c r="B136" s="305" t="s">
        <v>200</v>
      </c>
      <c r="C136" s="305" t="s">
        <v>483</v>
      </c>
      <c r="D136" s="306" t="n">
        <v>902</v>
      </c>
      <c r="E136" s="306" t="n">
        <v>3.25</v>
      </c>
      <c r="F136" s="305" t="s">
        <v>432</v>
      </c>
      <c r="G136" s="306" t="n">
        <v>24</v>
      </c>
      <c r="H136" s="325" t="n">
        <v>798.347107438017</v>
      </c>
      <c r="I136" s="473"/>
      <c r="J136" s="313" t="n">
        <v>0</v>
      </c>
      <c r="K136" s="627" t="n">
        <v>25.5104166666667</v>
      </c>
      <c r="L136" s="410"/>
      <c r="M136" s="506" t="n">
        <v>104</v>
      </c>
      <c r="N136" s="410"/>
      <c r="O136" s="313" t="n">
        <v>290</v>
      </c>
      <c r="P136" s="474" t="n">
        <v>612.25</v>
      </c>
      <c r="Q136" s="377"/>
      <c r="R136" s="410"/>
      <c r="V136" s="517"/>
    </row>
    <row r="137" customFormat="false" ht="12.75" hidden="false" customHeight="false" outlineLevel="0" collapsed="false">
      <c r="A137" s="626"/>
      <c r="B137" s="305" t="s">
        <v>200</v>
      </c>
      <c r="C137" s="305" t="s">
        <v>483</v>
      </c>
      <c r="D137" s="306" t="n">
        <v>902</v>
      </c>
      <c r="E137" s="306" t="n">
        <v>3.25</v>
      </c>
      <c r="F137" s="305" t="s">
        <v>432</v>
      </c>
      <c r="G137" s="306" t="n">
        <v>48</v>
      </c>
      <c r="H137" s="325" t="n">
        <v>798.347107438017</v>
      </c>
      <c r="I137" s="473"/>
      <c r="J137" s="313" t="n">
        <v>0</v>
      </c>
      <c r="K137" s="627" t="n">
        <v>12.7552083333333</v>
      </c>
      <c r="L137" s="410"/>
      <c r="M137" s="506" t="n">
        <v>104</v>
      </c>
      <c r="N137" s="410"/>
      <c r="O137" s="313" t="n">
        <v>290</v>
      </c>
      <c r="P137" s="474" t="n">
        <v>612.25</v>
      </c>
      <c r="Q137" s="377"/>
      <c r="R137" s="410"/>
      <c r="V137" s="517"/>
    </row>
    <row r="138" customFormat="false" ht="12.75" hidden="false" customHeight="false" outlineLevel="0" collapsed="false">
      <c r="A138" s="626"/>
      <c r="B138" s="305" t="s">
        <v>200</v>
      </c>
      <c r="C138" s="305" t="s">
        <v>484</v>
      </c>
      <c r="D138" s="306" t="n">
        <v>1556</v>
      </c>
      <c r="E138" s="306" t="n">
        <v>3.25</v>
      </c>
      <c r="F138" s="305" t="s">
        <v>432</v>
      </c>
      <c r="G138" s="306" t="n">
        <v>24</v>
      </c>
      <c r="H138" s="325" t="n">
        <v>1345.45454545455</v>
      </c>
      <c r="I138" s="473"/>
      <c r="J138" s="313" t="n">
        <v>0</v>
      </c>
      <c r="K138" s="627" t="n">
        <v>49.4270833333333</v>
      </c>
      <c r="L138" s="410"/>
      <c r="M138" s="506" t="n">
        <v>211</v>
      </c>
      <c r="N138" s="410"/>
      <c r="O138" s="313" t="n">
        <v>370</v>
      </c>
      <c r="P138" s="474" t="n">
        <v>1186.25</v>
      </c>
      <c r="Q138" s="377"/>
      <c r="R138" s="410"/>
      <c r="V138" s="517"/>
    </row>
    <row r="139" customFormat="false" ht="12.75" hidden="false" customHeight="false" outlineLevel="0" collapsed="false">
      <c r="A139" s="626"/>
      <c r="B139" s="305" t="s">
        <v>200</v>
      </c>
      <c r="C139" s="305" t="s">
        <v>484</v>
      </c>
      <c r="D139" s="306" t="n">
        <v>1556</v>
      </c>
      <c r="E139" s="306" t="n">
        <v>3.25</v>
      </c>
      <c r="F139" s="305" t="s">
        <v>432</v>
      </c>
      <c r="G139" s="306" t="n">
        <v>48</v>
      </c>
      <c r="H139" s="325" t="n">
        <v>1345.45454545455</v>
      </c>
      <c r="I139" s="473"/>
      <c r="J139" s="313" t="n">
        <v>0</v>
      </c>
      <c r="K139" s="627" t="n">
        <v>24.7135416666667</v>
      </c>
      <c r="L139" s="410"/>
      <c r="M139" s="506" t="n">
        <v>211</v>
      </c>
      <c r="N139" s="410"/>
      <c r="O139" s="313" t="n">
        <v>370</v>
      </c>
      <c r="P139" s="474" t="n">
        <v>1186.25</v>
      </c>
      <c r="Q139" s="377"/>
      <c r="R139" s="410"/>
      <c r="V139" s="517"/>
    </row>
    <row r="140" customFormat="false" ht="12.75" hidden="false" customHeight="false" outlineLevel="0" collapsed="false">
      <c r="A140" s="626"/>
      <c r="B140" s="305" t="s">
        <v>200</v>
      </c>
      <c r="C140" s="305" t="s">
        <v>485</v>
      </c>
      <c r="D140" s="306" t="n">
        <v>1279</v>
      </c>
      <c r="E140" s="306" t="n">
        <v>3.25</v>
      </c>
      <c r="F140" s="305" t="s">
        <v>432</v>
      </c>
      <c r="G140" s="306" t="n">
        <v>24</v>
      </c>
      <c r="H140" s="325" t="n">
        <v>1128.92561983471</v>
      </c>
      <c r="I140" s="473"/>
      <c r="J140" s="313" t="n">
        <v>0</v>
      </c>
      <c r="K140" s="627" t="n">
        <v>40.3854166666667</v>
      </c>
      <c r="L140" s="410"/>
      <c r="M140" s="506" t="n">
        <v>150</v>
      </c>
      <c r="N140" s="410"/>
      <c r="O140" s="313" t="n">
        <v>310</v>
      </c>
      <c r="P140" s="474" t="n">
        <v>969.25</v>
      </c>
      <c r="Q140" s="377"/>
      <c r="R140" s="410"/>
      <c r="V140" s="517"/>
    </row>
    <row r="141" customFormat="false" ht="12.75" hidden="false" customHeight="false" outlineLevel="0" collapsed="false">
      <c r="A141" s="626"/>
      <c r="B141" s="305" t="s">
        <v>200</v>
      </c>
      <c r="C141" s="305" t="s">
        <v>485</v>
      </c>
      <c r="D141" s="306" t="n">
        <v>1279</v>
      </c>
      <c r="E141" s="306" t="n">
        <v>3.25</v>
      </c>
      <c r="F141" s="305" t="s">
        <v>432</v>
      </c>
      <c r="G141" s="306" t="n">
        <v>48</v>
      </c>
      <c r="H141" s="325" t="n">
        <v>1128.92561983471</v>
      </c>
      <c r="I141" s="473"/>
      <c r="J141" s="313" t="n">
        <v>0</v>
      </c>
      <c r="K141" s="627" t="n">
        <v>20.1927083333333</v>
      </c>
      <c r="L141" s="410"/>
      <c r="M141" s="506" t="n">
        <v>150</v>
      </c>
      <c r="N141" s="410"/>
      <c r="O141" s="313" t="n">
        <v>310</v>
      </c>
      <c r="P141" s="474" t="n">
        <v>969.25</v>
      </c>
      <c r="Q141" s="377"/>
      <c r="R141" s="410"/>
      <c r="V141" s="517"/>
    </row>
    <row r="142" customFormat="false" ht="12.75" hidden="false" customHeight="false" outlineLevel="0" collapsed="false">
      <c r="A142" s="626"/>
      <c r="B142" s="305" t="s">
        <v>200</v>
      </c>
      <c r="C142" s="305" t="s">
        <v>486</v>
      </c>
      <c r="D142" s="306" t="n">
        <v>1372</v>
      </c>
      <c r="E142" s="306" t="n">
        <v>3.25</v>
      </c>
      <c r="F142" s="305" t="s">
        <v>432</v>
      </c>
      <c r="G142" s="306" t="n">
        <v>24</v>
      </c>
      <c r="H142" s="325" t="n">
        <v>1120.66115702479</v>
      </c>
      <c r="I142" s="473"/>
      <c r="J142" s="313" t="n">
        <v>0</v>
      </c>
      <c r="K142" s="627" t="n">
        <v>40.0520833333333</v>
      </c>
      <c r="L142" s="410"/>
      <c r="M142" s="506" t="n">
        <v>251</v>
      </c>
      <c r="N142" s="410"/>
      <c r="O142" s="313" t="n">
        <v>411</v>
      </c>
      <c r="P142" s="474" t="n">
        <v>961.25</v>
      </c>
      <c r="Q142" s="377"/>
      <c r="R142" s="410"/>
      <c r="V142" s="517"/>
    </row>
    <row r="143" customFormat="false" ht="12.75" hidden="false" customHeight="false" outlineLevel="0" collapsed="false">
      <c r="A143" s="626"/>
      <c r="B143" s="305" t="s">
        <v>200</v>
      </c>
      <c r="C143" s="305" t="s">
        <v>486</v>
      </c>
      <c r="D143" s="306" t="n">
        <v>1372</v>
      </c>
      <c r="E143" s="306" t="n">
        <v>3.25</v>
      </c>
      <c r="F143" s="305" t="s">
        <v>432</v>
      </c>
      <c r="G143" s="306" t="n">
        <v>48</v>
      </c>
      <c r="H143" s="325" t="n">
        <v>1120.66115702479</v>
      </c>
      <c r="I143" s="473"/>
      <c r="J143" s="313" t="n">
        <v>0</v>
      </c>
      <c r="K143" s="627" t="n">
        <v>20.0260416666667</v>
      </c>
      <c r="L143" s="410"/>
      <c r="M143" s="506" t="n">
        <v>251</v>
      </c>
      <c r="N143" s="410"/>
      <c r="O143" s="313" t="n">
        <v>411</v>
      </c>
      <c r="P143" s="474" t="n">
        <v>961.25</v>
      </c>
      <c r="Q143" s="377"/>
      <c r="R143" s="410"/>
      <c r="V143" s="517"/>
    </row>
    <row r="144" customFormat="false" ht="12.75" hidden="false" customHeight="false" outlineLevel="0" collapsed="false">
      <c r="A144" s="626"/>
      <c r="B144" s="305" t="s">
        <v>200</v>
      </c>
      <c r="C144" s="305" t="s">
        <v>487</v>
      </c>
      <c r="D144" s="306" t="n">
        <v>1048</v>
      </c>
      <c r="E144" s="306" t="n">
        <v>3.25</v>
      </c>
      <c r="F144" s="305" t="s">
        <v>432</v>
      </c>
      <c r="G144" s="306" t="n">
        <v>24</v>
      </c>
      <c r="H144" s="325" t="n">
        <v>938.01652892562</v>
      </c>
      <c r="I144" s="473"/>
      <c r="J144" s="313" t="n">
        <v>0</v>
      </c>
      <c r="K144" s="627" t="n">
        <v>32.4270833333333</v>
      </c>
      <c r="L144" s="410"/>
      <c r="M144" s="506" t="n">
        <v>110</v>
      </c>
      <c r="N144" s="410"/>
      <c r="O144" s="313" t="n">
        <v>270</v>
      </c>
      <c r="P144" s="474" t="n">
        <v>778.25</v>
      </c>
      <c r="Q144" s="377"/>
      <c r="R144" s="410"/>
      <c r="V144" s="517"/>
    </row>
    <row r="145" customFormat="false" ht="12.75" hidden="false" customHeight="false" outlineLevel="0" collapsed="false">
      <c r="A145" s="626"/>
      <c r="B145" s="305" t="s">
        <v>200</v>
      </c>
      <c r="C145" s="305" t="s">
        <v>487</v>
      </c>
      <c r="D145" s="306" t="n">
        <v>1048</v>
      </c>
      <c r="E145" s="306" t="n">
        <v>3.25</v>
      </c>
      <c r="F145" s="305" t="s">
        <v>432</v>
      </c>
      <c r="G145" s="306" t="n">
        <v>48</v>
      </c>
      <c r="H145" s="325" t="n">
        <v>938.01652892562</v>
      </c>
      <c r="I145" s="473"/>
      <c r="J145" s="313" t="n">
        <v>0</v>
      </c>
      <c r="K145" s="627" t="n">
        <v>16.2135416666667</v>
      </c>
      <c r="L145" s="410"/>
      <c r="M145" s="506" t="n">
        <v>110</v>
      </c>
      <c r="N145" s="410"/>
      <c r="O145" s="313" t="n">
        <v>270</v>
      </c>
      <c r="P145" s="474" t="n">
        <v>778.25</v>
      </c>
      <c r="Q145" s="377"/>
      <c r="R145" s="410"/>
      <c r="V145" s="517"/>
    </row>
    <row r="146" customFormat="false" ht="12.75" hidden="false" customHeight="false" outlineLevel="0" collapsed="false">
      <c r="A146" s="626"/>
      <c r="B146" s="305" t="s">
        <v>200</v>
      </c>
      <c r="C146" s="305" t="s">
        <v>488</v>
      </c>
      <c r="D146" s="306" t="n">
        <v>1140</v>
      </c>
      <c r="E146" s="306" t="n">
        <v>3.25</v>
      </c>
      <c r="F146" s="305" t="s">
        <v>432</v>
      </c>
      <c r="G146" s="306" t="n">
        <v>24</v>
      </c>
      <c r="H146" s="325" t="n">
        <v>1029.7520661157</v>
      </c>
      <c r="I146" s="473"/>
      <c r="J146" s="313" t="n">
        <v>0</v>
      </c>
      <c r="K146" s="627" t="n">
        <v>36.2604166666667</v>
      </c>
      <c r="L146" s="410"/>
      <c r="M146" s="506" t="n">
        <v>110</v>
      </c>
      <c r="N146" s="410"/>
      <c r="O146" s="313" t="n">
        <v>270</v>
      </c>
      <c r="P146" s="474" t="n">
        <v>870.25</v>
      </c>
      <c r="Q146" s="377"/>
      <c r="R146" s="410"/>
      <c r="V146" s="517"/>
    </row>
    <row r="147" customFormat="false" ht="12.75" hidden="false" customHeight="false" outlineLevel="0" collapsed="false">
      <c r="A147" s="626"/>
      <c r="B147" s="305" t="s">
        <v>200</v>
      </c>
      <c r="C147" s="305" t="s">
        <v>488</v>
      </c>
      <c r="D147" s="306" t="n">
        <v>1140</v>
      </c>
      <c r="E147" s="306" t="n">
        <v>3.25</v>
      </c>
      <c r="F147" s="305" t="s">
        <v>432</v>
      </c>
      <c r="G147" s="306" t="n">
        <v>48</v>
      </c>
      <c r="H147" s="325" t="n">
        <v>1029.7520661157</v>
      </c>
      <c r="I147" s="473"/>
      <c r="J147" s="313" t="n">
        <v>0</v>
      </c>
      <c r="K147" s="627" t="n">
        <v>18.1302083333333</v>
      </c>
      <c r="L147" s="410"/>
      <c r="M147" s="506" t="n">
        <v>110</v>
      </c>
      <c r="N147" s="410"/>
      <c r="O147" s="313" t="n">
        <v>270</v>
      </c>
      <c r="P147" s="474" t="n">
        <v>870.25</v>
      </c>
      <c r="Q147" s="377"/>
      <c r="R147" s="410"/>
      <c r="V147" s="517"/>
    </row>
    <row r="148" customFormat="false" ht="12.75" hidden="false" customHeight="false" outlineLevel="0" collapsed="false">
      <c r="A148" s="626"/>
      <c r="B148" s="305" t="s">
        <v>200</v>
      </c>
      <c r="C148" s="305" t="s">
        <v>489</v>
      </c>
      <c r="D148" s="306" t="n">
        <v>1086</v>
      </c>
      <c r="E148" s="306" t="n">
        <v>3.25</v>
      </c>
      <c r="F148" s="305" t="s">
        <v>432</v>
      </c>
      <c r="G148" s="306" t="n">
        <v>24</v>
      </c>
      <c r="H148" s="325" t="n">
        <v>985.950413223141</v>
      </c>
      <c r="I148" s="473"/>
      <c r="J148" s="313" t="n">
        <v>0</v>
      </c>
      <c r="K148" s="627" t="n">
        <v>34.4270833333333</v>
      </c>
      <c r="L148" s="410"/>
      <c r="M148" s="506" t="n">
        <v>100</v>
      </c>
      <c r="N148" s="410"/>
      <c r="O148" s="313" t="n">
        <v>260</v>
      </c>
      <c r="P148" s="474" t="n">
        <v>826.25</v>
      </c>
      <c r="Q148" s="377"/>
      <c r="R148" s="410"/>
      <c r="V148" s="517"/>
    </row>
    <row r="149" customFormat="false" ht="12.75" hidden="false" customHeight="false" outlineLevel="0" collapsed="false">
      <c r="A149" s="626"/>
      <c r="B149" s="305" t="s">
        <v>200</v>
      </c>
      <c r="C149" s="305" t="s">
        <v>489</v>
      </c>
      <c r="D149" s="306" t="n">
        <v>1086</v>
      </c>
      <c r="E149" s="306" t="n">
        <v>3.25</v>
      </c>
      <c r="F149" s="305" t="s">
        <v>432</v>
      </c>
      <c r="G149" s="306" t="n">
        <v>48</v>
      </c>
      <c r="H149" s="325" t="n">
        <v>985.950413223141</v>
      </c>
      <c r="I149" s="473"/>
      <c r="J149" s="313" t="n">
        <v>0</v>
      </c>
      <c r="K149" s="627" t="n">
        <v>17.2135416666667</v>
      </c>
      <c r="L149" s="410"/>
      <c r="M149" s="506" t="n">
        <v>100</v>
      </c>
      <c r="N149" s="410"/>
      <c r="O149" s="313" t="n">
        <v>260</v>
      </c>
      <c r="P149" s="474" t="n">
        <v>826.25</v>
      </c>
      <c r="Q149" s="377"/>
      <c r="R149" s="410"/>
      <c r="V149" s="517"/>
    </row>
    <row r="150" customFormat="false" ht="12.75" hidden="false" customHeight="false" outlineLevel="0" collapsed="false">
      <c r="A150" s="626"/>
      <c r="B150" s="305" t="s">
        <v>200</v>
      </c>
      <c r="C150" s="305" t="s">
        <v>490</v>
      </c>
      <c r="D150" s="306" t="n">
        <v>1179</v>
      </c>
      <c r="E150" s="306" t="n">
        <v>3.25</v>
      </c>
      <c r="F150" s="305" t="s">
        <v>432</v>
      </c>
      <c r="G150" s="306" t="n">
        <v>24</v>
      </c>
      <c r="H150" s="325" t="n">
        <v>1078.51239669422</v>
      </c>
      <c r="I150" s="473"/>
      <c r="J150" s="313" t="n">
        <v>0</v>
      </c>
      <c r="K150" s="627" t="n">
        <v>38.3020833333333</v>
      </c>
      <c r="L150" s="410"/>
      <c r="M150" s="506" t="n">
        <v>100</v>
      </c>
      <c r="N150" s="410"/>
      <c r="O150" s="313" t="n">
        <v>260</v>
      </c>
      <c r="P150" s="474" t="n">
        <v>919.25</v>
      </c>
      <c r="Q150" s="377"/>
      <c r="R150" s="410"/>
      <c r="V150" s="517"/>
    </row>
    <row r="151" customFormat="false" ht="12.75" hidden="false" customHeight="false" outlineLevel="0" collapsed="false">
      <c r="A151" s="626"/>
      <c r="B151" s="305" t="s">
        <v>200</v>
      </c>
      <c r="C151" s="305" t="s">
        <v>490</v>
      </c>
      <c r="D151" s="306" t="n">
        <v>1179</v>
      </c>
      <c r="E151" s="306" t="n">
        <v>3.25</v>
      </c>
      <c r="F151" s="305" t="s">
        <v>432</v>
      </c>
      <c r="G151" s="306" t="n">
        <v>48</v>
      </c>
      <c r="H151" s="325" t="n">
        <v>1078.51239669422</v>
      </c>
      <c r="I151" s="473"/>
      <c r="J151" s="313" t="n">
        <v>0</v>
      </c>
      <c r="K151" s="627" t="n">
        <v>19.1510416666667</v>
      </c>
      <c r="L151" s="410"/>
      <c r="M151" s="506" t="n">
        <v>100</v>
      </c>
      <c r="N151" s="410"/>
      <c r="O151" s="313" t="n">
        <v>260</v>
      </c>
      <c r="P151" s="474" t="n">
        <v>919.25</v>
      </c>
      <c r="Q151" s="377"/>
      <c r="R151" s="410"/>
      <c r="V151" s="517"/>
    </row>
    <row r="152" customFormat="false" ht="12.75" hidden="false" customHeight="false" outlineLevel="0" collapsed="false">
      <c r="A152" s="626"/>
      <c r="B152" s="305" t="s">
        <v>200</v>
      </c>
      <c r="C152" s="305" t="s">
        <v>491</v>
      </c>
      <c r="D152" s="306" t="n">
        <v>1703</v>
      </c>
      <c r="E152" s="306" t="n">
        <v>3.25</v>
      </c>
      <c r="F152" s="305" t="s">
        <v>432</v>
      </c>
      <c r="G152" s="306" t="n">
        <v>24</v>
      </c>
      <c r="H152" s="325" t="n">
        <v>1552.89256198347</v>
      </c>
      <c r="I152" s="473"/>
      <c r="J152" s="313" t="n">
        <v>0</v>
      </c>
      <c r="K152" s="627" t="n">
        <v>58.0520833333333</v>
      </c>
      <c r="L152" s="410"/>
      <c r="M152" s="506" t="n">
        <v>150</v>
      </c>
      <c r="N152" s="410"/>
      <c r="O152" s="313" t="n">
        <v>310</v>
      </c>
      <c r="P152" s="474" t="n">
        <v>1393.25</v>
      </c>
      <c r="Q152" s="377"/>
      <c r="R152" s="410"/>
      <c r="V152" s="517"/>
    </row>
    <row r="153" customFormat="false" ht="12.75" hidden="false" customHeight="false" outlineLevel="0" collapsed="false">
      <c r="A153" s="626"/>
      <c r="B153" s="305" t="s">
        <v>200</v>
      </c>
      <c r="C153" s="305" t="s">
        <v>491</v>
      </c>
      <c r="D153" s="306" t="n">
        <v>1703</v>
      </c>
      <c r="E153" s="306" t="n">
        <v>3.25</v>
      </c>
      <c r="F153" s="305" t="s">
        <v>432</v>
      </c>
      <c r="G153" s="306" t="n">
        <v>48</v>
      </c>
      <c r="H153" s="325" t="n">
        <v>1552.89256198347</v>
      </c>
      <c r="I153" s="473"/>
      <c r="J153" s="313" t="n">
        <v>0</v>
      </c>
      <c r="K153" s="627" t="n">
        <v>29.0260416666667</v>
      </c>
      <c r="L153" s="410"/>
      <c r="M153" s="506" t="n">
        <v>150</v>
      </c>
      <c r="N153" s="410"/>
      <c r="O153" s="313" t="n">
        <v>310</v>
      </c>
      <c r="P153" s="474" t="n">
        <v>1393.25</v>
      </c>
      <c r="Q153" s="377"/>
      <c r="R153" s="410"/>
      <c r="V153" s="517"/>
    </row>
    <row r="154" customFormat="false" ht="12.75" hidden="false" customHeight="false" outlineLevel="0" collapsed="false">
      <c r="A154" s="626"/>
      <c r="B154" s="305" t="s">
        <v>200</v>
      </c>
      <c r="C154" s="305" t="s">
        <v>492</v>
      </c>
      <c r="D154" s="306" t="n">
        <v>1796</v>
      </c>
      <c r="E154" s="306" t="n">
        <v>3.25</v>
      </c>
      <c r="F154" s="305" t="s">
        <v>432</v>
      </c>
      <c r="G154" s="306" t="n">
        <v>24</v>
      </c>
      <c r="H154" s="325" t="n">
        <v>1644.62809917355</v>
      </c>
      <c r="I154" s="473"/>
      <c r="J154" s="313" t="n">
        <v>0</v>
      </c>
      <c r="K154" s="627" t="n">
        <v>61.8854166666667</v>
      </c>
      <c r="L154" s="410"/>
      <c r="M154" s="506" t="n">
        <v>151</v>
      </c>
      <c r="N154" s="410"/>
      <c r="O154" s="313" t="n">
        <v>311</v>
      </c>
      <c r="P154" s="474" t="n">
        <v>1485.25</v>
      </c>
      <c r="Q154" s="377"/>
      <c r="R154" s="410"/>
      <c r="V154" s="517"/>
    </row>
    <row r="155" customFormat="false" ht="12.75" hidden="false" customHeight="false" outlineLevel="0" collapsed="false">
      <c r="A155" s="626"/>
      <c r="B155" s="305" t="s">
        <v>200</v>
      </c>
      <c r="C155" s="305" t="s">
        <v>492</v>
      </c>
      <c r="D155" s="306" t="n">
        <v>1796</v>
      </c>
      <c r="E155" s="306" t="n">
        <v>3.25</v>
      </c>
      <c r="F155" s="305" t="s">
        <v>432</v>
      </c>
      <c r="G155" s="306" t="n">
        <v>48</v>
      </c>
      <c r="H155" s="325" t="n">
        <v>1644.62809917355</v>
      </c>
      <c r="I155" s="473"/>
      <c r="J155" s="313" t="n">
        <v>0</v>
      </c>
      <c r="K155" s="627" t="n">
        <v>30.9427083333333</v>
      </c>
      <c r="L155" s="410"/>
      <c r="M155" s="506" t="n">
        <v>151</v>
      </c>
      <c r="N155" s="410"/>
      <c r="O155" s="313" t="n">
        <v>311</v>
      </c>
      <c r="P155" s="474" t="n">
        <v>1485.25</v>
      </c>
      <c r="Q155" s="377"/>
      <c r="R155" s="410"/>
      <c r="V155" s="517"/>
    </row>
    <row r="156" customFormat="false" ht="12.75" hidden="false" customHeight="false" outlineLevel="0" collapsed="false">
      <c r="A156" s="626"/>
      <c r="B156" s="305" t="s">
        <v>428</v>
      </c>
      <c r="C156" s="305" t="s">
        <v>494</v>
      </c>
      <c r="D156" s="306" t="n">
        <v>162</v>
      </c>
      <c r="E156" s="306" t="n">
        <v>3.25</v>
      </c>
      <c r="F156" s="305" t="s">
        <v>432</v>
      </c>
      <c r="G156" s="306" t="n">
        <v>24</v>
      </c>
      <c r="H156" s="325" t="n">
        <v>114.04958677686</v>
      </c>
      <c r="I156" s="473"/>
      <c r="J156" s="313" t="n">
        <v>0</v>
      </c>
      <c r="K156" s="627" t="n">
        <v>3.96875</v>
      </c>
      <c r="L156" s="410"/>
      <c r="M156" s="506" t="n">
        <v>48</v>
      </c>
      <c r="N156" s="410"/>
      <c r="O156" s="313" t="n">
        <v>67</v>
      </c>
      <c r="P156" s="474" t="n">
        <v>95.25</v>
      </c>
      <c r="Q156" s="377"/>
      <c r="R156" s="410"/>
      <c r="V156" s="517"/>
    </row>
    <row r="157" customFormat="false" ht="12.75" hidden="false" customHeight="false" outlineLevel="0" collapsed="false">
      <c r="A157" s="626"/>
      <c r="B157" s="305" t="s">
        <v>428</v>
      </c>
      <c r="C157" s="305" t="s">
        <v>495</v>
      </c>
      <c r="D157" s="306" t="n">
        <v>161</v>
      </c>
      <c r="E157" s="306" t="n">
        <v>3.25</v>
      </c>
      <c r="F157" s="305" t="s">
        <v>432</v>
      </c>
      <c r="G157" s="306" t="n">
        <v>24</v>
      </c>
      <c r="H157" s="325" t="n">
        <v>134.710743801653</v>
      </c>
      <c r="I157" s="473"/>
      <c r="J157" s="313" t="n">
        <v>0</v>
      </c>
      <c r="K157" s="627" t="n">
        <v>4.42708333333333</v>
      </c>
      <c r="L157" s="410"/>
      <c r="M157" s="506" t="n">
        <v>26</v>
      </c>
      <c r="N157" s="410"/>
      <c r="O157" s="313" t="n">
        <v>55</v>
      </c>
      <c r="P157" s="474" t="n">
        <v>106.25</v>
      </c>
      <c r="Q157" s="377"/>
      <c r="R157" s="410"/>
      <c r="V157" s="517"/>
    </row>
    <row r="158" customFormat="false" ht="12.75" hidden="false" customHeight="false" outlineLevel="0" collapsed="false">
      <c r="A158" s="626"/>
      <c r="B158" s="305" t="s">
        <v>428</v>
      </c>
      <c r="C158" s="305" t="s">
        <v>495</v>
      </c>
      <c r="D158" s="306" t="n">
        <v>161</v>
      </c>
      <c r="E158" s="306" t="n">
        <v>3.25</v>
      </c>
      <c r="F158" s="305" t="s">
        <v>432</v>
      </c>
      <c r="G158" s="306" t="n">
        <v>48</v>
      </c>
      <c r="H158" s="325" t="n">
        <v>134.710743801653</v>
      </c>
      <c r="I158" s="473"/>
      <c r="J158" s="313" t="n">
        <v>0</v>
      </c>
      <c r="K158" s="627" t="n">
        <v>2.21354166666667</v>
      </c>
      <c r="L158" s="410"/>
      <c r="M158" s="506" t="n">
        <v>26</v>
      </c>
      <c r="N158" s="410"/>
      <c r="O158" s="313" t="n">
        <v>55</v>
      </c>
      <c r="P158" s="474" t="n">
        <v>106.25</v>
      </c>
      <c r="Q158" s="377"/>
      <c r="R158" s="410"/>
      <c r="V158" s="517"/>
    </row>
    <row r="159" customFormat="false" ht="12.75" hidden="false" customHeight="false" outlineLevel="0" collapsed="false">
      <c r="A159" s="626"/>
      <c r="B159" s="305" t="s">
        <v>428</v>
      </c>
      <c r="C159" s="305" t="s">
        <v>496</v>
      </c>
      <c r="D159" s="306" t="n">
        <v>294</v>
      </c>
      <c r="E159" s="306" t="n">
        <v>3.25</v>
      </c>
      <c r="F159" s="305" t="s">
        <v>432</v>
      </c>
      <c r="G159" s="306" t="n">
        <v>24</v>
      </c>
      <c r="H159" s="325" t="n">
        <v>248.760330578512</v>
      </c>
      <c r="I159" s="473"/>
      <c r="J159" s="313" t="n">
        <v>0</v>
      </c>
      <c r="K159" s="627" t="n">
        <v>8.05208333333333</v>
      </c>
      <c r="L159" s="410"/>
      <c r="M159" s="506" t="n">
        <v>45</v>
      </c>
      <c r="N159" s="410"/>
      <c r="O159" s="313" t="n">
        <v>101</v>
      </c>
      <c r="P159" s="474" t="n">
        <v>193.25</v>
      </c>
      <c r="Q159" s="377"/>
      <c r="R159" s="410"/>
      <c r="V159" s="517"/>
    </row>
    <row r="160" customFormat="false" ht="12.75" hidden="false" customHeight="false" outlineLevel="0" collapsed="false">
      <c r="A160" s="626"/>
      <c r="B160" s="305" t="s">
        <v>428</v>
      </c>
      <c r="C160" s="305" t="s">
        <v>496</v>
      </c>
      <c r="D160" s="306" t="n">
        <v>294</v>
      </c>
      <c r="E160" s="306" t="n">
        <v>3.25</v>
      </c>
      <c r="F160" s="305" t="s">
        <v>432</v>
      </c>
      <c r="G160" s="306" t="n">
        <v>48</v>
      </c>
      <c r="H160" s="325" t="n">
        <v>248.760330578512</v>
      </c>
      <c r="I160" s="473"/>
      <c r="J160" s="313" t="n">
        <v>0</v>
      </c>
      <c r="K160" s="627" t="n">
        <v>4.02604166666667</v>
      </c>
      <c r="L160" s="410"/>
      <c r="M160" s="506" t="n">
        <v>45</v>
      </c>
      <c r="N160" s="410"/>
      <c r="O160" s="313" t="n">
        <v>101</v>
      </c>
      <c r="P160" s="474" t="n">
        <v>193.25</v>
      </c>
      <c r="Q160" s="377"/>
      <c r="R160" s="410"/>
      <c r="V160" s="517"/>
    </row>
    <row r="161" customFormat="false" ht="12.75" hidden="false" customHeight="false" outlineLevel="0" collapsed="false">
      <c r="A161" s="626"/>
      <c r="B161" s="305" t="s">
        <v>497</v>
      </c>
      <c r="C161" s="305" t="s">
        <v>498</v>
      </c>
      <c r="D161" s="306" t="n">
        <v>174</v>
      </c>
      <c r="E161" s="306" t="n">
        <v>3.25</v>
      </c>
      <c r="F161" s="305" t="s">
        <v>432</v>
      </c>
      <c r="G161" s="306" t="n">
        <v>24</v>
      </c>
      <c r="H161" s="325" t="n">
        <v>88.4297520661157</v>
      </c>
      <c r="I161" s="473"/>
      <c r="J161" s="313" t="n">
        <v>0</v>
      </c>
      <c r="K161" s="627" t="n">
        <v>2.90333333333333</v>
      </c>
      <c r="L161" s="410"/>
      <c r="M161" s="506" t="n">
        <v>86</v>
      </c>
      <c r="N161" s="410"/>
      <c r="O161" s="313" t="n">
        <v>104</v>
      </c>
      <c r="P161" s="474" t="n">
        <v>69.68</v>
      </c>
      <c r="Q161" s="377"/>
      <c r="R161" s="410"/>
      <c r="V161" s="517"/>
    </row>
    <row r="162" customFormat="false" ht="12.75" hidden="false" customHeight="false" outlineLevel="0" collapsed="false">
      <c r="A162" s="626"/>
      <c r="B162" s="305" t="s">
        <v>497</v>
      </c>
      <c r="C162" s="305" t="s">
        <v>499</v>
      </c>
      <c r="D162" s="306" t="n">
        <v>638</v>
      </c>
      <c r="E162" s="306" t="n">
        <v>3.25</v>
      </c>
      <c r="F162" s="305" t="s">
        <v>432</v>
      </c>
      <c r="G162" s="306" t="n">
        <v>24</v>
      </c>
      <c r="H162" s="325" t="n">
        <v>507.438016528926</v>
      </c>
      <c r="I162" s="473"/>
      <c r="J162" s="313" t="n">
        <v>0</v>
      </c>
      <c r="K162" s="627" t="n">
        <v>14.64875</v>
      </c>
      <c r="L162" s="410"/>
      <c r="M162" s="506" t="n">
        <v>131</v>
      </c>
      <c r="N162" s="410"/>
      <c r="O162" s="313" t="n">
        <v>286</v>
      </c>
      <c r="P162" s="474" t="n">
        <v>351.57</v>
      </c>
      <c r="Q162" s="377"/>
      <c r="R162" s="410"/>
      <c r="V162" s="517"/>
    </row>
    <row r="163" customFormat="false" ht="12.75" hidden="false" customHeight="false" outlineLevel="0" collapsed="false">
      <c r="A163" s="626"/>
      <c r="B163" s="305" t="s">
        <v>497</v>
      </c>
      <c r="C163" s="305" t="s">
        <v>499</v>
      </c>
      <c r="D163" s="306" t="n">
        <v>638</v>
      </c>
      <c r="E163" s="306" t="n">
        <v>3.25</v>
      </c>
      <c r="F163" s="305" t="s">
        <v>432</v>
      </c>
      <c r="G163" s="306" t="n">
        <v>48</v>
      </c>
      <c r="H163" s="325" t="n">
        <v>507.438016528926</v>
      </c>
      <c r="I163" s="473"/>
      <c r="J163" s="313" t="n">
        <v>0</v>
      </c>
      <c r="K163" s="627" t="n">
        <v>7.324375</v>
      </c>
      <c r="L163" s="410"/>
      <c r="M163" s="506" t="n">
        <v>131</v>
      </c>
      <c r="N163" s="410"/>
      <c r="O163" s="313" t="n">
        <v>286</v>
      </c>
      <c r="P163" s="474" t="n">
        <v>351.57</v>
      </c>
      <c r="Q163" s="377"/>
      <c r="R163" s="410"/>
      <c r="V163" s="517"/>
    </row>
    <row r="164" customFormat="false" ht="12.75" hidden="false" customHeight="false" outlineLevel="0" collapsed="false">
      <c r="A164" s="626"/>
      <c r="B164" s="305" t="s">
        <v>497</v>
      </c>
      <c r="C164" s="305" t="s">
        <v>500</v>
      </c>
      <c r="D164" s="306" t="n">
        <v>801</v>
      </c>
      <c r="E164" s="306" t="n">
        <v>3.25</v>
      </c>
      <c r="F164" s="305" t="s">
        <v>432</v>
      </c>
      <c r="G164" s="306" t="n">
        <v>24</v>
      </c>
      <c r="H164" s="325" t="n">
        <v>529.752066115703</v>
      </c>
      <c r="I164" s="473"/>
      <c r="J164" s="313" t="n">
        <v>0</v>
      </c>
      <c r="K164" s="627" t="n">
        <v>17.6533333333333</v>
      </c>
      <c r="L164" s="410"/>
      <c r="M164" s="506" t="n">
        <v>271</v>
      </c>
      <c r="N164" s="410"/>
      <c r="O164" s="313" t="n">
        <v>377</v>
      </c>
      <c r="P164" s="474" t="n">
        <v>423.68</v>
      </c>
      <c r="Q164" s="377"/>
      <c r="R164" s="410"/>
      <c r="V164" s="517"/>
    </row>
    <row r="165" customFormat="false" ht="12.75" hidden="false" customHeight="false" outlineLevel="0" collapsed="false">
      <c r="A165" s="626"/>
      <c r="B165" s="305" t="s">
        <v>497</v>
      </c>
      <c r="C165" s="305" t="s">
        <v>500</v>
      </c>
      <c r="D165" s="306" t="n">
        <v>801</v>
      </c>
      <c r="E165" s="306" t="n">
        <v>3.25</v>
      </c>
      <c r="F165" s="305" t="s">
        <v>432</v>
      </c>
      <c r="G165" s="306" t="n">
        <v>48</v>
      </c>
      <c r="H165" s="325" t="n">
        <v>529.752066115703</v>
      </c>
      <c r="I165" s="473"/>
      <c r="J165" s="313" t="n">
        <v>0</v>
      </c>
      <c r="K165" s="627" t="n">
        <v>8.82666666666667</v>
      </c>
      <c r="L165" s="410"/>
      <c r="M165" s="506" t="n">
        <v>271</v>
      </c>
      <c r="N165" s="410"/>
      <c r="O165" s="313" t="n">
        <v>377</v>
      </c>
      <c r="P165" s="474" t="n">
        <v>423.68</v>
      </c>
      <c r="Q165" s="377"/>
      <c r="R165" s="410"/>
      <c r="V165" s="517"/>
    </row>
    <row r="166" customFormat="false" ht="12.75" hidden="false" customHeight="false" outlineLevel="0" collapsed="false">
      <c r="A166" s="626"/>
      <c r="B166" s="305" t="s">
        <v>497</v>
      </c>
      <c r="C166" s="305" t="s">
        <v>501</v>
      </c>
      <c r="D166" s="306" t="n">
        <v>895</v>
      </c>
      <c r="E166" s="306" t="n">
        <v>3.25</v>
      </c>
      <c r="F166" s="305" t="s">
        <v>432</v>
      </c>
      <c r="G166" s="306" t="n">
        <v>24</v>
      </c>
      <c r="H166" s="325" t="n">
        <v>761.157024793388</v>
      </c>
      <c r="I166" s="473"/>
      <c r="J166" s="313" t="n">
        <v>0</v>
      </c>
      <c r="K166" s="627" t="n">
        <v>19.3783333333333</v>
      </c>
      <c r="L166" s="410"/>
      <c r="M166" s="506" t="n">
        <v>134</v>
      </c>
      <c r="N166" s="410"/>
      <c r="O166" s="313" t="n">
        <v>430</v>
      </c>
      <c r="P166" s="474" t="n">
        <v>465.08</v>
      </c>
      <c r="Q166" s="377"/>
      <c r="R166" s="410"/>
      <c r="V166" s="517"/>
    </row>
    <row r="167" customFormat="false" ht="12.75" hidden="false" customHeight="false" outlineLevel="0" collapsed="false">
      <c r="A167" s="626"/>
      <c r="B167" s="305" t="s">
        <v>497</v>
      </c>
      <c r="C167" s="305" t="s">
        <v>501</v>
      </c>
      <c r="D167" s="306" t="n">
        <v>895</v>
      </c>
      <c r="E167" s="306" t="n">
        <v>3.25</v>
      </c>
      <c r="F167" s="305" t="s">
        <v>432</v>
      </c>
      <c r="G167" s="306" t="n">
        <v>48</v>
      </c>
      <c r="H167" s="325" t="n">
        <v>761.157024793388</v>
      </c>
      <c r="I167" s="473"/>
      <c r="J167" s="313" t="n">
        <v>0</v>
      </c>
      <c r="K167" s="627" t="n">
        <v>9.68916666666667</v>
      </c>
      <c r="L167" s="410"/>
      <c r="M167" s="506" t="n">
        <v>134</v>
      </c>
      <c r="N167" s="410"/>
      <c r="O167" s="313" t="n">
        <v>430</v>
      </c>
      <c r="P167" s="474" t="n">
        <v>465.08</v>
      </c>
      <c r="Q167" s="377"/>
      <c r="R167" s="410"/>
      <c r="V167" s="517"/>
    </row>
    <row r="168" customFormat="false" ht="12.75" hidden="false" customHeight="false" outlineLevel="0" collapsed="false">
      <c r="A168" s="626"/>
      <c r="B168" s="305" t="s">
        <v>497</v>
      </c>
      <c r="C168" s="305" t="s">
        <v>502</v>
      </c>
      <c r="D168" s="306" t="n">
        <v>1139</v>
      </c>
      <c r="E168" s="306" t="n">
        <v>3.25</v>
      </c>
      <c r="F168" s="305" t="s">
        <v>432</v>
      </c>
      <c r="G168" s="306" t="n">
        <v>24</v>
      </c>
      <c r="H168" s="325" t="n">
        <v>942.97520661157</v>
      </c>
      <c r="I168" s="473"/>
      <c r="J168" s="313" t="n">
        <v>0</v>
      </c>
      <c r="K168" s="627" t="n">
        <v>32.6395833333333</v>
      </c>
      <c r="L168" s="410"/>
      <c r="M168" s="506" t="n">
        <v>196</v>
      </c>
      <c r="N168" s="410"/>
      <c r="O168" s="313" t="n">
        <v>356</v>
      </c>
      <c r="P168" s="474" t="n">
        <v>783.35</v>
      </c>
      <c r="Q168" s="377"/>
      <c r="R168" s="410"/>
      <c r="V168" s="517"/>
    </row>
    <row r="169" customFormat="false" ht="12.75" hidden="false" customHeight="false" outlineLevel="0" collapsed="false">
      <c r="A169" s="626"/>
      <c r="B169" s="305" t="s">
        <v>497</v>
      </c>
      <c r="C169" s="305" t="s">
        <v>502</v>
      </c>
      <c r="D169" s="306" t="n">
        <v>1139</v>
      </c>
      <c r="E169" s="306" t="n">
        <v>3.25</v>
      </c>
      <c r="F169" s="305" t="s">
        <v>432</v>
      </c>
      <c r="G169" s="306" t="n">
        <v>48</v>
      </c>
      <c r="H169" s="325" t="n">
        <v>942.97520661157</v>
      </c>
      <c r="I169" s="473"/>
      <c r="J169" s="313" t="n">
        <v>0</v>
      </c>
      <c r="K169" s="627" t="n">
        <v>16.3197916666667</v>
      </c>
      <c r="L169" s="410"/>
      <c r="M169" s="506" t="n">
        <v>196</v>
      </c>
      <c r="N169" s="410"/>
      <c r="O169" s="313" t="n">
        <v>356</v>
      </c>
      <c r="P169" s="474" t="n">
        <v>783.35</v>
      </c>
      <c r="Q169" s="377"/>
      <c r="R169" s="410"/>
      <c r="V169" s="517"/>
    </row>
    <row r="170" customFormat="false" ht="12.75" hidden="false" customHeight="false" outlineLevel="0" collapsed="false">
      <c r="A170" s="626"/>
      <c r="B170" s="305" t="s">
        <v>497</v>
      </c>
      <c r="C170" s="305" t="s">
        <v>503</v>
      </c>
      <c r="D170" s="306" t="n">
        <v>1465</v>
      </c>
      <c r="E170" s="306" t="n">
        <v>3.25</v>
      </c>
      <c r="F170" s="305" t="s">
        <v>432</v>
      </c>
      <c r="G170" s="306" t="n">
        <v>24</v>
      </c>
      <c r="H170" s="325" t="n">
        <v>1086.77685950413</v>
      </c>
      <c r="I170" s="473"/>
      <c r="J170" s="313" t="n">
        <v>0</v>
      </c>
      <c r="K170" s="627" t="n">
        <v>38.6383333333333</v>
      </c>
      <c r="L170" s="410"/>
      <c r="M170" s="506" t="n">
        <v>378</v>
      </c>
      <c r="N170" s="410"/>
      <c r="O170" s="313" t="n">
        <v>538</v>
      </c>
      <c r="P170" s="474" t="n">
        <v>927.32</v>
      </c>
      <c r="Q170" s="377"/>
      <c r="R170" s="410"/>
      <c r="V170" s="517"/>
    </row>
    <row r="171" customFormat="false" ht="12.75" hidden="false" customHeight="false" outlineLevel="0" collapsed="false">
      <c r="A171" s="626"/>
      <c r="B171" s="305" t="s">
        <v>497</v>
      </c>
      <c r="C171" s="305" t="s">
        <v>503</v>
      </c>
      <c r="D171" s="306" t="n">
        <v>1465</v>
      </c>
      <c r="E171" s="306" t="n">
        <v>3.25</v>
      </c>
      <c r="F171" s="305" t="s">
        <v>432</v>
      </c>
      <c r="G171" s="306" t="n">
        <v>48</v>
      </c>
      <c r="H171" s="325" t="n">
        <v>1086.77685950413</v>
      </c>
      <c r="I171" s="473"/>
      <c r="J171" s="313" t="n">
        <v>0</v>
      </c>
      <c r="K171" s="627" t="n">
        <v>19.3191666666667</v>
      </c>
      <c r="L171" s="410"/>
      <c r="M171" s="506" t="n">
        <v>378</v>
      </c>
      <c r="N171" s="410"/>
      <c r="O171" s="313" t="n">
        <v>538</v>
      </c>
      <c r="P171" s="474" t="n">
        <v>927.32</v>
      </c>
      <c r="Q171" s="377"/>
      <c r="R171" s="410"/>
      <c r="V171" s="517"/>
    </row>
    <row r="172" customFormat="false" ht="12.75" hidden="false" customHeight="false" outlineLevel="0" collapsed="false">
      <c r="A172" s="626"/>
      <c r="B172" s="305" t="s">
        <v>497</v>
      </c>
      <c r="C172" s="305" t="s">
        <v>505</v>
      </c>
      <c r="D172" s="306" t="n">
        <v>281</v>
      </c>
      <c r="E172" s="306" t="n">
        <v>3.25</v>
      </c>
      <c r="F172" s="305" t="s">
        <v>432</v>
      </c>
      <c r="G172" s="306" t="n">
        <v>24</v>
      </c>
      <c r="H172" s="325" t="n">
        <v>154.545454545455</v>
      </c>
      <c r="I172" s="473"/>
      <c r="J172" s="313" t="n">
        <v>0</v>
      </c>
      <c r="K172" s="627" t="n">
        <v>4.83125</v>
      </c>
      <c r="L172" s="410"/>
      <c r="M172" s="506" t="n">
        <v>126</v>
      </c>
      <c r="N172" s="410"/>
      <c r="O172" s="313" t="n">
        <v>165</v>
      </c>
      <c r="P172" s="474" t="n">
        <v>115.95</v>
      </c>
      <c r="Q172" s="377"/>
      <c r="R172" s="410"/>
      <c r="V172" s="517"/>
    </row>
    <row r="173" customFormat="false" ht="12.75" hidden="false" customHeight="false" outlineLevel="0" collapsed="false">
      <c r="A173" s="626"/>
      <c r="B173" s="305" t="s">
        <v>497</v>
      </c>
      <c r="C173" s="305" t="s">
        <v>505</v>
      </c>
      <c r="D173" s="306" t="n">
        <v>281</v>
      </c>
      <c r="E173" s="306" t="n">
        <v>3.25</v>
      </c>
      <c r="F173" s="305" t="s">
        <v>432</v>
      </c>
      <c r="G173" s="306" t="n">
        <v>48</v>
      </c>
      <c r="H173" s="325" t="n">
        <v>154.545454545455</v>
      </c>
      <c r="I173" s="473"/>
      <c r="J173" s="313" t="n">
        <v>0</v>
      </c>
      <c r="K173" s="627" t="n">
        <v>2.415625</v>
      </c>
      <c r="L173" s="410"/>
      <c r="M173" s="506" t="n">
        <v>126</v>
      </c>
      <c r="N173" s="410"/>
      <c r="O173" s="313" t="n">
        <v>165</v>
      </c>
      <c r="P173" s="474" t="n">
        <v>115.95</v>
      </c>
      <c r="Q173" s="377"/>
      <c r="R173" s="410"/>
      <c r="V173" s="517"/>
    </row>
    <row r="174" customFormat="false" ht="12.75" hidden="false" customHeight="false" outlineLevel="0" collapsed="false">
      <c r="A174" s="626"/>
      <c r="B174" s="305" t="s">
        <v>497</v>
      </c>
      <c r="C174" s="305" t="s">
        <v>504</v>
      </c>
      <c r="D174" s="306" t="n">
        <v>205</v>
      </c>
      <c r="E174" s="306" t="n">
        <v>3.25</v>
      </c>
      <c r="F174" s="305" t="s">
        <v>432</v>
      </c>
      <c r="G174" s="306" t="n">
        <v>24</v>
      </c>
      <c r="H174" s="325" t="n">
        <v>128.925619834711</v>
      </c>
      <c r="I174" s="473"/>
      <c r="J174" s="313" t="n">
        <v>0</v>
      </c>
      <c r="K174" s="627" t="n">
        <v>4.17708333333333</v>
      </c>
      <c r="L174" s="410"/>
      <c r="M174" s="506" t="n">
        <v>76</v>
      </c>
      <c r="N174" s="410"/>
      <c r="O174" s="313" t="n">
        <v>105</v>
      </c>
      <c r="P174" s="474" t="n">
        <v>100.25</v>
      </c>
      <c r="Q174" s="377"/>
      <c r="R174" s="410"/>
      <c r="V174" s="517"/>
    </row>
    <row r="175" customFormat="false" ht="12.75" hidden="false" customHeight="false" outlineLevel="0" collapsed="false">
      <c r="A175" s="626"/>
      <c r="B175" s="305" t="s">
        <v>497</v>
      </c>
      <c r="C175" s="305" t="s">
        <v>504</v>
      </c>
      <c r="D175" s="306" t="n">
        <v>205</v>
      </c>
      <c r="E175" s="306" t="n">
        <v>3.25</v>
      </c>
      <c r="F175" s="305" t="s">
        <v>432</v>
      </c>
      <c r="G175" s="306" t="n">
        <v>48</v>
      </c>
      <c r="H175" s="325" t="n">
        <v>128.925619834711</v>
      </c>
      <c r="I175" s="473"/>
      <c r="J175" s="313" t="n">
        <v>0</v>
      </c>
      <c r="K175" s="627" t="n">
        <v>2.08854166666667</v>
      </c>
      <c r="L175" s="410"/>
      <c r="M175" s="506" t="n">
        <v>76</v>
      </c>
      <c r="N175" s="410"/>
      <c r="O175" s="313" t="n">
        <v>105</v>
      </c>
      <c r="P175" s="474" t="n">
        <v>100.25</v>
      </c>
      <c r="Q175" s="377"/>
      <c r="R175" s="410"/>
      <c r="V175" s="517"/>
    </row>
    <row r="176" customFormat="false" ht="12.75" hidden="false" customHeight="false" outlineLevel="0" collapsed="false">
      <c r="A176" s="626"/>
      <c r="B176" s="305" t="s">
        <v>497</v>
      </c>
      <c r="C176" s="305" t="s">
        <v>507</v>
      </c>
      <c r="D176" s="306" t="n">
        <v>323</v>
      </c>
      <c r="E176" s="306" t="n">
        <v>3.25</v>
      </c>
      <c r="F176" s="305" t="s">
        <v>432</v>
      </c>
      <c r="G176" s="306" t="n">
        <v>24</v>
      </c>
      <c r="H176" s="325" t="n">
        <v>286.776859504132</v>
      </c>
      <c r="I176" s="473"/>
      <c r="J176" s="313" t="n">
        <v>0</v>
      </c>
      <c r="K176" s="627" t="n">
        <v>6.94375</v>
      </c>
      <c r="L176" s="410"/>
      <c r="M176" s="506" t="n">
        <v>36</v>
      </c>
      <c r="N176" s="410"/>
      <c r="O176" s="313" t="n">
        <v>156</v>
      </c>
      <c r="P176" s="474" t="n">
        <v>166.65</v>
      </c>
      <c r="Q176" s="377"/>
      <c r="R176" s="410"/>
      <c r="V176" s="517"/>
    </row>
    <row r="177" customFormat="false" ht="12.75" hidden="false" customHeight="false" outlineLevel="0" collapsed="false">
      <c r="A177" s="626"/>
      <c r="B177" s="305" t="s">
        <v>497</v>
      </c>
      <c r="C177" s="305" t="s">
        <v>507</v>
      </c>
      <c r="D177" s="306" t="n">
        <v>323</v>
      </c>
      <c r="E177" s="306" t="n">
        <v>3.25</v>
      </c>
      <c r="F177" s="305" t="s">
        <v>432</v>
      </c>
      <c r="G177" s="306" t="n">
        <v>48</v>
      </c>
      <c r="H177" s="325" t="n">
        <v>286.776859504132</v>
      </c>
      <c r="I177" s="473"/>
      <c r="J177" s="313" t="n">
        <v>0</v>
      </c>
      <c r="K177" s="627" t="n">
        <v>3.471875</v>
      </c>
      <c r="L177" s="410"/>
      <c r="M177" s="506" t="n">
        <v>36</v>
      </c>
      <c r="N177" s="410"/>
      <c r="O177" s="313" t="n">
        <v>156</v>
      </c>
      <c r="P177" s="474" t="n">
        <v>166.65</v>
      </c>
      <c r="Q177" s="377"/>
      <c r="R177" s="410"/>
      <c r="V177" s="517"/>
    </row>
    <row r="178" customFormat="false" ht="12.75" hidden="false" customHeight="false" outlineLevel="0" collapsed="false">
      <c r="A178" s="626"/>
      <c r="B178" s="305" t="s">
        <v>497</v>
      </c>
      <c r="C178" s="305" t="s">
        <v>508</v>
      </c>
      <c r="D178" s="306" t="n">
        <v>415</v>
      </c>
      <c r="E178" s="306" t="n">
        <v>3.25</v>
      </c>
      <c r="F178" s="305" t="s">
        <v>432</v>
      </c>
      <c r="G178" s="306" t="n">
        <v>24</v>
      </c>
      <c r="H178" s="325" t="n">
        <v>303.305785123967</v>
      </c>
      <c r="I178" s="473"/>
      <c r="J178" s="313" t="n">
        <v>0</v>
      </c>
      <c r="K178" s="627" t="n">
        <v>9.5025</v>
      </c>
      <c r="L178" s="410"/>
      <c r="M178" s="506" t="n">
        <v>112</v>
      </c>
      <c r="N178" s="410"/>
      <c r="O178" s="313" t="n">
        <v>187</v>
      </c>
      <c r="P178" s="474" t="n">
        <v>228.06</v>
      </c>
      <c r="Q178" s="377"/>
      <c r="R178" s="410"/>
      <c r="V178" s="517"/>
    </row>
    <row r="179" customFormat="false" ht="12.75" hidden="false" customHeight="false" outlineLevel="0" collapsed="false">
      <c r="A179" s="626"/>
      <c r="B179" s="305" t="s">
        <v>497</v>
      </c>
      <c r="C179" s="305" t="s">
        <v>508</v>
      </c>
      <c r="D179" s="306" t="n">
        <v>415</v>
      </c>
      <c r="E179" s="306" t="n">
        <v>3.25</v>
      </c>
      <c r="F179" s="305" t="s">
        <v>432</v>
      </c>
      <c r="G179" s="306" t="n">
        <v>48</v>
      </c>
      <c r="H179" s="325" t="n">
        <v>303.305785123967</v>
      </c>
      <c r="I179" s="473"/>
      <c r="J179" s="313" t="n">
        <v>0</v>
      </c>
      <c r="K179" s="627" t="n">
        <v>4.75125</v>
      </c>
      <c r="L179" s="410"/>
      <c r="M179" s="506" t="n">
        <v>112</v>
      </c>
      <c r="N179" s="410"/>
      <c r="O179" s="313" t="n">
        <v>187</v>
      </c>
      <c r="P179" s="474" t="n">
        <v>228.06</v>
      </c>
      <c r="Q179" s="377"/>
      <c r="R179" s="410"/>
      <c r="V179" s="517"/>
    </row>
    <row r="180" customFormat="false" ht="12.75" hidden="false" customHeight="false" outlineLevel="0" collapsed="false">
      <c r="A180" s="626"/>
      <c r="B180" s="305" t="s">
        <v>497</v>
      </c>
      <c r="C180" s="305" t="s">
        <v>509</v>
      </c>
      <c r="D180" s="306" t="n">
        <v>516</v>
      </c>
      <c r="E180" s="306" t="n">
        <v>3.25</v>
      </c>
      <c r="F180" s="305" t="s">
        <v>432</v>
      </c>
      <c r="G180" s="306" t="n">
        <v>24</v>
      </c>
      <c r="H180" s="325" t="n">
        <v>385.123966942149</v>
      </c>
      <c r="I180" s="473"/>
      <c r="J180" s="313" t="n">
        <v>0</v>
      </c>
      <c r="K180" s="627" t="n">
        <v>12.8941666666667</v>
      </c>
      <c r="L180" s="410"/>
      <c r="M180" s="506" t="n">
        <v>131</v>
      </c>
      <c r="N180" s="410"/>
      <c r="O180" s="313" t="n">
        <v>207</v>
      </c>
      <c r="P180" s="474" t="n">
        <v>309.46</v>
      </c>
      <c r="Q180" s="377"/>
      <c r="R180" s="410"/>
      <c r="V180" s="517"/>
    </row>
    <row r="181" customFormat="false" ht="12.75" hidden="false" customHeight="false" outlineLevel="0" collapsed="false">
      <c r="A181" s="626"/>
      <c r="B181" s="305" t="s">
        <v>497</v>
      </c>
      <c r="C181" s="305" t="s">
        <v>509</v>
      </c>
      <c r="D181" s="306" t="n">
        <v>516</v>
      </c>
      <c r="E181" s="306" t="n">
        <v>3.25</v>
      </c>
      <c r="F181" s="305" t="s">
        <v>432</v>
      </c>
      <c r="G181" s="306" t="n">
        <v>48</v>
      </c>
      <c r="H181" s="325" t="n">
        <v>385.123966942149</v>
      </c>
      <c r="I181" s="473"/>
      <c r="J181" s="313" t="n">
        <v>0</v>
      </c>
      <c r="K181" s="627" t="n">
        <v>6.44708333333333</v>
      </c>
      <c r="L181" s="410"/>
      <c r="M181" s="506" t="n">
        <v>131</v>
      </c>
      <c r="N181" s="410"/>
      <c r="O181" s="313" t="n">
        <v>207</v>
      </c>
      <c r="P181" s="474" t="n">
        <v>309.46</v>
      </c>
      <c r="Q181" s="377"/>
      <c r="R181" s="410"/>
      <c r="V181" s="517"/>
    </row>
    <row r="182" customFormat="false" ht="12.75" hidden="false" customHeight="false" outlineLevel="0" collapsed="false">
      <c r="A182" s="626"/>
      <c r="B182" s="305" t="s">
        <v>510</v>
      </c>
      <c r="C182" s="305" t="s">
        <v>511</v>
      </c>
      <c r="D182" s="306" t="n">
        <v>148</v>
      </c>
      <c r="E182" s="306" t="n">
        <v>3.25</v>
      </c>
      <c r="F182" s="305" t="s">
        <v>432</v>
      </c>
      <c r="G182" s="306" t="n">
        <v>24</v>
      </c>
      <c r="H182" s="325" t="n">
        <v>96.6942148760331</v>
      </c>
      <c r="I182" s="473"/>
      <c r="J182" s="313" t="n">
        <v>0</v>
      </c>
      <c r="K182" s="627" t="n">
        <v>3.26041666666667</v>
      </c>
      <c r="L182" s="410"/>
      <c r="M182" s="506" t="n">
        <v>51</v>
      </c>
      <c r="N182" s="410"/>
      <c r="O182" s="313" t="n">
        <v>70</v>
      </c>
      <c r="P182" s="474" t="n">
        <v>78.25</v>
      </c>
      <c r="Q182" s="377"/>
      <c r="R182" s="410"/>
      <c r="V182" s="517"/>
    </row>
    <row r="183" customFormat="false" ht="12.75" hidden="false" customHeight="false" outlineLevel="0" collapsed="false">
      <c r="A183" s="626"/>
      <c r="B183" s="305" t="s">
        <v>510</v>
      </c>
      <c r="C183" s="305" t="s">
        <v>511</v>
      </c>
      <c r="D183" s="306" t="n">
        <v>148</v>
      </c>
      <c r="E183" s="306" t="n">
        <v>3.25</v>
      </c>
      <c r="F183" s="305" t="s">
        <v>432</v>
      </c>
      <c r="G183" s="306" t="n">
        <v>48</v>
      </c>
      <c r="H183" s="325" t="n">
        <v>96.6942148760331</v>
      </c>
      <c r="I183" s="473"/>
      <c r="J183" s="313" t="n">
        <v>0</v>
      </c>
      <c r="K183" s="627" t="n">
        <v>1.63020833333333</v>
      </c>
      <c r="L183" s="410"/>
      <c r="M183" s="506" t="n">
        <v>51</v>
      </c>
      <c r="N183" s="410"/>
      <c r="O183" s="313" t="n">
        <v>70</v>
      </c>
      <c r="P183" s="474" t="n">
        <v>78.25</v>
      </c>
      <c r="Q183" s="377"/>
      <c r="R183" s="410"/>
      <c r="V183" s="517"/>
    </row>
    <row r="184" customFormat="false" ht="12.75" hidden="false" customHeight="false" outlineLevel="0" collapsed="false">
      <c r="A184" s="626"/>
      <c r="B184" s="305" t="s">
        <v>497</v>
      </c>
      <c r="C184" s="327" t="s">
        <v>506</v>
      </c>
      <c r="D184" s="306" t="n">
        <v>164</v>
      </c>
      <c r="E184" s="306" t="n">
        <v>3.25</v>
      </c>
      <c r="F184" s="305" t="s">
        <v>432</v>
      </c>
      <c r="G184" s="306" t="n">
        <v>24</v>
      </c>
      <c r="H184" s="325" t="n">
        <v>87.603305785124</v>
      </c>
      <c r="I184" s="473"/>
      <c r="J184" s="313" t="n">
        <v>0</v>
      </c>
      <c r="K184" s="627" t="n">
        <v>2.8975</v>
      </c>
      <c r="L184" s="410"/>
      <c r="M184" s="506" t="n">
        <v>76</v>
      </c>
      <c r="N184" s="410"/>
      <c r="O184" s="313" t="n">
        <v>94</v>
      </c>
      <c r="P184" s="474" t="n">
        <v>69.54</v>
      </c>
      <c r="Q184" s="377"/>
      <c r="R184" s="410"/>
      <c r="V184" s="517"/>
    </row>
    <row r="185" customFormat="false" ht="12.75" hidden="false" customHeight="false" outlineLevel="0" collapsed="false">
      <c r="A185" s="626"/>
      <c r="B185" s="305" t="s">
        <v>510</v>
      </c>
      <c r="C185" s="327" t="s">
        <v>512</v>
      </c>
      <c r="D185" s="306" t="n">
        <v>647</v>
      </c>
      <c r="E185" s="306" t="n">
        <v>3.25</v>
      </c>
      <c r="F185" s="305" t="s">
        <v>432</v>
      </c>
      <c r="G185" s="306" t="n">
        <v>24</v>
      </c>
      <c r="H185" s="325" t="n">
        <v>571.900826446281</v>
      </c>
      <c r="I185" s="473"/>
      <c r="J185" s="313" t="n">
        <v>0</v>
      </c>
      <c r="K185" s="627" t="n">
        <v>19.4166666666667</v>
      </c>
      <c r="L185" s="410"/>
      <c r="M185" s="506" t="n">
        <v>75</v>
      </c>
      <c r="N185" s="410"/>
      <c r="O185" s="313" t="n">
        <v>181</v>
      </c>
      <c r="P185" s="474" t="n">
        <v>466</v>
      </c>
      <c r="Q185" s="377"/>
      <c r="R185" s="410"/>
      <c r="V185" s="517"/>
    </row>
    <row r="186" customFormat="false" ht="12.75" hidden="false" customHeight="false" outlineLevel="0" collapsed="false">
      <c r="A186" s="626"/>
      <c r="B186" s="305" t="s">
        <v>510</v>
      </c>
      <c r="C186" s="327" t="s">
        <v>512</v>
      </c>
      <c r="D186" s="306" t="n">
        <v>647</v>
      </c>
      <c r="E186" s="306" t="n">
        <v>3.25</v>
      </c>
      <c r="F186" s="305" t="s">
        <v>432</v>
      </c>
      <c r="G186" s="306" t="n">
        <v>48</v>
      </c>
      <c r="H186" s="325" t="n">
        <v>571.900826446281</v>
      </c>
      <c r="I186" s="473"/>
      <c r="J186" s="313" t="n">
        <v>0</v>
      </c>
      <c r="K186" s="627" t="n">
        <v>9.70833333333333</v>
      </c>
      <c r="L186" s="410"/>
      <c r="M186" s="506" t="n">
        <v>75</v>
      </c>
      <c r="N186" s="410"/>
      <c r="O186" s="313" t="n">
        <v>181</v>
      </c>
      <c r="P186" s="474" t="n">
        <v>466</v>
      </c>
      <c r="Q186" s="377"/>
      <c r="R186" s="410"/>
      <c r="V186" s="517"/>
    </row>
    <row r="187" customFormat="false" ht="12.75" hidden="false" customHeight="false" outlineLevel="0" collapsed="false">
      <c r="A187" s="626"/>
      <c r="B187" s="305" t="s">
        <v>130</v>
      </c>
      <c r="C187" s="305" t="s">
        <v>579</v>
      </c>
      <c r="D187" s="306" t="n">
        <v>751</v>
      </c>
      <c r="E187" s="306" t="n">
        <v>5.33</v>
      </c>
      <c r="F187" s="305" t="s">
        <v>580</v>
      </c>
      <c r="G187" s="306" t="n">
        <v>24</v>
      </c>
      <c r="H187" s="325" t="n">
        <v>621.487603305785</v>
      </c>
      <c r="I187" s="473"/>
      <c r="J187" s="313" t="n">
        <v>0</v>
      </c>
      <c r="K187" s="627" t="n">
        <v>21.4720833333333</v>
      </c>
      <c r="L187" s="410"/>
      <c r="M187" s="506" t="n">
        <v>130</v>
      </c>
      <c r="N187" s="410"/>
      <c r="O187" s="313" t="n">
        <v>236</v>
      </c>
      <c r="P187" s="474" t="n">
        <v>515.33</v>
      </c>
      <c r="Q187" s="377"/>
      <c r="R187" s="410"/>
      <c r="V187" s="517"/>
    </row>
    <row r="188" customFormat="false" ht="12.75" hidden="false" customHeight="false" outlineLevel="0" collapsed="false">
      <c r="A188" s="626"/>
      <c r="B188" s="305" t="s">
        <v>130</v>
      </c>
      <c r="C188" s="305" t="s">
        <v>579</v>
      </c>
      <c r="D188" s="306" t="n">
        <v>751</v>
      </c>
      <c r="E188" s="306" t="n">
        <v>5.33</v>
      </c>
      <c r="F188" s="305" t="s">
        <v>580</v>
      </c>
      <c r="G188" s="306" t="n">
        <v>48</v>
      </c>
      <c r="H188" s="325" t="n">
        <v>621.487603305785</v>
      </c>
      <c r="I188" s="473"/>
      <c r="J188" s="313" t="n">
        <v>0</v>
      </c>
      <c r="K188" s="627" t="n">
        <v>10.7360416666667</v>
      </c>
      <c r="L188" s="410"/>
      <c r="M188" s="506" t="n">
        <v>130</v>
      </c>
      <c r="N188" s="410"/>
      <c r="O188" s="313" t="n">
        <v>236</v>
      </c>
      <c r="P188" s="474" t="n">
        <v>515.33</v>
      </c>
      <c r="Q188" s="377"/>
      <c r="R188" s="410"/>
      <c r="V188" s="517"/>
    </row>
    <row r="189" customFormat="false" ht="12.75" hidden="false" customHeight="false" outlineLevel="0" collapsed="false">
      <c r="A189" s="626"/>
      <c r="B189" s="305" t="s">
        <v>130</v>
      </c>
      <c r="C189" s="305" t="s">
        <v>581</v>
      </c>
      <c r="D189" s="306" t="n">
        <v>915</v>
      </c>
      <c r="E189" s="306" t="n">
        <v>5.33</v>
      </c>
      <c r="F189" s="305" t="s">
        <v>580</v>
      </c>
      <c r="G189" s="306" t="n">
        <v>24</v>
      </c>
      <c r="H189" s="325" t="n">
        <v>680.99173553719</v>
      </c>
      <c r="I189" s="473"/>
      <c r="J189" s="313" t="n">
        <v>0</v>
      </c>
      <c r="K189" s="627" t="n">
        <v>23.9720833333333</v>
      </c>
      <c r="L189" s="410"/>
      <c r="M189" s="506" t="n">
        <v>234</v>
      </c>
      <c r="N189" s="410"/>
      <c r="O189" s="313" t="n">
        <v>340</v>
      </c>
      <c r="P189" s="474" t="n">
        <v>575.33</v>
      </c>
      <c r="Q189" s="377"/>
      <c r="R189" s="410"/>
      <c r="V189" s="517"/>
    </row>
    <row r="190" customFormat="false" ht="12.75" hidden="false" customHeight="false" outlineLevel="0" collapsed="false">
      <c r="A190" s="626"/>
      <c r="B190" s="305" t="s">
        <v>130</v>
      </c>
      <c r="C190" s="305" t="s">
        <v>581</v>
      </c>
      <c r="D190" s="306" t="n">
        <v>915</v>
      </c>
      <c r="E190" s="306" t="n">
        <v>5.33</v>
      </c>
      <c r="F190" s="305" t="s">
        <v>580</v>
      </c>
      <c r="G190" s="306" t="n">
        <v>48</v>
      </c>
      <c r="H190" s="325" t="n">
        <v>680.99173553719</v>
      </c>
      <c r="I190" s="473"/>
      <c r="J190" s="313" t="n">
        <v>0</v>
      </c>
      <c r="K190" s="627" t="n">
        <v>11.9860416666667</v>
      </c>
      <c r="L190" s="410"/>
      <c r="M190" s="506" t="n">
        <v>234</v>
      </c>
      <c r="N190" s="410"/>
      <c r="O190" s="313" t="n">
        <v>340</v>
      </c>
      <c r="P190" s="474" t="n">
        <v>575.33</v>
      </c>
      <c r="Q190" s="377"/>
      <c r="R190" s="410"/>
      <c r="V190" s="517"/>
    </row>
    <row r="191" customFormat="false" ht="12.75" hidden="false" customHeight="false" outlineLevel="0" collapsed="false">
      <c r="A191" s="626"/>
      <c r="B191" s="305" t="s">
        <v>184</v>
      </c>
      <c r="C191" s="305" t="s">
        <v>582</v>
      </c>
      <c r="D191" s="306" t="n">
        <v>472</v>
      </c>
      <c r="E191" s="306" t="n">
        <v>5.33</v>
      </c>
      <c r="F191" s="305" t="s">
        <v>580</v>
      </c>
      <c r="G191" s="306" t="n">
        <v>24</v>
      </c>
      <c r="H191" s="325" t="n">
        <v>431.404958677686</v>
      </c>
      <c r="I191" s="473"/>
      <c r="J191" s="313" t="n">
        <v>0</v>
      </c>
      <c r="K191" s="627" t="n">
        <v>14.38875</v>
      </c>
      <c r="L191" s="410"/>
      <c r="M191" s="506" t="n">
        <v>41</v>
      </c>
      <c r="N191" s="410"/>
      <c r="O191" s="313" t="n">
        <v>127</v>
      </c>
      <c r="P191" s="474" t="n">
        <v>345.33</v>
      </c>
      <c r="Q191" s="377"/>
      <c r="R191" s="410"/>
      <c r="V191" s="517"/>
    </row>
    <row r="192" customFormat="false" ht="12.75" hidden="false" customHeight="false" outlineLevel="0" collapsed="false">
      <c r="A192" s="626"/>
      <c r="B192" s="305" t="s">
        <v>184</v>
      </c>
      <c r="C192" s="305" t="s">
        <v>582</v>
      </c>
      <c r="D192" s="306" t="n">
        <v>472</v>
      </c>
      <c r="E192" s="306" t="n">
        <v>5.33</v>
      </c>
      <c r="F192" s="305" t="s">
        <v>580</v>
      </c>
      <c r="G192" s="306" t="n">
        <v>48</v>
      </c>
      <c r="H192" s="325" t="n">
        <v>431.404958677686</v>
      </c>
      <c r="I192" s="473"/>
      <c r="J192" s="313" t="n">
        <v>0</v>
      </c>
      <c r="K192" s="627" t="n">
        <v>7.194375</v>
      </c>
      <c r="L192" s="410"/>
      <c r="M192" s="506" t="n">
        <v>41</v>
      </c>
      <c r="N192" s="410"/>
      <c r="O192" s="313" t="n">
        <v>127</v>
      </c>
      <c r="P192" s="474" t="n">
        <v>345.33</v>
      </c>
      <c r="Q192" s="377"/>
      <c r="R192" s="410"/>
      <c r="V192" s="517"/>
    </row>
    <row r="193" customFormat="false" ht="12.75" hidden="false" customHeight="false" outlineLevel="0" collapsed="false">
      <c r="A193" s="626"/>
      <c r="B193" s="305" t="s">
        <v>184</v>
      </c>
      <c r="C193" s="305" t="s">
        <v>583</v>
      </c>
      <c r="D193" s="306" t="n">
        <v>620</v>
      </c>
      <c r="E193" s="306" t="n">
        <v>5.33</v>
      </c>
      <c r="F193" s="305" t="s">
        <v>580</v>
      </c>
      <c r="G193" s="306" t="n">
        <v>24</v>
      </c>
      <c r="H193" s="325" t="n">
        <v>554.545454545455</v>
      </c>
      <c r="I193" s="473"/>
      <c r="J193" s="313" t="n">
        <v>0</v>
      </c>
      <c r="K193" s="627" t="n">
        <v>18.69125</v>
      </c>
      <c r="L193" s="410"/>
      <c r="M193" s="506" t="n">
        <v>65</v>
      </c>
      <c r="N193" s="410"/>
      <c r="O193" s="313" t="n">
        <v>171</v>
      </c>
      <c r="P193" s="474" t="n">
        <v>448.59</v>
      </c>
      <c r="Q193" s="377"/>
      <c r="R193" s="410"/>
      <c r="V193" s="517"/>
    </row>
    <row r="194" customFormat="false" ht="12.75" hidden="false" customHeight="false" outlineLevel="0" collapsed="false">
      <c r="A194" s="626"/>
      <c r="B194" s="305" t="s">
        <v>184</v>
      </c>
      <c r="C194" s="305" t="s">
        <v>583</v>
      </c>
      <c r="D194" s="306" t="n">
        <v>620</v>
      </c>
      <c r="E194" s="306" t="n">
        <v>5.33</v>
      </c>
      <c r="F194" s="305" t="s">
        <v>580</v>
      </c>
      <c r="G194" s="306" t="n">
        <v>48</v>
      </c>
      <c r="H194" s="325" t="n">
        <v>554.545454545455</v>
      </c>
      <c r="I194" s="473"/>
      <c r="J194" s="313" t="n">
        <v>0</v>
      </c>
      <c r="K194" s="627" t="n">
        <v>9.345625</v>
      </c>
      <c r="L194" s="410"/>
      <c r="M194" s="506" t="n">
        <v>65</v>
      </c>
      <c r="N194" s="410"/>
      <c r="O194" s="313" t="n">
        <v>171</v>
      </c>
      <c r="P194" s="474" t="n">
        <v>448.59</v>
      </c>
      <c r="Q194" s="377"/>
      <c r="R194" s="410"/>
      <c r="V194" s="517"/>
    </row>
    <row r="195" customFormat="false" ht="12.75" hidden="false" customHeight="false" outlineLevel="0" collapsed="false">
      <c r="A195" s="626"/>
      <c r="B195" s="305" t="s">
        <v>184</v>
      </c>
      <c r="C195" s="305" t="s">
        <v>584</v>
      </c>
      <c r="D195" s="306" t="n">
        <v>915</v>
      </c>
      <c r="E195" s="306" t="n">
        <v>5.33</v>
      </c>
      <c r="F195" s="305" t="s">
        <v>580</v>
      </c>
      <c r="G195" s="306" t="n">
        <v>24</v>
      </c>
      <c r="H195" s="325" t="n">
        <v>914.04958677686</v>
      </c>
      <c r="I195" s="473"/>
      <c r="J195" s="313" t="n">
        <v>0</v>
      </c>
      <c r="K195" s="627" t="n">
        <v>31.4304166666667</v>
      </c>
      <c r="L195" s="410"/>
      <c r="M195" s="506" t="n">
        <v>1</v>
      </c>
      <c r="N195" s="410"/>
      <c r="O195" s="313" t="n">
        <v>161</v>
      </c>
      <c r="P195" s="474" t="n">
        <v>754.33</v>
      </c>
      <c r="Q195" s="377"/>
      <c r="R195" s="410"/>
      <c r="V195" s="517"/>
    </row>
    <row r="196" customFormat="false" ht="12.75" hidden="false" customHeight="false" outlineLevel="0" collapsed="false">
      <c r="A196" s="626"/>
      <c r="B196" s="305" t="s">
        <v>184</v>
      </c>
      <c r="C196" s="305" t="s">
        <v>584</v>
      </c>
      <c r="D196" s="306" t="n">
        <v>915</v>
      </c>
      <c r="E196" s="306" t="n">
        <v>5.33</v>
      </c>
      <c r="F196" s="305" t="s">
        <v>580</v>
      </c>
      <c r="G196" s="306" t="n">
        <v>48</v>
      </c>
      <c r="H196" s="325" t="n">
        <v>914.04958677686</v>
      </c>
      <c r="I196" s="473"/>
      <c r="J196" s="313" t="n">
        <v>0</v>
      </c>
      <c r="K196" s="627" t="n">
        <v>15.7152083333333</v>
      </c>
      <c r="L196" s="410"/>
      <c r="M196" s="506" t="n">
        <v>1</v>
      </c>
      <c r="N196" s="410"/>
      <c r="O196" s="313" t="n">
        <v>161</v>
      </c>
      <c r="P196" s="474" t="n">
        <v>754.33</v>
      </c>
      <c r="Q196" s="377"/>
      <c r="R196" s="410"/>
      <c r="V196" s="517"/>
    </row>
    <row r="197" customFormat="false" ht="12.75" hidden="false" customHeight="false" outlineLevel="0" collapsed="false">
      <c r="A197" s="626"/>
      <c r="B197" s="305" t="s">
        <v>184</v>
      </c>
      <c r="C197" s="305" t="s">
        <v>585</v>
      </c>
      <c r="D197" s="306" t="n">
        <v>948</v>
      </c>
      <c r="E197" s="306" t="n">
        <v>5.33</v>
      </c>
      <c r="F197" s="305" t="s">
        <v>580</v>
      </c>
      <c r="G197" s="306" t="n">
        <v>24</v>
      </c>
      <c r="H197" s="325" t="n">
        <v>949.586776859504</v>
      </c>
      <c r="I197" s="473"/>
      <c r="J197" s="313" t="n">
        <v>0</v>
      </c>
      <c r="K197" s="627" t="n">
        <v>32.9304166666667</v>
      </c>
      <c r="L197" s="410"/>
      <c r="M197" s="506" t="n">
        <v>-2</v>
      </c>
      <c r="N197" s="410"/>
      <c r="O197" s="313" t="n">
        <v>158</v>
      </c>
      <c r="P197" s="474" t="n">
        <v>790.33</v>
      </c>
      <c r="Q197" s="377"/>
      <c r="R197" s="410"/>
      <c r="V197" s="517"/>
    </row>
    <row r="198" customFormat="false" ht="12.75" hidden="false" customHeight="false" outlineLevel="0" collapsed="false">
      <c r="A198" s="626"/>
      <c r="B198" s="305" t="s">
        <v>184</v>
      </c>
      <c r="C198" s="305" t="s">
        <v>585</v>
      </c>
      <c r="D198" s="306" t="n">
        <v>948</v>
      </c>
      <c r="E198" s="306" t="n">
        <v>5.33</v>
      </c>
      <c r="F198" s="305" t="s">
        <v>580</v>
      </c>
      <c r="G198" s="306" t="n">
        <v>48</v>
      </c>
      <c r="H198" s="325" t="n">
        <v>949.586776859504</v>
      </c>
      <c r="I198" s="473"/>
      <c r="J198" s="313" t="n">
        <v>0</v>
      </c>
      <c r="K198" s="627" t="n">
        <v>16.4652083333333</v>
      </c>
      <c r="L198" s="410"/>
      <c r="M198" s="506" t="n">
        <v>-2</v>
      </c>
      <c r="N198" s="410"/>
      <c r="O198" s="313" t="n">
        <v>158</v>
      </c>
      <c r="P198" s="474" t="n">
        <v>790.33</v>
      </c>
      <c r="Q198" s="377"/>
      <c r="R198" s="410"/>
      <c r="V198" s="517"/>
    </row>
    <row r="199" customFormat="false" ht="12.75" hidden="false" customHeight="false" outlineLevel="0" collapsed="false">
      <c r="A199" s="626"/>
      <c r="B199" s="305" t="s">
        <v>190</v>
      </c>
      <c r="C199" s="305" t="s">
        <v>587</v>
      </c>
      <c r="D199" s="306" t="n">
        <v>661</v>
      </c>
      <c r="E199" s="306" t="n">
        <v>5.33</v>
      </c>
      <c r="F199" s="305" t="s">
        <v>580</v>
      </c>
      <c r="G199" s="306" t="n">
        <v>24</v>
      </c>
      <c r="H199" s="325" t="n">
        <v>656.198347107438</v>
      </c>
      <c r="I199" s="473"/>
      <c r="J199" s="313" t="n">
        <v>0</v>
      </c>
      <c r="K199" s="627" t="n">
        <v>22.9166666666667</v>
      </c>
      <c r="L199" s="410"/>
      <c r="M199" s="506" t="n">
        <v>5</v>
      </c>
      <c r="N199" s="410"/>
      <c r="O199" s="313" t="n">
        <v>111</v>
      </c>
      <c r="P199" s="474" t="n">
        <v>550</v>
      </c>
      <c r="Q199" s="377"/>
      <c r="R199" s="410"/>
      <c r="V199" s="517"/>
    </row>
    <row r="200" customFormat="false" ht="12.75" hidden="false" customHeight="false" outlineLevel="0" collapsed="false">
      <c r="A200" s="626"/>
      <c r="B200" s="305" t="s">
        <v>190</v>
      </c>
      <c r="C200" s="305" t="s">
        <v>587</v>
      </c>
      <c r="D200" s="306" t="n">
        <v>661</v>
      </c>
      <c r="E200" s="306" t="n">
        <v>5.33</v>
      </c>
      <c r="F200" s="305" t="s">
        <v>580</v>
      </c>
      <c r="G200" s="306" t="n">
        <v>48</v>
      </c>
      <c r="H200" s="325" t="n">
        <v>656.198347107438</v>
      </c>
      <c r="I200" s="473"/>
      <c r="J200" s="313" t="n">
        <v>0</v>
      </c>
      <c r="K200" s="627" t="n">
        <v>11.4583333333333</v>
      </c>
      <c r="L200" s="410"/>
      <c r="M200" s="506" t="n">
        <v>5</v>
      </c>
      <c r="N200" s="410"/>
      <c r="O200" s="313" t="n">
        <v>111</v>
      </c>
      <c r="P200" s="474" t="n">
        <v>550</v>
      </c>
      <c r="Q200" s="377"/>
      <c r="R200" s="410"/>
      <c r="V200" s="517"/>
    </row>
    <row r="201" customFormat="false" ht="12.75" hidden="false" customHeight="false" outlineLevel="0" collapsed="false">
      <c r="A201" s="626"/>
      <c r="B201" s="305" t="s">
        <v>190</v>
      </c>
      <c r="C201" s="305" t="s">
        <v>588</v>
      </c>
      <c r="D201" s="306" t="n">
        <v>867</v>
      </c>
      <c r="E201" s="306" t="n">
        <v>5.33</v>
      </c>
      <c r="F201" s="305" t="s">
        <v>580</v>
      </c>
      <c r="G201" s="306" t="n">
        <v>24</v>
      </c>
      <c r="H201" s="325" t="n">
        <v>765.289256198347</v>
      </c>
      <c r="I201" s="473"/>
      <c r="J201" s="313" t="n">
        <v>0</v>
      </c>
      <c r="K201" s="627" t="n">
        <v>25.8183333333333</v>
      </c>
      <c r="L201" s="410"/>
      <c r="M201" s="506" t="n">
        <v>102</v>
      </c>
      <c r="N201" s="410"/>
      <c r="O201" s="313" t="n">
        <v>247</v>
      </c>
      <c r="P201" s="474" t="n">
        <v>619.64</v>
      </c>
      <c r="Q201" s="377"/>
      <c r="R201" s="410"/>
      <c r="V201" s="517"/>
    </row>
    <row r="202" customFormat="false" ht="12.75" hidden="false" customHeight="false" outlineLevel="0" collapsed="false">
      <c r="A202" s="626"/>
      <c r="B202" s="305" t="s">
        <v>190</v>
      </c>
      <c r="C202" s="305" t="s">
        <v>588</v>
      </c>
      <c r="D202" s="306" t="n">
        <v>867</v>
      </c>
      <c r="E202" s="306" t="n">
        <v>5.33</v>
      </c>
      <c r="F202" s="305" t="s">
        <v>580</v>
      </c>
      <c r="G202" s="306" t="n">
        <v>48</v>
      </c>
      <c r="H202" s="325" t="n">
        <v>765.289256198347</v>
      </c>
      <c r="I202" s="473"/>
      <c r="J202" s="313" t="n">
        <v>0</v>
      </c>
      <c r="K202" s="627" t="n">
        <v>12.9091666666667</v>
      </c>
      <c r="L202" s="410"/>
      <c r="M202" s="506" t="n">
        <v>102</v>
      </c>
      <c r="N202" s="410"/>
      <c r="O202" s="313" t="n">
        <v>247</v>
      </c>
      <c r="P202" s="474" t="n">
        <v>619.64</v>
      </c>
      <c r="Q202" s="377"/>
      <c r="R202" s="410"/>
      <c r="V202" s="517"/>
    </row>
    <row r="203" customFormat="false" ht="12.75" hidden="false" customHeight="false" outlineLevel="0" collapsed="false">
      <c r="A203" s="626"/>
      <c r="B203" s="305" t="s">
        <v>200</v>
      </c>
      <c r="C203" s="305" t="s">
        <v>591</v>
      </c>
      <c r="D203" s="306" t="n">
        <v>801</v>
      </c>
      <c r="E203" s="306" t="n">
        <v>5.33</v>
      </c>
      <c r="F203" s="305" t="s">
        <v>580</v>
      </c>
      <c r="G203" s="306" t="n">
        <v>24</v>
      </c>
      <c r="H203" s="325" t="n">
        <v>671.074380165289</v>
      </c>
      <c r="I203" s="473"/>
      <c r="J203" s="313" t="n">
        <v>0</v>
      </c>
      <c r="K203" s="627" t="n">
        <v>23.5454166666667</v>
      </c>
      <c r="L203" s="410"/>
      <c r="M203" s="506" t="n">
        <v>130</v>
      </c>
      <c r="N203" s="410"/>
      <c r="O203" s="313" t="n">
        <v>236</v>
      </c>
      <c r="P203" s="474" t="n">
        <v>565.09</v>
      </c>
      <c r="Q203" s="377"/>
      <c r="R203" s="410"/>
      <c r="V203" s="517"/>
    </row>
    <row r="204" customFormat="false" ht="12.75" hidden="false" customHeight="false" outlineLevel="0" collapsed="false">
      <c r="A204" s="626"/>
      <c r="B204" s="305" t="s">
        <v>200</v>
      </c>
      <c r="C204" s="305" t="s">
        <v>591</v>
      </c>
      <c r="D204" s="306" t="n">
        <v>801</v>
      </c>
      <c r="E204" s="306" t="n">
        <v>5.33</v>
      </c>
      <c r="F204" s="305" t="s">
        <v>580</v>
      </c>
      <c r="G204" s="306" t="n">
        <v>48</v>
      </c>
      <c r="H204" s="325" t="n">
        <v>671.074380165289</v>
      </c>
      <c r="I204" s="473"/>
      <c r="J204" s="313" t="n">
        <v>0</v>
      </c>
      <c r="K204" s="627" t="n">
        <v>11.7727083333333</v>
      </c>
      <c r="L204" s="410"/>
      <c r="M204" s="506" t="n">
        <v>130</v>
      </c>
      <c r="N204" s="410"/>
      <c r="O204" s="313" t="n">
        <v>236</v>
      </c>
      <c r="P204" s="474" t="n">
        <v>565.09</v>
      </c>
      <c r="Q204" s="377"/>
      <c r="R204" s="410"/>
      <c r="V204" s="517"/>
    </row>
    <row r="205" customFormat="false" ht="12.75" hidden="false" customHeight="false" outlineLevel="0" collapsed="false">
      <c r="A205" s="626"/>
      <c r="B205" s="305" t="s">
        <v>200</v>
      </c>
      <c r="C205" s="305" t="s">
        <v>589</v>
      </c>
      <c r="D205" s="306" t="n">
        <v>588</v>
      </c>
      <c r="E205" s="306" t="n">
        <v>5.33</v>
      </c>
      <c r="F205" s="305" t="s">
        <v>580</v>
      </c>
      <c r="G205" s="306" t="n">
        <v>24</v>
      </c>
      <c r="H205" s="325" t="n">
        <v>507.438016528926</v>
      </c>
      <c r="I205" s="473"/>
      <c r="J205" s="313" t="n">
        <v>0</v>
      </c>
      <c r="K205" s="627" t="n">
        <v>16.3054166666667</v>
      </c>
      <c r="L205" s="410"/>
      <c r="M205" s="506" t="n">
        <v>81</v>
      </c>
      <c r="N205" s="410"/>
      <c r="O205" s="313" t="n">
        <v>197</v>
      </c>
      <c r="P205" s="474" t="n">
        <v>391.33</v>
      </c>
      <c r="Q205" s="377"/>
      <c r="R205" s="410"/>
      <c r="V205" s="517"/>
    </row>
    <row r="206" customFormat="false" ht="12.75" hidden="false" customHeight="false" outlineLevel="0" collapsed="false">
      <c r="A206" s="626"/>
      <c r="B206" s="305" t="s">
        <v>200</v>
      </c>
      <c r="C206" s="305" t="s">
        <v>589</v>
      </c>
      <c r="D206" s="306" t="n">
        <v>588</v>
      </c>
      <c r="E206" s="306" t="n">
        <v>5.33</v>
      </c>
      <c r="F206" s="305" t="s">
        <v>580</v>
      </c>
      <c r="G206" s="306" t="n">
        <v>48</v>
      </c>
      <c r="H206" s="325" t="n">
        <v>507.438016528926</v>
      </c>
      <c r="I206" s="473"/>
      <c r="J206" s="313" t="n">
        <v>0</v>
      </c>
      <c r="K206" s="627" t="n">
        <v>8.15270833333333</v>
      </c>
      <c r="L206" s="410"/>
      <c r="M206" s="506" t="n">
        <v>81</v>
      </c>
      <c r="N206" s="410"/>
      <c r="O206" s="313" t="n">
        <v>197</v>
      </c>
      <c r="P206" s="474" t="n">
        <v>391.33</v>
      </c>
      <c r="Q206" s="377"/>
      <c r="R206" s="410"/>
      <c r="V206" s="517"/>
    </row>
    <row r="207" customFormat="false" ht="12.75" hidden="false" customHeight="false" outlineLevel="0" collapsed="false">
      <c r="A207" s="626"/>
      <c r="B207" s="305" t="s">
        <v>200</v>
      </c>
      <c r="C207" s="305" t="s">
        <v>592</v>
      </c>
      <c r="D207" s="306" t="n">
        <v>1487</v>
      </c>
      <c r="E207" s="306" t="n">
        <v>5.33</v>
      </c>
      <c r="F207" s="305" t="s">
        <v>580</v>
      </c>
      <c r="G207" s="306" t="n">
        <v>24</v>
      </c>
      <c r="H207" s="325" t="n">
        <v>1210.74380165289</v>
      </c>
      <c r="I207" s="473"/>
      <c r="J207" s="313" t="n">
        <v>0</v>
      </c>
      <c r="K207" s="627" t="n">
        <v>43.8054166666667</v>
      </c>
      <c r="L207" s="410"/>
      <c r="M207" s="506" t="n">
        <v>276</v>
      </c>
      <c r="N207" s="410"/>
      <c r="O207" s="313" t="n">
        <v>436</v>
      </c>
      <c r="P207" s="474" t="n">
        <v>1051.33</v>
      </c>
      <c r="Q207" s="377"/>
      <c r="R207" s="410"/>
      <c r="V207" s="517"/>
    </row>
    <row r="208" customFormat="false" ht="12.75" hidden="false" customHeight="false" outlineLevel="0" collapsed="false">
      <c r="A208" s="626"/>
      <c r="B208" s="305" t="s">
        <v>200</v>
      </c>
      <c r="C208" s="305" t="s">
        <v>592</v>
      </c>
      <c r="D208" s="306" t="n">
        <v>1487</v>
      </c>
      <c r="E208" s="306" t="n">
        <v>5.33</v>
      </c>
      <c r="F208" s="305" t="s">
        <v>580</v>
      </c>
      <c r="G208" s="306" t="n">
        <v>48</v>
      </c>
      <c r="H208" s="325" t="n">
        <v>1210.74380165289</v>
      </c>
      <c r="I208" s="473"/>
      <c r="J208" s="313" t="n">
        <v>0</v>
      </c>
      <c r="K208" s="627" t="n">
        <v>21.9027083333333</v>
      </c>
      <c r="L208" s="410"/>
      <c r="M208" s="506" t="n">
        <v>276</v>
      </c>
      <c r="N208" s="410"/>
      <c r="O208" s="313" t="n">
        <v>436</v>
      </c>
      <c r="P208" s="474" t="n">
        <v>1051.33</v>
      </c>
      <c r="Q208" s="377"/>
      <c r="R208" s="410"/>
      <c r="V208" s="517"/>
    </row>
    <row r="209" customFormat="false" ht="12.75" hidden="false" customHeight="false" outlineLevel="0" collapsed="false">
      <c r="A209" s="626"/>
      <c r="B209" s="305" t="s">
        <v>450</v>
      </c>
      <c r="C209" s="305" t="s">
        <v>566</v>
      </c>
      <c r="D209" s="306" t="n">
        <v>137</v>
      </c>
      <c r="E209" s="306" t="n">
        <v>3.75</v>
      </c>
      <c r="F209" s="305" t="s">
        <v>562</v>
      </c>
      <c r="G209" s="306" t="n">
        <v>24</v>
      </c>
      <c r="H209" s="325" t="n">
        <v>137.190082644628</v>
      </c>
      <c r="I209" s="473"/>
      <c r="J209" s="313" t="n">
        <v>0</v>
      </c>
      <c r="K209" s="627" t="n">
        <v>4.53125</v>
      </c>
      <c r="L209" s="410"/>
      <c r="M209" s="506" t="n">
        <v>0</v>
      </c>
      <c r="N209" s="410"/>
      <c r="O209" s="313" t="n">
        <v>28</v>
      </c>
      <c r="P209" s="474" t="n">
        <v>108.75</v>
      </c>
      <c r="Q209" s="377"/>
      <c r="R209" s="410"/>
      <c r="V209" s="517"/>
    </row>
    <row r="210" customFormat="false" ht="12.75" hidden="false" customHeight="false" outlineLevel="0" collapsed="false">
      <c r="A210" s="626"/>
      <c r="B210" s="305" t="s">
        <v>112</v>
      </c>
      <c r="C210" s="305" t="s">
        <v>565</v>
      </c>
      <c r="D210" s="306" t="n">
        <v>367</v>
      </c>
      <c r="E210" s="306" t="n">
        <v>3.75</v>
      </c>
      <c r="F210" s="305" t="s">
        <v>562</v>
      </c>
      <c r="G210" s="306" t="n">
        <v>24</v>
      </c>
      <c r="H210" s="325" t="n">
        <v>366.115702479339</v>
      </c>
      <c r="I210" s="473"/>
      <c r="J210" s="313" t="n">
        <v>0</v>
      </c>
      <c r="K210" s="627" t="n">
        <v>12.1229166666667</v>
      </c>
      <c r="L210" s="410"/>
      <c r="M210" s="506" t="n">
        <v>1</v>
      </c>
      <c r="N210" s="410"/>
      <c r="O210" s="313" t="n">
        <v>76</v>
      </c>
      <c r="P210" s="474" t="n">
        <v>290.95</v>
      </c>
      <c r="Q210" s="377"/>
      <c r="R210" s="410"/>
      <c r="V210" s="517"/>
    </row>
    <row r="211" customFormat="false" ht="12.75" hidden="false" customHeight="false" outlineLevel="0" collapsed="false">
      <c r="A211" s="626"/>
      <c r="B211" s="305" t="s">
        <v>112</v>
      </c>
      <c r="C211" s="305" t="s">
        <v>565</v>
      </c>
      <c r="D211" s="306" t="n">
        <v>367</v>
      </c>
      <c r="E211" s="306" t="n">
        <v>3.75</v>
      </c>
      <c r="F211" s="305" t="s">
        <v>562</v>
      </c>
      <c r="G211" s="306" t="n">
        <v>48</v>
      </c>
      <c r="H211" s="325" t="n">
        <v>366.115702479339</v>
      </c>
      <c r="I211" s="473"/>
      <c r="J211" s="313" t="n">
        <v>0</v>
      </c>
      <c r="K211" s="627" t="n">
        <v>6.06145833333333</v>
      </c>
      <c r="L211" s="410"/>
      <c r="M211" s="506" t="n">
        <v>1</v>
      </c>
      <c r="N211" s="410"/>
      <c r="O211" s="313" t="n">
        <v>76</v>
      </c>
      <c r="P211" s="474" t="n">
        <v>290.95</v>
      </c>
      <c r="Q211" s="377"/>
      <c r="R211" s="410"/>
      <c r="V211" s="517"/>
    </row>
    <row r="212" customFormat="false" ht="12.75" hidden="false" customHeight="false" outlineLevel="0" collapsed="false">
      <c r="A212" s="626"/>
      <c r="B212" s="305" t="s">
        <v>428</v>
      </c>
      <c r="C212" s="305" t="s">
        <v>561</v>
      </c>
      <c r="D212" s="306" t="n">
        <v>148</v>
      </c>
      <c r="E212" s="306" t="n">
        <v>3.75</v>
      </c>
      <c r="F212" s="305" t="s">
        <v>562</v>
      </c>
      <c r="G212" s="306" t="n">
        <v>24</v>
      </c>
      <c r="H212" s="325" t="n">
        <v>129.752066115703</v>
      </c>
      <c r="I212" s="473"/>
      <c r="J212" s="313" t="n">
        <v>0</v>
      </c>
      <c r="K212" s="627" t="n">
        <v>4.23958333333333</v>
      </c>
      <c r="L212" s="410"/>
      <c r="M212" s="506" t="n">
        <v>18</v>
      </c>
      <c r="N212" s="410"/>
      <c r="O212" s="313" t="n">
        <v>46</v>
      </c>
      <c r="P212" s="474" t="n">
        <v>101.75</v>
      </c>
      <c r="Q212" s="377"/>
      <c r="R212" s="410"/>
      <c r="V212" s="517"/>
    </row>
    <row r="213" customFormat="false" ht="12.75" hidden="false" customHeight="false" outlineLevel="0" collapsed="false">
      <c r="A213" s="626"/>
      <c r="B213" s="305" t="s">
        <v>112</v>
      </c>
      <c r="C213" s="305" t="s">
        <v>540</v>
      </c>
      <c r="D213" s="306" t="n">
        <v>623</v>
      </c>
      <c r="E213" s="306" t="n">
        <v>3.75</v>
      </c>
      <c r="F213" s="305" t="s">
        <v>541</v>
      </c>
      <c r="G213" s="306" t="n">
        <v>24</v>
      </c>
      <c r="H213" s="325" t="n">
        <v>622.314049586777</v>
      </c>
      <c r="I213" s="473"/>
      <c r="J213" s="313" t="n">
        <v>0</v>
      </c>
      <c r="K213" s="627" t="n">
        <v>21.4995833333333</v>
      </c>
      <c r="L213" s="410"/>
      <c r="M213" s="506" t="n">
        <v>1</v>
      </c>
      <c r="N213" s="410"/>
      <c r="O213" s="313" t="n">
        <v>107</v>
      </c>
      <c r="P213" s="474" t="n">
        <v>515.99</v>
      </c>
      <c r="Q213" s="377"/>
      <c r="R213" s="410"/>
      <c r="V213" s="517"/>
    </row>
    <row r="214" customFormat="false" ht="12.75" hidden="false" customHeight="false" outlineLevel="0" collapsed="false">
      <c r="A214" s="626"/>
      <c r="B214" s="305" t="s">
        <v>112</v>
      </c>
      <c r="C214" s="305" t="s">
        <v>540</v>
      </c>
      <c r="D214" s="306" t="n">
        <v>623</v>
      </c>
      <c r="E214" s="306" t="n">
        <v>3.75</v>
      </c>
      <c r="F214" s="305" t="s">
        <v>541</v>
      </c>
      <c r="G214" s="306" t="n">
        <v>48</v>
      </c>
      <c r="H214" s="325" t="n">
        <v>622.314049586777</v>
      </c>
      <c r="I214" s="473"/>
      <c r="J214" s="313" t="n">
        <v>0</v>
      </c>
      <c r="K214" s="627" t="n">
        <v>10.7497916666667</v>
      </c>
      <c r="L214" s="410"/>
      <c r="M214" s="506" t="n">
        <v>1</v>
      </c>
      <c r="N214" s="410"/>
      <c r="O214" s="313" t="n">
        <v>107</v>
      </c>
      <c r="P214" s="474" t="n">
        <v>515.99</v>
      </c>
      <c r="Q214" s="377"/>
      <c r="R214" s="410"/>
      <c r="V214" s="517"/>
    </row>
    <row r="215" customFormat="false" ht="12.75" hidden="false" customHeight="false" outlineLevel="0" collapsed="false">
      <c r="A215" s="626"/>
      <c r="B215" s="305" t="s">
        <v>112</v>
      </c>
      <c r="C215" s="305" t="s">
        <v>542</v>
      </c>
      <c r="D215" s="306" t="n">
        <v>847</v>
      </c>
      <c r="E215" s="306" t="n">
        <v>3.75</v>
      </c>
      <c r="F215" s="305" t="s">
        <v>541</v>
      </c>
      <c r="G215" s="306" t="n">
        <v>24</v>
      </c>
      <c r="H215" s="325" t="n">
        <v>846.280991735537</v>
      </c>
      <c r="I215" s="473"/>
      <c r="J215" s="313" t="n">
        <v>0</v>
      </c>
      <c r="K215" s="627" t="n">
        <v>29.1829166666667</v>
      </c>
      <c r="L215" s="410"/>
      <c r="M215" s="506" t="n">
        <v>1</v>
      </c>
      <c r="N215" s="410"/>
      <c r="O215" s="313" t="n">
        <v>147</v>
      </c>
      <c r="P215" s="474" t="n">
        <v>700.39</v>
      </c>
      <c r="Q215" s="377"/>
      <c r="R215" s="410"/>
      <c r="V215" s="517"/>
    </row>
    <row r="216" customFormat="false" ht="12.75" hidden="false" customHeight="false" outlineLevel="0" collapsed="false">
      <c r="A216" s="626"/>
      <c r="B216" s="305" t="s">
        <v>112</v>
      </c>
      <c r="C216" s="305" t="s">
        <v>542</v>
      </c>
      <c r="D216" s="306" t="n">
        <v>847</v>
      </c>
      <c r="E216" s="306" t="n">
        <v>3.75</v>
      </c>
      <c r="F216" s="305" t="s">
        <v>541</v>
      </c>
      <c r="G216" s="306" t="n">
        <v>48</v>
      </c>
      <c r="H216" s="325" t="n">
        <v>846.280991735537</v>
      </c>
      <c r="I216" s="473"/>
      <c r="J216" s="313" t="n">
        <v>0</v>
      </c>
      <c r="K216" s="627" t="n">
        <v>14.5914583333333</v>
      </c>
      <c r="L216" s="410"/>
      <c r="M216" s="506" t="n">
        <v>1</v>
      </c>
      <c r="N216" s="410"/>
      <c r="O216" s="313" t="n">
        <v>147</v>
      </c>
      <c r="P216" s="474" t="n">
        <v>700.39</v>
      </c>
      <c r="Q216" s="377"/>
      <c r="R216" s="410"/>
      <c r="V216" s="517"/>
    </row>
    <row r="217" customFormat="false" ht="12.75" hidden="false" customHeight="false" outlineLevel="0" collapsed="false">
      <c r="A217" s="626"/>
      <c r="B217" s="305" t="s">
        <v>112</v>
      </c>
      <c r="C217" s="305" t="s">
        <v>543</v>
      </c>
      <c r="D217" s="306" t="n">
        <v>1044</v>
      </c>
      <c r="E217" s="306" t="n">
        <v>3.75</v>
      </c>
      <c r="F217" s="305" t="s">
        <v>541</v>
      </c>
      <c r="G217" s="306" t="n">
        <v>24</v>
      </c>
      <c r="H217" s="325" t="n">
        <v>1043.80165289256</v>
      </c>
      <c r="I217" s="473"/>
      <c r="J217" s="313" t="n">
        <v>0</v>
      </c>
      <c r="K217" s="627" t="n">
        <v>36.86625</v>
      </c>
      <c r="L217" s="410"/>
      <c r="M217" s="506" t="n">
        <v>0</v>
      </c>
      <c r="N217" s="410"/>
      <c r="O217" s="313" t="n">
        <v>159</v>
      </c>
      <c r="P217" s="474" t="n">
        <v>884.79</v>
      </c>
      <c r="Q217" s="377"/>
      <c r="R217" s="410"/>
      <c r="V217" s="517"/>
    </row>
    <row r="218" customFormat="false" ht="12.75" hidden="false" customHeight="false" outlineLevel="0" collapsed="false">
      <c r="A218" s="626"/>
      <c r="B218" s="305" t="s">
        <v>112</v>
      </c>
      <c r="C218" s="305" t="s">
        <v>543</v>
      </c>
      <c r="D218" s="306" t="n">
        <v>1044</v>
      </c>
      <c r="E218" s="306" t="n">
        <v>3.75</v>
      </c>
      <c r="F218" s="305" t="s">
        <v>541</v>
      </c>
      <c r="G218" s="306" t="n">
        <v>48</v>
      </c>
      <c r="H218" s="325" t="n">
        <v>1043.80165289256</v>
      </c>
      <c r="I218" s="473"/>
      <c r="J218" s="313" t="n">
        <v>0</v>
      </c>
      <c r="K218" s="627" t="n">
        <v>18.433125</v>
      </c>
      <c r="L218" s="410"/>
      <c r="M218" s="506" t="n">
        <v>0</v>
      </c>
      <c r="N218" s="410"/>
      <c r="O218" s="313" t="n">
        <v>159</v>
      </c>
      <c r="P218" s="474" t="n">
        <v>884.79</v>
      </c>
      <c r="Q218" s="377"/>
      <c r="R218" s="410"/>
      <c r="V218" s="517"/>
    </row>
    <row r="219" customFormat="false" ht="12.75" hidden="false" customHeight="false" outlineLevel="0" collapsed="false">
      <c r="A219" s="626"/>
      <c r="B219" s="305" t="s">
        <v>184</v>
      </c>
      <c r="C219" s="305" t="s">
        <v>551</v>
      </c>
      <c r="D219" s="306" t="n">
        <v>191</v>
      </c>
      <c r="E219" s="306" t="n">
        <v>3.75</v>
      </c>
      <c r="F219" s="305" t="s">
        <v>541</v>
      </c>
      <c r="G219" s="306" t="n">
        <v>24</v>
      </c>
      <c r="H219" s="325" t="n">
        <v>166.115702479339</v>
      </c>
      <c r="I219" s="473"/>
      <c r="J219" s="313" t="n">
        <v>0</v>
      </c>
      <c r="K219" s="627" t="n">
        <v>5.28708333333333</v>
      </c>
      <c r="L219" s="410"/>
      <c r="M219" s="506" t="n">
        <v>25</v>
      </c>
      <c r="N219" s="410"/>
      <c r="O219" s="313" t="n">
        <v>64</v>
      </c>
      <c r="P219" s="474" t="n">
        <v>126.89</v>
      </c>
      <c r="Q219" s="377"/>
      <c r="R219" s="410"/>
      <c r="V219" s="517"/>
    </row>
    <row r="220" customFormat="false" ht="12.75" hidden="false" customHeight="false" outlineLevel="0" collapsed="false">
      <c r="A220" s="626"/>
      <c r="B220" s="305" t="s">
        <v>200</v>
      </c>
      <c r="C220" s="305" t="s">
        <v>552</v>
      </c>
      <c r="D220" s="306" t="n">
        <v>182</v>
      </c>
      <c r="E220" s="306" t="n">
        <v>3.75</v>
      </c>
      <c r="F220" s="305" t="s">
        <v>541</v>
      </c>
      <c r="G220" s="306" t="n">
        <v>24</v>
      </c>
      <c r="H220" s="325" t="n">
        <v>176.859504132231</v>
      </c>
      <c r="I220" s="473"/>
      <c r="J220" s="313" t="n">
        <v>0</v>
      </c>
      <c r="K220" s="627" t="n">
        <v>4.48958333333333</v>
      </c>
      <c r="L220" s="410"/>
      <c r="M220" s="506" t="n">
        <v>5</v>
      </c>
      <c r="N220" s="410"/>
      <c r="O220" s="313" t="n">
        <v>74</v>
      </c>
      <c r="P220" s="474" t="n">
        <v>107.75</v>
      </c>
      <c r="Q220" s="377"/>
      <c r="R220" s="410"/>
      <c r="V220" s="517"/>
    </row>
    <row r="221" customFormat="false" ht="12.75" hidden="false" customHeight="false" outlineLevel="0" collapsed="false">
      <c r="A221" s="626"/>
      <c r="B221" s="305" t="s">
        <v>200</v>
      </c>
      <c r="C221" s="305" t="s">
        <v>553</v>
      </c>
      <c r="D221" s="306" t="n">
        <v>310</v>
      </c>
      <c r="E221" s="306" t="n">
        <v>3.75</v>
      </c>
      <c r="F221" s="305" t="s">
        <v>541</v>
      </c>
      <c r="G221" s="306" t="n">
        <v>24</v>
      </c>
      <c r="H221" s="325" t="n">
        <v>250.413223140496</v>
      </c>
      <c r="I221" s="473"/>
      <c r="J221" s="313" t="n">
        <v>0</v>
      </c>
      <c r="K221" s="627" t="n">
        <v>8.11458333333333</v>
      </c>
      <c r="L221" s="410"/>
      <c r="M221" s="506" t="n">
        <v>60</v>
      </c>
      <c r="N221" s="410"/>
      <c r="O221" s="313" t="n">
        <v>115</v>
      </c>
      <c r="P221" s="474" t="n">
        <v>194.75</v>
      </c>
      <c r="Q221" s="377"/>
      <c r="R221" s="410"/>
      <c r="V221" s="517"/>
    </row>
    <row r="222" customFormat="false" ht="12.75" hidden="false" customHeight="false" outlineLevel="0" collapsed="false">
      <c r="A222" s="626"/>
      <c r="B222" s="305" t="s">
        <v>200</v>
      </c>
      <c r="C222" s="305" t="s">
        <v>554</v>
      </c>
      <c r="D222" s="306" t="n">
        <v>310</v>
      </c>
      <c r="E222" s="306" t="n">
        <v>3.75</v>
      </c>
      <c r="F222" s="305" t="s">
        <v>541</v>
      </c>
      <c r="G222" s="306" t="n">
        <v>24</v>
      </c>
      <c r="H222" s="325" t="n">
        <v>240.495867768595</v>
      </c>
      <c r="I222" s="473"/>
      <c r="J222" s="313" t="n">
        <v>0</v>
      </c>
      <c r="K222" s="627" t="n">
        <v>7.69791666666667</v>
      </c>
      <c r="L222" s="410"/>
      <c r="M222" s="506" t="n">
        <v>70</v>
      </c>
      <c r="N222" s="410"/>
      <c r="O222" s="313" t="n">
        <v>125</v>
      </c>
      <c r="P222" s="474" t="n">
        <v>184.75</v>
      </c>
      <c r="Q222" s="377"/>
      <c r="R222" s="410"/>
      <c r="V222" s="517"/>
    </row>
    <row r="223" customFormat="false" ht="12.75" hidden="false" customHeight="false" outlineLevel="0" collapsed="false">
      <c r="A223" s="626"/>
      <c r="B223" s="305" t="s">
        <v>200</v>
      </c>
      <c r="C223" s="305" t="s">
        <v>555</v>
      </c>
      <c r="D223" s="306" t="n">
        <v>1195</v>
      </c>
      <c r="E223" s="306" t="n">
        <v>3.75</v>
      </c>
      <c r="F223" s="305" t="s">
        <v>541</v>
      </c>
      <c r="G223" s="306" t="n">
        <v>24</v>
      </c>
      <c r="H223" s="325" t="n">
        <v>1085.95041322314</v>
      </c>
      <c r="I223" s="473"/>
      <c r="J223" s="313" t="n">
        <v>0</v>
      </c>
      <c r="K223" s="627" t="n">
        <v>34.78125</v>
      </c>
      <c r="L223" s="410"/>
      <c r="M223" s="506" t="n">
        <v>109</v>
      </c>
      <c r="N223" s="410"/>
      <c r="O223" s="313" t="n">
        <v>360</v>
      </c>
      <c r="P223" s="474" t="n">
        <v>834.75</v>
      </c>
      <c r="Q223" s="377"/>
      <c r="R223" s="410"/>
      <c r="V223" s="517"/>
    </row>
    <row r="224" customFormat="false" ht="12.75" hidden="false" customHeight="false" outlineLevel="0" collapsed="false">
      <c r="A224" s="626"/>
      <c r="B224" s="305" t="s">
        <v>200</v>
      </c>
      <c r="C224" s="305" t="s">
        <v>555</v>
      </c>
      <c r="D224" s="306" t="n">
        <v>1195</v>
      </c>
      <c r="E224" s="306" t="n">
        <v>3.75</v>
      </c>
      <c r="F224" s="305" t="s">
        <v>541</v>
      </c>
      <c r="G224" s="306" t="n">
        <v>48</v>
      </c>
      <c r="H224" s="325" t="n">
        <v>1085.95041322314</v>
      </c>
      <c r="I224" s="473"/>
      <c r="J224" s="313" t="n">
        <v>0</v>
      </c>
      <c r="K224" s="627" t="n">
        <v>17.390625</v>
      </c>
      <c r="L224" s="410"/>
      <c r="M224" s="506" t="n">
        <v>109</v>
      </c>
      <c r="N224" s="410"/>
      <c r="O224" s="313" t="n">
        <v>360</v>
      </c>
      <c r="P224" s="474" t="n">
        <v>834.75</v>
      </c>
      <c r="Q224" s="377"/>
      <c r="R224" s="410"/>
      <c r="V224" s="517"/>
    </row>
    <row r="225" customFormat="false" ht="12.75" hidden="false" customHeight="false" outlineLevel="0" collapsed="false">
      <c r="A225" s="626"/>
      <c r="B225" s="305" t="s">
        <v>200</v>
      </c>
      <c r="C225" s="305" t="s">
        <v>556</v>
      </c>
      <c r="D225" s="306" t="n">
        <v>537</v>
      </c>
      <c r="E225" s="306" t="n">
        <v>3.75</v>
      </c>
      <c r="F225" s="305" t="s">
        <v>541</v>
      </c>
      <c r="G225" s="306" t="n">
        <v>24</v>
      </c>
      <c r="H225" s="325" t="n">
        <v>417.355371900826</v>
      </c>
      <c r="I225" s="473"/>
      <c r="J225" s="313" t="n">
        <v>0</v>
      </c>
      <c r="K225" s="627" t="n">
        <v>13.8229166666667</v>
      </c>
      <c r="L225" s="410"/>
      <c r="M225" s="506" t="n">
        <v>120</v>
      </c>
      <c r="N225" s="410"/>
      <c r="O225" s="313" t="n">
        <v>205</v>
      </c>
      <c r="P225" s="474" t="n">
        <v>331.75</v>
      </c>
      <c r="Q225" s="377"/>
      <c r="R225" s="410"/>
      <c r="V225" s="517"/>
    </row>
    <row r="226" customFormat="false" ht="12.75" hidden="false" customHeight="false" outlineLevel="0" collapsed="false">
      <c r="A226" s="626"/>
      <c r="B226" s="305" t="s">
        <v>200</v>
      </c>
      <c r="C226" s="305" t="s">
        <v>556</v>
      </c>
      <c r="D226" s="306" t="n">
        <v>537</v>
      </c>
      <c r="E226" s="306" t="n">
        <v>3.75</v>
      </c>
      <c r="F226" s="305" t="s">
        <v>541</v>
      </c>
      <c r="G226" s="306" t="n">
        <v>48</v>
      </c>
      <c r="H226" s="325" t="n">
        <v>417.355371900826</v>
      </c>
      <c r="I226" s="473"/>
      <c r="J226" s="313" t="n">
        <v>0</v>
      </c>
      <c r="K226" s="627" t="n">
        <v>6.91145833333333</v>
      </c>
      <c r="L226" s="410"/>
      <c r="M226" s="506" t="n">
        <v>120</v>
      </c>
      <c r="N226" s="410"/>
      <c r="O226" s="313" t="n">
        <v>205</v>
      </c>
      <c r="P226" s="474" t="n">
        <v>331.75</v>
      </c>
      <c r="Q226" s="377"/>
      <c r="R226" s="410"/>
      <c r="V226" s="517"/>
    </row>
    <row r="227" customFormat="false" ht="12.75" hidden="false" customHeight="false" outlineLevel="0" collapsed="false">
      <c r="A227" s="626"/>
      <c r="B227" s="305" t="s">
        <v>428</v>
      </c>
      <c r="C227" s="305" t="s">
        <v>558</v>
      </c>
      <c r="D227" s="306" t="n">
        <v>208</v>
      </c>
      <c r="E227" s="306" t="n">
        <v>3.75</v>
      </c>
      <c r="F227" s="305" t="s">
        <v>541</v>
      </c>
      <c r="G227" s="306" t="n">
        <v>24</v>
      </c>
      <c r="H227" s="325" t="n">
        <v>187.603305785124</v>
      </c>
      <c r="I227" s="473"/>
      <c r="J227" s="313" t="n">
        <v>0</v>
      </c>
      <c r="K227" s="627" t="n">
        <v>6.19791666666667</v>
      </c>
      <c r="L227" s="410"/>
      <c r="M227" s="506" t="n">
        <v>20</v>
      </c>
      <c r="N227" s="410"/>
      <c r="O227" s="313" t="n">
        <v>59</v>
      </c>
      <c r="P227" s="474" t="n">
        <v>148.75</v>
      </c>
      <c r="Q227" s="377"/>
      <c r="R227" s="410"/>
      <c r="V227" s="517"/>
    </row>
    <row r="228" customFormat="false" ht="12.75" hidden="false" customHeight="false" outlineLevel="0" collapsed="false">
      <c r="A228" s="626"/>
      <c r="B228" s="305" t="s">
        <v>428</v>
      </c>
      <c r="C228" s="305" t="s">
        <v>559</v>
      </c>
      <c r="D228" s="306" t="n">
        <v>132</v>
      </c>
      <c r="E228" s="306" t="n">
        <v>3.75</v>
      </c>
      <c r="F228" s="305" t="s">
        <v>541</v>
      </c>
      <c r="G228" s="306" t="n">
        <v>24</v>
      </c>
      <c r="H228" s="325" t="n">
        <v>90.9090909090909</v>
      </c>
      <c r="I228" s="473"/>
      <c r="J228" s="313" t="n">
        <v>0</v>
      </c>
      <c r="K228" s="627" t="n">
        <v>3.03125</v>
      </c>
      <c r="L228" s="410"/>
      <c r="M228" s="506" t="n">
        <v>41</v>
      </c>
      <c r="N228" s="410"/>
      <c r="O228" s="313" t="n">
        <v>59</v>
      </c>
      <c r="P228" s="474" t="n">
        <v>72.75</v>
      </c>
      <c r="Q228" s="377"/>
      <c r="R228" s="410"/>
      <c r="V228" s="517"/>
    </row>
    <row r="229" customFormat="false" ht="12.75" hidden="false" customHeight="false" outlineLevel="0" collapsed="false">
      <c r="A229" s="626"/>
      <c r="B229" s="305" t="s">
        <v>428</v>
      </c>
      <c r="C229" s="305" t="s">
        <v>560</v>
      </c>
      <c r="D229" s="306" t="n">
        <v>115</v>
      </c>
      <c r="E229" s="306" t="n">
        <v>3.75</v>
      </c>
      <c r="F229" s="305" t="s">
        <v>541</v>
      </c>
      <c r="G229" s="306" t="n">
        <v>24</v>
      </c>
      <c r="H229" s="325" t="n">
        <v>105.785123966942</v>
      </c>
      <c r="I229" s="473"/>
      <c r="J229" s="313" t="n">
        <v>0</v>
      </c>
      <c r="K229" s="627" t="n">
        <v>3.65625</v>
      </c>
      <c r="L229" s="410"/>
      <c r="M229" s="506" t="n">
        <v>9</v>
      </c>
      <c r="N229" s="410"/>
      <c r="O229" s="313" t="n">
        <v>27</v>
      </c>
      <c r="P229" s="474" t="n">
        <v>87.75</v>
      </c>
      <c r="Q229" s="377"/>
      <c r="R229" s="410"/>
      <c r="V229" s="517"/>
    </row>
    <row r="230" customFormat="false" ht="12.75" hidden="false" customHeight="false" outlineLevel="0" collapsed="false">
      <c r="A230" s="626"/>
      <c r="B230" s="305" t="s">
        <v>497</v>
      </c>
      <c r="C230" s="305" t="s">
        <v>563</v>
      </c>
      <c r="D230" s="306" t="n">
        <v>208</v>
      </c>
      <c r="E230" s="306" t="n">
        <v>3.75</v>
      </c>
      <c r="F230" s="305" t="s">
        <v>541</v>
      </c>
      <c r="G230" s="306" t="n">
        <v>24</v>
      </c>
      <c r="H230" s="325" t="n">
        <v>171.900826446281</v>
      </c>
      <c r="I230" s="473"/>
      <c r="J230" s="313" t="n">
        <v>0</v>
      </c>
      <c r="K230" s="627" t="n">
        <v>5.55041666666667</v>
      </c>
      <c r="L230" s="410"/>
      <c r="M230" s="506" t="n">
        <v>36</v>
      </c>
      <c r="N230" s="410"/>
      <c r="O230" s="313" t="n">
        <v>75</v>
      </c>
      <c r="P230" s="474" t="n">
        <v>133.21</v>
      </c>
      <c r="Q230" s="377"/>
      <c r="R230" s="410"/>
      <c r="V230" s="517"/>
    </row>
    <row r="231" customFormat="false" ht="12.75" hidden="false" customHeight="false" outlineLevel="0" collapsed="false">
      <c r="A231" s="626"/>
      <c r="B231" s="305" t="s">
        <v>497</v>
      </c>
      <c r="C231" s="305" t="s">
        <v>564</v>
      </c>
      <c r="D231" s="306" t="n">
        <v>327</v>
      </c>
      <c r="E231" s="306" t="n">
        <v>3.75</v>
      </c>
      <c r="F231" s="305" t="s">
        <v>541</v>
      </c>
      <c r="G231" s="306" t="n">
        <v>24</v>
      </c>
      <c r="H231" s="325" t="n">
        <v>276.03305785124</v>
      </c>
      <c r="I231" s="473"/>
      <c r="J231" s="313" t="n">
        <v>0</v>
      </c>
      <c r="K231" s="627" t="n">
        <v>8.36916666666667</v>
      </c>
      <c r="L231" s="410"/>
      <c r="M231" s="506" t="n">
        <v>51</v>
      </c>
      <c r="N231" s="410"/>
      <c r="O231" s="313" t="n">
        <v>126</v>
      </c>
      <c r="P231" s="474" t="n">
        <v>200.86</v>
      </c>
      <c r="Q231" s="377"/>
      <c r="R231" s="410"/>
      <c r="V231" s="517"/>
    </row>
    <row r="232" customFormat="false" ht="12.75" hidden="false" customHeight="false" outlineLevel="0" collapsed="false">
      <c r="A232" s="626"/>
      <c r="B232" s="305" t="s">
        <v>428</v>
      </c>
      <c r="C232" s="327" t="s">
        <v>550</v>
      </c>
      <c r="D232" s="306" t="n">
        <v>255</v>
      </c>
      <c r="E232" s="306" t="n">
        <v>3.75</v>
      </c>
      <c r="F232" s="305" t="s">
        <v>541</v>
      </c>
      <c r="G232" s="306" t="n">
        <v>24</v>
      </c>
      <c r="H232" s="325" t="n">
        <v>254.545454545455</v>
      </c>
      <c r="I232" s="473"/>
      <c r="J232" s="313" t="n">
        <v>0</v>
      </c>
      <c r="K232" s="627" t="n">
        <v>8.28125</v>
      </c>
      <c r="L232" s="410"/>
      <c r="M232" s="506" t="n">
        <v>0</v>
      </c>
      <c r="N232" s="410"/>
      <c r="O232" s="313" t="n">
        <v>56</v>
      </c>
      <c r="P232" s="474" t="n">
        <v>198.75</v>
      </c>
      <c r="Q232" s="377"/>
      <c r="R232" s="410"/>
      <c r="V232" s="517"/>
    </row>
    <row r="233" customFormat="false" ht="12.75" hidden="false" customHeight="false" outlineLevel="0" collapsed="false">
      <c r="A233" s="626"/>
      <c r="B233" s="305" t="s">
        <v>112</v>
      </c>
      <c r="C233" s="327" t="s">
        <v>544</v>
      </c>
      <c r="D233" s="306" t="n">
        <v>526</v>
      </c>
      <c r="E233" s="306" t="n">
        <v>3.75</v>
      </c>
      <c r="F233" s="305" t="s">
        <v>541</v>
      </c>
      <c r="G233" s="306" t="n">
        <v>24</v>
      </c>
      <c r="H233" s="325" t="n">
        <v>525.619834710744</v>
      </c>
      <c r="I233" s="473"/>
      <c r="J233" s="313" t="n">
        <v>0</v>
      </c>
      <c r="K233" s="627" t="n">
        <v>17.5041666666667</v>
      </c>
      <c r="L233" s="410"/>
      <c r="M233" s="506" t="n">
        <v>0</v>
      </c>
      <c r="N233" s="410"/>
      <c r="O233" s="313" t="n">
        <v>106</v>
      </c>
      <c r="P233" s="474" t="n">
        <v>420.1</v>
      </c>
      <c r="Q233" s="377"/>
      <c r="R233" s="410"/>
      <c r="V233" s="517"/>
    </row>
    <row r="234" customFormat="false" ht="12.75" hidden="false" customHeight="false" outlineLevel="0" collapsed="false">
      <c r="A234" s="626"/>
      <c r="B234" s="305" t="s">
        <v>112</v>
      </c>
      <c r="C234" s="327" t="s">
        <v>544</v>
      </c>
      <c r="D234" s="306" t="n">
        <v>526</v>
      </c>
      <c r="E234" s="306" t="n">
        <v>3.75</v>
      </c>
      <c r="F234" s="305" t="s">
        <v>541</v>
      </c>
      <c r="G234" s="306" t="n">
        <v>48</v>
      </c>
      <c r="H234" s="325" t="n">
        <v>525.619834710744</v>
      </c>
      <c r="I234" s="473"/>
      <c r="J234" s="313" t="n">
        <v>0</v>
      </c>
      <c r="K234" s="627" t="n">
        <v>8.75208333333333</v>
      </c>
      <c r="L234" s="410"/>
      <c r="M234" s="506" t="n">
        <v>0</v>
      </c>
      <c r="N234" s="410"/>
      <c r="O234" s="313" t="n">
        <v>106</v>
      </c>
      <c r="P234" s="474" t="n">
        <v>420.1</v>
      </c>
      <c r="Q234" s="377"/>
      <c r="R234" s="410"/>
      <c r="V234" s="517"/>
    </row>
    <row r="235" customFormat="false" ht="12.75" hidden="false" customHeight="false" outlineLevel="0" collapsed="false">
      <c r="A235" s="626"/>
      <c r="B235" s="305" t="s">
        <v>112</v>
      </c>
      <c r="C235" s="327" t="s">
        <v>545</v>
      </c>
      <c r="D235" s="306" t="n">
        <v>371</v>
      </c>
      <c r="E235" s="306" t="n">
        <v>3.75</v>
      </c>
      <c r="F235" s="305" t="s">
        <v>541</v>
      </c>
      <c r="G235" s="306" t="n">
        <v>24</v>
      </c>
      <c r="H235" s="325" t="n">
        <v>370.247933884298</v>
      </c>
      <c r="I235" s="473"/>
      <c r="J235" s="313" t="n">
        <v>0</v>
      </c>
      <c r="K235" s="627" t="n">
        <v>12.2791666666667</v>
      </c>
      <c r="L235" s="410"/>
      <c r="M235" s="506" t="n">
        <v>1</v>
      </c>
      <c r="N235" s="410"/>
      <c r="O235" s="313" t="n">
        <v>76</v>
      </c>
      <c r="P235" s="474" t="n">
        <v>294.7</v>
      </c>
      <c r="Q235" s="377"/>
      <c r="R235" s="410"/>
      <c r="V235" s="517"/>
    </row>
    <row r="236" customFormat="false" ht="12.75" hidden="false" customHeight="false" outlineLevel="0" collapsed="false">
      <c r="A236" s="626"/>
      <c r="B236" s="305" t="s">
        <v>112</v>
      </c>
      <c r="C236" s="327" t="s">
        <v>545</v>
      </c>
      <c r="D236" s="306" t="n">
        <v>371</v>
      </c>
      <c r="E236" s="306" t="n">
        <v>3.75</v>
      </c>
      <c r="F236" s="305" t="s">
        <v>541</v>
      </c>
      <c r="G236" s="306" t="n">
        <v>48</v>
      </c>
      <c r="H236" s="325" t="n">
        <v>370.247933884298</v>
      </c>
      <c r="I236" s="473"/>
      <c r="J236" s="313" t="n">
        <v>0</v>
      </c>
      <c r="K236" s="627" t="n">
        <v>6.13958333333333</v>
      </c>
      <c r="L236" s="410"/>
      <c r="M236" s="506" t="n">
        <v>1</v>
      </c>
      <c r="N236" s="410"/>
      <c r="O236" s="313" t="n">
        <v>76</v>
      </c>
      <c r="P236" s="474" t="n">
        <v>294.7</v>
      </c>
      <c r="Q236" s="377"/>
      <c r="R236" s="410"/>
      <c r="V236" s="517"/>
    </row>
    <row r="237" customFormat="false" ht="12.75" hidden="false" customHeight="false" outlineLevel="0" collapsed="false">
      <c r="A237" s="626"/>
      <c r="B237" s="305" t="s">
        <v>112</v>
      </c>
      <c r="C237" s="327" t="s">
        <v>546</v>
      </c>
      <c r="D237" s="306" t="n">
        <v>477</v>
      </c>
      <c r="E237" s="306" t="n">
        <v>3.75</v>
      </c>
      <c r="F237" s="305" t="s">
        <v>541</v>
      </c>
      <c r="G237" s="306" t="n">
        <v>24</v>
      </c>
      <c r="H237" s="325" t="n">
        <v>476.859504132231</v>
      </c>
      <c r="I237" s="473"/>
      <c r="J237" s="313" t="n">
        <v>0</v>
      </c>
      <c r="K237" s="627" t="n">
        <v>16.275</v>
      </c>
      <c r="L237" s="410"/>
      <c r="M237" s="506" t="n">
        <v>0</v>
      </c>
      <c r="N237" s="410"/>
      <c r="O237" s="313" t="n">
        <v>86</v>
      </c>
      <c r="P237" s="474" t="n">
        <v>390.6</v>
      </c>
      <c r="Q237" s="377"/>
      <c r="R237" s="410"/>
      <c r="V237" s="517"/>
    </row>
    <row r="238" customFormat="false" ht="12.75" hidden="false" customHeight="false" outlineLevel="0" collapsed="false">
      <c r="A238" s="626"/>
      <c r="B238" s="305" t="s">
        <v>112</v>
      </c>
      <c r="C238" s="327" t="s">
        <v>546</v>
      </c>
      <c r="D238" s="306" t="n">
        <v>477</v>
      </c>
      <c r="E238" s="306" t="n">
        <v>3.75</v>
      </c>
      <c r="F238" s="305" t="s">
        <v>541</v>
      </c>
      <c r="G238" s="306" t="n">
        <v>48</v>
      </c>
      <c r="H238" s="325" t="n">
        <v>476.859504132231</v>
      </c>
      <c r="I238" s="473"/>
      <c r="J238" s="313" t="n">
        <v>0</v>
      </c>
      <c r="K238" s="627" t="n">
        <v>8.1375</v>
      </c>
      <c r="L238" s="410"/>
      <c r="M238" s="506" t="n">
        <v>0</v>
      </c>
      <c r="N238" s="410"/>
      <c r="O238" s="313" t="n">
        <v>86</v>
      </c>
      <c r="P238" s="474" t="n">
        <v>390.6</v>
      </c>
      <c r="Q238" s="377"/>
      <c r="R238" s="410"/>
      <c r="V238" s="517"/>
    </row>
    <row r="239" customFormat="false" ht="12.75" hidden="false" customHeight="false" outlineLevel="0" collapsed="false">
      <c r="A239" s="626"/>
      <c r="B239" s="305" t="s">
        <v>112</v>
      </c>
      <c r="C239" s="327" t="s">
        <v>549</v>
      </c>
      <c r="D239" s="306" t="n">
        <v>623</v>
      </c>
      <c r="E239" s="306" t="n">
        <v>3.75</v>
      </c>
      <c r="F239" s="305" t="s">
        <v>541</v>
      </c>
      <c r="G239" s="306" t="n">
        <v>24</v>
      </c>
      <c r="H239" s="325" t="n">
        <v>622.314049586777</v>
      </c>
      <c r="I239" s="473"/>
      <c r="J239" s="313" t="n">
        <v>0</v>
      </c>
      <c r="K239" s="627" t="n">
        <v>21.4995833333333</v>
      </c>
      <c r="L239" s="410"/>
      <c r="M239" s="506" t="n">
        <v>1</v>
      </c>
      <c r="N239" s="410"/>
      <c r="O239" s="313" t="n">
        <v>107</v>
      </c>
      <c r="P239" s="474" t="n">
        <v>515.99</v>
      </c>
      <c r="Q239" s="377"/>
      <c r="R239" s="410"/>
      <c r="V239" s="517"/>
    </row>
    <row r="240" customFormat="false" ht="12.75" hidden="false" customHeight="false" outlineLevel="0" collapsed="false">
      <c r="A240" s="626"/>
      <c r="B240" s="305" t="s">
        <v>112</v>
      </c>
      <c r="C240" s="327" t="s">
        <v>549</v>
      </c>
      <c r="D240" s="306" t="n">
        <v>623</v>
      </c>
      <c r="E240" s="306" t="n">
        <v>3.75</v>
      </c>
      <c r="F240" s="305" t="s">
        <v>541</v>
      </c>
      <c r="G240" s="306" t="n">
        <v>48</v>
      </c>
      <c r="H240" s="325" t="n">
        <v>622.314049586777</v>
      </c>
      <c r="I240" s="473"/>
      <c r="J240" s="313" t="n">
        <v>0</v>
      </c>
      <c r="K240" s="627" t="n">
        <v>10.7497916666667</v>
      </c>
      <c r="L240" s="410"/>
      <c r="M240" s="506" t="n">
        <v>1</v>
      </c>
      <c r="N240" s="410"/>
      <c r="O240" s="313" t="n">
        <v>107</v>
      </c>
      <c r="P240" s="474" t="n">
        <v>515.99</v>
      </c>
      <c r="Q240" s="377"/>
      <c r="R240" s="410"/>
      <c r="V240" s="517"/>
    </row>
    <row r="241" customFormat="false" ht="12.75" hidden="false" customHeight="false" outlineLevel="0" collapsed="false">
      <c r="A241" s="626"/>
      <c r="B241" s="305" t="s">
        <v>112</v>
      </c>
      <c r="C241" s="327" t="s">
        <v>547</v>
      </c>
      <c r="D241" s="306" t="n">
        <v>758</v>
      </c>
      <c r="E241" s="306" t="n">
        <v>3.75</v>
      </c>
      <c r="F241" s="305" t="s">
        <v>541</v>
      </c>
      <c r="G241" s="306" t="n">
        <v>24</v>
      </c>
      <c r="H241" s="325" t="n">
        <v>757.851239669422</v>
      </c>
      <c r="I241" s="473"/>
      <c r="J241" s="313" t="n">
        <v>0</v>
      </c>
      <c r="K241" s="627" t="n">
        <v>25.4945833333333</v>
      </c>
      <c r="L241" s="410"/>
      <c r="M241" s="506" t="n">
        <v>0</v>
      </c>
      <c r="N241" s="410"/>
      <c r="O241" s="313" t="n">
        <v>146</v>
      </c>
      <c r="P241" s="474" t="n">
        <v>611.87</v>
      </c>
      <c r="Q241" s="377"/>
      <c r="R241" s="410"/>
      <c r="V241" s="517"/>
    </row>
    <row r="242" customFormat="false" ht="12.75" hidden="false" customHeight="false" outlineLevel="0" collapsed="false">
      <c r="A242" s="626"/>
      <c r="B242" s="305" t="s">
        <v>112</v>
      </c>
      <c r="C242" s="327" t="s">
        <v>547</v>
      </c>
      <c r="D242" s="306" t="n">
        <v>758</v>
      </c>
      <c r="E242" s="306" t="n">
        <v>3.75</v>
      </c>
      <c r="F242" s="305" t="s">
        <v>541</v>
      </c>
      <c r="G242" s="306" t="n">
        <v>48</v>
      </c>
      <c r="H242" s="325" t="n">
        <v>757.851239669422</v>
      </c>
      <c r="I242" s="473"/>
      <c r="J242" s="313" t="n">
        <v>0</v>
      </c>
      <c r="K242" s="627" t="n">
        <v>12.7472916666667</v>
      </c>
      <c r="L242" s="410"/>
      <c r="M242" s="506" t="n">
        <v>0</v>
      </c>
      <c r="N242" s="410"/>
      <c r="O242" s="313" t="n">
        <v>146</v>
      </c>
      <c r="P242" s="474" t="n">
        <v>611.87</v>
      </c>
      <c r="Q242" s="377"/>
      <c r="R242" s="410"/>
      <c r="V242" s="517"/>
    </row>
    <row r="243" customFormat="false" ht="12.75" hidden="false" customHeight="false" outlineLevel="0" collapsed="false">
      <c r="A243" s="626"/>
      <c r="B243" s="305" t="s">
        <v>112</v>
      </c>
      <c r="C243" s="327" t="s">
        <v>548</v>
      </c>
      <c r="D243" s="306" t="n">
        <v>847</v>
      </c>
      <c r="E243" s="306" t="n">
        <v>3.75</v>
      </c>
      <c r="F243" s="305" t="s">
        <v>541</v>
      </c>
      <c r="G243" s="306" t="n">
        <v>24</v>
      </c>
      <c r="H243" s="325" t="n">
        <v>846.280991735537</v>
      </c>
      <c r="I243" s="473"/>
      <c r="J243" s="313" t="n">
        <v>0</v>
      </c>
      <c r="K243" s="627" t="n">
        <v>29.1829166666667</v>
      </c>
      <c r="L243" s="410"/>
      <c r="M243" s="506" t="n">
        <v>1</v>
      </c>
      <c r="N243" s="410"/>
      <c r="O243" s="313" t="n">
        <v>147</v>
      </c>
      <c r="P243" s="474" t="n">
        <v>700.39</v>
      </c>
      <c r="Q243" s="377"/>
      <c r="R243" s="410"/>
      <c r="V243" s="517"/>
    </row>
    <row r="244" customFormat="false" ht="12.75" hidden="false" customHeight="false" outlineLevel="0" collapsed="false">
      <c r="A244" s="626"/>
      <c r="B244" s="305" t="s">
        <v>112</v>
      </c>
      <c r="C244" s="327" t="s">
        <v>548</v>
      </c>
      <c r="D244" s="306" t="n">
        <v>847</v>
      </c>
      <c r="E244" s="306" t="n">
        <v>3.75</v>
      </c>
      <c r="F244" s="305" t="s">
        <v>541</v>
      </c>
      <c r="G244" s="306" t="n">
        <v>48</v>
      </c>
      <c r="H244" s="325" t="n">
        <v>846.280991735537</v>
      </c>
      <c r="I244" s="473"/>
      <c r="J244" s="313" t="n">
        <v>0</v>
      </c>
      <c r="K244" s="627" t="n">
        <v>14.5914583333333</v>
      </c>
      <c r="L244" s="410"/>
      <c r="M244" s="506" t="n">
        <v>1</v>
      </c>
      <c r="N244" s="410"/>
      <c r="O244" s="313" t="n">
        <v>147</v>
      </c>
      <c r="P244" s="474" t="n">
        <v>700.39</v>
      </c>
      <c r="Q244" s="377"/>
      <c r="R244" s="410"/>
      <c r="V244" s="517"/>
    </row>
    <row r="245" customFormat="false" ht="12.75" hidden="false" customHeight="false" outlineLevel="0" collapsed="false">
      <c r="A245" s="626"/>
      <c r="B245" s="305" t="s">
        <v>190</v>
      </c>
      <c r="C245" s="305" t="s">
        <v>513</v>
      </c>
      <c r="D245" s="306" t="n">
        <v>215</v>
      </c>
      <c r="E245" s="306" t="n">
        <v>0</v>
      </c>
      <c r="F245" s="305" t="s">
        <v>514</v>
      </c>
      <c r="G245" s="306" t="n">
        <v>24</v>
      </c>
      <c r="H245" s="325" t="n">
        <v>214.04958677686</v>
      </c>
      <c r="I245" s="473"/>
      <c r="J245" s="313" t="n">
        <v>0</v>
      </c>
      <c r="K245" s="627" t="n">
        <v>5.95833333333333</v>
      </c>
      <c r="L245" s="410"/>
      <c r="M245" s="506" t="n">
        <v>1</v>
      </c>
      <c r="N245" s="410"/>
      <c r="O245" s="313" t="n">
        <v>72</v>
      </c>
      <c r="P245" s="474" t="n">
        <v>143</v>
      </c>
      <c r="Q245" s="377"/>
      <c r="R245" s="410"/>
      <c r="V245" s="517"/>
    </row>
    <row r="246" customFormat="false" ht="12.75" hidden="false" customHeight="false" outlineLevel="0" collapsed="false">
      <c r="A246" s="626"/>
      <c r="B246" s="305" t="s">
        <v>190</v>
      </c>
      <c r="C246" s="305" t="s">
        <v>515</v>
      </c>
      <c r="D246" s="306" t="n">
        <v>396</v>
      </c>
      <c r="E246" s="306" t="n">
        <v>0</v>
      </c>
      <c r="F246" s="305" t="s">
        <v>514</v>
      </c>
      <c r="G246" s="306" t="n">
        <v>24</v>
      </c>
      <c r="H246" s="325" t="n">
        <v>395.867768595041</v>
      </c>
      <c r="I246" s="473"/>
      <c r="J246" s="313" t="n">
        <v>0</v>
      </c>
      <c r="K246" s="627" t="n">
        <v>10.2916666666667</v>
      </c>
      <c r="L246" s="410"/>
      <c r="M246" s="506" t="n">
        <v>0</v>
      </c>
      <c r="N246" s="410"/>
      <c r="O246" s="313" t="n">
        <v>149</v>
      </c>
      <c r="P246" s="474" t="n">
        <v>247</v>
      </c>
      <c r="Q246" s="377"/>
      <c r="R246" s="410"/>
      <c r="V246" s="517"/>
    </row>
    <row r="247" customFormat="false" ht="12.75" hidden="false" customHeight="false" outlineLevel="0" collapsed="false">
      <c r="A247" s="626"/>
      <c r="B247" s="305" t="s">
        <v>190</v>
      </c>
      <c r="C247" s="305" t="s">
        <v>515</v>
      </c>
      <c r="D247" s="306" t="n">
        <v>396</v>
      </c>
      <c r="E247" s="306" t="n">
        <v>0</v>
      </c>
      <c r="F247" s="305" t="s">
        <v>514</v>
      </c>
      <c r="G247" s="306" t="n">
        <v>48</v>
      </c>
      <c r="H247" s="325" t="n">
        <v>395.867768595041</v>
      </c>
      <c r="I247" s="473"/>
      <c r="J247" s="313" t="n">
        <v>0</v>
      </c>
      <c r="K247" s="627" t="n">
        <v>5.14583333333333</v>
      </c>
      <c r="L247" s="410"/>
      <c r="M247" s="506" t="n">
        <v>0</v>
      </c>
      <c r="N247" s="410"/>
      <c r="O247" s="313" t="n">
        <v>149</v>
      </c>
      <c r="P247" s="474" t="n">
        <v>247</v>
      </c>
      <c r="Q247" s="377"/>
      <c r="R247" s="410"/>
      <c r="V247" s="517"/>
    </row>
    <row r="248" customFormat="false" ht="12.75" hidden="false" customHeight="false" outlineLevel="0" collapsed="false">
      <c r="A248" s="626"/>
      <c r="B248" s="305" t="s">
        <v>190</v>
      </c>
      <c r="C248" s="305" t="s">
        <v>516</v>
      </c>
      <c r="D248" s="306" t="n">
        <v>479</v>
      </c>
      <c r="E248" s="306" t="n">
        <v>0</v>
      </c>
      <c r="F248" s="305" t="s">
        <v>514</v>
      </c>
      <c r="G248" s="306" t="n">
        <v>24</v>
      </c>
      <c r="H248" s="325" t="n">
        <v>478.512396694215</v>
      </c>
      <c r="I248" s="473"/>
      <c r="J248" s="313" t="n">
        <v>0</v>
      </c>
      <c r="K248" s="627" t="n">
        <v>13.3333333333333</v>
      </c>
      <c r="L248" s="410"/>
      <c r="M248" s="506" t="n">
        <v>0</v>
      </c>
      <c r="N248" s="410"/>
      <c r="O248" s="313" t="n">
        <v>159</v>
      </c>
      <c r="P248" s="474" t="n">
        <v>320</v>
      </c>
      <c r="Q248" s="377"/>
      <c r="R248" s="410"/>
      <c r="V248" s="517"/>
    </row>
    <row r="249" customFormat="false" ht="12.75" hidden="false" customHeight="false" outlineLevel="0" collapsed="false">
      <c r="A249" s="626"/>
      <c r="B249" s="305" t="s">
        <v>190</v>
      </c>
      <c r="C249" s="305" t="s">
        <v>516</v>
      </c>
      <c r="D249" s="306" t="n">
        <v>479</v>
      </c>
      <c r="E249" s="306" t="n">
        <v>0</v>
      </c>
      <c r="F249" s="305" t="s">
        <v>514</v>
      </c>
      <c r="G249" s="306" t="n">
        <v>48</v>
      </c>
      <c r="H249" s="325" t="n">
        <v>478.512396694215</v>
      </c>
      <c r="I249" s="473"/>
      <c r="J249" s="313" t="n">
        <v>0</v>
      </c>
      <c r="K249" s="627" t="n">
        <v>6.66666666666667</v>
      </c>
      <c r="L249" s="410"/>
      <c r="M249" s="506" t="n">
        <v>0</v>
      </c>
      <c r="N249" s="410"/>
      <c r="O249" s="313" t="n">
        <v>159</v>
      </c>
      <c r="P249" s="474" t="n">
        <v>320</v>
      </c>
      <c r="Q249" s="377"/>
      <c r="R249" s="410"/>
      <c r="V249" s="517"/>
    </row>
    <row r="250" customFormat="false" ht="12.75" hidden="false" customHeight="false" outlineLevel="0" collapsed="false">
      <c r="A250" s="626"/>
      <c r="B250" s="305" t="s">
        <v>190</v>
      </c>
      <c r="C250" s="305" t="s">
        <v>517</v>
      </c>
      <c r="D250" s="306" t="n">
        <v>1735</v>
      </c>
      <c r="E250" s="306" t="n">
        <v>0</v>
      </c>
      <c r="F250" s="305" t="s">
        <v>514</v>
      </c>
      <c r="G250" s="306" t="n">
        <v>24</v>
      </c>
      <c r="H250" s="325" t="n">
        <v>1569.42148760331</v>
      </c>
      <c r="I250" s="473"/>
      <c r="J250" s="313" t="n">
        <v>39</v>
      </c>
      <c r="K250" s="627" t="n">
        <v>36.4916666666667</v>
      </c>
      <c r="L250" s="410"/>
      <c r="M250" s="506" t="n">
        <v>166</v>
      </c>
      <c r="N250" s="410"/>
      <c r="O250" s="313" t="n">
        <v>820</v>
      </c>
      <c r="P250" s="474" t="n">
        <v>875.8</v>
      </c>
      <c r="Q250" s="377"/>
      <c r="R250" s="410"/>
      <c r="V250" s="517"/>
    </row>
    <row r="251" customFormat="false" ht="12.75" hidden="false" customHeight="false" outlineLevel="0" collapsed="false">
      <c r="A251" s="626"/>
      <c r="B251" s="305" t="s">
        <v>190</v>
      </c>
      <c r="C251" s="305" t="s">
        <v>517</v>
      </c>
      <c r="D251" s="306" t="n">
        <v>1735</v>
      </c>
      <c r="E251" s="306" t="n">
        <v>0</v>
      </c>
      <c r="F251" s="305" t="s">
        <v>514</v>
      </c>
      <c r="G251" s="306" t="n">
        <v>48</v>
      </c>
      <c r="H251" s="325" t="n">
        <v>1569.42148760331</v>
      </c>
      <c r="I251" s="473"/>
      <c r="J251" s="313" t="n">
        <v>39</v>
      </c>
      <c r="K251" s="627" t="n">
        <v>18.2458333333333</v>
      </c>
      <c r="L251" s="410"/>
      <c r="M251" s="506" t="n">
        <v>166</v>
      </c>
      <c r="N251" s="410"/>
      <c r="O251" s="313" t="n">
        <v>820</v>
      </c>
      <c r="P251" s="474" t="n">
        <v>875.8</v>
      </c>
      <c r="Q251" s="377"/>
      <c r="R251" s="410"/>
      <c r="V251" s="517"/>
    </row>
    <row r="252" customFormat="false" ht="12.75" hidden="false" customHeight="false" outlineLevel="0" collapsed="false">
      <c r="A252" s="626"/>
      <c r="B252" s="305" t="s">
        <v>190</v>
      </c>
      <c r="C252" s="305" t="s">
        <v>518</v>
      </c>
      <c r="D252" s="306" t="n">
        <v>537</v>
      </c>
      <c r="E252" s="306" t="n">
        <v>0</v>
      </c>
      <c r="F252" s="305" t="s">
        <v>514</v>
      </c>
      <c r="G252" s="306" t="n">
        <v>24</v>
      </c>
      <c r="H252" s="325" t="n">
        <v>519.834710743802</v>
      </c>
      <c r="I252" s="473"/>
      <c r="J252" s="313" t="n">
        <v>0</v>
      </c>
      <c r="K252" s="627" t="n">
        <v>15.2</v>
      </c>
      <c r="L252" s="410"/>
      <c r="M252" s="506" t="n">
        <v>17</v>
      </c>
      <c r="N252" s="410"/>
      <c r="O252" s="313" t="n">
        <v>172</v>
      </c>
      <c r="P252" s="474" t="n">
        <v>364.8</v>
      </c>
      <c r="Q252" s="377"/>
      <c r="R252" s="410"/>
      <c r="V252" s="517"/>
    </row>
    <row r="253" customFormat="false" ht="12.75" hidden="false" customHeight="false" outlineLevel="0" collapsed="false">
      <c r="A253" s="626"/>
      <c r="B253" s="305" t="s">
        <v>190</v>
      </c>
      <c r="C253" s="305" t="s">
        <v>518</v>
      </c>
      <c r="D253" s="306" t="n">
        <v>537</v>
      </c>
      <c r="E253" s="306" t="n">
        <v>0</v>
      </c>
      <c r="F253" s="305" t="s">
        <v>514</v>
      </c>
      <c r="G253" s="306" t="n">
        <v>48</v>
      </c>
      <c r="H253" s="325" t="n">
        <v>519.834710743802</v>
      </c>
      <c r="I253" s="473"/>
      <c r="J253" s="313" t="n">
        <v>0</v>
      </c>
      <c r="K253" s="627" t="n">
        <v>7.6</v>
      </c>
      <c r="L253" s="410"/>
      <c r="M253" s="506" t="n">
        <v>17</v>
      </c>
      <c r="N253" s="410"/>
      <c r="O253" s="313" t="n">
        <v>172</v>
      </c>
      <c r="P253" s="474" t="n">
        <v>364.8</v>
      </c>
      <c r="Q253" s="377"/>
      <c r="R253" s="410"/>
      <c r="V253" s="517"/>
    </row>
    <row r="254" customFormat="false" ht="12.75" hidden="false" customHeight="false" outlineLevel="0" collapsed="false">
      <c r="A254" s="626"/>
      <c r="B254" s="305" t="s">
        <v>190</v>
      </c>
      <c r="C254" s="305" t="s">
        <v>519</v>
      </c>
      <c r="D254" s="306" t="n">
        <v>2396</v>
      </c>
      <c r="E254" s="306" t="n">
        <v>0</v>
      </c>
      <c r="F254" s="305" t="s">
        <v>514</v>
      </c>
      <c r="G254" s="306" t="n">
        <v>24</v>
      </c>
      <c r="H254" s="325" t="n">
        <v>2230.57851239669</v>
      </c>
      <c r="I254" s="473"/>
      <c r="J254" s="313" t="n">
        <v>49</v>
      </c>
      <c r="K254" s="627" t="n">
        <v>49.6166666666667</v>
      </c>
      <c r="L254" s="410"/>
      <c r="M254" s="506" t="n">
        <v>165</v>
      </c>
      <c r="N254" s="410"/>
      <c r="O254" s="313" t="n">
        <v>1156</v>
      </c>
      <c r="P254" s="474" t="n">
        <v>1190.8</v>
      </c>
      <c r="Q254" s="377"/>
      <c r="R254" s="410"/>
      <c r="V254" s="517"/>
    </row>
    <row r="255" customFormat="false" ht="12.75" hidden="false" customHeight="false" outlineLevel="0" collapsed="false">
      <c r="A255" s="626"/>
      <c r="B255" s="305" t="s">
        <v>190</v>
      </c>
      <c r="C255" s="305" t="s">
        <v>519</v>
      </c>
      <c r="D255" s="306" t="n">
        <v>2396</v>
      </c>
      <c r="E255" s="306" t="n">
        <v>0</v>
      </c>
      <c r="F255" s="305" t="s">
        <v>514</v>
      </c>
      <c r="G255" s="306" t="n">
        <v>48</v>
      </c>
      <c r="H255" s="325" t="n">
        <v>2230.57851239669</v>
      </c>
      <c r="I255" s="473"/>
      <c r="J255" s="313" t="n">
        <v>49</v>
      </c>
      <c r="K255" s="627" t="n">
        <v>24.8083333333333</v>
      </c>
      <c r="L255" s="410"/>
      <c r="M255" s="506" t="n">
        <v>165</v>
      </c>
      <c r="N255" s="410"/>
      <c r="O255" s="313" t="n">
        <v>1156</v>
      </c>
      <c r="P255" s="474" t="n">
        <v>1190.8</v>
      </c>
      <c r="Q255" s="377"/>
      <c r="R255" s="410"/>
      <c r="V255" s="517"/>
    </row>
    <row r="256" customFormat="false" ht="12.75" hidden="false" customHeight="false" outlineLevel="0" collapsed="false">
      <c r="A256" s="626"/>
      <c r="B256" s="305" t="s">
        <v>190</v>
      </c>
      <c r="C256" s="305" t="s">
        <v>520</v>
      </c>
      <c r="D256" s="306" t="n">
        <v>686</v>
      </c>
      <c r="E256" s="306" t="n">
        <v>0</v>
      </c>
      <c r="F256" s="305" t="s">
        <v>514</v>
      </c>
      <c r="G256" s="306" t="n">
        <v>24</v>
      </c>
      <c r="H256" s="325" t="n">
        <v>685.123966942149</v>
      </c>
      <c r="I256" s="473"/>
      <c r="J256" s="313" t="n">
        <v>19</v>
      </c>
      <c r="K256" s="627" t="n">
        <v>17.5333333333333</v>
      </c>
      <c r="L256" s="410"/>
      <c r="M256" s="506" t="n">
        <v>1</v>
      </c>
      <c r="N256" s="410"/>
      <c r="O256" s="313" t="n">
        <v>246</v>
      </c>
      <c r="P256" s="474" t="n">
        <v>420.8</v>
      </c>
      <c r="Q256" s="377"/>
      <c r="R256" s="410"/>
      <c r="V256" s="517"/>
    </row>
    <row r="257" customFormat="false" ht="12.75" hidden="false" customHeight="false" outlineLevel="0" collapsed="false">
      <c r="A257" s="626"/>
      <c r="B257" s="305" t="s">
        <v>190</v>
      </c>
      <c r="C257" s="305" t="s">
        <v>520</v>
      </c>
      <c r="D257" s="306" t="n">
        <v>686</v>
      </c>
      <c r="E257" s="306" t="n">
        <v>0</v>
      </c>
      <c r="F257" s="305" t="s">
        <v>514</v>
      </c>
      <c r="G257" s="306" t="n">
        <v>48</v>
      </c>
      <c r="H257" s="325" t="n">
        <v>685.123966942149</v>
      </c>
      <c r="I257" s="473"/>
      <c r="J257" s="313" t="n">
        <v>19</v>
      </c>
      <c r="K257" s="627" t="n">
        <v>8.76666666666667</v>
      </c>
      <c r="L257" s="410"/>
      <c r="M257" s="506" t="n">
        <v>1</v>
      </c>
      <c r="N257" s="410"/>
      <c r="O257" s="313" t="n">
        <v>246</v>
      </c>
      <c r="P257" s="474" t="n">
        <v>420.8</v>
      </c>
      <c r="Q257" s="377"/>
      <c r="R257" s="410"/>
      <c r="V257" s="517"/>
    </row>
    <row r="258" customFormat="false" ht="12.75" hidden="false" customHeight="false" outlineLevel="0" collapsed="false">
      <c r="A258" s="626"/>
      <c r="B258" s="305" t="s">
        <v>190</v>
      </c>
      <c r="C258" s="305" t="s">
        <v>521</v>
      </c>
      <c r="D258" s="306" t="n">
        <v>1157</v>
      </c>
      <c r="E258" s="306" t="n">
        <v>0</v>
      </c>
      <c r="F258" s="305" t="s">
        <v>514</v>
      </c>
      <c r="G258" s="306" t="n">
        <v>24</v>
      </c>
      <c r="H258" s="325" t="n">
        <v>1032.23140495868</v>
      </c>
      <c r="I258" s="473"/>
      <c r="J258" s="313" t="n">
        <v>29</v>
      </c>
      <c r="K258" s="627" t="n">
        <v>28.5354166666667</v>
      </c>
      <c r="L258" s="410"/>
      <c r="M258" s="506" t="n">
        <v>125</v>
      </c>
      <c r="N258" s="410"/>
      <c r="O258" s="313" t="n">
        <v>443</v>
      </c>
      <c r="P258" s="474" t="n">
        <v>684.85</v>
      </c>
      <c r="Q258" s="377"/>
      <c r="R258" s="410"/>
      <c r="V258" s="517"/>
    </row>
    <row r="259" customFormat="false" ht="12.75" hidden="false" customHeight="false" outlineLevel="0" collapsed="false">
      <c r="A259" s="626"/>
      <c r="B259" s="305" t="s">
        <v>190</v>
      </c>
      <c r="C259" s="305" t="s">
        <v>521</v>
      </c>
      <c r="D259" s="306" t="n">
        <v>1157</v>
      </c>
      <c r="E259" s="306" t="n">
        <v>0</v>
      </c>
      <c r="F259" s="305" t="s">
        <v>514</v>
      </c>
      <c r="G259" s="306" t="n">
        <v>48</v>
      </c>
      <c r="H259" s="325" t="n">
        <v>1032.23140495868</v>
      </c>
      <c r="I259" s="473"/>
      <c r="J259" s="313" t="n">
        <v>29</v>
      </c>
      <c r="K259" s="627" t="n">
        <v>14.2677083333333</v>
      </c>
      <c r="L259" s="410"/>
      <c r="M259" s="506" t="n">
        <v>125</v>
      </c>
      <c r="N259" s="410"/>
      <c r="O259" s="313" t="n">
        <v>443</v>
      </c>
      <c r="P259" s="474" t="n">
        <v>684.85</v>
      </c>
      <c r="Q259" s="377"/>
      <c r="R259" s="410"/>
      <c r="V259" s="517"/>
    </row>
    <row r="260" customFormat="false" ht="12.75" hidden="false" customHeight="false" outlineLevel="0" collapsed="false">
      <c r="A260" s="626"/>
      <c r="B260" s="305" t="s">
        <v>200</v>
      </c>
      <c r="C260" s="305" t="s">
        <v>525</v>
      </c>
      <c r="D260" s="306" t="n">
        <v>429</v>
      </c>
      <c r="E260" s="306" t="n">
        <v>0</v>
      </c>
      <c r="F260" s="305" t="s">
        <v>514</v>
      </c>
      <c r="G260" s="306" t="n">
        <v>24</v>
      </c>
      <c r="H260" s="325" t="n">
        <v>354.545454545455</v>
      </c>
      <c r="I260" s="473"/>
      <c r="J260" s="313" t="n">
        <v>0</v>
      </c>
      <c r="K260" s="627" t="n">
        <v>10.4316666666667</v>
      </c>
      <c r="L260" s="410"/>
      <c r="M260" s="506" t="n">
        <v>74</v>
      </c>
      <c r="N260" s="410"/>
      <c r="O260" s="313" t="n">
        <v>179</v>
      </c>
      <c r="P260" s="474" t="n">
        <v>250.36</v>
      </c>
      <c r="Q260" s="377"/>
      <c r="R260" s="410"/>
      <c r="V260" s="517"/>
    </row>
    <row r="261" customFormat="false" ht="12.75" hidden="false" customHeight="false" outlineLevel="0" collapsed="false">
      <c r="A261" s="626"/>
      <c r="B261" s="305" t="s">
        <v>200</v>
      </c>
      <c r="C261" s="305" t="s">
        <v>525</v>
      </c>
      <c r="D261" s="306" t="n">
        <v>429</v>
      </c>
      <c r="E261" s="306" t="n">
        <v>0</v>
      </c>
      <c r="F261" s="305" t="s">
        <v>514</v>
      </c>
      <c r="G261" s="306" t="n">
        <v>48</v>
      </c>
      <c r="H261" s="325" t="n">
        <v>354.545454545455</v>
      </c>
      <c r="I261" s="473"/>
      <c r="J261" s="313" t="n">
        <v>0</v>
      </c>
      <c r="K261" s="627" t="n">
        <v>5.21583333333333</v>
      </c>
      <c r="L261" s="410"/>
      <c r="M261" s="506" t="n">
        <v>74</v>
      </c>
      <c r="N261" s="410"/>
      <c r="O261" s="313" t="n">
        <v>179</v>
      </c>
      <c r="P261" s="474" t="n">
        <v>250.36</v>
      </c>
      <c r="Q261" s="377"/>
      <c r="R261" s="410"/>
      <c r="V261" s="517"/>
    </row>
    <row r="262" customFormat="false" ht="12.75" hidden="false" customHeight="false" outlineLevel="0" collapsed="false">
      <c r="A262" s="626"/>
      <c r="B262" s="305" t="s">
        <v>200</v>
      </c>
      <c r="C262" s="305" t="s">
        <v>526</v>
      </c>
      <c r="D262" s="306" t="n">
        <v>537</v>
      </c>
      <c r="E262" s="306" t="n">
        <v>0</v>
      </c>
      <c r="F262" s="305" t="s">
        <v>514</v>
      </c>
      <c r="G262" s="306" t="n">
        <v>24</v>
      </c>
      <c r="H262" s="325" t="n">
        <v>495.04132231405</v>
      </c>
      <c r="I262" s="473"/>
      <c r="J262" s="313" t="n">
        <v>0</v>
      </c>
      <c r="K262" s="627" t="n">
        <v>16.6583333333333</v>
      </c>
      <c r="L262" s="410"/>
      <c r="M262" s="506" t="n">
        <v>42</v>
      </c>
      <c r="N262" s="410"/>
      <c r="O262" s="313" t="n">
        <v>137</v>
      </c>
      <c r="P262" s="474" t="n">
        <v>399.8</v>
      </c>
      <c r="Q262" s="377"/>
      <c r="R262" s="410"/>
      <c r="V262" s="517"/>
    </row>
    <row r="263" customFormat="false" ht="12.75" hidden="false" customHeight="false" outlineLevel="0" collapsed="false">
      <c r="A263" s="626"/>
      <c r="B263" s="305" t="s">
        <v>200</v>
      </c>
      <c r="C263" s="305" t="s">
        <v>526</v>
      </c>
      <c r="D263" s="306" t="n">
        <v>537</v>
      </c>
      <c r="E263" s="306" t="n">
        <v>0</v>
      </c>
      <c r="F263" s="305" t="s">
        <v>514</v>
      </c>
      <c r="G263" s="306" t="n">
        <v>48</v>
      </c>
      <c r="H263" s="325" t="n">
        <v>495.04132231405</v>
      </c>
      <c r="I263" s="473"/>
      <c r="J263" s="313" t="n">
        <v>0</v>
      </c>
      <c r="K263" s="627" t="n">
        <v>8.32916666666667</v>
      </c>
      <c r="L263" s="410"/>
      <c r="M263" s="506" t="n">
        <v>42</v>
      </c>
      <c r="N263" s="410"/>
      <c r="O263" s="313" t="n">
        <v>137</v>
      </c>
      <c r="P263" s="474" t="n">
        <v>399.8</v>
      </c>
      <c r="Q263" s="377"/>
      <c r="R263" s="410"/>
      <c r="V263" s="517"/>
    </row>
    <row r="264" customFormat="false" ht="12.75" hidden="false" customHeight="false" outlineLevel="0" collapsed="false">
      <c r="A264" s="626"/>
      <c r="B264" s="305" t="s">
        <v>200</v>
      </c>
      <c r="C264" s="305" t="s">
        <v>527</v>
      </c>
      <c r="D264" s="306" t="n">
        <v>702</v>
      </c>
      <c r="E264" s="306" t="n">
        <v>0</v>
      </c>
      <c r="F264" s="305" t="s">
        <v>514</v>
      </c>
      <c r="G264" s="306" t="n">
        <v>24</v>
      </c>
      <c r="H264" s="325" t="n">
        <v>660.330578512397</v>
      </c>
      <c r="I264" s="473"/>
      <c r="J264" s="313" t="n">
        <v>19</v>
      </c>
      <c r="K264" s="627" t="n">
        <v>19.4083333333333</v>
      </c>
      <c r="L264" s="410"/>
      <c r="M264" s="506" t="n">
        <v>42</v>
      </c>
      <c r="N264" s="410"/>
      <c r="O264" s="313" t="n">
        <v>217</v>
      </c>
      <c r="P264" s="474" t="n">
        <v>465.8</v>
      </c>
      <c r="Q264" s="377"/>
      <c r="R264" s="410"/>
      <c r="V264" s="517"/>
    </row>
    <row r="265" customFormat="false" ht="12.75" hidden="false" customHeight="false" outlineLevel="0" collapsed="false">
      <c r="A265" s="626"/>
      <c r="B265" s="305" t="s">
        <v>200</v>
      </c>
      <c r="C265" s="305" t="s">
        <v>527</v>
      </c>
      <c r="D265" s="306" t="n">
        <v>702</v>
      </c>
      <c r="E265" s="306" t="n">
        <v>0</v>
      </c>
      <c r="F265" s="305" t="s">
        <v>514</v>
      </c>
      <c r="G265" s="306" t="n">
        <v>48</v>
      </c>
      <c r="H265" s="325" t="n">
        <v>660.330578512397</v>
      </c>
      <c r="I265" s="473"/>
      <c r="J265" s="313" t="n">
        <v>19</v>
      </c>
      <c r="K265" s="627" t="n">
        <v>9.70416666666667</v>
      </c>
      <c r="L265" s="410"/>
      <c r="M265" s="506" t="n">
        <v>42</v>
      </c>
      <c r="N265" s="410"/>
      <c r="O265" s="313" t="n">
        <v>217</v>
      </c>
      <c r="P265" s="474" t="n">
        <v>465.8</v>
      </c>
      <c r="Q265" s="377"/>
      <c r="R265" s="410"/>
      <c r="V265" s="517"/>
      <c r="W265" s="630"/>
      <c r="X265" s="630"/>
    </row>
    <row r="266" customFormat="false" ht="12.75" hidden="false" customHeight="false" outlineLevel="0" collapsed="false">
      <c r="A266" s="626"/>
      <c r="B266" s="305" t="s">
        <v>200</v>
      </c>
      <c r="C266" s="305" t="s">
        <v>528</v>
      </c>
      <c r="D266" s="306" t="n">
        <v>1012</v>
      </c>
      <c r="E266" s="306" t="n">
        <v>0</v>
      </c>
      <c r="F266" s="305" t="s">
        <v>514</v>
      </c>
      <c r="G266" s="306" t="n">
        <v>24</v>
      </c>
      <c r="H266" s="325" t="n">
        <v>908.264462809917</v>
      </c>
      <c r="I266" s="473"/>
      <c r="J266" s="313" t="n">
        <v>29</v>
      </c>
      <c r="K266" s="627" t="n">
        <v>27.7695833333333</v>
      </c>
      <c r="L266" s="410"/>
      <c r="M266" s="506" t="n">
        <v>104</v>
      </c>
      <c r="N266" s="410"/>
      <c r="O266" s="313" t="n">
        <v>317</v>
      </c>
      <c r="P266" s="474" t="n">
        <v>666.47</v>
      </c>
      <c r="Q266" s="377"/>
      <c r="R266" s="410"/>
      <c r="V266" s="517"/>
      <c r="W266" s="630"/>
      <c r="X266" s="630"/>
    </row>
    <row r="267" customFormat="false" ht="12.75" hidden="false" customHeight="false" outlineLevel="0" collapsed="false">
      <c r="A267" s="626"/>
      <c r="B267" s="305" t="s">
        <v>200</v>
      </c>
      <c r="C267" s="305" t="s">
        <v>528</v>
      </c>
      <c r="D267" s="306" t="n">
        <v>1012</v>
      </c>
      <c r="E267" s="306" t="n">
        <v>0</v>
      </c>
      <c r="F267" s="305" t="s">
        <v>514</v>
      </c>
      <c r="G267" s="306" t="n">
        <v>48</v>
      </c>
      <c r="H267" s="325" t="n">
        <v>908.264462809917</v>
      </c>
      <c r="I267" s="473"/>
      <c r="J267" s="313" t="n">
        <v>29</v>
      </c>
      <c r="K267" s="627" t="n">
        <v>13.8847916666667</v>
      </c>
      <c r="L267" s="410"/>
      <c r="M267" s="506" t="n">
        <v>104</v>
      </c>
      <c r="N267" s="410"/>
      <c r="O267" s="313" t="n">
        <v>317</v>
      </c>
      <c r="P267" s="474" t="n">
        <v>666.47</v>
      </c>
      <c r="Q267" s="377"/>
      <c r="R267" s="410"/>
      <c r="V267" s="517"/>
      <c r="W267" s="630"/>
      <c r="X267" s="630"/>
    </row>
    <row r="268" customFormat="false" ht="12.75" hidden="false" customHeight="false" outlineLevel="0" collapsed="false">
      <c r="A268" s="626"/>
      <c r="B268" s="305" t="s">
        <v>428</v>
      </c>
      <c r="C268" s="305" t="s">
        <v>529</v>
      </c>
      <c r="D268" s="306" t="n">
        <v>159</v>
      </c>
      <c r="E268" s="306" t="n">
        <v>0</v>
      </c>
      <c r="F268" s="305" t="s">
        <v>514</v>
      </c>
      <c r="G268" s="306" t="n">
        <v>24</v>
      </c>
      <c r="H268" s="325" t="n">
        <v>158.677685950413</v>
      </c>
      <c r="I268" s="473"/>
      <c r="J268" s="313" t="n">
        <v>0</v>
      </c>
      <c r="K268" s="627" t="n">
        <v>5</v>
      </c>
      <c r="L268" s="410"/>
      <c r="M268" s="506" t="n">
        <v>0</v>
      </c>
      <c r="N268" s="410"/>
      <c r="O268" s="313" t="n">
        <v>39</v>
      </c>
      <c r="P268" s="474" t="n">
        <v>120</v>
      </c>
      <c r="Q268" s="377"/>
      <c r="R268" s="410"/>
      <c r="V268" s="517"/>
      <c r="W268" s="630"/>
      <c r="X268" s="630"/>
    </row>
    <row r="269" customFormat="false" ht="12.75" hidden="false" customHeight="false" outlineLevel="0" collapsed="false">
      <c r="A269" s="626"/>
      <c r="B269" s="305" t="s">
        <v>428</v>
      </c>
      <c r="C269" s="305" t="s">
        <v>530</v>
      </c>
      <c r="D269" s="306" t="n">
        <v>315</v>
      </c>
      <c r="E269" s="306" t="n">
        <v>0</v>
      </c>
      <c r="F269" s="305" t="s">
        <v>514</v>
      </c>
      <c r="G269" s="306" t="n">
        <v>24</v>
      </c>
      <c r="H269" s="325" t="n">
        <v>288.429752066116</v>
      </c>
      <c r="I269" s="473"/>
      <c r="J269" s="313" t="n">
        <v>0</v>
      </c>
      <c r="K269" s="627" t="n">
        <v>8.70833333333333</v>
      </c>
      <c r="L269" s="410"/>
      <c r="M269" s="506" t="n">
        <v>27</v>
      </c>
      <c r="N269" s="410"/>
      <c r="O269" s="313" t="n">
        <v>106</v>
      </c>
      <c r="P269" s="474" t="n">
        <v>209</v>
      </c>
      <c r="Q269" s="377"/>
      <c r="R269" s="410"/>
      <c r="V269" s="517"/>
      <c r="W269" s="630"/>
      <c r="X269" s="630"/>
    </row>
    <row r="270" customFormat="false" ht="12.75" hidden="false" customHeight="false" outlineLevel="0" collapsed="false">
      <c r="A270" s="626"/>
      <c r="B270" s="305" t="s">
        <v>428</v>
      </c>
      <c r="C270" s="305" t="s">
        <v>530</v>
      </c>
      <c r="D270" s="306" t="n">
        <v>315</v>
      </c>
      <c r="E270" s="306" t="n">
        <v>0</v>
      </c>
      <c r="F270" s="305" t="s">
        <v>514</v>
      </c>
      <c r="G270" s="306" t="n">
        <v>48</v>
      </c>
      <c r="H270" s="325" t="n">
        <v>288.429752066116</v>
      </c>
      <c r="I270" s="473"/>
      <c r="J270" s="313" t="n">
        <v>0</v>
      </c>
      <c r="K270" s="627" t="n">
        <v>4.35416666666667</v>
      </c>
      <c r="L270" s="410"/>
      <c r="M270" s="506" t="n">
        <v>27</v>
      </c>
      <c r="N270" s="410"/>
      <c r="O270" s="313" t="n">
        <v>106</v>
      </c>
      <c r="P270" s="474" t="n">
        <v>209</v>
      </c>
      <c r="Q270" s="377"/>
      <c r="R270" s="410"/>
      <c r="V270" s="517"/>
      <c r="W270" s="630"/>
      <c r="X270" s="630"/>
    </row>
    <row r="271" customFormat="false" ht="12.75" hidden="false" customHeight="false" outlineLevel="0" collapsed="false">
      <c r="A271" s="626"/>
      <c r="B271" s="305" t="s">
        <v>428</v>
      </c>
      <c r="C271" s="305" t="s">
        <v>531</v>
      </c>
      <c r="D271" s="306" t="n">
        <v>421</v>
      </c>
      <c r="E271" s="306" t="n">
        <v>0</v>
      </c>
      <c r="F271" s="305" t="s">
        <v>514</v>
      </c>
      <c r="G271" s="306" t="n">
        <v>24</v>
      </c>
      <c r="H271" s="325" t="n">
        <v>420.661157024793</v>
      </c>
      <c r="I271" s="473"/>
      <c r="J271" s="313" t="n">
        <v>0</v>
      </c>
      <c r="K271" s="627" t="n">
        <v>13.9583333333333</v>
      </c>
      <c r="L271" s="410"/>
      <c r="M271" s="506" t="n">
        <v>0</v>
      </c>
      <c r="N271" s="410"/>
      <c r="O271" s="313" t="n">
        <v>86</v>
      </c>
      <c r="P271" s="474" t="n">
        <v>335</v>
      </c>
      <c r="Q271" s="377"/>
      <c r="R271" s="410"/>
      <c r="V271" s="517"/>
      <c r="W271" s="630"/>
      <c r="X271" s="630"/>
    </row>
    <row r="272" customFormat="false" ht="12.75" hidden="false" customHeight="false" outlineLevel="0" collapsed="false">
      <c r="A272" s="626"/>
      <c r="B272" s="305" t="s">
        <v>428</v>
      </c>
      <c r="C272" s="305" t="s">
        <v>531</v>
      </c>
      <c r="D272" s="306" t="n">
        <v>421</v>
      </c>
      <c r="E272" s="306" t="n">
        <v>0</v>
      </c>
      <c r="F272" s="305" t="s">
        <v>514</v>
      </c>
      <c r="G272" s="306" t="n">
        <v>48</v>
      </c>
      <c r="H272" s="325" t="n">
        <v>420.661157024793</v>
      </c>
      <c r="I272" s="473"/>
      <c r="J272" s="313" t="n">
        <v>0</v>
      </c>
      <c r="K272" s="627" t="n">
        <v>6.97916666666667</v>
      </c>
      <c r="L272" s="410"/>
      <c r="M272" s="506" t="n">
        <v>0</v>
      </c>
      <c r="N272" s="410"/>
      <c r="O272" s="313" t="n">
        <v>86</v>
      </c>
      <c r="P272" s="474" t="n">
        <v>335</v>
      </c>
      <c r="Q272" s="377"/>
      <c r="R272" s="410"/>
      <c r="V272" s="517"/>
      <c r="W272" s="630"/>
      <c r="X272" s="630"/>
    </row>
    <row r="273" customFormat="false" ht="12.75" hidden="false" customHeight="false" outlineLevel="0" collapsed="false">
      <c r="A273" s="626"/>
      <c r="B273" s="305" t="s">
        <v>428</v>
      </c>
      <c r="C273" s="305" t="s">
        <v>532</v>
      </c>
      <c r="D273" s="306" t="n">
        <v>467</v>
      </c>
      <c r="E273" s="306" t="n">
        <v>0</v>
      </c>
      <c r="F273" s="305" t="s">
        <v>514</v>
      </c>
      <c r="G273" s="306" t="n">
        <v>24</v>
      </c>
      <c r="H273" s="325" t="n">
        <v>453.719008264463</v>
      </c>
      <c r="I273" s="473"/>
      <c r="J273" s="313" t="n">
        <v>0</v>
      </c>
      <c r="K273" s="627" t="n">
        <v>14.9916666666667</v>
      </c>
      <c r="L273" s="410"/>
      <c r="M273" s="506" t="n">
        <v>13</v>
      </c>
      <c r="N273" s="410"/>
      <c r="O273" s="313" t="n">
        <v>107</v>
      </c>
      <c r="P273" s="474" t="n">
        <v>359.8</v>
      </c>
      <c r="Q273" s="377"/>
      <c r="R273" s="410"/>
      <c r="V273" s="517"/>
      <c r="W273" s="630"/>
      <c r="X273" s="630"/>
    </row>
    <row r="274" customFormat="false" ht="12.75" hidden="false" customHeight="false" outlineLevel="0" collapsed="false">
      <c r="A274" s="626"/>
      <c r="B274" s="305" t="s">
        <v>428</v>
      </c>
      <c r="C274" s="506" t="s">
        <v>532</v>
      </c>
      <c r="D274" s="306" t="n">
        <v>467</v>
      </c>
      <c r="E274" s="306" t="n">
        <v>0</v>
      </c>
      <c r="F274" s="305" t="s">
        <v>514</v>
      </c>
      <c r="G274" s="306" t="n">
        <v>48</v>
      </c>
      <c r="H274" s="325" t="n">
        <v>453.719008264463</v>
      </c>
      <c r="I274" s="473"/>
      <c r="J274" s="313" t="n">
        <v>0</v>
      </c>
      <c r="K274" s="627" t="n">
        <v>7.49583333333333</v>
      </c>
      <c r="L274" s="410"/>
      <c r="M274" s="506" t="n">
        <v>13</v>
      </c>
      <c r="N274" s="410"/>
      <c r="O274" s="313" t="n">
        <v>107</v>
      </c>
      <c r="P274" s="474" t="n">
        <v>359.8</v>
      </c>
      <c r="Q274" s="377"/>
      <c r="R274" s="410"/>
      <c r="V274" s="517"/>
    </row>
    <row r="275" customFormat="false" ht="12.75" hidden="false" customHeight="false" outlineLevel="0" collapsed="false">
      <c r="A275" s="626"/>
      <c r="B275" s="305" t="s">
        <v>428</v>
      </c>
      <c r="C275" s="305" t="s">
        <v>533</v>
      </c>
      <c r="D275" s="306" t="n">
        <v>567</v>
      </c>
      <c r="E275" s="306" t="n">
        <v>0</v>
      </c>
      <c r="F275" s="305" t="s">
        <v>514</v>
      </c>
      <c r="G275" s="306" t="n">
        <v>24</v>
      </c>
      <c r="H275" s="325" t="n">
        <v>536.363636363636</v>
      </c>
      <c r="I275" s="473"/>
      <c r="J275" s="313" t="n">
        <v>0</v>
      </c>
      <c r="K275" s="627" t="n">
        <v>16.6583333333333</v>
      </c>
      <c r="L275" s="410"/>
      <c r="M275" s="506" t="n">
        <v>31</v>
      </c>
      <c r="N275" s="410"/>
      <c r="O275" s="313" t="n">
        <v>167</v>
      </c>
      <c r="P275" s="474" t="n">
        <v>399.8</v>
      </c>
      <c r="Q275" s="377"/>
      <c r="R275" s="410"/>
      <c r="V275" s="517"/>
    </row>
    <row r="276" customFormat="false" ht="12.75" hidden="false" customHeight="false" outlineLevel="0" collapsed="false">
      <c r="A276" s="626"/>
      <c r="B276" s="305" t="s">
        <v>428</v>
      </c>
      <c r="C276" s="305" t="s">
        <v>533</v>
      </c>
      <c r="D276" s="306" t="n">
        <v>567</v>
      </c>
      <c r="E276" s="306" t="n">
        <v>0</v>
      </c>
      <c r="F276" s="305" t="s">
        <v>514</v>
      </c>
      <c r="G276" s="306" t="n">
        <v>48</v>
      </c>
      <c r="H276" s="325" t="n">
        <v>536.363636363636</v>
      </c>
      <c r="I276" s="473"/>
      <c r="J276" s="313" t="n">
        <v>0</v>
      </c>
      <c r="K276" s="627" t="n">
        <v>8.32916666666667</v>
      </c>
      <c r="L276" s="410"/>
      <c r="M276" s="506" t="n">
        <v>31</v>
      </c>
      <c r="N276" s="410"/>
      <c r="O276" s="313" t="n">
        <v>167</v>
      </c>
      <c r="P276" s="474" t="n">
        <v>399.8</v>
      </c>
      <c r="Q276" s="377"/>
      <c r="R276" s="410"/>
      <c r="V276" s="517"/>
      <c r="W276" s="630"/>
      <c r="X276" s="630"/>
    </row>
    <row r="277" customFormat="false" ht="12.75" hidden="false" customHeight="false" outlineLevel="0" collapsed="false">
      <c r="A277" s="626"/>
      <c r="B277" s="305" t="s">
        <v>497</v>
      </c>
      <c r="C277" s="506" t="s">
        <v>535</v>
      </c>
      <c r="D277" s="306" t="n">
        <v>298</v>
      </c>
      <c r="E277" s="306" t="n">
        <v>0</v>
      </c>
      <c r="F277" s="305" t="s">
        <v>514</v>
      </c>
      <c r="G277" s="306" t="n">
        <v>24</v>
      </c>
      <c r="H277" s="325" t="n">
        <v>247.107438016529</v>
      </c>
      <c r="I277" s="473"/>
      <c r="J277" s="313" t="n">
        <v>0</v>
      </c>
      <c r="K277" s="627" t="n">
        <v>8.64166666666667</v>
      </c>
      <c r="L277" s="410"/>
      <c r="M277" s="506" t="n">
        <v>51</v>
      </c>
      <c r="N277" s="410"/>
      <c r="O277" s="313" t="n">
        <v>91</v>
      </c>
      <c r="P277" s="474" t="n">
        <v>207.4</v>
      </c>
      <c r="Q277" s="377"/>
      <c r="R277" s="410"/>
      <c r="V277" s="517"/>
    </row>
    <row r="278" customFormat="false" ht="12.75" hidden="false" customHeight="false" outlineLevel="0" collapsed="false">
      <c r="A278" s="626"/>
      <c r="B278" s="305" t="s">
        <v>497</v>
      </c>
      <c r="C278" s="506" t="s">
        <v>535</v>
      </c>
      <c r="D278" s="306" t="n">
        <v>298</v>
      </c>
      <c r="E278" s="306" t="n">
        <v>0</v>
      </c>
      <c r="F278" s="305" t="s">
        <v>514</v>
      </c>
      <c r="G278" s="306" t="n">
        <v>48</v>
      </c>
      <c r="H278" s="325" t="n">
        <v>247.107438016529</v>
      </c>
      <c r="I278" s="473"/>
      <c r="J278" s="313" t="n">
        <v>0</v>
      </c>
      <c r="K278" s="627" t="n">
        <v>4.32083333333333</v>
      </c>
      <c r="L278" s="410"/>
      <c r="M278" s="506" t="n">
        <v>51</v>
      </c>
      <c r="N278" s="410"/>
      <c r="O278" s="313" t="n">
        <v>91</v>
      </c>
      <c r="P278" s="474" t="n">
        <v>207.4</v>
      </c>
      <c r="Q278" s="377"/>
      <c r="R278" s="410"/>
      <c r="V278" s="517"/>
    </row>
    <row r="279" customFormat="false" ht="12.75" hidden="false" customHeight="false" outlineLevel="0" collapsed="false">
      <c r="A279" s="626"/>
      <c r="B279" s="305" t="s">
        <v>497</v>
      </c>
      <c r="C279" s="506" t="s">
        <v>536</v>
      </c>
      <c r="D279" s="306" t="n">
        <v>445</v>
      </c>
      <c r="E279" s="306" t="n">
        <v>0</v>
      </c>
      <c r="F279" s="305" t="s">
        <v>514</v>
      </c>
      <c r="G279" s="306" t="n">
        <v>24</v>
      </c>
      <c r="H279" s="325" t="n">
        <v>409.917355371901</v>
      </c>
      <c r="I279" s="473"/>
      <c r="J279" s="313" t="n">
        <v>0</v>
      </c>
      <c r="K279" s="627" t="n">
        <v>13.4904166666667</v>
      </c>
      <c r="L279" s="410"/>
      <c r="M279" s="506" t="n">
        <v>35</v>
      </c>
      <c r="N279" s="410"/>
      <c r="O279" s="313" t="n">
        <v>121</v>
      </c>
      <c r="P279" s="474" t="n">
        <v>323.77</v>
      </c>
      <c r="Q279" s="377"/>
      <c r="R279" s="410"/>
      <c r="V279" s="517"/>
    </row>
    <row r="280" customFormat="false" ht="12.75" hidden="false" customHeight="false" outlineLevel="0" collapsed="false">
      <c r="A280" s="626"/>
      <c r="B280" s="305" t="s">
        <v>497</v>
      </c>
      <c r="C280" s="506" t="s">
        <v>536</v>
      </c>
      <c r="D280" s="306" t="n">
        <v>445</v>
      </c>
      <c r="E280" s="306" t="n">
        <v>0</v>
      </c>
      <c r="F280" s="305" t="s">
        <v>514</v>
      </c>
      <c r="G280" s="306" t="n">
        <v>48</v>
      </c>
      <c r="H280" s="325" t="n">
        <v>409.917355371901</v>
      </c>
      <c r="I280" s="473"/>
      <c r="J280" s="313" t="n">
        <v>0</v>
      </c>
      <c r="K280" s="627" t="n">
        <v>6.74520833333333</v>
      </c>
      <c r="L280" s="410"/>
      <c r="M280" s="506" t="n">
        <v>35</v>
      </c>
      <c r="N280" s="410"/>
      <c r="O280" s="313" t="n">
        <v>121</v>
      </c>
      <c r="P280" s="474" t="n">
        <v>323.77</v>
      </c>
      <c r="Q280" s="377"/>
      <c r="R280" s="410"/>
      <c r="V280" s="517"/>
    </row>
    <row r="281" customFormat="false" ht="12.75" hidden="false" customHeight="false" outlineLevel="0" collapsed="false">
      <c r="A281" s="626"/>
      <c r="B281" s="305" t="s">
        <v>497</v>
      </c>
      <c r="C281" s="631" t="s">
        <v>537</v>
      </c>
      <c r="D281" s="306" t="n">
        <v>577</v>
      </c>
      <c r="E281" s="306" t="n">
        <v>0</v>
      </c>
      <c r="F281" s="305" t="s">
        <v>514</v>
      </c>
      <c r="G281" s="306" t="n">
        <v>24</v>
      </c>
      <c r="H281" s="325" t="n">
        <v>516.528925619835</v>
      </c>
      <c r="I281" s="473"/>
      <c r="J281" s="313" t="n">
        <v>0</v>
      </c>
      <c r="K281" s="627" t="n">
        <v>17.0975</v>
      </c>
      <c r="L281" s="410"/>
      <c r="M281" s="506" t="n">
        <v>60</v>
      </c>
      <c r="N281" s="410"/>
      <c r="O281" s="313" t="n">
        <v>167</v>
      </c>
      <c r="P281" s="474" t="n">
        <v>410.34</v>
      </c>
      <c r="Q281" s="377"/>
      <c r="R281" s="410"/>
      <c r="V281" s="517"/>
    </row>
    <row r="282" customFormat="false" ht="12.75" hidden="false" customHeight="false" outlineLevel="0" collapsed="false">
      <c r="A282" s="626"/>
      <c r="B282" s="305" t="s">
        <v>497</v>
      </c>
      <c r="C282" s="305" t="s">
        <v>537</v>
      </c>
      <c r="D282" s="306" t="n">
        <v>577</v>
      </c>
      <c r="E282" s="306" t="n">
        <v>0</v>
      </c>
      <c r="F282" s="305" t="s">
        <v>514</v>
      </c>
      <c r="G282" s="306" t="n">
        <v>48</v>
      </c>
      <c r="H282" s="325" t="n">
        <v>516.528925619835</v>
      </c>
      <c r="I282" s="473"/>
      <c r="J282" s="313" t="n">
        <v>0</v>
      </c>
      <c r="K282" s="627" t="n">
        <v>8.54875</v>
      </c>
      <c r="L282" s="410"/>
      <c r="M282" s="506" t="n">
        <v>60</v>
      </c>
      <c r="N282" s="410"/>
      <c r="O282" s="313" t="n">
        <v>167</v>
      </c>
      <c r="P282" s="474" t="n">
        <v>410.34</v>
      </c>
      <c r="Q282" s="377"/>
      <c r="R282" s="410"/>
      <c r="V282" s="517"/>
    </row>
    <row r="283" customFormat="false" ht="12.75" hidden="false" customHeight="false" outlineLevel="0" collapsed="false">
      <c r="A283" s="626"/>
      <c r="B283" s="305" t="s">
        <v>497</v>
      </c>
      <c r="C283" s="305" t="s">
        <v>538</v>
      </c>
      <c r="D283" s="306" t="n">
        <v>165</v>
      </c>
      <c r="E283" s="306" t="n">
        <v>0</v>
      </c>
      <c r="F283" s="305" t="s">
        <v>514</v>
      </c>
      <c r="G283" s="306" t="n">
        <v>24</v>
      </c>
      <c r="H283" s="325" t="n">
        <v>158.677685950413</v>
      </c>
      <c r="I283" s="473"/>
      <c r="J283" s="313" t="n">
        <v>0</v>
      </c>
      <c r="K283" s="627" t="n">
        <v>4.9875</v>
      </c>
      <c r="L283" s="410"/>
      <c r="M283" s="506" t="n">
        <v>6</v>
      </c>
      <c r="N283" s="410"/>
      <c r="O283" s="313" t="n">
        <v>45</v>
      </c>
      <c r="P283" s="474" t="n">
        <v>119.7</v>
      </c>
      <c r="Q283" s="377"/>
      <c r="R283" s="410"/>
      <c r="V283" s="517"/>
    </row>
    <row r="284" customFormat="false" ht="12.75" hidden="false" customHeight="false" outlineLevel="0" collapsed="false">
      <c r="A284" s="626"/>
      <c r="B284" s="305" t="s">
        <v>190</v>
      </c>
      <c r="C284" s="327" t="s">
        <v>524</v>
      </c>
      <c r="D284" s="306" t="n">
        <v>1735</v>
      </c>
      <c r="E284" s="306" t="n">
        <v>0</v>
      </c>
      <c r="F284" s="305" t="s">
        <v>514</v>
      </c>
      <c r="G284" s="306" t="n">
        <v>24</v>
      </c>
      <c r="H284" s="325" t="n">
        <v>1734.71074380165</v>
      </c>
      <c r="I284" s="473"/>
      <c r="J284" s="313" t="n">
        <v>39</v>
      </c>
      <c r="K284" s="627" t="n">
        <v>38.9916666666667</v>
      </c>
      <c r="L284" s="410"/>
      <c r="M284" s="506" t="n">
        <v>0</v>
      </c>
      <c r="N284" s="410"/>
      <c r="O284" s="313" t="n">
        <v>760</v>
      </c>
      <c r="P284" s="474" t="n">
        <v>935.8</v>
      </c>
      <c r="Q284" s="377"/>
      <c r="R284" s="410"/>
      <c r="V284" s="517"/>
    </row>
    <row r="285" customFormat="false" ht="12.75" hidden="false" customHeight="false" outlineLevel="0" collapsed="false">
      <c r="A285" s="626"/>
      <c r="B285" s="305" t="s">
        <v>190</v>
      </c>
      <c r="C285" s="334" t="s">
        <v>524</v>
      </c>
      <c r="D285" s="306" t="n">
        <v>1735</v>
      </c>
      <c r="E285" s="306" t="n">
        <v>0</v>
      </c>
      <c r="F285" s="305" t="s">
        <v>514</v>
      </c>
      <c r="G285" s="306" t="n">
        <v>48</v>
      </c>
      <c r="H285" s="325" t="n">
        <v>1734.71074380165</v>
      </c>
      <c r="I285" s="473"/>
      <c r="J285" s="313" t="n">
        <v>39</v>
      </c>
      <c r="K285" s="627" t="n">
        <v>19.4958333333333</v>
      </c>
      <c r="L285" s="410"/>
      <c r="M285" s="506" t="n">
        <v>0</v>
      </c>
      <c r="N285" s="410"/>
      <c r="O285" s="313" t="n">
        <v>760</v>
      </c>
      <c r="P285" s="474" t="n">
        <v>935.8</v>
      </c>
      <c r="Q285" s="377"/>
      <c r="R285" s="410"/>
      <c r="V285" s="517"/>
    </row>
    <row r="286" customFormat="false" ht="12.75" hidden="false" customHeight="false" outlineLevel="0" collapsed="false">
      <c r="A286" s="626"/>
      <c r="B286" s="305" t="s">
        <v>190</v>
      </c>
      <c r="C286" s="334" t="s">
        <v>523</v>
      </c>
      <c r="D286" s="306" t="n">
        <v>2396</v>
      </c>
      <c r="E286" s="306" t="n">
        <v>0</v>
      </c>
      <c r="F286" s="305" t="s">
        <v>514</v>
      </c>
      <c r="G286" s="306" t="n">
        <v>24</v>
      </c>
      <c r="H286" s="325" t="n">
        <v>2395.86776859504</v>
      </c>
      <c r="I286" s="473"/>
      <c r="J286" s="313" t="n">
        <v>49</v>
      </c>
      <c r="K286" s="627" t="n">
        <v>52.1166666666667</v>
      </c>
      <c r="L286" s="410"/>
      <c r="M286" s="506" t="n">
        <v>0</v>
      </c>
      <c r="N286" s="410"/>
      <c r="O286" s="313" t="n">
        <v>1096</v>
      </c>
      <c r="P286" s="474" t="n">
        <v>1250.8</v>
      </c>
      <c r="Q286" s="377"/>
      <c r="R286" s="410"/>
      <c r="V286" s="517"/>
    </row>
    <row r="287" customFormat="false" ht="12.75" hidden="false" customHeight="false" outlineLevel="0" collapsed="false">
      <c r="A287" s="626"/>
      <c r="B287" s="305" t="s">
        <v>190</v>
      </c>
      <c r="C287" s="334" t="s">
        <v>523</v>
      </c>
      <c r="D287" s="306" t="n">
        <v>2396</v>
      </c>
      <c r="E287" s="306" t="n">
        <v>0</v>
      </c>
      <c r="F287" s="305" t="s">
        <v>514</v>
      </c>
      <c r="G287" s="306" t="n">
        <v>48</v>
      </c>
      <c r="H287" s="325" t="n">
        <v>2395.86776859504</v>
      </c>
      <c r="I287" s="473"/>
      <c r="J287" s="313" t="n">
        <v>49</v>
      </c>
      <c r="K287" s="627" t="n">
        <v>26.0583333333333</v>
      </c>
      <c r="L287" s="410"/>
      <c r="M287" s="506" t="n">
        <v>0</v>
      </c>
      <c r="N287" s="410"/>
      <c r="O287" s="313" t="n">
        <v>1096</v>
      </c>
      <c r="P287" s="474" t="n">
        <v>1250.8</v>
      </c>
      <c r="Q287" s="377"/>
      <c r="R287" s="410"/>
      <c r="V287" s="517"/>
    </row>
    <row r="288" customFormat="false" ht="12.75" hidden="false" customHeight="false" outlineLevel="0" collapsed="false">
      <c r="A288" s="626"/>
      <c r="B288" s="305" t="s">
        <v>190</v>
      </c>
      <c r="C288" s="334" t="s">
        <v>522</v>
      </c>
      <c r="D288" s="306" t="n">
        <v>1239</v>
      </c>
      <c r="E288" s="306" t="n">
        <v>0</v>
      </c>
      <c r="F288" s="305" t="s">
        <v>514</v>
      </c>
      <c r="G288" s="306" t="n">
        <v>24</v>
      </c>
      <c r="H288" s="325" t="n">
        <v>1238.84297520661</v>
      </c>
      <c r="I288" s="473"/>
      <c r="J288" s="313" t="n">
        <v>39</v>
      </c>
      <c r="K288" s="627" t="n">
        <v>29.7854166666667</v>
      </c>
      <c r="L288" s="410"/>
      <c r="M288" s="506" t="n">
        <v>0</v>
      </c>
      <c r="N288" s="410"/>
      <c r="O288" s="313" t="n">
        <v>485</v>
      </c>
      <c r="P288" s="474" t="n">
        <v>714.85</v>
      </c>
      <c r="Q288" s="377"/>
      <c r="R288" s="410"/>
      <c r="V288" s="517"/>
    </row>
    <row r="289" customFormat="false" ht="12.75" hidden="false" customHeight="false" outlineLevel="0" collapsed="false">
      <c r="A289" s="626"/>
      <c r="B289" s="305" t="s">
        <v>190</v>
      </c>
      <c r="C289" s="334" t="s">
        <v>522</v>
      </c>
      <c r="D289" s="306" t="n">
        <v>1239</v>
      </c>
      <c r="E289" s="306" t="n">
        <v>0</v>
      </c>
      <c r="F289" s="305" t="s">
        <v>514</v>
      </c>
      <c r="G289" s="306" t="n">
        <v>48</v>
      </c>
      <c r="H289" s="325" t="n">
        <v>1238.84297520661</v>
      </c>
      <c r="I289" s="473"/>
      <c r="J289" s="313" t="n">
        <v>39</v>
      </c>
      <c r="K289" s="627" t="n">
        <v>14.8927083333333</v>
      </c>
      <c r="L289" s="410"/>
      <c r="M289" s="506" t="n">
        <v>0</v>
      </c>
      <c r="N289" s="410"/>
      <c r="O289" s="313" t="n">
        <v>485</v>
      </c>
      <c r="P289" s="474" t="n">
        <v>714.85</v>
      </c>
      <c r="Q289" s="377"/>
      <c r="R289" s="410"/>
      <c r="V289" s="517"/>
    </row>
    <row r="290" customFormat="false" ht="12.75" hidden="false" customHeight="false" outlineLevel="0" collapsed="false">
      <c r="A290" s="626"/>
      <c r="B290" s="305" t="s">
        <v>428</v>
      </c>
      <c r="C290" s="334" t="s">
        <v>534</v>
      </c>
      <c r="D290" s="306" t="n">
        <v>876</v>
      </c>
      <c r="E290" s="306" t="n">
        <v>0</v>
      </c>
      <c r="F290" s="305" t="s">
        <v>514</v>
      </c>
      <c r="G290" s="306" t="n">
        <v>24</v>
      </c>
      <c r="H290" s="325" t="n">
        <v>875.206611570248</v>
      </c>
      <c r="I290" s="473"/>
      <c r="J290" s="313" t="n">
        <v>29</v>
      </c>
      <c r="K290" s="627" t="n">
        <v>26.9520833333333</v>
      </c>
      <c r="L290" s="410"/>
      <c r="M290" s="506" t="n">
        <v>1</v>
      </c>
      <c r="N290" s="410"/>
      <c r="O290" s="313" t="n">
        <v>200</v>
      </c>
      <c r="P290" s="474" t="n">
        <v>646.85</v>
      </c>
      <c r="Q290" s="377"/>
      <c r="R290" s="410"/>
      <c r="V290" s="517"/>
    </row>
    <row r="291" customFormat="false" ht="12.75" hidden="false" customHeight="false" outlineLevel="0" collapsed="false">
      <c r="A291" s="626"/>
      <c r="B291" s="305" t="s">
        <v>428</v>
      </c>
      <c r="C291" s="334" t="s">
        <v>534</v>
      </c>
      <c r="D291" s="306" t="n">
        <v>876</v>
      </c>
      <c r="E291" s="306" t="n">
        <v>0</v>
      </c>
      <c r="F291" s="305" t="s">
        <v>514</v>
      </c>
      <c r="G291" s="306" t="n">
        <v>48</v>
      </c>
      <c r="H291" s="325" t="n">
        <v>875.206611570248</v>
      </c>
      <c r="I291" s="473"/>
      <c r="J291" s="313" t="n">
        <v>29</v>
      </c>
      <c r="K291" s="627" t="n">
        <v>13.4760416666667</v>
      </c>
      <c r="L291" s="410"/>
      <c r="M291" s="506" t="n">
        <v>1</v>
      </c>
      <c r="N291" s="410"/>
      <c r="O291" s="313" t="n">
        <v>200</v>
      </c>
      <c r="P291" s="474" t="n">
        <v>646.85</v>
      </c>
      <c r="Q291" s="377"/>
      <c r="R291" s="410"/>
      <c r="V291" s="517"/>
    </row>
    <row r="292" customFormat="false" ht="12.75" hidden="false" customHeight="false" outlineLevel="0" collapsed="false">
      <c r="A292" s="626"/>
      <c r="B292" s="305" t="s">
        <v>497</v>
      </c>
      <c r="C292" s="334" t="s">
        <v>539</v>
      </c>
      <c r="D292" s="306" t="n">
        <v>981</v>
      </c>
      <c r="E292" s="306" t="n">
        <v>0</v>
      </c>
      <c r="F292" s="305" t="s">
        <v>514</v>
      </c>
      <c r="G292" s="306" t="n">
        <v>24</v>
      </c>
      <c r="H292" s="325" t="n">
        <v>980.165289256198</v>
      </c>
      <c r="I292" s="473"/>
      <c r="J292" s="313" t="n">
        <v>39</v>
      </c>
      <c r="K292" s="627" t="n">
        <v>32.5795833333333</v>
      </c>
      <c r="L292" s="410"/>
      <c r="M292" s="506" t="n">
        <v>1</v>
      </c>
      <c r="N292" s="410"/>
      <c r="O292" s="313" t="n">
        <v>160</v>
      </c>
      <c r="P292" s="474" t="n">
        <v>781.91</v>
      </c>
      <c r="Q292" s="377"/>
      <c r="R292" s="410"/>
      <c r="V292" s="517"/>
    </row>
    <row r="293" customFormat="false" ht="12.75" hidden="false" customHeight="false" outlineLevel="0" collapsed="false">
      <c r="A293" s="626"/>
      <c r="B293" s="305" t="s">
        <v>497</v>
      </c>
      <c r="C293" s="334" t="s">
        <v>539</v>
      </c>
      <c r="D293" s="306" t="n">
        <v>981</v>
      </c>
      <c r="E293" s="306" t="n">
        <v>0</v>
      </c>
      <c r="F293" s="305" t="s">
        <v>514</v>
      </c>
      <c r="G293" s="306" t="n">
        <v>48</v>
      </c>
      <c r="H293" s="325" t="n">
        <v>980.165289256198</v>
      </c>
      <c r="I293" s="473"/>
      <c r="J293" s="313" t="n">
        <v>39</v>
      </c>
      <c r="K293" s="627" t="n">
        <v>16.2897916666667</v>
      </c>
      <c r="L293" s="410"/>
      <c r="M293" s="506" t="n">
        <v>1</v>
      </c>
      <c r="N293" s="410"/>
      <c r="O293" s="313" t="n">
        <v>160</v>
      </c>
      <c r="P293" s="474" t="n">
        <v>781.91</v>
      </c>
      <c r="Q293" s="377"/>
      <c r="R293" s="410"/>
      <c r="V293" s="517"/>
    </row>
    <row r="294" customFormat="false" ht="12.75" hidden="false" customHeight="false" outlineLevel="0" collapsed="false">
      <c r="A294" s="626"/>
      <c r="B294" s="305" t="s">
        <v>219</v>
      </c>
      <c r="C294" s="631" t="s">
        <v>742</v>
      </c>
      <c r="D294" s="306" t="n">
        <v>74</v>
      </c>
      <c r="E294" s="306" t="n">
        <v>1.1</v>
      </c>
      <c r="F294" s="305" t="s">
        <v>743</v>
      </c>
      <c r="G294" s="306" t="n">
        <v>24</v>
      </c>
      <c r="H294" s="325" t="n">
        <v>68.5950413223141</v>
      </c>
      <c r="I294" s="473"/>
      <c r="J294" s="313" t="n">
        <v>0</v>
      </c>
      <c r="K294" s="627" t="n">
        <v>2.30833333333333</v>
      </c>
      <c r="L294" s="410"/>
      <c r="M294" s="506" t="n">
        <v>5</v>
      </c>
      <c r="N294" s="410"/>
      <c r="O294" s="313" t="n">
        <v>19</v>
      </c>
      <c r="P294" s="474" t="n">
        <v>55.4</v>
      </c>
      <c r="Q294" s="377"/>
      <c r="R294" s="410"/>
      <c r="V294" s="517"/>
    </row>
    <row r="295" customFormat="false" ht="12.75" hidden="false" customHeight="false" outlineLevel="0" collapsed="false">
      <c r="A295" s="626"/>
      <c r="B295" s="305" t="s">
        <v>219</v>
      </c>
      <c r="C295" s="631" t="s">
        <v>744</v>
      </c>
      <c r="D295" s="306" t="n">
        <v>74</v>
      </c>
      <c r="E295" s="306" t="n">
        <v>1.1</v>
      </c>
      <c r="F295" s="305" t="s">
        <v>743</v>
      </c>
      <c r="G295" s="306" t="n">
        <v>24</v>
      </c>
      <c r="H295" s="325" t="n">
        <v>74.3801652892562</v>
      </c>
      <c r="I295" s="473"/>
      <c r="J295" s="313" t="n">
        <v>0</v>
      </c>
      <c r="K295" s="627" t="n">
        <v>2.3175</v>
      </c>
      <c r="L295" s="410"/>
      <c r="M295" s="506" t="n">
        <v>0</v>
      </c>
      <c r="N295" s="410"/>
      <c r="O295" s="313" t="n">
        <v>18</v>
      </c>
      <c r="P295" s="474" t="n">
        <v>55.62</v>
      </c>
      <c r="Q295" s="377"/>
      <c r="R295" s="410"/>
      <c r="V295" s="517"/>
    </row>
    <row r="296" customFormat="false" ht="12.75" hidden="false" customHeight="false" outlineLevel="0" collapsed="false">
      <c r="A296" s="626"/>
      <c r="B296" s="305" t="s">
        <v>752</v>
      </c>
      <c r="C296" s="631" t="s">
        <v>753</v>
      </c>
      <c r="D296" s="306" t="n">
        <v>547</v>
      </c>
      <c r="E296" s="306" t="n">
        <v>0</v>
      </c>
      <c r="F296" s="305" t="s">
        <v>643</v>
      </c>
      <c r="G296" s="306" t="n">
        <v>24</v>
      </c>
      <c r="H296" s="325" t="n">
        <v>547.107438016529</v>
      </c>
      <c r="I296" s="473"/>
      <c r="J296" s="313" t="n">
        <v>0</v>
      </c>
      <c r="K296" s="627" t="n">
        <v>18.3333333333333</v>
      </c>
      <c r="L296" s="410"/>
      <c r="M296" s="506" t="n">
        <v>0</v>
      </c>
      <c r="N296" s="410"/>
      <c r="O296" s="313" t="n">
        <v>107</v>
      </c>
      <c r="P296" s="474" t="n">
        <v>440</v>
      </c>
      <c r="Q296" s="377"/>
      <c r="R296" s="410"/>
      <c r="V296" s="517"/>
    </row>
    <row r="297" customFormat="false" ht="12.75" hidden="false" customHeight="false" outlineLevel="0" collapsed="false">
      <c r="A297" s="626"/>
      <c r="B297" s="305" t="s">
        <v>277</v>
      </c>
      <c r="C297" s="305" t="s">
        <v>750</v>
      </c>
      <c r="D297" s="306" t="n">
        <v>44</v>
      </c>
      <c r="E297" s="306" t="n">
        <v>0</v>
      </c>
      <c r="F297" s="305" t="s">
        <v>603</v>
      </c>
      <c r="G297" s="306" t="n">
        <v>24</v>
      </c>
      <c r="H297" s="325" t="n">
        <v>43.801652892562</v>
      </c>
      <c r="I297" s="473"/>
      <c r="J297" s="313" t="n">
        <v>0</v>
      </c>
      <c r="K297" s="628" t="n">
        <v>0</v>
      </c>
      <c r="L297" s="410"/>
      <c r="M297" s="506" t="n">
        <v>0</v>
      </c>
      <c r="N297" s="410"/>
      <c r="O297" s="313" t="n">
        <v>44</v>
      </c>
      <c r="P297" s="474" t="n">
        <v>0</v>
      </c>
      <c r="Q297" s="377"/>
      <c r="R297" s="410"/>
      <c r="V297" s="517"/>
    </row>
    <row r="298" customFormat="false" ht="12.75" hidden="false" customHeight="false" outlineLevel="0" collapsed="false">
      <c r="A298" s="626"/>
      <c r="B298" s="305" t="s">
        <v>277</v>
      </c>
      <c r="C298" s="305" t="s">
        <v>751</v>
      </c>
      <c r="D298" s="306" t="n">
        <v>77</v>
      </c>
      <c r="E298" s="306" t="n">
        <v>0</v>
      </c>
      <c r="F298" s="305" t="s">
        <v>603</v>
      </c>
      <c r="G298" s="306" t="n">
        <v>24</v>
      </c>
      <c r="H298" s="325" t="n">
        <v>53.7190082644628</v>
      </c>
      <c r="I298" s="473"/>
      <c r="J298" s="313" t="n">
        <v>0</v>
      </c>
      <c r="K298" s="628" t="n">
        <v>0</v>
      </c>
      <c r="L298" s="410"/>
      <c r="M298" s="506" t="n">
        <v>23</v>
      </c>
      <c r="N298" s="410"/>
      <c r="O298" s="313" t="n">
        <v>77</v>
      </c>
      <c r="P298" s="474" t="n">
        <v>0</v>
      </c>
      <c r="Q298" s="377"/>
      <c r="R298" s="410"/>
      <c r="V298" s="517"/>
    </row>
    <row r="299" customFormat="false" ht="12.75" hidden="false" customHeight="false" outlineLevel="0" collapsed="false">
      <c r="A299" s="626"/>
      <c r="B299" s="305" t="s">
        <v>641</v>
      </c>
      <c r="C299" s="305" t="s">
        <v>757</v>
      </c>
      <c r="D299" s="306" t="n">
        <v>441</v>
      </c>
      <c r="E299" s="306" t="n">
        <v>0</v>
      </c>
      <c r="F299" s="305" t="s">
        <v>643</v>
      </c>
      <c r="G299" s="306" t="n">
        <v>24</v>
      </c>
      <c r="H299" s="325" t="n">
        <v>440.495867768595</v>
      </c>
      <c r="I299" s="473"/>
      <c r="J299" s="313" t="n">
        <v>0</v>
      </c>
      <c r="K299" s="627" t="n">
        <v>14.7908333333333</v>
      </c>
      <c r="L299" s="410"/>
      <c r="M299" s="506" t="n">
        <v>1</v>
      </c>
      <c r="N299" s="410"/>
      <c r="O299" s="313" t="n">
        <v>86</v>
      </c>
      <c r="P299" s="474" t="n">
        <v>354.98</v>
      </c>
      <c r="Q299" s="377"/>
      <c r="R299" s="410"/>
      <c r="V299" s="517"/>
    </row>
    <row r="300" customFormat="false" ht="12.75" hidden="false" customHeight="false" outlineLevel="0" collapsed="false">
      <c r="A300" s="626"/>
      <c r="B300" s="305" t="s">
        <v>641</v>
      </c>
      <c r="C300" s="327" t="s">
        <v>758</v>
      </c>
      <c r="D300" s="306" t="n">
        <v>464</v>
      </c>
      <c r="E300" s="306" t="n">
        <v>0</v>
      </c>
      <c r="F300" s="305" t="s">
        <v>643</v>
      </c>
      <c r="G300" s="306" t="n">
        <v>24</v>
      </c>
      <c r="H300" s="325" t="n">
        <v>463.636363636364</v>
      </c>
      <c r="I300" s="473"/>
      <c r="J300" s="313" t="n">
        <v>0</v>
      </c>
      <c r="K300" s="627" t="n">
        <v>15.7308333333333</v>
      </c>
      <c r="L300" s="410"/>
      <c r="M300" s="506" t="n">
        <v>0</v>
      </c>
      <c r="N300" s="410"/>
      <c r="O300" s="313" t="n">
        <v>86</v>
      </c>
      <c r="P300" s="474" t="n">
        <v>377.54</v>
      </c>
      <c r="Q300" s="377"/>
      <c r="R300" s="410"/>
      <c r="V300" s="517"/>
    </row>
    <row r="301" customFormat="false" ht="12.75" hidden="false" customHeight="false" outlineLevel="0" collapsed="false">
      <c r="A301" s="626"/>
      <c r="B301" s="305" t="s">
        <v>641</v>
      </c>
      <c r="C301" s="305" t="s">
        <v>756</v>
      </c>
      <c r="D301" s="306" t="n">
        <v>115</v>
      </c>
      <c r="E301" s="306" t="n">
        <v>5.25</v>
      </c>
      <c r="F301" s="305" t="s">
        <v>643</v>
      </c>
      <c r="G301" s="306" t="n">
        <v>24</v>
      </c>
      <c r="H301" s="325" t="n">
        <v>114.04958677686</v>
      </c>
      <c r="I301" s="473"/>
      <c r="J301" s="313" t="n">
        <v>0</v>
      </c>
      <c r="K301" s="627" t="n">
        <v>3.98416666666667</v>
      </c>
      <c r="L301" s="410"/>
      <c r="M301" s="506" t="n">
        <v>1</v>
      </c>
      <c r="N301" s="410"/>
      <c r="O301" s="313" t="n">
        <v>19</v>
      </c>
      <c r="P301" s="474" t="n">
        <v>95.62</v>
      </c>
      <c r="Q301" s="377"/>
      <c r="R301" s="410"/>
      <c r="V301" s="517"/>
    </row>
    <row r="302" customFormat="false" ht="12.75" hidden="false" customHeight="false" outlineLevel="0" collapsed="false">
      <c r="A302" s="626"/>
      <c r="B302" s="305" t="s">
        <v>641</v>
      </c>
      <c r="C302" s="305" t="s">
        <v>755</v>
      </c>
      <c r="D302" s="306" t="n">
        <v>43</v>
      </c>
      <c r="E302" s="306" t="n">
        <v>0</v>
      </c>
      <c r="F302" s="305" t="s">
        <v>643</v>
      </c>
      <c r="G302" s="306" t="n">
        <v>24</v>
      </c>
      <c r="H302" s="325" t="n">
        <v>42.1487603305785</v>
      </c>
      <c r="I302" s="473"/>
      <c r="J302" s="313" t="n">
        <v>0</v>
      </c>
      <c r="K302" s="627" t="n">
        <v>1.05291666666667</v>
      </c>
      <c r="L302" s="410"/>
      <c r="M302" s="506" t="n">
        <v>1</v>
      </c>
      <c r="N302" s="410"/>
      <c r="O302" s="313" t="n">
        <v>18</v>
      </c>
      <c r="P302" s="474" t="n">
        <v>25.27</v>
      </c>
      <c r="Q302" s="377"/>
      <c r="R302" s="410"/>
      <c r="V302" s="517"/>
    </row>
    <row r="303" customFormat="false" ht="12.75" hidden="false" customHeight="false" outlineLevel="0" collapsed="false">
      <c r="A303" s="626"/>
      <c r="B303" s="305" t="s">
        <v>641</v>
      </c>
      <c r="C303" s="305" t="s">
        <v>759</v>
      </c>
      <c r="D303" s="306" t="n">
        <v>126</v>
      </c>
      <c r="E303" s="306" t="n">
        <v>0</v>
      </c>
      <c r="F303" s="305" t="s">
        <v>643</v>
      </c>
      <c r="G303" s="306" t="n">
        <v>24</v>
      </c>
      <c r="H303" s="325" t="n">
        <v>109.917355371901</v>
      </c>
      <c r="I303" s="473"/>
      <c r="J303" s="313" t="n">
        <v>0</v>
      </c>
      <c r="K303" s="627" t="n">
        <v>3.8125</v>
      </c>
      <c r="L303" s="410"/>
      <c r="M303" s="506" t="n">
        <v>16</v>
      </c>
      <c r="N303" s="410"/>
      <c r="O303" s="313" t="n">
        <v>35</v>
      </c>
      <c r="P303" s="474" t="n">
        <v>91.5</v>
      </c>
      <c r="Q303" s="377"/>
      <c r="R303" s="410"/>
      <c r="V303" s="517"/>
    </row>
    <row r="304" customFormat="false" ht="12.75" hidden="false" customHeight="false" outlineLevel="0" collapsed="false">
      <c r="A304" s="626"/>
      <c r="B304" s="305" t="s">
        <v>641</v>
      </c>
      <c r="C304" s="305" t="s">
        <v>760</v>
      </c>
      <c r="D304" s="306" t="n">
        <v>63</v>
      </c>
      <c r="E304" s="306" t="n">
        <v>0</v>
      </c>
      <c r="F304" s="305" t="s">
        <v>643</v>
      </c>
      <c r="G304" s="306" t="n">
        <v>24</v>
      </c>
      <c r="H304" s="325" t="n">
        <v>62.8099173553719</v>
      </c>
      <c r="I304" s="473"/>
      <c r="J304" s="313" t="n">
        <v>0</v>
      </c>
      <c r="K304" s="627" t="n">
        <v>1.84583333333333</v>
      </c>
      <c r="L304" s="410"/>
      <c r="M304" s="506" t="n">
        <v>0</v>
      </c>
      <c r="N304" s="410"/>
      <c r="O304" s="313" t="n">
        <v>19</v>
      </c>
      <c r="P304" s="474" t="n">
        <v>44.3</v>
      </c>
      <c r="Q304" s="377"/>
      <c r="R304" s="410"/>
      <c r="V304" s="517"/>
    </row>
    <row r="305" customFormat="false" ht="12.75" hidden="false" customHeight="false" outlineLevel="0" collapsed="false">
      <c r="A305" s="626"/>
      <c r="B305" s="305" t="s">
        <v>641</v>
      </c>
      <c r="C305" s="305" t="s">
        <v>754</v>
      </c>
      <c r="D305" s="306" t="n">
        <v>436</v>
      </c>
      <c r="E305" s="306" t="n">
        <v>0</v>
      </c>
      <c r="F305" s="305" t="s">
        <v>643</v>
      </c>
      <c r="G305" s="306" t="n">
        <v>24</v>
      </c>
      <c r="H305" s="325" t="n">
        <v>435.537190082645</v>
      </c>
      <c r="I305" s="473"/>
      <c r="J305" s="313" t="n">
        <v>0</v>
      </c>
      <c r="K305" s="627" t="n">
        <v>14.5833333333333</v>
      </c>
      <c r="L305" s="410"/>
      <c r="M305" s="506" t="n">
        <v>0</v>
      </c>
      <c r="N305" s="410"/>
      <c r="O305" s="313" t="n">
        <v>86</v>
      </c>
      <c r="P305" s="474" t="n">
        <v>350</v>
      </c>
      <c r="Q305" s="377"/>
      <c r="R305" s="410"/>
      <c r="V305" s="517"/>
    </row>
    <row r="306" customFormat="false" ht="12.75" hidden="false" customHeight="false" outlineLevel="0" collapsed="false">
      <c r="A306" s="626"/>
      <c r="B306" s="305" t="s">
        <v>424</v>
      </c>
      <c r="C306" s="305" t="s">
        <v>602</v>
      </c>
      <c r="D306" s="306" t="n">
        <v>71</v>
      </c>
      <c r="E306" s="306" t="n">
        <v>0</v>
      </c>
      <c r="F306" s="305" t="s">
        <v>603</v>
      </c>
      <c r="G306" s="306" t="n">
        <v>24</v>
      </c>
      <c r="H306" s="325" t="n">
        <v>53.7190082644628</v>
      </c>
      <c r="I306" s="473"/>
      <c r="J306" s="313" t="n">
        <v>0</v>
      </c>
      <c r="K306" s="628" t="n">
        <v>0</v>
      </c>
      <c r="L306" s="410"/>
      <c r="M306" s="506" t="n">
        <v>17</v>
      </c>
      <c r="N306" s="410"/>
      <c r="O306" s="313" t="n">
        <v>71</v>
      </c>
      <c r="P306" s="474" t="n">
        <v>0</v>
      </c>
      <c r="Q306" s="377"/>
      <c r="R306" s="410"/>
      <c r="V306" s="517"/>
    </row>
    <row r="307" customFormat="false" ht="12.75" hidden="false" customHeight="false" outlineLevel="0" collapsed="false">
      <c r="A307" s="626"/>
      <c r="B307" s="305" t="s">
        <v>424</v>
      </c>
      <c r="C307" s="305" t="s">
        <v>605</v>
      </c>
      <c r="D307" s="306" t="n">
        <v>49</v>
      </c>
      <c r="E307" s="306" t="n">
        <v>0</v>
      </c>
      <c r="F307" s="305" t="s">
        <v>603</v>
      </c>
      <c r="G307" s="306" t="n">
        <v>24</v>
      </c>
      <c r="H307" s="325" t="n">
        <v>35.5371900826446</v>
      </c>
      <c r="I307" s="473"/>
      <c r="J307" s="313" t="n">
        <v>0</v>
      </c>
      <c r="K307" s="628" t="n">
        <v>0</v>
      </c>
      <c r="L307" s="410"/>
      <c r="M307" s="506" t="n">
        <v>13</v>
      </c>
      <c r="N307" s="410"/>
      <c r="O307" s="313" t="n">
        <v>49</v>
      </c>
      <c r="P307" s="474" t="n">
        <v>0</v>
      </c>
      <c r="Q307" s="377"/>
      <c r="R307" s="410"/>
      <c r="V307" s="517"/>
    </row>
    <row r="308" customFormat="false" ht="12.75" hidden="false" customHeight="false" outlineLevel="0" collapsed="false">
      <c r="A308" s="626"/>
      <c r="B308" s="305" t="s">
        <v>424</v>
      </c>
      <c r="C308" s="305" t="s">
        <v>604</v>
      </c>
      <c r="D308" s="306" t="n">
        <v>68</v>
      </c>
      <c r="E308" s="306" t="n">
        <v>0</v>
      </c>
      <c r="F308" s="305" t="s">
        <v>603</v>
      </c>
      <c r="G308" s="306" t="n">
        <v>24</v>
      </c>
      <c r="H308" s="325" t="n">
        <v>67.7685950413223</v>
      </c>
      <c r="I308" s="473"/>
      <c r="J308" s="313" t="n">
        <v>0</v>
      </c>
      <c r="K308" s="628" t="n">
        <v>0</v>
      </c>
      <c r="L308" s="410"/>
      <c r="M308" s="506" t="n">
        <v>0</v>
      </c>
      <c r="N308" s="410"/>
      <c r="O308" s="313" t="n">
        <v>68</v>
      </c>
      <c r="P308" s="474" t="n">
        <v>0</v>
      </c>
      <c r="Q308" s="377"/>
      <c r="R308" s="410"/>
      <c r="V308" s="517"/>
    </row>
    <row r="309" customFormat="false" ht="12.75" hidden="false" customHeight="false" outlineLevel="0" collapsed="false">
      <c r="A309" s="626"/>
      <c r="B309" s="305" t="s">
        <v>216</v>
      </c>
      <c r="C309" s="305" t="s">
        <v>569</v>
      </c>
      <c r="D309" s="306" t="n">
        <v>412</v>
      </c>
      <c r="E309" s="306" t="n">
        <v>0</v>
      </c>
      <c r="F309" s="305" t="s">
        <v>568</v>
      </c>
      <c r="G309" s="306" t="n">
        <v>24</v>
      </c>
      <c r="H309" s="325" t="n">
        <v>361.98347107438</v>
      </c>
      <c r="I309" s="473"/>
      <c r="J309" s="313" t="n">
        <v>0</v>
      </c>
      <c r="K309" s="627" t="n">
        <v>11.9375</v>
      </c>
      <c r="L309" s="410"/>
      <c r="M309" s="506" t="n">
        <v>50</v>
      </c>
      <c r="N309" s="410"/>
      <c r="O309" s="313" t="n">
        <v>126</v>
      </c>
      <c r="P309" s="474" t="n">
        <v>286.5</v>
      </c>
      <c r="Q309" s="377"/>
      <c r="R309" s="410"/>
      <c r="V309" s="517"/>
    </row>
    <row r="310" customFormat="false" ht="12.75" hidden="false" customHeight="false" outlineLevel="0" collapsed="false">
      <c r="A310" s="626"/>
      <c r="B310" s="305" t="s">
        <v>216</v>
      </c>
      <c r="C310" s="305" t="s">
        <v>569</v>
      </c>
      <c r="D310" s="306" t="n">
        <v>412</v>
      </c>
      <c r="E310" s="306" t="n">
        <v>0</v>
      </c>
      <c r="F310" s="305" t="s">
        <v>568</v>
      </c>
      <c r="G310" s="306" t="n">
        <v>48</v>
      </c>
      <c r="H310" s="325" t="n">
        <v>361.98347107438</v>
      </c>
      <c r="I310" s="473"/>
      <c r="J310" s="313" t="n">
        <v>0</v>
      </c>
      <c r="K310" s="627" t="n">
        <v>5.96875</v>
      </c>
      <c r="L310" s="410"/>
      <c r="M310" s="506" t="n">
        <v>50</v>
      </c>
      <c r="N310" s="410"/>
      <c r="O310" s="313" t="n">
        <v>126</v>
      </c>
      <c r="P310" s="474" t="n">
        <v>286.5</v>
      </c>
      <c r="Q310" s="377"/>
      <c r="R310" s="410"/>
      <c r="V310" s="517"/>
    </row>
    <row r="311" customFormat="false" ht="12.75" hidden="false" customHeight="false" outlineLevel="0" collapsed="false">
      <c r="A311" s="626"/>
      <c r="B311" s="305" t="s">
        <v>216</v>
      </c>
      <c r="C311" s="305" t="s">
        <v>570</v>
      </c>
      <c r="D311" s="306" t="n">
        <v>198</v>
      </c>
      <c r="E311" s="306" t="n">
        <v>0</v>
      </c>
      <c r="F311" s="305" t="s">
        <v>568</v>
      </c>
      <c r="G311" s="306" t="n">
        <v>24</v>
      </c>
      <c r="H311" s="325" t="n">
        <v>212.396694214876</v>
      </c>
      <c r="I311" s="473"/>
      <c r="J311" s="313" t="n">
        <v>0</v>
      </c>
      <c r="K311" s="627" t="n">
        <v>7.22333333333333</v>
      </c>
      <c r="L311" s="410"/>
      <c r="M311" s="506" t="n">
        <v>-14</v>
      </c>
      <c r="N311" s="410"/>
      <c r="O311" s="313" t="n">
        <v>25</v>
      </c>
      <c r="P311" s="474" t="n">
        <v>173.36</v>
      </c>
      <c r="Q311" s="377"/>
      <c r="R311" s="410"/>
      <c r="V311" s="517"/>
    </row>
    <row r="312" customFormat="false" ht="12.75" hidden="false" customHeight="false" outlineLevel="0" collapsed="false">
      <c r="A312" s="626"/>
      <c r="B312" s="305" t="s">
        <v>216</v>
      </c>
      <c r="C312" s="305" t="s">
        <v>570</v>
      </c>
      <c r="D312" s="306" t="n">
        <v>198</v>
      </c>
      <c r="E312" s="306" t="n">
        <v>0</v>
      </c>
      <c r="F312" s="305" t="s">
        <v>568</v>
      </c>
      <c r="G312" s="306" t="n">
        <v>48</v>
      </c>
      <c r="H312" s="325" t="n">
        <v>212.396694214876</v>
      </c>
      <c r="I312" s="473"/>
      <c r="J312" s="313" t="n">
        <v>0</v>
      </c>
      <c r="K312" s="627" t="n">
        <v>3.61166666666667</v>
      </c>
      <c r="L312" s="410"/>
      <c r="M312" s="506" t="n">
        <v>-14</v>
      </c>
      <c r="N312" s="410"/>
      <c r="O312" s="313" t="n">
        <v>25</v>
      </c>
      <c r="P312" s="474" t="n">
        <v>173.36</v>
      </c>
      <c r="Q312" s="377"/>
      <c r="R312" s="410"/>
      <c r="V312" s="517"/>
    </row>
    <row r="313" customFormat="false" ht="12.75" hidden="false" customHeight="false" outlineLevel="0" collapsed="false">
      <c r="A313" s="626"/>
      <c r="B313" s="305" t="s">
        <v>216</v>
      </c>
      <c r="C313" s="305" t="s">
        <v>571</v>
      </c>
      <c r="D313" s="306" t="n">
        <v>358</v>
      </c>
      <c r="E313" s="306" t="n">
        <v>0</v>
      </c>
      <c r="F313" s="305" t="s">
        <v>568</v>
      </c>
      <c r="G313" s="306" t="n">
        <v>24</v>
      </c>
      <c r="H313" s="325" t="n">
        <v>411.570247933884</v>
      </c>
      <c r="I313" s="473"/>
      <c r="J313" s="313" t="n">
        <v>0</v>
      </c>
      <c r="K313" s="627" t="n">
        <v>13.57875</v>
      </c>
      <c r="L313" s="410"/>
      <c r="M313" s="506" t="n">
        <v>-54</v>
      </c>
      <c r="N313" s="410"/>
      <c r="O313" s="313" t="n">
        <v>32</v>
      </c>
      <c r="P313" s="474" t="n">
        <v>325.89</v>
      </c>
      <c r="Q313" s="377"/>
      <c r="R313" s="410"/>
      <c r="V313" s="517"/>
    </row>
    <row r="314" customFormat="false" ht="12.75" hidden="false" customHeight="false" outlineLevel="0" collapsed="false">
      <c r="A314" s="626"/>
      <c r="B314" s="305" t="s">
        <v>216</v>
      </c>
      <c r="C314" s="305" t="s">
        <v>571</v>
      </c>
      <c r="D314" s="306" t="n">
        <v>358</v>
      </c>
      <c r="E314" s="306" t="n">
        <v>0</v>
      </c>
      <c r="F314" s="305" t="s">
        <v>568</v>
      </c>
      <c r="G314" s="306" t="n">
        <v>48</v>
      </c>
      <c r="H314" s="325" t="n">
        <v>411.570247933884</v>
      </c>
      <c r="I314" s="473"/>
      <c r="J314" s="313" t="n">
        <v>0</v>
      </c>
      <c r="K314" s="627" t="n">
        <v>6.789375</v>
      </c>
      <c r="L314" s="410"/>
      <c r="M314" s="506" t="n">
        <v>-54</v>
      </c>
      <c r="N314" s="410"/>
      <c r="O314" s="313" t="n">
        <v>32</v>
      </c>
      <c r="P314" s="474" t="n">
        <v>325.89</v>
      </c>
      <c r="Q314" s="377"/>
      <c r="R314" s="410"/>
      <c r="V314" s="517"/>
    </row>
    <row r="315" customFormat="false" ht="12.75" hidden="false" customHeight="false" outlineLevel="0" collapsed="false">
      <c r="A315" s="626"/>
      <c r="B315" s="305" t="s">
        <v>260</v>
      </c>
      <c r="C315" s="305" t="s">
        <v>572</v>
      </c>
      <c r="D315" s="306" t="n">
        <v>447</v>
      </c>
      <c r="E315" s="306" t="n">
        <v>0</v>
      </c>
      <c r="F315" s="305" t="s">
        <v>568</v>
      </c>
      <c r="G315" s="306" t="n">
        <v>24</v>
      </c>
      <c r="H315" s="325" t="n">
        <v>541.322314049587</v>
      </c>
      <c r="I315" s="473"/>
      <c r="J315" s="313" t="n">
        <v>0</v>
      </c>
      <c r="K315" s="627" t="n">
        <v>18.1329166666667</v>
      </c>
      <c r="L315" s="410"/>
      <c r="M315" s="506" t="n">
        <v>-94</v>
      </c>
      <c r="N315" s="410"/>
      <c r="O315" s="313" t="n">
        <v>12</v>
      </c>
      <c r="P315" s="474" t="n">
        <v>435.19</v>
      </c>
      <c r="Q315" s="377"/>
      <c r="R315" s="410"/>
      <c r="V315" s="517"/>
    </row>
    <row r="316" customFormat="false" ht="12.75" hidden="false" customHeight="false" outlineLevel="0" collapsed="false">
      <c r="A316" s="626"/>
      <c r="B316" s="305" t="s">
        <v>260</v>
      </c>
      <c r="C316" s="305" t="s">
        <v>572</v>
      </c>
      <c r="D316" s="306" t="n">
        <v>447</v>
      </c>
      <c r="E316" s="306" t="n">
        <v>0</v>
      </c>
      <c r="F316" s="305" t="s">
        <v>568</v>
      </c>
      <c r="G316" s="306" t="n">
        <v>48</v>
      </c>
      <c r="H316" s="325" t="n">
        <v>541.322314049587</v>
      </c>
      <c r="I316" s="473"/>
      <c r="J316" s="313" t="n">
        <v>0</v>
      </c>
      <c r="K316" s="627" t="n">
        <v>9.06645833333333</v>
      </c>
      <c r="L316" s="410"/>
      <c r="M316" s="506" t="n">
        <v>-94</v>
      </c>
      <c r="N316" s="410"/>
      <c r="O316" s="313" t="n">
        <v>12</v>
      </c>
      <c r="P316" s="474" t="n">
        <v>435.19</v>
      </c>
      <c r="Q316" s="377"/>
      <c r="R316" s="410"/>
      <c r="V316" s="517"/>
    </row>
    <row r="317" customFormat="false" ht="12.75" hidden="false" customHeight="false" outlineLevel="0" collapsed="false">
      <c r="A317" s="626"/>
      <c r="B317" s="305" t="s">
        <v>260</v>
      </c>
      <c r="C317" s="305" t="s">
        <v>573</v>
      </c>
      <c r="D317" s="306" t="n">
        <v>542</v>
      </c>
      <c r="E317" s="306" t="n">
        <v>0</v>
      </c>
      <c r="F317" s="305" t="s">
        <v>568</v>
      </c>
      <c r="G317" s="306" t="n">
        <v>24</v>
      </c>
      <c r="H317" s="325" t="n">
        <v>541.322314049587</v>
      </c>
      <c r="I317" s="473"/>
      <c r="J317" s="313" t="n">
        <v>0</v>
      </c>
      <c r="K317" s="627" t="n">
        <v>18.1329166666667</v>
      </c>
      <c r="L317" s="410"/>
      <c r="M317" s="506" t="n">
        <v>1</v>
      </c>
      <c r="N317" s="410"/>
      <c r="O317" s="313" t="n">
        <v>107</v>
      </c>
      <c r="P317" s="474" t="n">
        <v>435.19</v>
      </c>
      <c r="Q317" s="377"/>
      <c r="R317" s="410"/>
      <c r="V317" s="517"/>
    </row>
    <row r="318" customFormat="false" ht="12.75" hidden="false" customHeight="false" outlineLevel="0" collapsed="false">
      <c r="A318" s="626"/>
      <c r="B318" s="305" t="s">
        <v>260</v>
      </c>
      <c r="C318" s="305" t="s">
        <v>573</v>
      </c>
      <c r="D318" s="306" t="n">
        <v>542</v>
      </c>
      <c r="E318" s="306" t="n">
        <v>0</v>
      </c>
      <c r="F318" s="305" t="s">
        <v>568</v>
      </c>
      <c r="G318" s="306" t="n">
        <v>48</v>
      </c>
      <c r="H318" s="325" t="n">
        <v>541.322314049587</v>
      </c>
      <c r="I318" s="473"/>
      <c r="J318" s="313" t="n">
        <v>0</v>
      </c>
      <c r="K318" s="627" t="n">
        <v>9.06645833333333</v>
      </c>
      <c r="L318" s="410"/>
      <c r="M318" s="506" t="n">
        <v>1</v>
      </c>
      <c r="N318" s="410"/>
      <c r="O318" s="313" t="n">
        <v>107</v>
      </c>
      <c r="P318" s="474" t="n">
        <v>435.19</v>
      </c>
      <c r="Q318" s="377"/>
      <c r="R318" s="410"/>
      <c r="V318" s="517"/>
    </row>
    <row r="319" customFormat="false" ht="12.75" hidden="false" customHeight="false" outlineLevel="0" collapsed="false">
      <c r="A319" s="626"/>
      <c r="B319" s="305" t="s">
        <v>260</v>
      </c>
      <c r="C319" s="305" t="s">
        <v>574</v>
      </c>
      <c r="D319" s="306" t="n">
        <v>366</v>
      </c>
      <c r="E319" s="306" t="n">
        <v>0</v>
      </c>
      <c r="F319" s="305" t="s">
        <v>568</v>
      </c>
      <c r="G319" s="306" t="n">
        <v>24</v>
      </c>
      <c r="H319" s="325" t="n">
        <v>442.148760330579</v>
      </c>
      <c r="I319" s="473"/>
      <c r="J319" s="313" t="n">
        <v>0</v>
      </c>
      <c r="K319" s="627" t="n">
        <v>14.8370833333333</v>
      </c>
      <c r="L319" s="410"/>
      <c r="M319" s="506" t="n">
        <v>-76</v>
      </c>
      <c r="N319" s="410"/>
      <c r="O319" s="313" t="n">
        <v>10</v>
      </c>
      <c r="P319" s="474" t="n">
        <v>356.09</v>
      </c>
      <c r="Q319" s="377"/>
      <c r="R319" s="410"/>
      <c r="V319" s="517"/>
    </row>
    <row r="320" customFormat="false" ht="12.75" hidden="false" customHeight="false" outlineLevel="0" collapsed="false">
      <c r="A320" s="626"/>
      <c r="B320" s="305" t="s">
        <v>260</v>
      </c>
      <c r="C320" s="305" t="s">
        <v>574</v>
      </c>
      <c r="D320" s="306" t="n">
        <v>366</v>
      </c>
      <c r="E320" s="306" t="n">
        <v>0</v>
      </c>
      <c r="F320" s="305" t="s">
        <v>568</v>
      </c>
      <c r="G320" s="306" t="n">
        <v>48</v>
      </c>
      <c r="H320" s="325" t="n">
        <v>442.148760330579</v>
      </c>
      <c r="I320" s="473"/>
      <c r="J320" s="313" t="n">
        <v>0</v>
      </c>
      <c r="K320" s="627" t="n">
        <v>7.41854166666667</v>
      </c>
      <c r="L320" s="410"/>
      <c r="M320" s="506" t="n">
        <v>-76</v>
      </c>
      <c r="N320" s="410"/>
      <c r="O320" s="313" t="n">
        <v>10</v>
      </c>
      <c r="P320" s="474" t="n">
        <v>356.09</v>
      </c>
      <c r="Q320" s="377"/>
      <c r="R320" s="410"/>
      <c r="W320" s="517"/>
    </row>
    <row r="321" customFormat="false" ht="12.75" hidden="false" customHeight="false" outlineLevel="0" collapsed="false">
      <c r="A321" s="626"/>
      <c r="B321" s="305" t="s">
        <v>260</v>
      </c>
      <c r="C321" s="305" t="s">
        <v>575</v>
      </c>
      <c r="D321" s="306" t="n">
        <v>443</v>
      </c>
      <c r="E321" s="306" t="n">
        <v>0</v>
      </c>
      <c r="F321" s="305" t="s">
        <v>568</v>
      </c>
      <c r="G321" s="306" t="n">
        <v>24</v>
      </c>
      <c r="H321" s="325" t="n">
        <v>442.148760330579</v>
      </c>
      <c r="I321" s="473"/>
      <c r="J321" s="313" t="n">
        <v>0</v>
      </c>
      <c r="K321" s="627" t="n">
        <v>14.8370833333333</v>
      </c>
      <c r="L321" s="410"/>
      <c r="M321" s="506" t="n">
        <v>1</v>
      </c>
      <c r="N321" s="410"/>
      <c r="O321" s="313" t="n">
        <v>87</v>
      </c>
      <c r="P321" s="474" t="n">
        <v>356.09</v>
      </c>
      <c r="Q321" s="377"/>
      <c r="R321" s="410"/>
      <c r="W321" s="517"/>
    </row>
    <row r="322" customFormat="false" ht="12.75" hidden="false" customHeight="false" outlineLevel="0" collapsed="false">
      <c r="A322" s="626"/>
      <c r="B322" s="305" t="s">
        <v>260</v>
      </c>
      <c r="C322" s="305" t="s">
        <v>575</v>
      </c>
      <c r="D322" s="306" t="n">
        <v>443</v>
      </c>
      <c r="E322" s="306" t="n">
        <v>0</v>
      </c>
      <c r="F322" s="305" t="s">
        <v>568</v>
      </c>
      <c r="G322" s="306" t="n">
        <v>48</v>
      </c>
      <c r="H322" s="325" t="n">
        <v>442.148760330579</v>
      </c>
      <c r="I322" s="473"/>
      <c r="J322" s="313" t="n">
        <v>0</v>
      </c>
      <c r="K322" s="627" t="n">
        <v>7.41854166666667</v>
      </c>
      <c r="L322" s="410"/>
      <c r="M322" s="506" t="n">
        <v>1</v>
      </c>
      <c r="N322" s="410"/>
      <c r="O322" s="313" t="n">
        <v>87</v>
      </c>
      <c r="P322" s="474" t="n">
        <v>356.09</v>
      </c>
      <c r="Q322" s="377"/>
      <c r="R322" s="410"/>
      <c r="W322" s="517"/>
    </row>
    <row r="323" customFormat="false" ht="12.75" hidden="false" customHeight="false" outlineLevel="0" collapsed="false">
      <c r="A323" s="626"/>
      <c r="B323" s="305" t="s">
        <v>260</v>
      </c>
      <c r="C323" s="305" t="s">
        <v>576</v>
      </c>
      <c r="D323" s="306" t="n">
        <v>778</v>
      </c>
      <c r="E323" s="306" t="n">
        <v>0</v>
      </c>
      <c r="F323" s="305" t="s">
        <v>568</v>
      </c>
      <c r="G323" s="306" t="n">
        <v>24</v>
      </c>
      <c r="H323" s="325" t="n">
        <v>777.685950413223</v>
      </c>
      <c r="I323" s="473"/>
      <c r="J323" s="313" t="n">
        <v>0</v>
      </c>
      <c r="K323" s="627" t="n">
        <v>26.3083333333333</v>
      </c>
      <c r="L323" s="410"/>
      <c r="M323" s="506" t="n">
        <v>0</v>
      </c>
      <c r="N323" s="410"/>
      <c r="O323" s="313" t="n">
        <v>147</v>
      </c>
      <c r="P323" s="474" t="n">
        <v>631.4</v>
      </c>
      <c r="Q323" s="377"/>
      <c r="R323" s="410"/>
      <c r="W323" s="517"/>
    </row>
    <row r="324" customFormat="false" ht="12.75" hidden="false" customHeight="false" outlineLevel="0" collapsed="false">
      <c r="A324" s="626"/>
      <c r="B324" s="305" t="s">
        <v>260</v>
      </c>
      <c r="C324" s="305" t="s">
        <v>576</v>
      </c>
      <c r="D324" s="306" t="n">
        <v>778</v>
      </c>
      <c r="E324" s="306" t="n">
        <v>0</v>
      </c>
      <c r="F324" s="305" t="s">
        <v>568</v>
      </c>
      <c r="G324" s="306" t="n">
        <v>48</v>
      </c>
      <c r="H324" s="325" t="n">
        <v>777.685950413223</v>
      </c>
      <c r="I324" s="473"/>
      <c r="J324" s="313" t="n">
        <v>0</v>
      </c>
      <c r="K324" s="627" t="n">
        <v>13.1541666666667</v>
      </c>
      <c r="L324" s="410"/>
      <c r="M324" s="506" t="n">
        <v>0</v>
      </c>
      <c r="N324" s="410"/>
      <c r="O324" s="313" t="n">
        <v>147</v>
      </c>
      <c r="P324" s="474" t="n">
        <v>631.4</v>
      </c>
      <c r="Q324" s="377"/>
      <c r="R324" s="410"/>
      <c r="W324" s="517"/>
    </row>
    <row r="325" customFormat="false" ht="12.75" hidden="false" customHeight="false" outlineLevel="0" collapsed="false">
      <c r="A325" s="626"/>
      <c r="B325" s="305" t="s">
        <v>209</v>
      </c>
      <c r="C325" s="305" t="s">
        <v>567</v>
      </c>
      <c r="D325" s="306" t="n">
        <v>304</v>
      </c>
      <c r="E325" s="306" t="n">
        <v>0</v>
      </c>
      <c r="F325" s="305" t="s">
        <v>568</v>
      </c>
      <c r="G325" s="306" t="n">
        <v>24</v>
      </c>
      <c r="H325" s="325" t="n">
        <v>303.305785123967</v>
      </c>
      <c r="I325" s="473"/>
      <c r="J325" s="313" t="n">
        <v>0</v>
      </c>
      <c r="K325" s="627" t="n">
        <v>9.49791666666667</v>
      </c>
      <c r="L325" s="410"/>
      <c r="M325" s="506" t="n">
        <v>1</v>
      </c>
      <c r="N325" s="410"/>
      <c r="O325" s="313" t="n">
        <v>76</v>
      </c>
      <c r="P325" s="474" t="n">
        <v>227.95</v>
      </c>
      <c r="Q325" s="377"/>
      <c r="R325" s="410"/>
      <c r="W325" s="517"/>
    </row>
    <row r="326" customFormat="false" ht="12.75" hidden="false" customHeight="false" outlineLevel="0" collapsed="false">
      <c r="A326" s="626"/>
      <c r="B326" s="305" t="s">
        <v>209</v>
      </c>
      <c r="C326" s="305" t="s">
        <v>567</v>
      </c>
      <c r="D326" s="306" t="n">
        <v>304</v>
      </c>
      <c r="E326" s="306" t="n">
        <v>0</v>
      </c>
      <c r="F326" s="305" t="s">
        <v>568</v>
      </c>
      <c r="G326" s="306" t="n">
        <v>48</v>
      </c>
      <c r="H326" s="325" t="n">
        <v>303.305785123967</v>
      </c>
      <c r="I326" s="473"/>
      <c r="J326" s="313" t="n">
        <v>0</v>
      </c>
      <c r="K326" s="627" t="n">
        <v>4.74895833333333</v>
      </c>
      <c r="L326" s="410"/>
      <c r="M326" s="506" t="n">
        <v>1</v>
      </c>
      <c r="N326" s="410"/>
      <c r="O326" s="313" t="n">
        <v>76</v>
      </c>
      <c r="P326" s="474" t="n">
        <v>227.95</v>
      </c>
      <c r="Q326" s="377"/>
      <c r="R326" s="410"/>
      <c r="W326" s="517"/>
    </row>
    <row r="327" customFormat="false" ht="12.75" hidden="false" customHeight="false" outlineLevel="0" collapsed="false">
      <c r="A327" s="626"/>
      <c r="B327" s="305" t="s">
        <v>190</v>
      </c>
      <c r="C327" s="305" t="s">
        <v>596</v>
      </c>
      <c r="D327" s="306" t="n">
        <v>66</v>
      </c>
      <c r="E327" s="306" t="n">
        <v>0</v>
      </c>
      <c r="F327" s="305" t="s">
        <v>595</v>
      </c>
      <c r="G327" s="306" t="n">
        <v>24</v>
      </c>
      <c r="H327" s="325" t="n">
        <v>56.198347107438</v>
      </c>
      <c r="I327" s="473"/>
      <c r="J327" s="313" t="n">
        <v>0</v>
      </c>
      <c r="K327" s="627" t="n">
        <v>1.58333333333333</v>
      </c>
      <c r="L327" s="410"/>
      <c r="M327" s="506" t="n">
        <v>10</v>
      </c>
      <c r="N327" s="410"/>
      <c r="O327" s="313" t="n">
        <v>28</v>
      </c>
      <c r="P327" s="474" t="n">
        <v>38</v>
      </c>
      <c r="Q327" s="377"/>
      <c r="R327" s="410"/>
      <c r="W327" s="517"/>
    </row>
    <row r="328" customFormat="false" ht="12.75" hidden="false" customHeight="false" outlineLevel="0" collapsed="false">
      <c r="A328" s="626"/>
      <c r="B328" s="305" t="s">
        <v>190</v>
      </c>
      <c r="C328" s="305" t="s">
        <v>597</v>
      </c>
      <c r="D328" s="306" t="n">
        <v>107</v>
      </c>
      <c r="E328" s="306" t="n">
        <v>0</v>
      </c>
      <c r="F328" s="305" t="s">
        <v>595</v>
      </c>
      <c r="G328" s="306" t="n">
        <v>24</v>
      </c>
      <c r="H328" s="325" t="n">
        <v>93.3884297520661</v>
      </c>
      <c r="I328" s="473"/>
      <c r="J328" s="313" t="n">
        <v>0</v>
      </c>
      <c r="K328" s="627" t="n">
        <v>3.125</v>
      </c>
      <c r="L328" s="410"/>
      <c r="M328" s="506" t="n">
        <v>14</v>
      </c>
      <c r="N328" s="410"/>
      <c r="O328" s="313" t="n">
        <v>32</v>
      </c>
      <c r="P328" s="474" t="n">
        <v>75</v>
      </c>
      <c r="Q328" s="377"/>
      <c r="R328" s="410"/>
      <c r="W328" s="517"/>
    </row>
    <row r="329" customFormat="false" ht="12.75" hidden="false" customHeight="false" outlineLevel="0" collapsed="false">
      <c r="A329" s="626"/>
      <c r="B329" s="305" t="s">
        <v>593</v>
      </c>
      <c r="C329" s="305" t="s">
        <v>594</v>
      </c>
      <c r="D329" s="306" t="n">
        <v>204</v>
      </c>
      <c r="E329" s="306" t="n">
        <v>0</v>
      </c>
      <c r="F329" s="305" t="s">
        <v>595</v>
      </c>
      <c r="G329" s="306" t="n">
        <v>24</v>
      </c>
      <c r="H329" s="325" t="n">
        <v>183.471074380165</v>
      </c>
      <c r="I329" s="473"/>
      <c r="J329" s="313" t="n">
        <v>0</v>
      </c>
      <c r="K329" s="627" t="n">
        <v>6.0275</v>
      </c>
      <c r="L329" s="410"/>
      <c r="M329" s="506" t="n">
        <v>21</v>
      </c>
      <c r="N329" s="410"/>
      <c r="O329" s="313" t="n">
        <v>59</v>
      </c>
      <c r="P329" s="474" t="n">
        <v>144.66</v>
      </c>
      <c r="Q329" s="377"/>
      <c r="R329" s="410"/>
      <c r="W329" s="517"/>
    </row>
    <row r="330" customFormat="false" ht="12.75" hidden="false" customHeight="false" outlineLevel="0" collapsed="false">
      <c r="A330" s="626"/>
      <c r="B330" s="305" t="s">
        <v>112</v>
      </c>
      <c r="C330" s="305" t="s">
        <v>606</v>
      </c>
      <c r="D330" s="306" t="n">
        <v>137</v>
      </c>
      <c r="E330" s="306" t="n">
        <v>0</v>
      </c>
      <c r="F330" s="305" t="s">
        <v>603</v>
      </c>
      <c r="G330" s="306" t="n">
        <v>24</v>
      </c>
      <c r="H330" s="325" t="n">
        <v>136.363636363636</v>
      </c>
      <c r="I330" s="473"/>
      <c r="J330" s="313" t="n">
        <v>0</v>
      </c>
      <c r="K330" s="627" t="n">
        <v>4.515</v>
      </c>
      <c r="L330" s="410"/>
      <c r="M330" s="506" t="n">
        <v>1</v>
      </c>
      <c r="N330" s="410"/>
      <c r="O330" s="313" t="n">
        <v>29</v>
      </c>
      <c r="P330" s="474" t="n">
        <v>108.36</v>
      </c>
      <c r="Q330" s="377"/>
      <c r="R330" s="410"/>
      <c r="W330" s="517"/>
    </row>
    <row r="331" customFormat="false" ht="12.75" hidden="false" customHeight="false" outlineLevel="0" collapsed="false">
      <c r="A331" s="626"/>
      <c r="B331" s="305" t="s">
        <v>112</v>
      </c>
      <c r="C331" s="305" t="s">
        <v>606</v>
      </c>
      <c r="D331" s="306" t="n">
        <v>137</v>
      </c>
      <c r="E331" s="306" t="n">
        <v>0</v>
      </c>
      <c r="F331" s="305" t="s">
        <v>603</v>
      </c>
      <c r="G331" s="306" t="n">
        <v>48</v>
      </c>
      <c r="H331" s="325" t="n">
        <v>136.363636363636</v>
      </c>
      <c r="I331" s="473"/>
      <c r="J331" s="313" t="n">
        <v>0</v>
      </c>
      <c r="K331" s="627" t="n">
        <v>2.2575</v>
      </c>
      <c r="L331" s="410"/>
      <c r="M331" s="506" t="n">
        <v>1</v>
      </c>
      <c r="N331" s="410"/>
      <c r="O331" s="313" t="n">
        <v>29</v>
      </c>
      <c r="P331" s="474" t="n">
        <v>108.36</v>
      </c>
      <c r="Q331" s="377"/>
      <c r="R331" s="410"/>
      <c r="W331" s="517"/>
    </row>
    <row r="332" customFormat="false" ht="12.75" hidden="false" customHeight="false" outlineLevel="0" collapsed="false">
      <c r="A332" s="626"/>
      <c r="B332" s="305" t="s">
        <v>112</v>
      </c>
      <c r="C332" s="305" t="s">
        <v>607</v>
      </c>
      <c r="D332" s="306" t="n">
        <v>184</v>
      </c>
      <c r="E332" s="306" t="n">
        <v>0</v>
      </c>
      <c r="F332" s="305" t="s">
        <v>603</v>
      </c>
      <c r="G332" s="306" t="n">
        <v>24</v>
      </c>
      <c r="H332" s="325" t="n">
        <v>183.471074380165</v>
      </c>
      <c r="I332" s="473"/>
      <c r="J332" s="313" t="n">
        <v>0</v>
      </c>
      <c r="K332" s="627" t="n">
        <v>6.03</v>
      </c>
      <c r="L332" s="410"/>
      <c r="M332" s="506" t="n">
        <v>1</v>
      </c>
      <c r="N332" s="410"/>
      <c r="O332" s="313" t="n">
        <v>39</v>
      </c>
      <c r="P332" s="474" t="n">
        <v>144.72</v>
      </c>
      <c r="Q332" s="377"/>
      <c r="R332" s="410"/>
    </row>
    <row r="333" customFormat="false" ht="12.75" hidden="false" customHeight="false" outlineLevel="0" collapsed="false">
      <c r="A333" s="626"/>
      <c r="B333" s="305" t="s">
        <v>112</v>
      </c>
      <c r="C333" s="305" t="s">
        <v>607</v>
      </c>
      <c r="D333" s="306" t="n">
        <v>184</v>
      </c>
      <c r="E333" s="306" t="n">
        <v>0</v>
      </c>
      <c r="F333" s="305" t="s">
        <v>603</v>
      </c>
      <c r="G333" s="306" t="n">
        <v>48</v>
      </c>
      <c r="H333" s="325" t="n">
        <v>183.471074380165</v>
      </c>
      <c r="I333" s="473"/>
      <c r="J333" s="313" t="n">
        <v>0</v>
      </c>
      <c r="K333" s="627" t="n">
        <v>3.015</v>
      </c>
      <c r="L333" s="410"/>
      <c r="M333" s="506" t="n">
        <v>1</v>
      </c>
      <c r="N333" s="410"/>
      <c r="O333" s="313" t="n">
        <v>39</v>
      </c>
      <c r="P333" s="474" t="n">
        <v>144.72</v>
      </c>
      <c r="Q333" s="377"/>
      <c r="R333" s="410"/>
      <c r="W333" s="517"/>
    </row>
    <row r="334" customFormat="false" ht="12.75" hidden="false" customHeight="false" outlineLevel="0" collapsed="false">
      <c r="A334" s="626"/>
      <c r="B334" s="305" t="s">
        <v>112</v>
      </c>
      <c r="C334" s="305" t="s">
        <v>608</v>
      </c>
      <c r="D334" s="306" t="n">
        <v>279</v>
      </c>
      <c r="E334" s="306" t="n">
        <v>0</v>
      </c>
      <c r="F334" s="305" t="s">
        <v>603</v>
      </c>
      <c r="G334" s="306" t="n">
        <v>24</v>
      </c>
      <c r="H334" s="325" t="n">
        <v>277.685950413223</v>
      </c>
      <c r="I334" s="473"/>
      <c r="J334" s="313" t="n">
        <v>0</v>
      </c>
      <c r="K334" s="627" t="n">
        <v>8.43583333333333</v>
      </c>
      <c r="L334" s="410"/>
      <c r="M334" s="506" t="n">
        <v>1</v>
      </c>
      <c r="N334" s="410"/>
      <c r="O334" s="313" t="n">
        <v>77</v>
      </c>
      <c r="P334" s="474" t="n">
        <v>202.46</v>
      </c>
      <c r="Q334" s="377"/>
      <c r="R334" s="410"/>
    </row>
    <row r="335" customFormat="false" ht="12.75" hidden="false" customHeight="false" outlineLevel="0" collapsed="false">
      <c r="A335" s="626"/>
      <c r="B335" s="305" t="s">
        <v>112</v>
      </c>
      <c r="C335" s="305" t="s">
        <v>608</v>
      </c>
      <c r="D335" s="306" t="n">
        <v>279</v>
      </c>
      <c r="E335" s="306" t="n">
        <v>0</v>
      </c>
      <c r="F335" s="305" t="s">
        <v>603</v>
      </c>
      <c r="G335" s="306" t="n">
        <v>48</v>
      </c>
      <c r="H335" s="325" t="n">
        <v>277.685950413223</v>
      </c>
      <c r="I335" s="473"/>
      <c r="J335" s="313" t="n">
        <v>0</v>
      </c>
      <c r="K335" s="627" t="n">
        <v>4.21791666666667</v>
      </c>
      <c r="L335" s="410"/>
      <c r="M335" s="506" t="n">
        <v>1</v>
      </c>
      <c r="N335" s="410"/>
      <c r="O335" s="313" t="n">
        <v>77</v>
      </c>
      <c r="P335" s="474" t="n">
        <v>202.46</v>
      </c>
      <c r="Q335" s="377"/>
      <c r="R335" s="410"/>
      <c r="W335" s="517"/>
    </row>
    <row r="336" customFormat="false" ht="12.75" hidden="false" customHeight="false" outlineLevel="0" collapsed="false">
      <c r="A336" s="626"/>
      <c r="B336" s="305" t="s">
        <v>593</v>
      </c>
      <c r="C336" s="305" t="s">
        <v>609</v>
      </c>
      <c r="D336" s="306" t="n">
        <v>168</v>
      </c>
      <c r="E336" s="306" t="n">
        <v>0</v>
      </c>
      <c r="F336" s="305" t="s">
        <v>603</v>
      </c>
      <c r="G336" s="306" t="n">
        <v>24</v>
      </c>
      <c r="H336" s="325" t="n">
        <v>157.851239669422</v>
      </c>
      <c r="I336" s="473"/>
      <c r="J336" s="313" t="n">
        <v>0</v>
      </c>
      <c r="K336" s="627" t="n">
        <v>4.94916666666667</v>
      </c>
      <c r="L336" s="410"/>
      <c r="M336" s="506" t="n">
        <v>10</v>
      </c>
      <c r="N336" s="410"/>
      <c r="O336" s="313" t="n">
        <v>49</v>
      </c>
      <c r="P336" s="474" t="n">
        <v>118.78</v>
      </c>
      <c r="Q336" s="377"/>
      <c r="R336" s="410"/>
    </row>
    <row r="337" customFormat="false" ht="12.75" hidden="false" customHeight="false" outlineLevel="0" collapsed="false">
      <c r="A337" s="626"/>
      <c r="B337" s="305" t="s">
        <v>124</v>
      </c>
      <c r="C337" s="305" t="s">
        <v>610</v>
      </c>
      <c r="D337" s="306" t="n">
        <v>204</v>
      </c>
      <c r="E337" s="306" t="n">
        <v>0</v>
      </c>
      <c r="F337" s="305" t="s">
        <v>603</v>
      </c>
      <c r="G337" s="306" t="n">
        <v>24</v>
      </c>
      <c r="H337" s="325" t="n">
        <v>195.04132231405</v>
      </c>
      <c r="I337" s="473"/>
      <c r="J337" s="313" t="n">
        <v>0</v>
      </c>
      <c r="K337" s="627" t="n">
        <v>6.51666666666667</v>
      </c>
      <c r="L337" s="410"/>
      <c r="M337" s="506" t="n">
        <v>9</v>
      </c>
      <c r="N337" s="410"/>
      <c r="O337" s="313" t="n">
        <v>48</v>
      </c>
      <c r="P337" s="474" t="n">
        <v>156.4</v>
      </c>
      <c r="Q337" s="377"/>
      <c r="R337" s="410"/>
    </row>
    <row r="338" customFormat="false" ht="12.75" hidden="false" customHeight="false" outlineLevel="0" collapsed="false">
      <c r="A338" s="626"/>
      <c r="B338" s="305" t="s">
        <v>450</v>
      </c>
      <c r="C338" s="305" t="s">
        <v>611</v>
      </c>
      <c r="D338" s="306" t="n">
        <v>47</v>
      </c>
      <c r="E338" s="306" t="n">
        <v>0</v>
      </c>
      <c r="F338" s="305" t="s">
        <v>603</v>
      </c>
      <c r="G338" s="306" t="n">
        <v>24</v>
      </c>
      <c r="H338" s="325" t="n">
        <v>46.2809917355372</v>
      </c>
      <c r="I338" s="473"/>
      <c r="J338" s="313" t="n">
        <v>0</v>
      </c>
      <c r="K338" s="627" t="n">
        <v>1.20833333333333</v>
      </c>
      <c r="L338" s="410"/>
      <c r="M338" s="506" t="n">
        <v>1</v>
      </c>
      <c r="N338" s="410"/>
      <c r="O338" s="313" t="n">
        <v>18</v>
      </c>
      <c r="P338" s="474" t="n">
        <v>29</v>
      </c>
      <c r="Q338" s="377"/>
      <c r="R338" s="410"/>
    </row>
    <row r="339" customFormat="false" ht="12.75" hidden="false" customHeight="false" outlineLevel="0" collapsed="false">
      <c r="A339" s="626"/>
      <c r="B339" s="305" t="s">
        <v>130</v>
      </c>
      <c r="C339" s="305" t="s">
        <v>612</v>
      </c>
      <c r="D339" s="306" t="n">
        <v>94</v>
      </c>
      <c r="E339" s="306" t="n">
        <v>0</v>
      </c>
      <c r="F339" s="305" t="s">
        <v>603</v>
      </c>
      <c r="G339" s="306" t="n">
        <v>24</v>
      </c>
      <c r="H339" s="325" t="n">
        <v>73.5537190082645</v>
      </c>
      <c r="I339" s="473"/>
      <c r="J339" s="313" t="n">
        <v>0</v>
      </c>
      <c r="K339" s="627" t="n">
        <v>2.29166666666667</v>
      </c>
      <c r="L339" s="410"/>
      <c r="M339" s="506" t="n">
        <v>20</v>
      </c>
      <c r="N339" s="410"/>
      <c r="O339" s="313" t="n">
        <v>39</v>
      </c>
      <c r="P339" s="474" t="n">
        <v>55</v>
      </c>
      <c r="Q339" s="377"/>
      <c r="R339" s="410"/>
    </row>
    <row r="340" customFormat="false" ht="12.75" hidden="false" customHeight="false" outlineLevel="0" collapsed="false">
      <c r="A340" s="626"/>
      <c r="B340" s="305" t="s">
        <v>130</v>
      </c>
      <c r="C340" s="305" t="s">
        <v>613</v>
      </c>
      <c r="D340" s="306" t="n">
        <v>200</v>
      </c>
      <c r="E340" s="306" t="n">
        <v>0</v>
      </c>
      <c r="F340" s="305" t="s">
        <v>603</v>
      </c>
      <c r="G340" s="306" t="n">
        <v>24</v>
      </c>
      <c r="H340" s="325" t="n">
        <v>108.264462809917</v>
      </c>
      <c r="I340" s="473"/>
      <c r="J340" s="313" t="n">
        <v>0</v>
      </c>
      <c r="K340" s="627" t="n">
        <v>4.16666666666667</v>
      </c>
      <c r="L340" s="410"/>
      <c r="M340" s="506" t="n">
        <v>92</v>
      </c>
      <c r="N340" s="410"/>
      <c r="O340" s="313" t="n">
        <v>100</v>
      </c>
      <c r="P340" s="474" t="n">
        <v>100</v>
      </c>
      <c r="Q340" s="377"/>
      <c r="R340" s="410"/>
    </row>
    <row r="341" customFormat="false" ht="12.75" hidden="false" customHeight="false" outlineLevel="0" collapsed="false">
      <c r="A341" s="626"/>
      <c r="B341" s="305" t="s">
        <v>130</v>
      </c>
      <c r="C341" s="305" t="s">
        <v>614</v>
      </c>
      <c r="D341" s="306" t="n">
        <v>41</v>
      </c>
      <c r="E341" s="306" t="n">
        <v>0</v>
      </c>
      <c r="F341" s="305" t="s">
        <v>603</v>
      </c>
      <c r="G341" s="306" t="n">
        <v>24</v>
      </c>
      <c r="H341" s="325" t="n">
        <v>38.8429752066116</v>
      </c>
      <c r="I341" s="473"/>
      <c r="J341" s="313" t="n">
        <v>0</v>
      </c>
      <c r="K341" s="627" t="n">
        <v>0.916666666666667</v>
      </c>
      <c r="L341" s="410"/>
      <c r="M341" s="506" t="n">
        <v>2</v>
      </c>
      <c r="N341" s="410"/>
      <c r="O341" s="313" t="n">
        <v>19</v>
      </c>
      <c r="P341" s="474" t="n">
        <v>22</v>
      </c>
      <c r="Q341" s="377"/>
      <c r="R341" s="410"/>
    </row>
    <row r="342" customFormat="false" ht="12.75" hidden="false" customHeight="false" outlineLevel="0" collapsed="false">
      <c r="A342" s="626"/>
      <c r="B342" s="305" t="s">
        <v>211</v>
      </c>
      <c r="C342" s="305" t="s">
        <v>615</v>
      </c>
      <c r="D342" s="306" t="n">
        <v>65</v>
      </c>
      <c r="E342" s="306" t="n">
        <v>0</v>
      </c>
      <c r="F342" s="305" t="s">
        <v>603</v>
      </c>
      <c r="G342" s="306" t="n">
        <v>24</v>
      </c>
      <c r="H342" s="325" t="n">
        <v>42.9752066115703</v>
      </c>
      <c r="I342" s="473"/>
      <c r="J342" s="313" t="n">
        <v>0</v>
      </c>
      <c r="K342" s="627" t="n">
        <v>0.845833333333333</v>
      </c>
      <c r="L342" s="410"/>
      <c r="M342" s="506" t="n">
        <v>22</v>
      </c>
      <c r="N342" s="410"/>
      <c r="O342" s="313" t="n">
        <v>45</v>
      </c>
      <c r="P342" s="474" t="n">
        <v>20.3</v>
      </c>
      <c r="Q342" s="377"/>
      <c r="R342" s="410"/>
    </row>
    <row r="343" customFormat="false" ht="12.75" hidden="false" customHeight="false" outlineLevel="0" collapsed="false">
      <c r="A343" s="626"/>
      <c r="B343" s="305" t="s">
        <v>465</v>
      </c>
      <c r="C343" s="305" t="s">
        <v>616</v>
      </c>
      <c r="D343" s="306" t="n">
        <v>53</v>
      </c>
      <c r="E343" s="306" t="n">
        <v>0</v>
      </c>
      <c r="F343" s="305" t="s">
        <v>603</v>
      </c>
      <c r="G343" s="306" t="n">
        <v>24</v>
      </c>
      <c r="H343" s="325" t="n">
        <v>35.5371900826446</v>
      </c>
      <c r="I343" s="473"/>
      <c r="J343" s="313" t="n">
        <v>0</v>
      </c>
      <c r="K343" s="627" t="n">
        <v>0.784583333333333</v>
      </c>
      <c r="L343" s="410"/>
      <c r="M343" s="506" t="n">
        <v>17</v>
      </c>
      <c r="N343" s="410"/>
      <c r="O343" s="313" t="n">
        <v>34</v>
      </c>
      <c r="P343" s="474" t="n">
        <v>18.83</v>
      </c>
      <c r="Q343" s="377"/>
      <c r="R343" s="410"/>
    </row>
    <row r="344" customFormat="false" ht="12.75" hidden="false" customHeight="false" outlineLevel="0" collapsed="false">
      <c r="A344" s="626"/>
      <c r="B344" s="305" t="s">
        <v>200</v>
      </c>
      <c r="C344" s="305" t="s">
        <v>617</v>
      </c>
      <c r="D344" s="306" t="n">
        <v>172</v>
      </c>
      <c r="E344" s="306" t="n">
        <v>0</v>
      </c>
      <c r="F344" s="305" t="s">
        <v>603</v>
      </c>
      <c r="G344" s="306" t="n">
        <v>24</v>
      </c>
      <c r="H344" s="325" t="n">
        <v>130.578512396694</v>
      </c>
      <c r="I344" s="473"/>
      <c r="J344" s="313" t="n">
        <v>0</v>
      </c>
      <c r="K344" s="627" t="n">
        <v>4.25</v>
      </c>
      <c r="L344" s="410"/>
      <c r="M344" s="506" t="n">
        <v>41</v>
      </c>
      <c r="N344" s="410"/>
      <c r="O344" s="313" t="n">
        <v>70</v>
      </c>
      <c r="P344" s="474" t="n">
        <v>102</v>
      </c>
      <c r="Q344" s="377"/>
      <c r="R344" s="410"/>
    </row>
    <row r="345" customFormat="false" ht="12.75" hidden="false" customHeight="false" outlineLevel="0" collapsed="false">
      <c r="A345" s="626"/>
      <c r="B345" s="305" t="s">
        <v>200</v>
      </c>
      <c r="C345" s="305" t="s">
        <v>618</v>
      </c>
      <c r="D345" s="306" t="n">
        <v>240</v>
      </c>
      <c r="E345" s="306" t="n">
        <v>0</v>
      </c>
      <c r="F345" s="305" t="s">
        <v>603</v>
      </c>
      <c r="G345" s="306" t="n">
        <v>24</v>
      </c>
      <c r="H345" s="325" t="n">
        <v>187.603305785124</v>
      </c>
      <c r="I345" s="473"/>
      <c r="J345" s="313" t="n">
        <v>0</v>
      </c>
      <c r="K345" s="627" t="n">
        <v>6.20833333333333</v>
      </c>
      <c r="L345" s="410"/>
      <c r="M345" s="506" t="n">
        <v>52</v>
      </c>
      <c r="N345" s="410"/>
      <c r="O345" s="313" t="n">
        <v>91</v>
      </c>
      <c r="P345" s="474" t="n">
        <v>149</v>
      </c>
      <c r="Q345" s="377"/>
      <c r="R345" s="410"/>
    </row>
    <row r="346" customFormat="false" ht="12.75" hidden="false" customHeight="false" outlineLevel="0" collapsed="false">
      <c r="A346" s="626"/>
      <c r="B346" s="305" t="s">
        <v>200</v>
      </c>
      <c r="C346" s="305" t="s">
        <v>619</v>
      </c>
      <c r="D346" s="306" t="n">
        <v>99</v>
      </c>
      <c r="E346" s="306" t="n">
        <v>0</v>
      </c>
      <c r="F346" s="305" t="s">
        <v>603</v>
      </c>
      <c r="G346" s="306" t="n">
        <v>24</v>
      </c>
      <c r="H346" s="325" t="n">
        <v>80.1652892561983</v>
      </c>
      <c r="I346" s="473"/>
      <c r="J346" s="313" t="n">
        <v>0</v>
      </c>
      <c r="K346" s="627" t="n">
        <v>2.58333333333333</v>
      </c>
      <c r="L346" s="410"/>
      <c r="M346" s="506" t="n">
        <v>19</v>
      </c>
      <c r="N346" s="410"/>
      <c r="O346" s="313" t="n">
        <v>37</v>
      </c>
      <c r="P346" s="474" t="n">
        <v>62</v>
      </c>
      <c r="Q346" s="377"/>
      <c r="R346" s="410"/>
    </row>
    <row r="347" customFormat="false" ht="12.75" hidden="false" customHeight="false" outlineLevel="0" collapsed="false">
      <c r="A347" s="626"/>
      <c r="B347" s="305" t="s">
        <v>428</v>
      </c>
      <c r="C347" s="305" t="s">
        <v>620</v>
      </c>
      <c r="D347" s="306" t="n">
        <v>39</v>
      </c>
      <c r="E347" s="306" t="n">
        <v>0</v>
      </c>
      <c r="F347" s="305" t="s">
        <v>603</v>
      </c>
      <c r="G347" s="306" t="n">
        <v>24</v>
      </c>
      <c r="H347" s="325" t="n">
        <v>38.0165289256198</v>
      </c>
      <c r="I347" s="473"/>
      <c r="J347" s="313" t="n">
        <v>0</v>
      </c>
      <c r="K347" s="627" t="n">
        <v>0.875</v>
      </c>
      <c r="L347" s="410"/>
      <c r="M347" s="506" t="n">
        <v>1</v>
      </c>
      <c r="N347" s="410"/>
      <c r="O347" s="313" t="n">
        <v>18</v>
      </c>
      <c r="P347" s="474" t="n">
        <v>21</v>
      </c>
      <c r="Q347" s="377"/>
      <c r="R347" s="410"/>
    </row>
    <row r="348" customFormat="false" ht="12.75" hidden="false" customHeight="false" outlineLevel="0" collapsed="false">
      <c r="A348" s="626"/>
      <c r="B348" s="305" t="s">
        <v>428</v>
      </c>
      <c r="C348" s="305" t="s">
        <v>621</v>
      </c>
      <c r="D348" s="306" t="n">
        <v>46</v>
      </c>
      <c r="E348" s="306" t="n">
        <v>0</v>
      </c>
      <c r="F348" s="305" t="s">
        <v>603</v>
      </c>
      <c r="G348" s="306" t="n">
        <v>24</v>
      </c>
      <c r="H348" s="325" t="n">
        <v>42.9752066115703</v>
      </c>
      <c r="I348" s="473"/>
      <c r="J348" s="313" t="n">
        <v>0</v>
      </c>
      <c r="K348" s="627" t="n">
        <v>1.08333333333333</v>
      </c>
      <c r="L348" s="410"/>
      <c r="M348" s="506" t="n">
        <v>3</v>
      </c>
      <c r="N348" s="410"/>
      <c r="O348" s="313" t="n">
        <v>20</v>
      </c>
      <c r="P348" s="474" t="n">
        <v>26</v>
      </c>
      <c r="Q348" s="377"/>
      <c r="R348" s="410"/>
    </row>
    <row r="349" customFormat="false" ht="12.75" hidden="false" customHeight="false" outlineLevel="0" collapsed="false">
      <c r="A349" s="626"/>
      <c r="B349" s="305" t="s">
        <v>497</v>
      </c>
      <c r="C349" s="305" t="s">
        <v>622</v>
      </c>
      <c r="D349" s="306" t="n">
        <v>93</v>
      </c>
      <c r="E349" s="306" t="n">
        <v>0</v>
      </c>
      <c r="F349" s="305" t="s">
        <v>603</v>
      </c>
      <c r="G349" s="306" t="n">
        <v>24</v>
      </c>
      <c r="H349" s="325" t="n">
        <v>77.6859504132231</v>
      </c>
      <c r="I349" s="473"/>
      <c r="J349" s="313" t="n">
        <v>0</v>
      </c>
      <c r="K349" s="627" t="n">
        <v>2.48</v>
      </c>
      <c r="L349" s="410"/>
      <c r="M349" s="506" t="n">
        <v>15</v>
      </c>
      <c r="N349" s="410"/>
      <c r="O349" s="313" t="n">
        <v>33</v>
      </c>
      <c r="P349" s="474" t="n">
        <v>59.52</v>
      </c>
      <c r="Q349" s="377"/>
      <c r="R349" s="410"/>
    </row>
    <row r="350" customFormat="false" ht="12.75" hidden="false" customHeight="false" outlineLevel="0" collapsed="false">
      <c r="A350" s="626"/>
      <c r="B350" s="305" t="s">
        <v>497</v>
      </c>
      <c r="C350" s="305" t="s">
        <v>623</v>
      </c>
      <c r="D350" s="306" t="n">
        <v>32</v>
      </c>
      <c r="E350" s="306" t="n">
        <v>0</v>
      </c>
      <c r="F350" s="305" t="s">
        <v>603</v>
      </c>
      <c r="G350" s="306" t="n">
        <v>24</v>
      </c>
      <c r="H350" s="325" t="n">
        <v>31.404958677686</v>
      </c>
      <c r="I350" s="473"/>
      <c r="J350" s="313" t="n">
        <v>0</v>
      </c>
      <c r="K350" s="627" t="n">
        <v>0.620833333333333</v>
      </c>
      <c r="L350" s="410"/>
      <c r="M350" s="506" t="n">
        <v>1</v>
      </c>
      <c r="N350" s="410"/>
      <c r="O350" s="313" t="n">
        <v>17</v>
      </c>
      <c r="P350" s="474" t="n">
        <v>14.9</v>
      </c>
      <c r="Q350" s="377"/>
      <c r="R350" s="410"/>
    </row>
    <row r="351" customFormat="false" ht="12.75" hidden="false" customHeight="false" outlineLevel="0" collapsed="false">
      <c r="A351" s="626"/>
      <c r="B351" s="305" t="s">
        <v>497</v>
      </c>
      <c r="C351" s="305" t="s">
        <v>624</v>
      </c>
      <c r="D351" s="306" t="n">
        <v>85</v>
      </c>
      <c r="E351" s="306" t="n">
        <v>0</v>
      </c>
      <c r="F351" s="305" t="s">
        <v>603</v>
      </c>
      <c r="G351" s="306" t="n">
        <v>24</v>
      </c>
      <c r="H351" s="325" t="n">
        <v>84.297520661157</v>
      </c>
      <c r="I351" s="473"/>
      <c r="J351" s="313" t="n">
        <v>0</v>
      </c>
      <c r="K351" s="627" t="n">
        <v>2.76</v>
      </c>
      <c r="L351" s="410"/>
      <c r="M351" s="506" t="n">
        <v>1</v>
      </c>
      <c r="N351" s="410"/>
      <c r="O351" s="313" t="n">
        <v>19</v>
      </c>
      <c r="P351" s="474" t="n">
        <v>66.24</v>
      </c>
      <c r="Q351" s="377"/>
      <c r="R351" s="410"/>
    </row>
    <row r="352" customFormat="false" ht="12.75" hidden="false" customHeight="false" outlineLevel="0" collapsed="false">
      <c r="A352" s="626"/>
      <c r="B352" s="305" t="s">
        <v>510</v>
      </c>
      <c r="C352" s="305" t="s">
        <v>625</v>
      </c>
      <c r="D352" s="306" t="n">
        <v>38</v>
      </c>
      <c r="E352" s="306" t="n">
        <v>0</v>
      </c>
      <c r="F352" s="305" t="s">
        <v>603</v>
      </c>
      <c r="G352" s="306" t="n">
        <v>24</v>
      </c>
      <c r="H352" s="325" t="n">
        <v>37.1900826446281</v>
      </c>
      <c r="I352" s="473"/>
      <c r="J352" s="313" t="n">
        <v>0</v>
      </c>
      <c r="K352" s="627" t="n">
        <v>0.833333333333333</v>
      </c>
      <c r="L352" s="410"/>
      <c r="M352" s="506" t="n">
        <v>1</v>
      </c>
      <c r="N352" s="410"/>
      <c r="O352" s="313" t="n">
        <v>18</v>
      </c>
      <c r="P352" s="474" t="n">
        <v>20</v>
      </c>
      <c r="Q352" s="377"/>
      <c r="R352" s="410"/>
    </row>
    <row r="353" customFormat="false" ht="12.75" hidden="false" customHeight="false" outlineLevel="0" collapsed="false">
      <c r="A353" s="626"/>
      <c r="B353" s="305" t="s">
        <v>190</v>
      </c>
      <c r="C353" s="305" t="s">
        <v>629</v>
      </c>
      <c r="D353" s="306" t="n">
        <v>165</v>
      </c>
      <c r="E353" s="306" t="n">
        <v>0</v>
      </c>
      <c r="F353" s="305" t="s">
        <v>630</v>
      </c>
      <c r="G353" s="306" t="n">
        <v>24</v>
      </c>
      <c r="H353" s="325" t="n">
        <v>157.02479338843</v>
      </c>
      <c r="I353" s="473"/>
      <c r="J353" s="313" t="n">
        <v>0</v>
      </c>
      <c r="K353" s="627" t="n">
        <v>4.49208333333333</v>
      </c>
      <c r="L353" s="410"/>
      <c r="M353" s="506" t="n">
        <v>8</v>
      </c>
      <c r="N353" s="410"/>
      <c r="O353" s="313" t="n">
        <v>57</v>
      </c>
      <c r="P353" s="474" t="n">
        <v>107.81</v>
      </c>
      <c r="Q353" s="377"/>
      <c r="R353" s="410"/>
    </row>
    <row r="354" customFormat="false" ht="12.75" hidden="false" customHeight="false" outlineLevel="0" collapsed="false">
      <c r="A354" s="626"/>
      <c r="B354" s="305" t="s">
        <v>190</v>
      </c>
      <c r="C354" s="305" t="s">
        <v>631</v>
      </c>
      <c r="D354" s="306" t="n">
        <v>248</v>
      </c>
      <c r="E354" s="306" t="n">
        <v>0</v>
      </c>
      <c r="F354" s="305" t="s">
        <v>630</v>
      </c>
      <c r="G354" s="306" t="n">
        <v>24</v>
      </c>
      <c r="H354" s="325" t="n">
        <v>243.801652892562</v>
      </c>
      <c r="I354" s="473"/>
      <c r="J354" s="313" t="n">
        <v>0</v>
      </c>
      <c r="K354" s="627" t="n">
        <v>7.83333333333333</v>
      </c>
      <c r="L354" s="410"/>
      <c r="M354" s="506" t="n">
        <v>4</v>
      </c>
      <c r="N354" s="410"/>
      <c r="O354" s="313" t="n">
        <v>60</v>
      </c>
      <c r="P354" s="474" t="n">
        <v>188</v>
      </c>
      <c r="Q354" s="377"/>
      <c r="R354" s="410"/>
    </row>
    <row r="355" customFormat="false" ht="12.75" hidden="false" customHeight="false" outlineLevel="0" collapsed="false">
      <c r="A355" s="626"/>
      <c r="B355" s="305" t="s">
        <v>200</v>
      </c>
      <c r="C355" s="305" t="s">
        <v>632</v>
      </c>
      <c r="D355" s="306" t="n">
        <v>190</v>
      </c>
      <c r="E355" s="306" t="n">
        <v>0</v>
      </c>
      <c r="F355" s="305" t="s">
        <v>630</v>
      </c>
      <c r="G355" s="306" t="n">
        <v>24</v>
      </c>
      <c r="H355" s="325" t="n">
        <v>114.876033057851</v>
      </c>
      <c r="I355" s="473"/>
      <c r="J355" s="313" t="n">
        <v>0</v>
      </c>
      <c r="K355" s="627" t="n">
        <v>4.01583333333333</v>
      </c>
      <c r="L355" s="410"/>
      <c r="M355" s="506" t="n">
        <v>75</v>
      </c>
      <c r="N355" s="410"/>
      <c r="O355" s="313" t="n">
        <v>94</v>
      </c>
      <c r="P355" s="474" t="n">
        <v>96.38</v>
      </c>
      <c r="Q355" s="377"/>
      <c r="R355" s="410"/>
    </row>
    <row r="356" customFormat="false" ht="12.75" hidden="false" customHeight="false" outlineLevel="0" collapsed="false">
      <c r="A356" s="626"/>
      <c r="B356" s="305" t="s">
        <v>108</v>
      </c>
      <c r="C356" s="305" t="s">
        <v>633</v>
      </c>
      <c r="D356" s="306" t="n">
        <v>75</v>
      </c>
      <c r="E356" s="306" t="n">
        <v>0</v>
      </c>
      <c r="F356" s="305" t="s">
        <v>630</v>
      </c>
      <c r="G356" s="306" t="n">
        <v>24</v>
      </c>
      <c r="H356" s="325" t="n">
        <v>90.0826446280992</v>
      </c>
      <c r="I356" s="473"/>
      <c r="J356" s="313" t="n">
        <v>0</v>
      </c>
      <c r="K356" s="627" t="n">
        <v>2.9975</v>
      </c>
      <c r="L356" s="410"/>
      <c r="M356" s="506" t="n">
        <v>-15</v>
      </c>
      <c r="N356" s="410"/>
      <c r="O356" s="313" t="n">
        <v>3</v>
      </c>
      <c r="P356" s="474" t="n">
        <v>71.94</v>
      </c>
      <c r="Q356" s="377"/>
      <c r="R356" s="410"/>
    </row>
    <row r="357" customFormat="false" ht="12.75" hidden="false" customHeight="false" outlineLevel="0" collapsed="false">
      <c r="A357" s="626"/>
      <c r="B357" s="305" t="s">
        <v>428</v>
      </c>
      <c r="C357" s="305" t="s">
        <v>634</v>
      </c>
      <c r="D357" s="306" t="n">
        <v>165</v>
      </c>
      <c r="E357" s="306" t="n">
        <v>0</v>
      </c>
      <c r="F357" s="305" t="s">
        <v>630</v>
      </c>
      <c r="G357" s="306" t="n">
        <v>24</v>
      </c>
      <c r="H357" s="325" t="n">
        <v>133.057851239669</v>
      </c>
      <c r="I357" s="473"/>
      <c r="J357" s="313" t="n">
        <v>0</v>
      </c>
      <c r="K357" s="627" t="n">
        <v>4.375</v>
      </c>
      <c r="L357" s="410"/>
      <c r="M357" s="506" t="n">
        <v>32</v>
      </c>
      <c r="N357" s="410"/>
      <c r="O357" s="313" t="n">
        <v>60</v>
      </c>
      <c r="P357" s="474" t="n">
        <v>105</v>
      </c>
      <c r="Q357" s="377"/>
      <c r="R357" s="410"/>
    </row>
    <row r="358" customFormat="false" ht="12.75" hidden="false" customHeight="false" outlineLevel="0" collapsed="false">
      <c r="A358" s="626"/>
      <c r="B358" s="305" t="s">
        <v>636</v>
      </c>
      <c r="C358" s="305" t="s">
        <v>637</v>
      </c>
      <c r="D358" s="306" t="n">
        <v>538</v>
      </c>
      <c r="E358" s="306" t="n">
        <v>0</v>
      </c>
      <c r="F358" s="305" t="s">
        <v>638</v>
      </c>
      <c r="G358" s="306" t="n">
        <v>24</v>
      </c>
      <c r="H358" s="325" t="n">
        <v>533.057851239669</v>
      </c>
      <c r="I358" s="473"/>
      <c r="J358" s="313" t="n">
        <v>0</v>
      </c>
      <c r="K358" s="627" t="n">
        <v>17.7870833333333</v>
      </c>
      <c r="L358" s="410"/>
      <c r="M358" s="506" t="n">
        <v>5</v>
      </c>
      <c r="N358" s="410"/>
      <c r="O358" s="313" t="n">
        <v>111</v>
      </c>
      <c r="P358" s="474" t="n">
        <v>426.89</v>
      </c>
      <c r="Q358" s="377"/>
      <c r="R358" s="410"/>
    </row>
    <row r="359" customFormat="false" ht="12.75" hidden="false" customHeight="false" outlineLevel="0" collapsed="false">
      <c r="A359" s="626"/>
      <c r="B359" s="305" t="s">
        <v>636</v>
      </c>
      <c r="C359" s="305" t="s">
        <v>637</v>
      </c>
      <c r="D359" s="306" t="n">
        <v>538</v>
      </c>
      <c r="E359" s="306" t="n">
        <v>0</v>
      </c>
      <c r="F359" s="305" t="s">
        <v>638</v>
      </c>
      <c r="G359" s="306" t="n">
        <v>48</v>
      </c>
      <c r="H359" s="325" t="n">
        <v>533.057851239669</v>
      </c>
      <c r="I359" s="473"/>
      <c r="J359" s="313" t="n">
        <v>0</v>
      </c>
      <c r="K359" s="627" t="n">
        <v>8.89354166666667</v>
      </c>
      <c r="L359" s="410"/>
      <c r="M359" s="506" t="n">
        <v>5</v>
      </c>
      <c r="N359" s="410"/>
      <c r="O359" s="313" t="n">
        <v>111</v>
      </c>
      <c r="P359" s="474" t="n">
        <v>426.89</v>
      </c>
      <c r="Q359" s="377"/>
      <c r="R359" s="410"/>
    </row>
    <row r="360" customFormat="false" ht="12.75" hidden="false" customHeight="false" outlineLevel="0" collapsed="false">
      <c r="A360" s="626"/>
      <c r="B360" s="305" t="s">
        <v>636</v>
      </c>
      <c r="C360" s="305" t="s">
        <v>639</v>
      </c>
      <c r="D360" s="306" t="n">
        <v>589</v>
      </c>
      <c r="E360" s="306" t="n">
        <v>0</v>
      </c>
      <c r="F360" s="305" t="s">
        <v>638</v>
      </c>
      <c r="G360" s="306" t="n">
        <v>24</v>
      </c>
      <c r="H360" s="325" t="n">
        <v>485.123966942149</v>
      </c>
      <c r="I360" s="473"/>
      <c r="J360" s="313" t="n">
        <v>0</v>
      </c>
      <c r="K360" s="627" t="n">
        <v>20.1075</v>
      </c>
      <c r="L360" s="410"/>
      <c r="M360" s="506" t="n">
        <v>104</v>
      </c>
      <c r="N360" s="410"/>
      <c r="O360" s="313" t="n">
        <v>106</v>
      </c>
      <c r="P360" s="474" t="n">
        <v>482.58</v>
      </c>
      <c r="Q360" s="377"/>
      <c r="R360" s="410"/>
    </row>
    <row r="361" customFormat="false" ht="12.75" hidden="false" customHeight="false" outlineLevel="0" collapsed="false">
      <c r="A361" s="626"/>
      <c r="B361" s="305" t="s">
        <v>636</v>
      </c>
      <c r="C361" s="305" t="s">
        <v>639</v>
      </c>
      <c r="D361" s="306" t="n">
        <v>589</v>
      </c>
      <c r="E361" s="306" t="n">
        <v>0</v>
      </c>
      <c r="F361" s="305" t="s">
        <v>638</v>
      </c>
      <c r="G361" s="306" t="n">
        <v>48</v>
      </c>
      <c r="H361" s="325" t="n">
        <v>485.123966942149</v>
      </c>
      <c r="I361" s="473"/>
      <c r="J361" s="313" t="n">
        <v>0</v>
      </c>
      <c r="K361" s="627" t="n">
        <v>10.05375</v>
      </c>
      <c r="L361" s="410"/>
      <c r="M361" s="506" t="n">
        <v>104</v>
      </c>
      <c r="N361" s="410"/>
      <c r="O361" s="313" t="n">
        <v>106</v>
      </c>
      <c r="P361" s="474" t="n">
        <v>482.58</v>
      </c>
      <c r="Q361" s="377"/>
      <c r="R361" s="410"/>
    </row>
    <row r="362" customFormat="false" ht="12.75" hidden="false" customHeight="false" outlineLevel="0" collapsed="false">
      <c r="A362" s="626"/>
      <c r="B362" s="305" t="s">
        <v>636</v>
      </c>
      <c r="C362" s="305" t="s">
        <v>640</v>
      </c>
      <c r="D362" s="306" t="n">
        <v>434</v>
      </c>
      <c r="E362" s="306" t="n">
        <v>0</v>
      </c>
      <c r="F362" s="305" t="s">
        <v>638</v>
      </c>
      <c r="G362" s="306" t="n">
        <v>24</v>
      </c>
      <c r="H362" s="325" t="n">
        <v>523.140495867769</v>
      </c>
      <c r="I362" s="473"/>
      <c r="J362" s="313" t="n">
        <v>0</v>
      </c>
      <c r="K362" s="627" t="n">
        <v>13.8575</v>
      </c>
      <c r="L362" s="410"/>
      <c r="M362" s="506" t="n">
        <v>-89</v>
      </c>
      <c r="N362" s="410"/>
      <c r="O362" s="313" t="n">
        <v>101</v>
      </c>
      <c r="P362" s="474" t="n">
        <v>332.58</v>
      </c>
      <c r="Q362" s="377"/>
      <c r="R362" s="410"/>
    </row>
    <row r="363" customFormat="false" ht="12.75" hidden="false" customHeight="false" outlineLevel="0" collapsed="false">
      <c r="A363" s="626"/>
      <c r="B363" s="305" t="s">
        <v>636</v>
      </c>
      <c r="C363" s="305" t="s">
        <v>640</v>
      </c>
      <c r="D363" s="306" t="n">
        <v>434</v>
      </c>
      <c r="E363" s="306" t="n">
        <v>0</v>
      </c>
      <c r="F363" s="305" t="s">
        <v>638</v>
      </c>
      <c r="G363" s="306" t="n">
        <v>48</v>
      </c>
      <c r="H363" s="325" t="n">
        <v>523.140495867769</v>
      </c>
      <c r="I363" s="473"/>
      <c r="J363" s="313" t="n">
        <v>0</v>
      </c>
      <c r="K363" s="627" t="n">
        <v>6.92875</v>
      </c>
      <c r="L363" s="410"/>
      <c r="M363" s="506" t="n">
        <v>-89</v>
      </c>
      <c r="N363" s="410"/>
      <c r="O363" s="313" t="n">
        <v>101</v>
      </c>
      <c r="P363" s="474" t="n">
        <v>332.58</v>
      </c>
      <c r="Q363" s="377"/>
      <c r="R363" s="410"/>
    </row>
    <row r="364" customFormat="false" ht="12.75" hidden="false" customHeight="false" outlineLevel="0" collapsed="false">
      <c r="A364" s="626"/>
      <c r="B364" s="305" t="s">
        <v>277</v>
      </c>
      <c r="C364" s="305" t="s">
        <v>657</v>
      </c>
      <c r="D364" s="306" t="n">
        <v>82</v>
      </c>
      <c r="E364" s="306" t="n">
        <v>0</v>
      </c>
      <c r="F364" s="305" t="s">
        <v>648</v>
      </c>
      <c r="G364" s="306" t="n">
        <v>24</v>
      </c>
      <c r="H364" s="325" t="n">
        <v>95.0413223140496</v>
      </c>
      <c r="I364" s="473"/>
      <c r="J364" s="313" t="n">
        <v>0</v>
      </c>
      <c r="K364" s="627" t="n">
        <v>2.67083333333333</v>
      </c>
      <c r="L364" s="410"/>
      <c r="M364" s="506" t="n">
        <v>-13</v>
      </c>
      <c r="N364" s="410"/>
      <c r="O364" s="313" t="n">
        <v>18</v>
      </c>
      <c r="P364" s="474" t="n">
        <v>64.1</v>
      </c>
      <c r="Q364" s="377"/>
      <c r="R364" s="410"/>
    </row>
    <row r="365" customFormat="false" ht="12.75" hidden="false" customHeight="false" outlineLevel="0" collapsed="false">
      <c r="A365" s="626"/>
      <c r="B365" s="305" t="s">
        <v>277</v>
      </c>
      <c r="C365" s="305" t="s">
        <v>658</v>
      </c>
      <c r="D365" s="306" t="n">
        <v>100</v>
      </c>
      <c r="E365" s="306" t="n">
        <v>0</v>
      </c>
      <c r="F365" s="305" t="s">
        <v>648</v>
      </c>
      <c r="G365" s="306" t="n">
        <v>24</v>
      </c>
      <c r="H365" s="325" t="n">
        <v>104.95867768595</v>
      </c>
      <c r="I365" s="473"/>
      <c r="J365" s="313" t="n">
        <v>0</v>
      </c>
      <c r="K365" s="627" t="n">
        <v>3.20041666666667</v>
      </c>
      <c r="L365" s="410"/>
      <c r="M365" s="506" t="n">
        <v>-5</v>
      </c>
      <c r="N365" s="410"/>
      <c r="O365" s="313" t="n">
        <v>23</v>
      </c>
      <c r="P365" s="474" t="n">
        <v>76.81</v>
      </c>
      <c r="Q365" s="377"/>
      <c r="R365" s="410"/>
    </row>
    <row r="366" customFormat="false" ht="12.75" hidden="false" customHeight="false" outlineLevel="0" collapsed="false">
      <c r="A366" s="626"/>
      <c r="B366" s="305" t="s">
        <v>312</v>
      </c>
      <c r="C366" s="305" t="s">
        <v>647</v>
      </c>
      <c r="D366" s="306" t="n">
        <v>41</v>
      </c>
      <c r="E366" s="306" t="n">
        <v>0</v>
      </c>
      <c r="F366" s="305" t="s">
        <v>648</v>
      </c>
      <c r="G366" s="306" t="n">
        <v>24</v>
      </c>
      <c r="H366" s="325" t="n">
        <v>40.495867768595</v>
      </c>
      <c r="I366" s="473"/>
      <c r="J366" s="313" t="n">
        <v>0</v>
      </c>
      <c r="K366" s="627" t="n">
        <v>0.977916666666667</v>
      </c>
      <c r="L366" s="410"/>
      <c r="M366" s="506" t="n">
        <v>1</v>
      </c>
      <c r="N366" s="410"/>
      <c r="O366" s="313" t="n">
        <v>18</v>
      </c>
      <c r="P366" s="474" t="n">
        <v>23.47</v>
      </c>
      <c r="Q366" s="377"/>
      <c r="R366" s="410"/>
    </row>
    <row r="367" customFormat="false" ht="12.75" hidden="false" customHeight="false" outlineLevel="0" collapsed="false">
      <c r="A367" s="626"/>
      <c r="B367" s="305" t="s">
        <v>652</v>
      </c>
      <c r="C367" s="305" t="s">
        <v>653</v>
      </c>
      <c r="D367" s="306" t="n">
        <v>47</v>
      </c>
      <c r="E367" s="306" t="n">
        <v>0</v>
      </c>
      <c r="F367" s="305" t="s">
        <v>648</v>
      </c>
      <c r="G367" s="306" t="n">
        <v>24</v>
      </c>
      <c r="H367" s="325" t="n">
        <v>35.5371900826446</v>
      </c>
      <c r="I367" s="473"/>
      <c r="J367" s="313" t="n">
        <v>0</v>
      </c>
      <c r="K367" s="627" t="n">
        <v>0.77</v>
      </c>
      <c r="L367" s="410"/>
      <c r="M367" s="506" t="n">
        <v>11</v>
      </c>
      <c r="N367" s="410"/>
      <c r="O367" s="313" t="n">
        <v>29</v>
      </c>
      <c r="P367" s="474" t="n">
        <v>18.48</v>
      </c>
      <c r="Q367" s="377"/>
      <c r="R367" s="410"/>
    </row>
    <row r="368" customFormat="false" ht="12.75" hidden="false" customHeight="false" outlineLevel="0" collapsed="false">
      <c r="A368" s="626"/>
      <c r="B368" s="305" t="s">
        <v>312</v>
      </c>
      <c r="C368" s="305" t="s">
        <v>649</v>
      </c>
      <c r="D368" s="306" t="n">
        <v>38</v>
      </c>
      <c r="E368" s="306" t="n">
        <v>0</v>
      </c>
      <c r="F368" s="305" t="s">
        <v>648</v>
      </c>
      <c r="G368" s="306" t="n">
        <v>24</v>
      </c>
      <c r="H368" s="325" t="n">
        <v>37.1900826446281</v>
      </c>
      <c r="I368" s="473"/>
      <c r="J368" s="313" t="n">
        <v>0</v>
      </c>
      <c r="K368" s="627" t="n">
        <v>0.842083333333333</v>
      </c>
      <c r="L368" s="410"/>
      <c r="M368" s="506" t="n">
        <v>1</v>
      </c>
      <c r="N368" s="410"/>
      <c r="O368" s="313" t="n">
        <v>18</v>
      </c>
      <c r="P368" s="474" t="n">
        <v>20.21</v>
      </c>
      <c r="Q368" s="377"/>
      <c r="R368" s="410"/>
    </row>
    <row r="369" customFormat="false" ht="12.75" hidden="false" customHeight="false" outlineLevel="0" collapsed="false">
      <c r="A369" s="626"/>
      <c r="B369" s="305" t="s">
        <v>312</v>
      </c>
      <c r="C369" s="305" t="s">
        <v>650</v>
      </c>
      <c r="D369" s="306" t="n">
        <v>36</v>
      </c>
      <c r="E369" s="306" t="n">
        <v>0</v>
      </c>
      <c r="F369" s="305" t="s">
        <v>648</v>
      </c>
      <c r="G369" s="306" t="n">
        <v>24</v>
      </c>
      <c r="H369" s="325" t="n">
        <v>35.5371900826446</v>
      </c>
      <c r="I369" s="473"/>
      <c r="J369" s="313" t="n">
        <v>0</v>
      </c>
      <c r="K369" s="627" t="n">
        <v>0.77</v>
      </c>
      <c r="L369" s="410"/>
      <c r="M369" s="506" t="n">
        <v>0</v>
      </c>
      <c r="N369" s="410"/>
      <c r="O369" s="313" t="n">
        <v>18</v>
      </c>
      <c r="P369" s="474" t="n">
        <v>18.48</v>
      </c>
      <c r="Q369" s="377"/>
      <c r="R369" s="410"/>
    </row>
    <row r="370" customFormat="false" ht="12.75" hidden="false" customHeight="false" outlineLevel="0" collapsed="false">
      <c r="A370" s="626"/>
      <c r="B370" s="305" t="s">
        <v>312</v>
      </c>
      <c r="C370" s="305" t="s">
        <v>651</v>
      </c>
      <c r="D370" s="306" t="n">
        <v>33</v>
      </c>
      <c r="E370" s="306" t="n">
        <v>0</v>
      </c>
      <c r="F370" s="305" t="s">
        <v>648</v>
      </c>
      <c r="G370" s="306" t="n">
        <v>24</v>
      </c>
      <c r="H370" s="325" t="n">
        <v>32.2314049586777</v>
      </c>
      <c r="I370" s="473"/>
      <c r="J370" s="313" t="n">
        <v>0</v>
      </c>
      <c r="K370" s="627" t="n">
        <v>0.635416666666667</v>
      </c>
      <c r="L370" s="410"/>
      <c r="M370" s="506" t="n">
        <v>1</v>
      </c>
      <c r="N370" s="410"/>
      <c r="O370" s="313" t="n">
        <v>18</v>
      </c>
      <c r="P370" s="474" t="n">
        <v>15.25</v>
      </c>
      <c r="Q370" s="377"/>
      <c r="R370" s="410"/>
    </row>
    <row r="371" customFormat="false" ht="12.75" hidden="false" customHeight="false" outlineLevel="0" collapsed="false">
      <c r="A371" s="626"/>
      <c r="B371" s="305" t="s">
        <v>655</v>
      </c>
      <c r="C371" s="305" t="s">
        <v>656</v>
      </c>
      <c r="D371" s="306" t="n">
        <v>176</v>
      </c>
      <c r="E371" s="306" t="n">
        <v>0</v>
      </c>
      <c r="F371" s="305" t="s">
        <v>648</v>
      </c>
      <c r="G371" s="306" t="n">
        <v>24</v>
      </c>
      <c r="H371" s="325" t="n">
        <v>154.545454545455</v>
      </c>
      <c r="I371" s="473"/>
      <c r="J371" s="313" t="n">
        <v>0</v>
      </c>
      <c r="K371" s="627" t="n">
        <v>4.83166666666667</v>
      </c>
      <c r="L371" s="410"/>
      <c r="M371" s="506" t="n">
        <v>21</v>
      </c>
      <c r="N371" s="410"/>
      <c r="O371" s="313" t="n">
        <v>60</v>
      </c>
      <c r="P371" s="474" t="n">
        <v>115.96</v>
      </c>
      <c r="Q371" s="377"/>
      <c r="R371" s="410"/>
    </row>
    <row r="372" customFormat="false" ht="12.75" hidden="false" customHeight="false" outlineLevel="0" collapsed="false">
      <c r="A372" s="626"/>
      <c r="B372" s="305" t="s">
        <v>652</v>
      </c>
      <c r="C372" s="305" t="s">
        <v>654</v>
      </c>
      <c r="D372" s="306" t="n">
        <v>33</v>
      </c>
      <c r="E372" s="306" t="n">
        <v>0</v>
      </c>
      <c r="F372" s="305" t="s">
        <v>648</v>
      </c>
      <c r="G372" s="306" t="n">
        <v>24</v>
      </c>
      <c r="H372" s="325" t="n">
        <v>40.495867768595</v>
      </c>
      <c r="I372" s="473"/>
      <c r="J372" s="313" t="n">
        <v>0</v>
      </c>
      <c r="K372" s="627" t="n">
        <v>0.98</v>
      </c>
      <c r="L372" s="410"/>
      <c r="M372" s="506" t="n">
        <v>-7</v>
      </c>
      <c r="N372" s="410"/>
      <c r="O372" s="313" t="n">
        <v>9</v>
      </c>
      <c r="P372" s="474" t="n">
        <v>23.52</v>
      </c>
      <c r="Q372" s="377"/>
      <c r="R372" s="410"/>
    </row>
    <row r="373" customFormat="false" ht="12.75" hidden="false" customHeight="false" outlineLevel="0" collapsed="false">
      <c r="A373" s="626"/>
      <c r="B373" s="305" t="s">
        <v>277</v>
      </c>
      <c r="C373" s="305" t="s">
        <v>659</v>
      </c>
      <c r="D373" s="306" t="n">
        <v>41</v>
      </c>
      <c r="E373" s="306" t="n">
        <v>0</v>
      </c>
      <c r="F373" s="305" t="s">
        <v>648</v>
      </c>
      <c r="G373" s="306" t="n">
        <v>24</v>
      </c>
      <c r="H373" s="325" t="n">
        <v>62.8099173553719</v>
      </c>
      <c r="I373" s="473"/>
      <c r="J373" s="313" t="n">
        <v>0</v>
      </c>
      <c r="K373" s="627" t="n">
        <v>0.997916666666667</v>
      </c>
      <c r="L373" s="410"/>
      <c r="M373" s="506" t="n">
        <v>-22</v>
      </c>
      <c r="N373" s="410"/>
      <c r="O373" s="313" t="n">
        <v>17</v>
      </c>
      <c r="P373" s="474" t="n">
        <v>23.95</v>
      </c>
      <c r="Q373" s="377"/>
      <c r="R373" s="410"/>
    </row>
    <row r="374" customFormat="false" ht="12.75" hidden="false" customHeight="false" outlineLevel="0" collapsed="false">
      <c r="A374" s="626"/>
      <c r="B374" s="305" t="s">
        <v>277</v>
      </c>
      <c r="C374" s="305" t="s">
        <v>660</v>
      </c>
      <c r="D374" s="306" t="n">
        <v>48</v>
      </c>
      <c r="E374" s="306" t="n">
        <v>0</v>
      </c>
      <c r="F374" s="305" t="s">
        <v>648</v>
      </c>
      <c r="G374" s="306" t="n">
        <v>24</v>
      </c>
      <c r="H374" s="325" t="n">
        <v>90.0826446280992</v>
      </c>
      <c r="I374" s="473"/>
      <c r="J374" s="313" t="n">
        <v>0</v>
      </c>
      <c r="K374" s="627" t="n">
        <v>1.33125</v>
      </c>
      <c r="L374" s="410"/>
      <c r="M374" s="506" t="n">
        <v>-42</v>
      </c>
      <c r="N374" s="410"/>
      <c r="O374" s="313" t="n">
        <v>16</v>
      </c>
      <c r="P374" s="474" t="n">
        <v>31.95</v>
      </c>
      <c r="Q374" s="377"/>
      <c r="R374" s="410"/>
    </row>
    <row r="375" customFormat="false" ht="12.75" hidden="false" customHeight="false" outlineLevel="0" collapsed="false">
      <c r="A375" s="626"/>
      <c r="B375" s="305" t="s">
        <v>497</v>
      </c>
      <c r="C375" s="305" t="s">
        <v>661</v>
      </c>
      <c r="D375" s="306" t="n">
        <v>60</v>
      </c>
      <c r="E375" s="306" t="n">
        <v>0</v>
      </c>
      <c r="F375" s="305" t="s">
        <v>662</v>
      </c>
      <c r="G375" s="306" t="n">
        <v>24</v>
      </c>
      <c r="H375" s="325" t="n">
        <v>55.3719008264463</v>
      </c>
      <c r="I375" s="473"/>
      <c r="J375" s="313" t="n">
        <v>0</v>
      </c>
      <c r="K375" s="627" t="n">
        <v>1.55208333333333</v>
      </c>
      <c r="L375" s="410"/>
      <c r="M375" s="506" t="n">
        <v>5</v>
      </c>
      <c r="N375" s="410"/>
      <c r="O375" s="313" t="n">
        <v>23</v>
      </c>
      <c r="P375" s="474" t="n">
        <v>37.25</v>
      </c>
      <c r="Q375" s="377"/>
      <c r="R375" s="410"/>
    </row>
    <row r="376" customFormat="false" ht="12.75" hidden="false" customHeight="false" outlineLevel="0" collapsed="false">
      <c r="A376" s="626"/>
      <c r="B376" s="305" t="s">
        <v>510</v>
      </c>
      <c r="C376" s="305" t="s">
        <v>663</v>
      </c>
      <c r="D376" s="306" t="n">
        <v>58</v>
      </c>
      <c r="E376" s="306" t="n">
        <v>0</v>
      </c>
      <c r="F376" s="305" t="s">
        <v>662</v>
      </c>
      <c r="G376" s="306" t="n">
        <v>24</v>
      </c>
      <c r="H376" s="325" t="n">
        <v>55.3719008264463</v>
      </c>
      <c r="I376" s="473"/>
      <c r="J376" s="313" t="n">
        <v>0</v>
      </c>
      <c r="K376" s="627" t="n">
        <v>1.55208333333333</v>
      </c>
      <c r="L376" s="410"/>
      <c r="M376" s="506" t="n">
        <v>3</v>
      </c>
      <c r="N376" s="410"/>
      <c r="O376" s="313" t="n">
        <v>21</v>
      </c>
      <c r="P376" s="474" t="n">
        <v>37.25</v>
      </c>
      <c r="Q376" s="377"/>
      <c r="R376" s="410"/>
    </row>
    <row r="377" customFormat="false" ht="12.75" hidden="false" customHeight="false" outlineLevel="0" collapsed="false">
      <c r="A377" s="626"/>
      <c r="B377" s="305" t="s">
        <v>664</v>
      </c>
      <c r="C377" s="305" t="s">
        <v>665</v>
      </c>
      <c r="D377" s="306" t="n">
        <v>48</v>
      </c>
      <c r="E377" s="306" t="n">
        <v>0</v>
      </c>
      <c r="F377" s="305" t="s">
        <v>643</v>
      </c>
      <c r="G377" s="306" t="n">
        <v>24</v>
      </c>
      <c r="H377" s="325" t="n">
        <v>41.3223140495868</v>
      </c>
      <c r="I377" s="473"/>
      <c r="J377" s="313" t="n">
        <v>0</v>
      </c>
      <c r="K377" s="627" t="n">
        <v>1.20833333333333</v>
      </c>
      <c r="L377" s="410"/>
      <c r="M377" s="506" t="n">
        <v>7</v>
      </c>
      <c r="N377" s="410"/>
      <c r="O377" s="313" t="n">
        <v>19</v>
      </c>
      <c r="P377" s="474" t="n">
        <v>29</v>
      </c>
      <c r="Q377" s="377"/>
      <c r="R377" s="410"/>
    </row>
    <row r="378" customFormat="false" ht="12.75" hidden="false" customHeight="false" outlineLevel="0" collapsed="false">
      <c r="A378" s="626"/>
      <c r="B378" s="305" t="s">
        <v>664</v>
      </c>
      <c r="C378" s="305" t="s">
        <v>666</v>
      </c>
      <c r="D378" s="306" t="n">
        <v>46</v>
      </c>
      <c r="E378" s="306" t="n">
        <v>0</v>
      </c>
      <c r="F378" s="305" t="s">
        <v>643</v>
      </c>
      <c r="G378" s="306" t="n">
        <v>24</v>
      </c>
      <c r="H378" s="325" t="n">
        <v>41.3223140495868</v>
      </c>
      <c r="I378" s="473"/>
      <c r="J378" s="313" t="n">
        <v>0</v>
      </c>
      <c r="K378" s="627" t="n">
        <v>1.14583333333333</v>
      </c>
      <c r="L378" s="410"/>
      <c r="M378" s="506" t="n">
        <v>5</v>
      </c>
      <c r="N378" s="410"/>
      <c r="O378" s="313" t="n">
        <v>19</v>
      </c>
      <c r="P378" s="474" t="n">
        <v>27.5</v>
      </c>
      <c r="Q378" s="377"/>
      <c r="R378" s="410"/>
    </row>
    <row r="379" customFormat="false" ht="12.75" hidden="false" customHeight="false" outlineLevel="0" collapsed="false">
      <c r="A379" s="626"/>
      <c r="B379" s="305" t="s">
        <v>277</v>
      </c>
      <c r="C379" s="305" t="s">
        <v>667</v>
      </c>
      <c r="D379" s="306" t="n">
        <v>59</v>
      </c>
      <c r="E379" s="306" t="n">
        <v>0</v>
      </c>
      <c r="F379" s="305" t="s">
        <v>643</v>
      </c>
      <c r="G379" s="306" t="n">
        <v>24</v>
      </c>
      <c r="H379" s="325" t="n">
        <v>58.6776859504132</v>
      </c>
      <c r="I379" s="473"/>
      <c r="J379" s="313" t="n">
        <v>0</v>
      </c>
      <c r="K379" s="627" t="n">
        <v>1.68333333333333</v>
      </c>
      <c r="L379" s="410"/>
      <c r="M379" s="506" t="n">
        <v>0</v>
      </c>
      <c r="N379" s="410"/>
      <c r="O379" s="313" t="n">
        <v>19</v>
      </c>
      <c r="P379" s="474" t="n">
        <v>40.4</v>
      </c>
      <c r="Q379" s="377"/>
      <c r="R379" s="410"/>
    </row>
    <row r="380" customFormat="false" ht="12.75" hidden="false" customHeight="false" outlineLevel="0" collapsed="false">
      <c r="A380" s="626"/>
      <c r="B380" s="305" t="s">
        <v>668</v>
      </c>
      <c r="C380" s="305" t="s">
        <v>673</v>
      </c>
      <c r="D380" s="306" t="n">
        <v>652</v>
      </c>
      <c r="E380" s="306" t="n">
        <v>0</v>
      </c>
      <c r="F380" s="305" t="s">
        <v>670</v>
      </c>
      <c r="G380" s="306" t="n">
        <v>24</v>
      </c>
      <c r="H380" s="325" t="n">
        <v>596.694214876033</v>
      </c>
      <c r="I380" s="473"/>
      <c r="J380" s="313" t="n">
        <v>0</v>
      </c>
      <c r="K380" s="627" t="n">
        <v>20.4766666666667</v>
      </c>
      <c r="L380" s="410"/>
      <c r="M380" s="506" t="n">
        <v>55</v>
      </c>
      <c r="N380" s="410"/>
      <c r="O380" s="313" t="n">
        <v>161</v>
      </c>
      <c r="P380" s="474" t="n">
        <v>491.44</v>
      </c>
      <c r="Q380" s="377"/>
      <c r="R380" s="410"/>
    </row>
    <row r="381" customFormat="false" ht="12.75" hidden="false" customHeight="false" outlineLevel="0" collapsed="false">
      <c r="A381" s="626"/>
      <c r="B381" s="305" t="s">
        <v>668</v>
      </c>
      <c r="C381" s="305" t="s">
        <v>673</v>
      </c>
      <c r="D381" s="306" t="n">
        <v>652</v>
      </c>
      <c r="E381" s="306" t="n">
        <v>0</v>
      </c>
      <c r="F381" s="305" t="s">
        <v>670</v>
      </c>
      <c r="G381" s="306" t="n">
        <v>48</v>
      </c>
      <c r="H381" s="325" t="n">
        <v>596.694214876033</v>
      </c>
      <c r="I381" s="473"/>
      <c r="J381" s="313" t="n">
        <v>0</v>
      </c>
      <c r="K381" s="627" t="n">
        <v>10.2383333333333</v>
      </c>
      <c r="L381" s="410"/>
      <c r="M381" s="506" t="n">
        <v>55</v>
      </c>
      <c r="N381" s="410"/>
      <c r="O381" s="313" t="n">
        <v>161</v>
      </c>
      <c r="P381" s="474" t="n">
        <v>491.44</v>
      </c>
      <c r="Q381" s="377"/>
      <c r="R381" s="410"/>
    </row>
    <row r="382" customFormat="false" ht="12.75" hidden="false" customHeight="false" outlineLevel="0" collapsed="false">
      <c r="A382" s="626"/>
      <c r="B382" s="305" t="s">
        <v>668</v>
      </c>
      <c r="C382" s="305" t="s">
        <v>669</v>
      </c>
      <c r="D382" s="306" t="n">
        <v>781</v>
      </c>
      <c r="E382" s="306" t="n">
        <v>0</v>
      </c>
      <c r="F382" s="305" t="s">
        <v>670</v>
      </c>
      <c r="G382" s="306" t="n">
        <v>24</v>
      </c>
      <c r="H382" s="325" t="n">
        <v>620.661157024793</v>
      </c>
      <c r="I382" s="473"/>
      <c r="J382" s="313" t="n">
        <v>0</v>
      </c>
      <c r="K382" s="627" t="n">
        <v>21.4608333333333</v>
      </c>
      <c r="L382" s="410"/>
      <c r="M382" s="506" t="n">
        <v>160</v>
      </c>
      <c r="N382" s="410"/>
      <c r="O382" s="313" t="n">
        <v>266</v>
      </c>
      <c r="P382" s="474" t="n">
        <v>515.06</v>
      </c>
      <c r="Q382" s="377"/>
      <c r="R382" s="410"/>
    </row>
    <row r="383" customFormat="false" ht="12.75" hidden="false" customHeight="false" outlineLevel="0" collapsed="false">
      <c r="A383" s="626"/>
      <c r="B383" s="305" t="s">
        <v>668</v>
      </c>
      <c r="C383" s="305" t="s">
        <v>669</v>
      </c>
      <c r="D383" s="306" t="n">
        <v>781</v>
      </c>
      <c r="E383" s="306" t="n">
        <v>0</v>
      </c>
      <c r="F383" s="305" t="s">
        <v>670</v>
      </c>
      <c r="G383" s="306" t="n">
        <v>48</v>
      </c>
      <c r="H383" s="325" t="n">
        <v>620.661157024793</v>
      </c>
      <c r="I383" s="473"/>
      <c r="J383" s="313" t="n">
        <v>0</v>
      </c>
      <c r="K383" s="627" t="n">
        <v>10.7304166666667</v>
      </c>
      <c r="L383" s="410"/>
      <c r="M383" s="506" t="n">
        <v>160</v>
      </c>
      <c r="N383" s="410"/>
      <c r="O383" s="313" t="n">
        <v>266</v>
      </c>
      <c r="P383" s="474" t="n">
        <v>515.06</v>
      </c>
      <c r="Q383" s="377"/>
      <c r="R383" s="410"/>
    </row>
    <row r="384" customFormat="false" ht="12.75" hidden="false" customHeight="false" outlineLevel="0" collapsed="false">
      <c r="A384" s="626"/>
      <c r="B384" s="305" t="s">
        <v>200</v>
      </c>
      <c r="C384" s="305" t="s">
        <v>689</v>
      </c>
      <c r="D384" s="306" t="n">
        <v>215</v>
      </c>
      <c r="E384" s="306" t="n">
        <v>0</v>
      </c>
      <c r="F384" s="305" t="s">
        <v>670</v>
      </c>
      <c r="G384" s="306" t="n">
        <v>24</v>
      </c>
      <c r="H384" s="325" t="n">
        <v>214.04958677686</v>
      </c>
      <c r="I384" s="473"/>
      <c r="J384" s="313" t="n">
        <v>0</v>
      </c>
      <c r="K384" s="627" t="n">
        <v>7.29166666666667</v>
      </c>
      <c r="L384" s="410"/>
      <c r="M384" s="506" t="n">
        <v>1</v>
      </c>
      <c r="N384" s="410"/>
      <c r="O384" s="313" t="n">
        <v>40</v>
      </c>
      <c r="P384" s="474" t="n">
        <v>175</v>
      </c>
      <c r="Q384" s="377"/>
      <c r="R384" s="410"/>
    </row>
    <row r="385" customFormat="false" ht="12.75" hidden="false" customHeight="false" outlineLevel="0" collapsed="false">
      <c r="A385" s="626"/>
      <c r="B385" s="305" t="s">
        <v>200</v>
      </c>
      <c r="C385" s="305" t="s">
        <v>689</v>
      </c>
      <c r="D385" s="306" t="n">
        <v>215</v>
      </c>
      <c r="E385" s="306" t="n">
        <v>0</v>
      </c>
      <c r="F385" s="305" t="s">
        <v>670</v>
      </c>
      <c r="G385" s="306" t="n">
        <v>48</v>
      </c>
      <c r="H385" s="325" t="n">
        <v>214.04958677686</v>
      </c>
      <c r="I385" s="473"/>
      <c r="J385" s="313" t="n">
        <v>0</v>
      </c>
      <c r="K385" s="627" t="n">
        <v>3.64583333333333</v>
      </c>
      <c r="L385" s="410"/>
      <c r="M385" s="506" t="n">
        <v>1</v>
      </c>
      <c r="N385" s="410"/>
      <c r="O385" s="313" t="n">
        <v>40</v>
      </c>
      <c r="P385" s="474" t="n">
        <v>175</v>
      </c>
      <c r="Q385" s="377"/>
      <c r="R385" s="410"/>
    </row>
    <row r="386" customFormat="false" ht="12.75" hidden="false" customHeight="false" outlineLevel="0" collapsed="false">
      <c r="A386" s="626"/>
      <c r="B386" s="305" t="s">
        <v>683</v>
      </c>
      <c r="C386" s="305" t="s">
        <v>685</v>
      </c>
      <c r="D386" s="306" t="n">
        <v>148</v>
      </c>
      <c r="E386" s="306" t="n">
        <v>0</v>
      </c>
      <c r="F386" s="305" t="s">
        <v>670</v>
      </c>
      <c r="G386" s="306" t="n">
        <v>24</v>
      </c>
      <c r="H386" s="325" t="n">
        <v>91.7355371900826</v>
      </c>
      <c r="I386" s="473"/>
      <c r="J386" s="313" t="n">
        <v>0</v>
      </c>
      <c r="K386" s="627" t="n">
        <v>3.04166666666667</v>
      </c>
      <c r="L386" s="410"/>
      <c r="M386" s="506" t="n">
        <v>56</v>
      </c>
      <c r="N386" s="410"/>
      <c r="O386" s="313" t="n">
        <v>75</v>
      </c>
      <c r="P386" s="474" t="n">
        <v>73</v>
      </c>
      <c r="Q386" s="377"/>
      <c r="R386" s="410"/>
    </row>
    <row r="387" customFormat="false" ht="12.75" hidden="false" customHeight="false" outlineLevel="0" collapsed="false">
      <c r="A387" s="626"/>
      <c r="B387" s="305" t="s">
        <v>683</v>
      </c>
      <c r="C387" s="305" t="s">
        <v>685</v>
      </c>
      <c r="D387" s="306" t="n">
        <v>148</v>
      </c>
      <c r="E387" s="306" t="n">
        <v>0</v>
      </c>
      <c r="F387" s="305" t="s">
        <v>670</v>
      </c>
      <c r="G387" s="306" t="n">
        <v>48</v>
      </c>
      <c r="H387" s="325" t="n">
        <v>91.7355371900826</v>
      </c>
      <c r="I387" s="473"/>
      <c r="J387" s="313" t="n">
        <v>0</v>
      </c>
      <c r="K387" s="627" t="n">
        <v>1.52083333333333</v>
      </c>
      <c r="L387" s="410"/>
      <c r="M387" s="506" t="n">
        <v>56</v>
      </c>
      <c r="N387" s="410"/>
      <c r="O387" s="313" t="n">
        <v>75</v>
      </c>
      <c r="P387" s="474" t="n">
        <v>73</v>
      </c>
      <c r="Q387" s="377"/>
      <c r="R387" s="410"/>
    </row>
    <row r="388" customFormat="false" ht="12.75" hidden="false" customHeight="false" outlineLevel="0" collapsed="false">
      <c r="A388" s="626"/>
      <c r="B388" s="305" t="s">
        <v>683</v>
      </c>
      <c r="C388" s="305" t="s">
        <v>684</v>
      </c>
      <c r="D388" s="306" t="n">
        <v>434</v>
      </c>
      <c r="E388" s="306" t="n">
        <v>0</v>
      </c>
      <c r="F388" s="305" t="s">
        <v>670</v>
      </c>
      <c r="G388" s="306" t="n">
        <v>24</v>
      </c>
      <c r="H388" s="325" t="n">
        <v>407.438016528926</v>
      </c>
      <c r="I388" s="473"/>
      <c r="J388" s="313" t="n">
        <v>0</v>
      </c>
      <c r="K388" s="627" t="n">
        <v>12.875</v>
      </c>
      <c r="L388" s="410"/>
      <c r="M388" s="506" t="n">
        <v>27</v>
      </c>
      <c r="N388" s="410"/>
      <c r="O388" s="313" t="n">
        <v>125</v>
      </c>
      <c r="P388" s="474" t="n">
        <v>309</v>
      </c>
      <c r="Q388" s="377"/>
      <c r="R388" s="410"/>
    </row>
    <row r="389" customFormat="false" ht="12.75" hidden="false" customHeight="false" outlineLevel="0" collapsed="false">
      <c r="A389" s="626"/>
      <c r="B389" s="305" t="s">
        <v>683</v>
      </c>
      <c r="C389" s="305" t="s">
        <v>684</v>
      </c>
      <c r="D389" s="306" t="n">
        <v>434</v>
      </c>
      <c r="E389" s="306" t="n">
        <v>0</v>
      </c>
      <c r="F389" s="305" t="s">
        <v>670</v>
      </c>
      <c r="G389" s="306" t="n">
        <v>48</v>
      </c>
      <c r="H389" s="325" t="n">
        <v>407.438016528926</v>
      </c>
      <c r="I389" s="473"/>
      <c r="J389" s="313" t="n">
        <v>0</v>
      </c>
      <c r="K389" s="627" t="n">
        <v>6.4375</v>
      </c>
      <c r="L389" s="410"/>
      <c r="M389" s="506" t="n">
        <v>27</v>
      </c>
      <c r="N389" s="410"/>
      <c r="O389" s="313" t="n">
        <v>125</v>
      </c>
      <c r="P389" s="474" t="n">
        <v>309</v>
      </c>
      <c r="Q389" s="377"/>
      <c r="R389" s="410"/>
    </row>
    <row r="390" customFormat="false" ht="12.75" hidden="false" customHeight="false" outlineLevel="0" collapsed="false">
      <c r="A390" s="626"/>
      <c r="B390" s="305" t="s">
        <v>668</v>
      </c>
      <c r="C390" s="305" t="s">
        <v>674</v>
      </c>
      <c r="D390" s="306" t="n">
        <v>652</v>
      </c>
      <c r="E390" s="306" t="n">
        <v>0</v>
      </c>
      <c r="F390" s="305" t="s">
        <v>670</v>
      </c>
      <c r="G390" s="306" t="n">
        <v>24</v>
      </c>
      <c r="H390" s="325" t="n">
        <v>596.694214876033</v>
      </c>
      <c r="I390" s="473"/>
      <c r="J390" s="313" t="n">
        <v>0</v>
      </c>
      <c r="K390" s="627" t="n">
        <v>20.4766666666667</v>
      </c>
      <c r="L390" s="410"/>
      <c r="M390" s="506" t="n">
        <v>55</v>
      </c>
      <c r="N390" s="410"/>
      <c r="O390" s="313" t="n">
        <v>161</v>
      </c>
      <c r="P390" s="474" t="n">
        <v>491.44</v>
      </c>
      <c r="Q390" s="377"/>
      <c r="R390" s="410"/>
    </row>
    <row r="391" customFormat="false" ht="12.75" hidden="false" customHeight="false" outlineLevel="0" collapsed="false">
      <c r="A391" s="626"/>
      <c r="B391" s="305" t="s">
        <v>668</v>
      </c>
      <c r="C391" s="305" t="s">
        <v>674</v>
      </c>
      <c r="D391" s="306" t="n">
        <v>652</v>
      </c>
      <c r="E391" s="306" t="n">
        <v>0</v>
      </c>
      <c r="F391" s="305" t="s">
        <v>670</v>
      </c>
      <c r="G391" s="306" t="n">
        <v>48</v>
      </c>
      <c r="H391" s="325" t="n">
        <v>596.694214876033</v>
      </c>
      <c r="I391" s="473"/>
      <c r="J391" s="313" t="n">
        <v>0</v>
      </c>
      <c r="K391" s="627" t="n">
        <v>10.2383333333333</v>
      </c>
      <c r="L391" s="410"/>
      <c r="M391" s="506" t="n">
        <v>55</v>
      </c>
      <c r="N391" s="410"/>
      <c r="O391" s="313" t="n">
        <v>161</v>
      </c>
      <c r="P391" s="474" t="n">
        <v>491.44</v>
      </c>
      <c r="Q391" s="377"/>
      <c r="R391" s="410"/>
    </row>
    <row r="392" customFormat="false" ht="12.75" hidden="false" customHeight="false" outlineLevel="0" collapsed="false">
      <c r="A392" s="626"/>
      <c r="B392" s="305" t="s">
        <v>497</v>
      </c>
      <c r="C392" s="305" t="s">
        <v>688</v>
      </c>
      <c r="D392" s="306" t="n">
        <v>116</v>
      </c>
      <c r="E392" s="306" t="n">
        <v>0</v>
      </c>
      <c r="F392" s="305" t="s">
        <v>670</v>
      </c>
      <c r="G392" s="306" t="n">
        <v>24</v>
      </c>
      <c r="H392" s="325" t="n">
        <v>85.1239669421488</v>
      </c>
      <c r="I392" s="473"/>
      <c r="J392" s="313" t="n">
        <v>0</v>
      </c>
      <c r="K392" s="627" t="n">
        <v>2.78666666666667</v>
      </c>
      <c r="L392" s="410"/>
      <c r="M392" s="506" t="n">
        <v>31</v>
      </c>
      <c r="N392" s="410"/>
      <c r="O392" s="313" t="n">
        <v>49</v>
      </c>
      <c r="P392" s="474" t="n">
        <v>66.88</v>
      </c>
      <c r="Q392" s="377"/>
      <c r="R392" s="410"/>
    </row>
    <row r="393" customFormat="false" ht="12.75" hidden="false" customHeight="false" outlineLevel="0" collapsed="false">
      <c r="A393" s="626"/>
      <c r="B393" s="305" t="s">
        <v>679</v>
      </c>
      <c r="C393" s="305" t="s">
        <v>680</v>
      </c>
      <c r="D393" s="306" t="n">
        <v>72</v>
      </c>
      <c r="E393" s="306" t="n">
        <v>0</v>
      </c>
      <c r="F393" s="305" t="s">
        <v>670</v>
      </c>
      <c r="G393" s="306" t="n">
        <v>24</v>
      </c>
      <c r="H393" s="325" t="n">
        <v>82.6446280991736</v>
      </c>
      <c r="I393" s="473"/>
      <c r="J393" s="313" t="n">
        <v>0</v>
      </c>
      <c r="K393" s="627" t="n">
        <v>2.17833333333333</v>
      </c>
      <c r="L393" s="410"/>
      <c r="M393" s="506" t="n">
        <v>-11</v>
      </c>
      <c r="N393" s="410"/>
      <c r="O393" s="313" t="n">
        <v>20</v>
      </c>
      <c r="P393" s="474" t="n">
        <v>52.28</v>
      </c>
      <c r="Q393" s="377"/>
      <c r="R393" s="410"/>
    </row>
    <row r="394" customFormat="false" ht="12.75" hidden="false" customHeight="false" outlineLevel="0" collapsed="false">
      <c r="A394" s="626"/>
      <c r="B394" s="305" t="s">
        <v>679</v>
      </c>
      <c r="C394" s="305" t="s">
        <v>681</v>
      </c>
      <c r="D394" s="306" t="n">
        <v>83</v>
      </c>
      <c r="E394" s="306" t="n">
        <v>0</v>
      </c>
      <c r="F394" s="305" t="s">
        <v>670</v>
      </c>
      <c r="G394" s="306" t="n">
        <v>24</v>
      </c>
      <c r="H394" s="325" t="n">
        <v>90.9090909090909</v>
      </c>
      <c r="I394" s="473"/>
      <c r="J394" s="313" t="n">
        <v>0</v>
      </c>
      <c r="K394" s="627" t="n">
        <v>2.68875</v>
      </c>
      <c r="L394" s="410"/>
      <c r="M394" s="506" t="n">
        <v>-8</v>
      </c>
      <c r="N394" s="410"/>
      <c r="O394" s="313" t="n">
        <v>18</v>
      </c>
      <c r="P394" s="474" t="n">
        <v>64.53</v>
      </c>
      <c r="Q394" s="377"/>
      <c r="R394" s="410"/>
    </row>
    <row r="395" customFormat="false" ht="12.75" hidden="false" customHeight="false" outlineLevel="0" collapsed="false">
      <c r="A395" s="626"/>
      <c r="B395" s="305" t="s">
        <v>200</v>
      </c>
      <c r="C395" s="305" t="s">
        <v>682</v>
      </c>
      <c r="D395" s="306" t="n">
        <v>367</v>
      </c>
      <c r="E395" s="306" t="n">
        <v>0</v>
      </c>
      <c r="F395" s="305" t="s">
        <v>670</v>
      </c>
      <c r="G395" s="306" t="n">
        <v>24</v>
      </c>
      <c r="H395" s="325" t="n">
        <v>366.942148760331</v>
      </c>
      <c r="I395" s="473"/>
      <c r="J395" s="313" t="n">
        <v>0</v>
      </c>
      <c r="K395" s="627" t="n">
        <v>12.1375</v>
      </c>
      <c r="L395" s="410"/>
      <c r="M395" s="506" t="n">
        <v>0</v>
      </c>
      <c r="N395" s="410"/>
      <c r="O395" s="313" t="n">
        <v>76</v>
      </c>
      <c r="P395" s="474" t="n">
        <v>291.3</v>
      </c>
      <c r="Q395" s="377"/>
      <c r="R395" s="410"/>
    </row>
    <row r="396" customFormat="false" ht="12.75" hidden="false" customHeight="false" outlineLevel="0" collapsed="false">
      <c r="A396" s="626"/>
      <c r="B396" s="305" t="s">
        <v>200</v>
      </c>
      <c r="C396" s="305" t="s">
        <v>682</v>
      </c>
      <c r="D396" s="306" t="n">
        <v>367</v>
      </c>
      <c r="E396" s="306" t="n">
        <v>0</v>
      </c>
      <c r="F396" s="305" t="s">
        <v>670</v>
      </c>
      <c r="G396" s="306" t="n">
        <v>48</v>
      </c>
      <c r="H396" s="325" t="n">
        <v>366.942148760331</v>
      </c>
      <c r="I396" s="473"/>
      <c r="J396" s="313" t="n">
        <v>0</v>
      </c>
      <c r="K396" s="627" t="n">
        <v>6.06875</v>
      </c>
      <c r="L396" s="410"/>
      <c r="M396" s="506" t="n">
        <v>0</v>
      </c>
      <c r="N396" s="410"/>
      <c r="O396" s="313" t="n">
        <v>76</v>
      </c>
      <c r="P396" s="474" t="n">
        <v>291.3</v>
      </c>
      <c r="Q396" s="377"/>
      <c r="R396" s="410"/>
    </row>
    <row r="397" customFormat="false" ht="12.75" hidden="false" customHeight="false" outlineLevel="0" collapsed="false">
      <c r="A397" s="626"/>
      <c r="B397" s="305" t="s">
        <v>668</v>
      </c>
      <c r="C397" s="305" t="s">
        <v>671</v>
      </c>
      <c r="D397" s="306" t="n">
        <v>482</v>
      </c>
      <c r="E397" s="306" t="n">
        <v>0</v>
      </c>
      <c r="F397" s="305" t="s">
        <v>670</v>
      </c>
      <c r="G397" s="306" t="n">
        <v>24</v>
      </c>
      <c r="H397" s="325" t="n">
        <v>419.834710743802</v>
      </c>
      <c r="I397" s="473"/>
      <c r="J397" s="313" t="n">
        <v>0</v>
      </c>
      <c r="K397" s="627" t="n">
        <v>13.9183333333333</v>
      </c>
      <c r="L397" s="410"/>
      <c r="M397" s="506" t="n">
        <v>62</v>
      </c>
      <c r="N397" s="410"/>
      <c r="O397" s="313" t="n">
        <v>148</v>
      </c>
      <c r="P397" s="474" t="n">
        <v>334.04</v>
      </c>
      <c r="Q397" s="377"/>
      <c r="R397" s="410"/>
    </row>
    <row r="398" customFormat="false" ht="12.75" hidden="false" customHeight="false" outlineLevel="0" collapsed="false">
      <c r="A398" s="626"/>
      <c r="B398" s="305" t="s">
        <v>668</v>
      </c>
      <c r="C398" s="305" t="s">
        <v>671</v>
      </c>
      <c r="D398" s="306" t="n">
        <v>482</v>
      </c>
      <c r="E398" s="306" t="n">
        <v>0</v>
      </c>
      <c r="F398" s="305" t="s">
        <v>670</v>
      </c>
      <c r="G398" s="306" t="n">
        <v>48</v>
      </c>
      <c r="H398" s="325" t="n">
        <v>419.834710743802</v>
      </c>
      <c r="I398" s="473"/>
      <c r="J398" s="313" t="n">
        <v>0</v>
      </c>
      <c r="K398" s="627" t="n">
        <v>6.95916666666667</v>
      </c>
      <c r="L398" s="410"/>
      <c r="M398" s="506" t="n">
        <v>62</v>
      </c>
      <c r="N398" s="410"/>
      <c r="O398" s="313" t="n">
        <v>148</v>
      </c>
      <c r="P398" s="474" t="n">
        <v>334.04</v>
      </c>
      <c r="Q398" s="377"/>
      <c r="R398" s="410"/>
    </row>
    <row r="399" customFormat="false" ht="12.75" hidden="false" customHeight="false" outlineLevel="0" collapsed="false">
      <c r="A399" s="626"/>
      <c r="B399" s="305" t="s">
        <v>668</v>
      </c>
      <c r="C399" s="305" t="s">
        <v>675</v>
      </c>
      <c r="D399" s="306" t="n">
        <v>775</v>
      </c>
      <c r="E399" s="306" t="n">
        <v>0</v>
      </c>
      <c r="F399" s="305" t="s">
        <v>670</v>
      </c>
      <c r="G399" s="306" t="n">
        <v>24</v>
      </c>
      <c r="H399" s="325" t="n">
        <v>666.942148760331</v>
      </c>
      <c r="I399" s="473"/>
      <c r="J399" s="313" t="n">
        <v>0</v>
      </c>
      <c r="K399" s="627" t="n">
        <v>23.3866666666667</v>
      </c>
      <c r="L399" s="410"/>
      <c r="M399" s="506" t="n">
        <v>108</v>
      </c>
      <c r="N399" s="410"/>
      <c r="O399" s="313" t="n">
        <v>214</v>
      </c>
      <c r="P399" s="474" t="n">
        <v>561.28</v>
      </c>
      <c r="Q399" s="377"/>
      <c r="R399" s="410"/>
    </row>
    <row r="400" customFormat="false" ht="12.75" hidden="false" customHeight="false" outlineLevel="0" collapsed="false">
      <c r="A400" s="626"/>
      <c r="B400" s="305" t="s">
        <v>668</v>
      </c>
      <c r="C400" s="305" t="s">
        <v>675</v>
      </c>
      <c r="D400" s="306" t="n">
        <v>775</v>
      </c>
      <c r="E400" s="306" t="n">
        <v>0</v>
      </c>
      <c r="F400" s="305" t="s">
        <v>670</v>
      </c>
      <c r="G400" s="306" t="n">
        <v>48</v>
      </c>
      <c r="H400" s="325" t="n">
        <v>666.942148760331</v>
      </c>
      <c r="I400" s="473"/>
      <c r="J400" s="313" t="n">
        <v>0</v>
      </c>
      <c r="K400" s="627" t="n">
        <v>11.6933333333333</v>
      </c>
      <c r="L400" s="410"/>
      <c r="M400" s="506" t="n">
        <v>108</v>
      </c>
      <c r="N400" s="410"/>
      <c r="O400" s="313" t="n">
        <v>214</v>
      </c>
      <c r="P400" s="474" t="n">
        <v>561.28</v>
      </c>
      <c r="Q400" s="377"/>
      <c r="R400" s="410"/>
    </row>
    <row r="401" customFormat="false" ht="12.75" hidden="false" customHeight="false" outlineLevel="0" collapsed="false">
      <c r="A401" s="626"/>
      <c r="B401" s="305" t="s">
        <v>668</v>
      </c>
      <c r="C401" s="305" t="s">
        <v>676</v>
      </c>
      <c r="D401" s="306" t="n">
        <v>946</v>
      </c>
      <c r="E401" s="306" t="n">
        <v>0</v>
      </c>
      <c r="F401" s="305" t="s">
        <v>670</v>
      </c>
      <c r="G401" s="306" t="n">
        <v>24</v>
      </c>
      <c r="H401" s="325" t="n">
        <v>847.933884297521</v>
      </c>
      <c r="I401" s="473"/>
      <c r="J401" s="313" t="n">
        <v>0</v>
      </c>
      <c r="K401" s="627" t="n">
        <v>29.2408333333333</v>
      </c>
      <c r="L401" s="410"/>
      <c r="M401" s="506" t="n">
        <v>98</v>
      </c>
      <c r="N401" s="410"/>
      <c r="O401" s="313" t="n">
        <v>244</v>
      </c>
      <c r="P401" s="474" t="n">
        <v>701.78</v>
      </c>
      <c r="Q401" s="377"/>
      <c r="R401" s="410"/>
    </row>
    <row r="402" customFormat="false" ht="12.75" hidden="false" customHeight="false" outlineLevel="0" collapsed="false">
      <c r="A402" s="626"/>
      <c r="B402" s="305" t="s">
        <v>668</v>
      </c>
      <c r="C402" s="305" t="s">
        <v>676</v>
      </c>
      <c r="D402" s="306" t="n">
        <v>946</v>
      </c>
      <c r="E402" s="306" t="n">
        <v>0</v>
      </c>
      <c r="F402" s="305" t="s">
        <v>670</v>
      </c>
      <c r="G402" s="306" t="n">
        <v>48</v>
      </c>
      <c r="H402" s="325" t="n">
        <v>847.933884297521</v>
      </c>
      <c r="I402" s="473"/>
      <c r="J402" s="313" t="n">
        <v>0</v>
      </c>
      <c r="K402" s="627" t="n">
        <v>14.6204166666667</v>
      </c>
      <c r="L402" s="410"/>
      <c r="M402" s="506" t="n">
        <v>98</v>
      </c>
      <c r="N402" s="410"/>
      <c r="O402" s="313" t="n">
        <v>244</v>
      </c>
      <c r="P402" s="474" t="n">
        <v>701.78</v>
      </c>
      <c r="Q402" s="377"/>
      <c r="R402" s="410"/>
    </row>
    <row r="403" customFormat="false" ht="12.75" hidden="false" customHeight="false" outlineLevel="0" collapsed="false">
      <c r="A403" s="626"/>
      <c r="B403" s="305" t="s">
        <v>497</v>
      </c>
      <c r="C403" s="305" t="s">
        <v>690</v>
      </c>
      <c r="D403" s="306" t="n">
        <v>188</v>
      </c>
      <c r="E403" s="306" t="n">
        <v>0</v>
      </c>
      <c r="F403" s="305" t="s">
        <v>670</v>
      </c>
      <c r="G403" s="306" t="n">
        <v>24</v>
      </c>
      <c r="H403" s="325" t="n">
        <v>172.727272727273</v>
      </c>
      <c r="I403" s="473"/>
      <c r="J403" s="313" t="n">
        <v>0</v>
      </c>
      <c r="K403" s="627" t="n">
        <v>5.58541666666667</v>
      </c>
      <c r="L403" s="410"/>
      <c r="M403" s="506" t="n">
        <v>15</v>
      </c>
      <c r="N403" s="410"/>
      <c r="O403" s="313" t="n">
        <v>54</v>
      </c>
      <c r="P403" s="474" t="n">
        <v>134.05</v>
      </c>
      <c r="Q403" s="377"/>
      <c r="R403" s="410"/>
    </row>
    <row r="404" customFormat="false" ht="12.75" hidden="false" customHeight="false" outlineLevel="0" collapsed="false">
      <c r="A404" s="626"/>
      <c r="B404" s="305" t="s">
        <v>497</v>
      </c>
      <c r="C404" s="305" t="s">
        <v>690</v>
      </c>
      <c r="D404" s="306" t="n">
        <v>188</v>
      </c>
      <c r="E404" s="306" t="n">
        <v>0</v>
      </c>
      <c r="F404" s="305" t="s">
        <v>670</v>
      </c>
      <c r="G404" s="306" t="n">
        <v>48</v>
      </c>
      <c r="H404" s="325" t="n">
        <v>172.727272727273</v>
      </c>
      <c r="I404" s="473"/>
      <c r="J404" s="313" t="n">
        <v>0</v>
      </c>
      <c r="K404" s="627" t="n">
        <v>2.79270833333333</v>
      </c>
      <c r="L404" s="410"/>
      <c r="M404" s="506" t="n">
        <v>15</v>
      </c>
      <c r="N404" s="410"/>
      <c r="O404" s="313" t="n">
        <v>54</v>
      </c>
      <c r="P404" s="474" t="n">
        <v>134.05</v>
      </c>
      <c r="Q404" s="377"/>
      <c r="R404" s="410"/>
    </row>
    <row r="405" customFormat="false" ht="12.75" hidden="false" customHeight="false" outlineLevel="0" collapsed="false">
      <c r="A405" s="626"/>
      <c r="B405" s="305" t="s">
        <v>497</v>
      </c>
      <c r="C405" s="305" t="s">
        <v>691</v>
      </c>
      <c r="D405" s="306" t="n">
        <v>374</v>
      </c>
      <c r="E405" s="306" t="n">
        <v>0</v>
      </c>
      <c r="F405" s="305" t="s">
        <v>670</v>
      </c>
      <c r="G405" s="306" t="n">
        <v>24</v>
      </c>
      <c r="H405" s="325" t="n">
        <v>343.801652892562</v>
      </c>
      <c r="I405" s="473"/>
      <c r="J405" s="313" t="n">
        <v>0</v>
      </c>
      <c r="K405" s="627" t="n">
        <v>11.17125</v>
      </c>
      <c r="L405" s="410"/>
      <c r="M405" s="506" t="n">
        <v>30</v>
      </c>
      <c r="N405" s="410"/>
      <c r="O405" s="313" t="n">
        <v>106</v>
      </c>
      <c r="P405" s="474" t="n">
        <v>268.11</v>
      </c>
      <c r="Q405" s="377"/>
      <c r="R405" s="410"/>
    </row>
    <row r="406" customFormat="false" ht="12.75" hidden="false" customHeight="false" outlineLevel="0" collapsed="false">
      <c r="A406" s="626"/>
      <c r="B406" s="305" t="s">
        <v>497</v>
      </c>
      <c r="C406" s="305" t="s">
        <v>691</v>
      </c>
      <c r="D406" s="306" t="n">
        <v>374</v>
      </c>
      <c r="E406" s="306" t="n">
        <v>0</v>
      </c>
      <c r="F406" s="305" t="s">
        <v>670</v>
      </c>
      <c r="G406" s="306" t="n">
        <v>48</v>
      </c>
      <c r="H406" s="325" t="n">
        <v>343.801652892562</v>
      </c>
      <c r="I406" s="473"/>
      <c r="J406" s="313" t="n">
        <v>0</v>
      </c>
      <c r="K406" s="627" t="n">
        <v>5.585625</v>
      </c>
      <c r="L406" s="410"/>
      <c r="M406" s="506" t="n">
        <v>30</v>
      </c>
      <c r="N406" s="410"/>
      <c r="O406" s="313" t="n">
        <v>106</v>
      </c>
      <c r="P406" s="474" t="n">
        <v>268.11</v>
      </c>
      <c r="Q406" s="377"/>
      <c r="R406" s="410"/>
    </row>
    <row r="407" customFormat="false" ht="12.75" hidden="false" customHeight="false" outlineLevel="0" collapsed="false">
      <c r="A407" s="626"/>
      <c r="B407" s="305" t="s">
        <v>668</v>
      </c>
      <c r="C407" s="305" t="s">
        <v>672</v>
      </c>
      <c r="D407" s="306" t="n">
        <v>482</v>
      </c>
      <c r="E407" s="306" t="n">
        <v>0</v>
      </c>
      <c r="F407" s="305" t="s">
        <v>670</v>
      </c>
      <c r="G407" s="306" t="n">
        <v>24</v>
      </c>
      <c r="H407" s="325" t="n">
        <v>419.834710743802</v>
      </c>
      <c r="I407" s="473"/>
      <c r="J407" s="313" t="n">
        <v>0</v>
      </c>
      <c r="K407" s="627" t="n">
        <v>13.9183333333333</v>
      </c>
      <c r="L407" s="410"/>
      <c r="M407" s="506" t="n">
        <v>62</v>
      </c>
      <c r="N407" s="410"/>
      <c r="O407" s="313" t="n">
        <v>148</v>
      </c>
      <c r="P407" s="474" t="n">
        <v>334.04</v>
      </c>
      <c r="Q407" s="377"/>
      <c r="R407" s="410"/>
    </row>
    <row r="408" customFormat="false" ht="12.75" hidden="false" customHeight="false" outlineLevel="0" collapsed="false">
      <c r="A408" s="626"/>
      <c r="B408" s="305" t="s">
        <v>668</v>
      </c>
      <c r="C408" s="305" t="s">
        <v>672</v>
      </c>
      <c r="D408" s="306" t="n">
        <v>482</v>
      </c>
      <c r="E408" s="306" t="n">
        <v>0</v>
      </c>
      <c r="F408" s="305" t="s">
        <v>670</v>
      </c>
      <c r="G408" s="306" t="n">
        <v>48</v>
      </c>
      <c r="H408" s="325" t="n">
        <v>419.834710743802</v>
      </c>
      <c r="I408" s="473"/>
      <c r="J408" s="313" t="n">
        <v>0</v>
      </c>
      <c r="K408" s="627" t="n">
        <v>6.95916666666667</v>
      </c>
      <c r="L408" s="410"/>
      <c r="M408" s="506" t="n">
        <v>62</v>
      </c>
      <c r="N408" s="410"/>
      <c r="O408" s="313" t="n">
        <v>148</v>
      </c>
      <c r="P408" s="474" t="n">
        <v>334.04</v>
      </c>
      <c r="Q408" s="377"/>
      <c r="R408" s="410"/>
    </row>
    <row r="409" customFormat="false" ht="12.75" hidden="false" customHeight="false" outlineLevel="0" collapsed="false">
      <c r="A409" s="626"/>
      <c r="B409" s="305" t="s">
        <v>694</v>
      </c>
      <c r="C409" s="305" t="s">
        <v>695</v>
      </c>
      <c r="D409" s="306" t="n">
        <v>53</v>
      </c>
      <c r="E409" s="306" t="n">
        <v>5.25</v>
      </c>
      <c r="F409" s="305" t="s">
        <v>696</v>
      </c>
      <c r="G409" s="306" t="n">
        <v>24</v>
      </c>
      <c r="H409" s="325" t="n">
        <v>52.8925619834711</v>
      </c>
      <c r="I409" s="473"/>
      <c r="J409" s="313" t="n">
        <v>0</v>
      </c>
      <c r="K409" s="627" t="n">
        <v>1.44791666666667</v>
      </c>
      <c r="L409" s="410"/>
      <c r="M409" s="506" t="n">
        <v>0</v>
      </c>
      <c r="N409" s="410"/>
      <c r="O409" s="313" t="n">
        <v>18</v>
      </c>
      <c r="P409" s="474" t="n">
        <v>34.75</v>
      </c>
      <c r="Q409" s="377"/>
      <c r="R409" s="410"/>
    </row>
    <row r="410" customFormat="false" ht="12.75" hidden="false" customHeight="false" outlineLevel="0" collapsed="false">
      <c r="A410" s="626"/>
      <c r="B410" s="305" t="s">
        <v>694</v>
      </c>
      <c r="C410" s="305" t="s">
        <v>698</v>
      </c>
      <c r="D410" s="306" t="n">
        <v>51</v>
      </c>
      <c r="E410" s="306" t="n">
        <v>5.25</v>
      </c>
      <c r="F410" s="305" t="s">
        <v>696</v>
      </c>
      <c r="G410" s="306" t="n">
        <v>24</v>
      </c>
      <c r="H410" s="325" t="n">
        <v>57.0247933884298</v>
      </c>
      <c r="I410" s="473"/>
      <c r="J410" s="313" t="n">
        <v>0</v>
      </c>
      <c r="K410" s="627" t="n">
        <v>1.39458333333333</v>
      </c>
      <c r="L410" s="410"/>
      <c r="M410" s="506" t="n">
        <v>-6</v>
      </c>
      <c r="N410" s="410"/>
      <c r="O410" s="313" t="n">
        <v>18</v>
      </c>
      <c r="P410" s="474" t="n">
        <v>33.47</v>
      </c>
      <c r="Q410" s="377"/>
      <c r="R410" s="410"/>
    </row>
    <row r="411" customFormat="false" ht="12.75" hidden="false" customHeight="false" outlineLevel="0" collapsed="false">
      <c r="A411" s="626"/>
      <c r="B411" s="305" t="s">
        <v>694</v>
      </c>
      <c r="C411" s="305" t="s">
        <v>697</v>
      </c>
      <c r="D411" s="306" t="n">
        <v>191</v>
      </c>
      <c r="E411" s="306" t="n">
        <v>5.25</v>
      </c>
      <c r="F411" s="305" t="s">
        <v>696</v>
      </c>
      <c r="G411" s="306" t="n">
        <v>24</v>
      </c>
      <c r="H411" s="325" t="n">
        <v>182.644628099174</v>
      </c>
      <c r="I411" s="473"/>
      <c r="J411" s="313" t="n">
        <v>0</v>
      </c>
      <c r="K411" s="627" t="n">
        <v>5.98</v>
      </c>
      <c r="L411" s="410"/>
      <c r="M411" s="506" t="n">
        <v>8</v>
      </c>
      <c r="N411" s="410"/>
      <c r="O411" s="313" t="n">
        <v>47</v>
      </c>
      <c r="P411" s="474" t="n">
        <v>143.52</v>
      </c>
      <c r="Q411" s="377"/>
      <c r="R411" s="410"/>
    </row>
    <row r="412" customFormat="false" ht="12.75" hidden="false" customHeight="false" outlineLevel="0" collapsed="false">
      <c r="A412" s="626"/>
      <c r="B412" s="305" t="s">
        <v>184</v>
      </c>
      <c r="C412" s="305" t="s">
        <v>699</v>
      </c>
      <c r="D412" s="306" t="n">
        <v>140</v>
      </c>
      <c r="E412" s="306" t="n">
        <v>0</v>
      </c>
      <c r="F412" s="305" t="s">
        <v>696</v>
      </c>
      <c r="G412" s="306" t="n">
        <v>24</v>
      </c>
      <c r="H412" s="325" t="n">
        <v>139.669421487603</v>
      </c>
      <c r="I412" s="473"/>
      <c r="J412" s="313" t="n">
        <v>0</v>
      </c>
      <c r="K412" s="627" t="n">
        <v>4.64833333333333</v>
      </c>
      <c r="L412" s="410"/>
      <c r="M412" s="506" t="n">
        <v>0</v>
      </c>
      <c r="N412" s="410"/>
      <c r="O412" s="313" t="n">
        <v>28</v>
      </c>
      <c r="P412" s="474" t="n">
        <v>111.56</v>
      </c>
      <c r="Q412" s="377"/>
      <c r="R412" s="410"/>
    </row>
    <row r="413" customFormat="false" ht="12.75" hidden="false" customHeight="false" outlineLevel="0" collapsed="false">
      <c r="A413" s="626"/>
      <c r="B413" s="305" t="s">
        <v>497</v>
      </c>
      <c r="C413" s="305" t="s">
        <v>700</v>
      </c>
      <c r="D413" s="306" t="n">
        <v>40</v>
      </c>
      <c r="E413" s="306" t="n">
        <v>0</v>
      </c>
      <c r="F413" s="305" t="s">
        <v>678</v>
      </c>
      <c r="G413" s="306" t="n">
        <v>24</v>
      </c>
      <c r="H413" s="325" t="n">
        <v>39.6694214876033</v>
      </c>
      <c r="I413" s="473"/>
      <c r="J413" s="313" t="n">
        <v>0</v>
      </c>
      <c r="K413" s="627" t="n">
        <v>0.93125</v>
      </c>
      <c r="L413" s="410"/>
      <c r="M413" s="506" t="n">
        <v>0</v>
      </c>
      <c r="N413" s="410"/>
      <c r="O413" s="313" t="n">
        <v>18</v>
      </c>
      <c r="P413" s="474" t="n">
        <v>22.35</v>
      </c>
      <c r="Q413" s="377"/>
      <c r="R413" s="410"/>
    </row>
    <row r="414" customFormat="false" ht="12.75" hidden="false" customHeight="false" outlineLevel="0" collapsed="false">
      <c r="A414" s="626"/>
      <c r="B414" s="305" t="s">
        <v>668</v>
      </c>
      <c r="C414" s="305" t="s">
        <v>677</v>
      </c>
      <c r="D414" s="306" t="n">
        <v>535</v>
      </c>
      <c r="E414" s="306" t="n">
        <v>0</v>
      </c>
      <c r="F414" s="305" t="s">
        <v>678</v>
      </c>
      <c r="G414" s="306" t="n">
        <v>24</v>
      </c>
      <c r="H414" s="325" t="n">
        <v>471.900826446281</v>
      </c>
      <c r="I414" s="473"/>
      <c r="J414" s="313" t="n">
        <v>0</v>
      </c>
      <c r="K414" s="627" t="n">
        <v>16.0691666666667</v>
      </c>
      <c r="L414" s="410"/>
      <c r="M414" s="506" t="n">
        <v>63</v>
      </c>
      <c r="N414" s="410"/>
      <c r="O414" s="313" t="n">
        <v>149</v>
      </c>
      <c r="P414" s="474" t="n">
        <v>385.66</v>
      </c>
      <c r="Q414" s="377"/>
      <c r="R414" s="410"/>
    </row>
    <row r="415" customFormat="false" ht="12.75" hidden="false" customHeight="false" outlineLevel="0" collapsed="false">
      <c r="A415" s="626"/>
      <c r="B415" s="305" t="s">
        <v>668</v>
      </c>
      <c r="C415" s="305" t="s">
        <v>677</v>
      </c>
      <c r="D415" s="306" t="n">
        <v>535</v>
      </c>
      <c r="E415" s="306" t="n">
        <v>0</v>
      </c>
      <c r="F415" s="305" t="s">
        <v>678</v>
      </c>
      <c r="G415" s="306" t="n">
        <v>48</v>
      </c>
      <c r="H415" s="325" t="n">
        <v>471.900826446281</v>
      </c>
      <c r="I415" s="473"/>
      <c r="J415" s="313" t="n">
        <v>0</v>
      </c>
      <c r="K415" s="627" t="n">
        <v>8.03458333333333</v>
      </c>
      <c r="L415" s="410"/>
      <c r="M415" s="506" t="n">
        <v>63</v>
      </c>
      <c r="N415" s="410"/>
      <c r="O415" s="313" t="n">
        <v>149</v>
      </c>
      <c r="P415" s="474" t="n">
        <v>385.66</v>
      </c>
      <c r="Q415" s="377"/>
      <c r="R415" s="410"/>
    </row>
    <row r="416" customFormat="false" ht="12.75" hidden="false" customHeight="false" outlineLevel="0" collapsed="false">
      <c r="A416" s="626"/>
      <c r="B416" s="305" t="s">
        <v>450</v>
      </c>
      <c r="C416" s="305" t="s">
        <v>704</v>
      </c>
      <c r="D416" s="306" t="n">
        <v>62</v>
      </c>
      <c r="E416" s="306" t="n">
        <v>0</v>
      </c>
      <c r="F416" s="305" t="s">
        <v>705</v>
      </c>
      <c r="G416" s="306" t="n">
        <v>24</v>
      </c>
      <c r="H416" s="325" t="n">
        <v>45.4545454545455</v>
      </c>
      <c r="I416" s="473"/>
      <c r="J416" s="313" t="n">
        <v>0</v>
      </c>
      <c r="K416" s="627" t="n">
        <v>1.3825</v>
      </c>
      <c r="L416" s="410"/>
      <c r="M416" s="506" t="n">
        <v>17</v>
      </c>
      <c r="N416" s="410"/>
      <c r="O416" s="313" t="n">
        <v>29</v>
      </c>
      <c r="P416" s="474" t="n">
        <v>33.18</v>
      </c>
      <c r="Q416" s="377"/>
      <c r="R416" s="410"/>
    </row>
    <row r="417" customFormat="false" ht="12.75" hidden="false" customHeight="false" outlineLevel="0" collapsed="false">
      <c r="A417" s="626"/>
      <c r="B417" s="305" t="s">
        <v>130</v>
      </c>
      <c r="C417" s="305" t="s">
        <v>706</v>
      </c>
      <c r="D417" s="306" t="n">
        <v>58</v>
      </c>
      <c r="E417" s="306" t="n">
        <v>0</v>
      </c>
      <c r="F417" s="305" t="s">
        <v>705</v>
      </c>
      <c r="G417" s="306" t="n">
        <v>24</v>
      </c>
      <c r="H417" s="325" t="n">
        <v>48.7603305785124</v>
      </c>
      <c r="I417" s="473"/>
      <c r="J417" s="313" t="n">
        <v>0</v>
      </c>
      <c r="K417" s="627" t="n">
        <v>1.33333333333333</v>
      </c>
      <c r="L417" s="410"/>
      <c r="M417" s="506" t="n">
        <v>9</v>
      </c>
      <c r="N417" s="410"/>
      <c r="O417" s="313" t="n">
        <v>26</v>
      </c>
      <c r="P417" s="474" t="n">
        <v>32</v>
      </c>
      <c r="Q417" s="377"/>
      <c r="R417" s="410"/>
    </row>
    <row r="418" customFormat="false" ht="12.75" hidden="false" customHeight="false" outlineLevel="0" collapsed="false">
      <c r="A418" s="626"/>
      <c r="B418" s="305" t="s">
        <v>200</v>
      </c>
      <c r="C418" s="305" t="s">
        <v>708</v>
      </c>
      <c r="D418" s="306" t="n">
        <v>61</v>
      </c>
      <c r="E418" s="306" t="n">
        <v>0</v>
      </c>
      <c r="F418" s="305" t="s">
        <v>705</v>
      </c>
      <c r="G418" s="306" t="n">
        <v>24</v>
      </c>
      <c r="H418" s="325" t="n">
        <v>48.7603305785124</v>
      </c>
      <c r="I418" s="473"/>
      <c r="J418" s="313" t="n">
        <v>0</v>
      </c>
      <c r="K418" s="627" t="n">
        <v>1.33333333333333</v>
      </c>
      <c r="L418" s="410"/>
      <c r="M418" s="506" t="n">
        <v>12</v>
      </c>
      <c r="N418" s="410"/>
      <c r="O418" s="313" t="n">
        <v>29</v>
      </c>
      <c r="P418" s="474" t="n">
        <v>32</v>
      </c>
      <c r="Q418" s="377"/>
      <c r="R418" s="410"/>
    </row>
    <row r="419" customFormat="false" ht="12.75" hidden="false" customHeight="false" outlineLevel="0" collapsed="false">
      <c r="A419" s="626"/>
      <c r="B419" s="305" t="s">
        <v>112</v>
      </c>
      <c r="C419" s="305" t="s">
        <v>709</v>
      </c>
      <c r="D419" s="306" t="n">
        <v>532</v>
      </c>
      <c r="E419" s="306" t="n">
        <v>2.5</v>
      </c>
      <c r="F419" s="305" t="s">
        <v>710</v>
      </c>
      <c r="G419" s="306" t="n">
        <v>24</v>
      </c>
      <c r="H419" s="325" t="n">
        <v>531.404958677686</v>
      </c>
      <c r="I419" s="473"/>
      <c r="J419" s="313" t="n">
        <v>0</v>
      </c>
      <c r="K419" s="627" t="n">
        <v>17.7420833333333</v>
      </c>
      <c r="L419" s="410"/>
      <c r="M419" s="506" t="n">
        <v>1</v>
      </c>
      <c r="N419" s="410"/>
      <c r="O419" s="313" t="n">
        <v>106</v>
      </c>
      <c r="P419" s="474" t="n">
        <v>425.81</v>
      </c>
      <c r="Q419" s="377"/>
      <c r="R419" s="410"/>
    </row>
    <row r="420" customFormat="false" ht="12.75" hidden="false" customHeight="false" outlineLevel="0" collapsed="false">
      <c r="A420" s="626"/>
      <c r="B420" s="305" t="s">
        <v>112</v>
      </c>
      <c r="C420" s="305" t="s">
        <v>709</v>
      </c>
      <c r="D420" s="306" t="n">
        <v>532</v>
      </c>
      <c r="E420" s="306" t="n">
        <v>2.5</v>
      </c>
      <c r="F420" s="305" t="s">
        <v>710</v>
      </c>
      <c r="G420" s="306" t="n">
        <v>48</v>
      </c>
      <c r="H420" s="325" t="n">
        <v>531.404958677686</v>
      </c>
      <c r="I420" s="473"/>
      <c r="J420" s="313" t="n">
        <v>0</v>
      </c>
      <c r="K420" s="627" t="n">
        <v>8.87104166666667</v>
      </c>
      <c r="L420" s="410"/>
      <c r="M420" s="506" t="n">
        <v>1</v>
      </c>
      <c r="N420" s="410"/>
      <c r="O420" s="313" t="n">
        <v>106</v>
      </c>
      <c r="P420" s="474" t="n">
        <v>425.81</v>
      </c>
      <c r="Q420" s="377"/>
      <c r="R420" s="410"/>
    </row>
    <row r="421" customFormat="false" ht="12.75" hidden="false" customHeight="false" outlineLevel="0" collapsed="false">
      <c r="A421" s="626"/>
      <c r="B421" s="305" t="s">
        <v>112</v>
      </c>
      <c r="C421" s="305" t="s">
        <v>711</v>
      </c>
      <c r="D421" s="306" t="n">
        <v>555</v>
      </c>
      <c r="E421" s="306" t="n">
        <v>2.5</v>
      </c>
      <c r="F421" s="305" t="s">
        <v>710</v>
      </c>
      <c r="G421" s="306" t="n">
        <v>24</v>
      </c>
      <c r="H421" s="325" t="n">
        <v>554.545454545455</v>
      </c>
      <c r="I421" s="473"/>
      <c r="J421" s="313" t="n">
        <v>0</v>
      </c>
      <c r="K421" s="627" t="n">
        <v>18.6770833333333</v>
      </c>
      <c r="L421" s="410"/>
      <c r="M421" s="506" t="n">
        <v>0</v>
      </c>
      <c r="N421" s="410"/>
      <c r="O421" s="313" t="n">
        <v>107</v>
      </c>
      <c r="P421" s="474" t="n">
        <v>448.25</v>
      </c>
      <c r="Q421" s="377"/>
      <c r="R421" s="410"/>
    </row>
    <row r="422" customFormat="false" ht="12.75" hidden="false" customHeight="false" outlineLevel="0" collapsed="false">
      <c r="A422" s="626"/>
      <c r="B422" s="305" t="s">
        <v>112</v>
      </c>
      <c r="C422" s="305" t="s">
        <v>711</v>
      </c>
      <c r="D422" s="306" t="n">
        <v>555</v>
      </c>
      <c r="E422" s="306" t="n">
        <v>2.5</v>
      </c>
      <c r="F422" s="305" t="s">
        <v>710</v>
      </c>
      <c r="G422" s="306" t="n">
        <v>48</v>
      </c>
      <c r="H422" s="325" t="n">
        <v>554.545454545455</v>
      </c>
      <c r="I422" s="473"/>
      <c r="J422" s="313" t="n">
        <v>0</v>
      </c>
      <c r="K422" s="627" t="n">
        <v>9.33854166666667</v>
      </c>
      <c r="L422" s="410"/>
      <c r="M422" s="506" t="n">
        <v>0</v>
      </c>
      <c r="N422" s="410"/>
      <c r="O422" s="313" t="n">
        <v>107</v>
      </c>
      <c r="P422" s="474" t="n">
        <v>448.25</v>
      </c>
      <c r="Q422" s="377"/>
      <c r="R422" s="410"/>
    </row>
    <row r="423" customFormat="false" ht="12.75" hidden="false" customHeight="false" outlineLevel="0" collapsed="false">
      <c r="A423" s="626"/>
      <c r="B423" s="305" t="s">
        <v>112</v>
      </c>
      <c r="C423" s="305" t="s">
        <v>712</v>
      </c>
      <c r="D423" s="306" t="n">
        <v>423</v>
      </c>
      <c r="E423" s="306" t="n">
        <v>2.5</v>
      </c>
      <c r="F423" s="305" t="s">
        <v>710</v>
      </c>
      <c r="G423" s="306" t="n">
        <v>24</v>
      </c>
      <c r="H423" s="325" t="n">
        <v>422.314049586777</v>
      </c>
      <c r="I423" s="473"/>
      <c r="J423" s="313" t="n">
        <v>0</v>
      </c>
      <c r="K423" s="627" t="n">
        <v>14.0025</v>
      </c>
      <c r="L423" s="410"/>
      <c r="M423" s="506" t="n">
        <v>1</v>
      </c>
      <c r="N423" s="410"/>
      <c r="O423" s="313" t="n">
        <v>87</v>
      </c>
      <c r="P423" s="474" t="n">
        <v>336.06</v>
      </c>
      <c r="Q423" s="377"/>
      <c r="R423" s="410"/>
    </row>
    <row r="424" customFormat="false" ht="12.75" hidden="false" customHeight="false" outlineLevel="0" collapsed="false">
      <c r="A424" s="626"/>
      <c r="B424" s="305" t="s">
        <v>112</v>
      </c>
      <c r="C424" s="305" t="s">
        <v>712</v>
      </c>
      <c r="D424" s="306" t="n">
        <v>423</v>
      </c>
      <c r="E424" s="306" t="n">
        <v>2.5</v>
      </c>
      <c r="F424" s="305" t="s">
        <v>710</v>
      </c>
      <c r="G424" s="306" t="n">
        <v>48</v>
      </c>
      <c r="H424" s="325" t="n">
        <v>422.314049586777</v>
      </c>
      <c r="I424" s="473"/>
      <c r="J424" s="313" t="n">
        <v>0</v>
      </c>
      <c r="K424" s="627" t="n">
        <v>7.00125</v>
      </c>
      <c r="L424" s="410"/>
      <c r="M424" s="506" t="n">
        <v>1</v>
      </c>
      <c r="N424" s="410"/>
      <c r="O424" s="313" t="n">
        <v>87</v>
      </c>
      <c r="P424" s="474" t="n">
        <v>336.06</v>
      </c>
      <c r="Q424" s="377"/>
      <c r="R424" s="410"/>
    </row>
    <row r="425" customFormat="false" ht="12.75" hidden="false" customHeight="false" outlineLevel="0" collapsed="false">
      <c r="A425" s="626"/>
      <c r="B425" s="305" t="s">
        <v>112</v>
      </c>
      <c r="C425" s="305" t="s">
        <v>713</v>
      </c>
      <c r="D425" s="306" t="n">
        <v>445</v>
      </c>
      <c r="E425" s="306" t="n">
        <v>2.5</v>
      </c>
      <c r="F425" s="305" t="s">
        <v>710</v>
      </c>
      <c r="G425" s="306" t="n">
        <v>24</v>
      </c>
      <c r="H425" s="325" t="n">
        <v>444.628099173554</v>
      </c>
      <c r="I425" s="473"/>
      <c r="J425" s="313" t="n">
        <v>0</v>
      </c>
      <c r="K425" s="627" t="n">
        <v>14.9375</v>
      </c>
      <c r="L425" s="410"/>
      <c r="M425" s="506" t="n">
        <v>0</v>
      </c>
      <c r="N425" s="410"/>
      <c r="O425" s="313" t="n">
        <v>87</v>
      </c>
      <c r="P425" s="474" t="n">
        <v>358.5</v>
      </c>
      <c r="Q425" s="377"/>
      <c r="R425" s="410"/>
    </row>
    <row r="426" customFormat="false" ht="12.75" hidden="false" customHeight="false" outlineLevel="0" collapsed="false">
      <c r="A426" s="626"/>
      <c r="B426" s="305" t="s">
        <v>112</v>
      </c>
      <c r="C426" s="305" t="s">
        <v>713</v>
      </c>
      <c r="D426" s="306" t="n">
        <v>445</v>
      </c>
      <c r="E426" s="306" t="n">
        <v>2.5</v>
      </c>
      <c r="F426" s="305" t="s">
        <v>710</v>
      </c>
      <c r="G426" s="306" t="n">
        <v>48</v>
      </c>
      <c r="H426" s="325" t="n">
        <v>444.628099173554</v>
      </c>
      <c r="I426" s="473"/>
      <c r="J426" s="313" t="n">
        <v>0</v>
      </c>
      <c r="K426" s="627" t="n">
        <v>7.46875</v>
      </c>
      <c r="L426" s="410"/>
      <c r="M426" s="506" t="n">
        <v>0</v>
      </c>
      <c r="N426" s="410"/>
      <c r="O426" s="313" t="n">
        <v>87</v>
      </c>
      <c r="P426" s="474" t="n">
        <v>358.5</v>
      </c>
      <c r="Q426" s="377"/>
      <c r="R426" s="410"/>
    </row>
    <row r="427" customFormat="false" ht="12.75" hidden="false" customHeight="false" outlineLevel="0" collapsed="false">
      <c r="A427" s="626"/>
      <c r="B427" s="305" t="s">
        <v>112</v>
      </c>
      <c r="C427" s="305" t="s">
        <v>714</v>
      </c>
      <c r="D427" s="306" t="n">
        <v>555</v>
      </c>
      <c r="E427" s="306" t="n">
        <v>2.5</v>
      </c>
      <c r="F427" s="305" t="s">
        <v>710</v>
      </c>
      <c r="G427" s="306" t="n">
        <v>24</v>
      </c>
      <c r="H427" s="325" t="n">
        <v>554.545454545455</v>
      </c>
      <c r="I427" s="473"/>
      <c r="J427" s="313" t="n">
        <v>0</v>
      </c>
      <c r="K427" s="627" t="n">
        <v>18.6770833333333</v>
      </c>
      <c r="L427" s="410"/>
      <c r="M427" s="506" t="n">
        <v>0</v>
      </c>
      <c r="N427" s="410"/>
      <c r="O427" s="313" t="n">
        <v>107</v>
      </c>
      <c r="P427" s="474" t="n">
        <v>448.25</v>
      </c>
      <c r="Q427" s="377"/>
      <c r="R427" s="410"/>
    </row>
    <row r="428" customFormat="false" ht="12.75" hidden="false" customHeight="false" outlineLevel="0" collapsed="false">
      <c r="A428" s="626"/>
      <c r="B428" s="305" t="s">
        <v>112</v>
      </c>
      <c r="C428" s="305" t="s">
        <v>714</v>
      </c>
      <c r="D428" s="306" t="n">
        <v>555</v>
      </c>
      <c r="E428" s="306" t="n">
        <v>2.5</v>
      </c>
      <c r="F428" s="305" t="s">
        <v>710</v>
      </c>
      <c r="G428" s="306" t="n">
        <v>48</v>
      </c>
      <c r="H428" s="325" t="n">
        <v>554.545454545455</v>
      </c>
      <c r="I428" s="473"/>
      <c r="J428" s="313" t="n">
        <v>0</v>
      </c>
      <c r="K428" s="627" t="n">
        <v>9.33854166666667</v>
      </c>
      <c r="L428" s="410"/>
      <c r="M428" s="506" t="n">
        <v>0</v>
      </c>
      <c r="N428" s="410"/>
      <c r="O428" s="313" t="n">
        <v>107</v>
      </c>
      <c r="P428" s="474" t="n">
        <v>448.25</v>
      </c>
      <c r="Q428" s="377"/>
      <c r="R428" s="410"/>
    </row>
    <row r="429" customFormat="false" ht="12.75" hidden="false" customHeight="false" outlineLevel="0" collapsed="false">
      <c r="A429" s="626"/>
      <c r="B429" s="305" t="s">
        <v>112</v>
      </c>
      <c r="C429" s="305" t="s">
        <v>715</v>
      </c>
      <c r="D429" s="306" t="n">
        <v>300</v>
      </c>
      <c r="E429" s="306" t="n">
        <v>2.5</v>
      </c>
      <c r="F429" s="305" t="s">
        <v>710</v>
      </c>
      <c r="G429" s="306" t="n">
        <v>24</v>
      </c>
      <c r="H429" s="325" t="n">
        <v>299.173553719008</v>
      </c>
      <c r="I429" s="473"/>
      <c r="J429" s="313" t="n">
        <v>0</v>
      </c>
      <c r="K429" s="627" t="n">
        <v>9.32791666666667</v>
      </c>
      <c r="L429" s="410"/>
      <c r="M429" s="506" t="n">
        <v>1</v>
      </c>
      <c r="N429" s="410"/>
      <c r="O429" s="313" t="n">
        <v>76</v>
      </c>
      <c r="P429" s="474" t="n">
        <v>223.87</v>
      </c>
      <c r="Q429" s="377"/>
      <c r="R429" s="410"/>
    </row>
    <row r="430" customFormat="false" ht="12.75" hidden="false" customHeight="false" outlineLevel="0" collapsed="false">
      <c r="A430" s="626"/>
      <c r="B430" s="305" t="s">
        <v>112</v>
      </c>
      <c r="C430" s="305" t="s">
        <v>715</v>
      </c>
      <c r="D430" s="306" t="n">
        <v>300</v>
      </c>
      <c r="E430" s="306" t="n">
        <v>2.5</v>
      </c>
      <c r="F430" s="305" t="s">
        <v>710</v>
      </c>
      <c r="G430" s="306" t="n">
        <v>48</v>
      </c>
      <c r="H430" s="325" t="n">
        <v>299.173553719008</v>
      </c>
      <c r="I430" s="473"/>
      <c r="J430" s="313" t="n">
        <v>0</v>
      </c>
      <c r="K430" s="627" t="n">
        <v>4.66395833333333</v>
      </c>
      <c r="L430" s="410"/>
      <c r="M430" s="506" t="n">
        <v>1</v>
      </c>
      <c r="N430" s="410"/>
      <c r="O430" s="313" t="n">
        <v>76</v>
      </c>
      <c r="P430" s="474" t="n">
        <v>223.87</v>
      </c>
      <c r="Q430" s="377"/>
      <c r="R430" s="410"/>
    </row>
    <row r="431" customFormat="false" ht="12.75" hidden="false" customHeight="false" outlineLevel="0" collapsed="false">
      <c r="A431" s="626"/>
      <c r="B431" s="305" t="s">
        <v>112</v>
      </c>
      <c r="C431" s="305" t="s">
        <v>716</v>
      </c>
      <c r="D431" s="306" t="n">
        <v>322</v>
      </c>
      <c r="E431" s="306" t="n">
        <v>2.5</v>
      </c>
      <c r="F431" s="305" t="s">
        <v>710</v>
      </c>
      <c r="G431" s="306" t="n">
        <v>24</v>
      </c>
      <c r="H431" s="325" t="n">
        <v>321.487603305785</v>
      </c>
      <c r="I431" s="473"/>
      <c r="J431" s="313" t="n">
        <v>0</v>
      </c>
      <c r="K431" s="627" t="n">
        <v>10.2629166666667</v>
      </c>
      <c r="L431" s="410"/>
      <c r="M431" s="506" t="n">
        <v>1</v>
      </c>
      <c r="N431" s="410"/>
      <c r="O431" s="313" t="n">
        <v>76</v>
      </c>
      <c r="P431" s="474" t="n">
        <v>246.31</v>
      </c>
      <c r="Q431" s="377"/>
      <c r="R431" s="410"/>
    </row>
    <row r="432" customFormat="false" ht="12.75" hidden="false" customHeight="false" outlineLevel="0" collapsed="false">
      <c r="A432" s="626"/>
      <c r="B432" s="305" t="s">
        <v>112</v>
      </c>
      <c r="C432" s="305" t="s">
        <v>716</v>
      </c>
      <c r="D432" s="306" t="n">
        <v>322</v>
      </c>
      <c r="E432" s="306" t="n">
        <v>2.5</v>
      </c>
      <c r="F432" s="305" t="s">
        <v>710</v>
      </c>
      <c r="G432" s="306" t="n">
        <v>48</v>
      </c>
      <c r="H432" s="325" t="n">
        <v>321.487603305785</v>
      </c>
      <c r="I432" s="473"/>
      <c r="J432" s="313" t="n">
        <v>0</v>
      </c>
      <c r="K432" s="627" t="n">
        <v>5.13145833333333</v>
      </c>
      <c r="L432" s="410"/>
      <c r="M432" s="506" t="n">
        <v>1</v>
      </c>
      <c r="N432" s="410"/>
      <c r="O432" s="313" t="n">
        <v>76</v>
      </c>
      <c r="P432" s="474" t="n">
        <v>246.31</v>
      </c>
      <c r="Q432" s="377"/>
      <c r="R432" s="410"/>
    </row>
    <row r="433" customFormat="false" ht="12.75" hidden="false" customHeight="false" outlineLevel="0" collapsed="false">
      <c r="A433" s="626"/>
      <c r="B433" s="305" t="s">
        <v>112</v>
      </c>
      <c r="C433" s="305" t="s">
        <v>717</v>
      </c>
      <c r="D433" s="306" t="n">
        <v>782</v>
      </c>
      <c r="E433" s="306" t="n">
        <v>2.5</v>
      </c>
      <c r="F433" s="305" t="s">
        <v>710</v>
      </c>
      <c r="G433" s="306" t="n">
        <v>24</v>
      </c>
      <c r="H433" s="325" t="n">
        <v>781.818181818182</v>
      </c>
      <c r="I433" s="473"/>
      <c r="J433" s="313" t="n">
        <v>0</v>
      </c>
      <c r="K433" s="627" t="n">
        <v>26.48375</v>
      </c>
      <c r="L433" s="410"/>
      <c r="M433" s="506" t="n">
        <v>0</v>
      </c>
      <c r="N433" s="410"/>
      <c r="O433" s="313" t="n">
        <v>146</v>
      </c>
      <c r="P433" s="474" t="n">
        <v>635.61</v>
      </c>
      <c r="Q433" s="377"/>
      <c r="R433" s="410"/>
    </row>
    <row r="434" customFormat="false" ht="12.75" hidden="false" customHeight="false" outlineLevel="0" collapsed="false">
      <c r="A434" s="626"/>
      <c r="B434" s="305" t="s">
        <v>112</v>
      </c>
      <c r="C434" s="305" t="s">
        <v>717</v>
      </c>
      <c r="D434" s="306" t="n">
        <v>782</v>
      </c>
      <c r="E434" s="306" t="n">
        <v>2.5</v>
      </c>
      <c r="F434" s="305" t="s">
        <v>710</v>
      </c>
      <c r="G434" s="306" t="n">
        <v>48</v>
      </c>
      <c r="H434" s="325" t="n">
        <v>781.818181818182</v>
      </c>
      <c r="I434" s="473"/>
      <c r="J434" s="313" t="n">
        <v>0</v>
      </c>
      <c r="K434" s="627" t="n">
        <v>13.241875</v>
      </c>
      <c r="L434" s="410"/>
      <c r="M434" s="506" t="n">
        <v>0</v>
      </c>
      <c r="N434" s="410"/>
      <c r="O434" s="313" t="n">
        <v>146</v>
      </c>
      <c r="P434" s="474" t="n">
        <v>635.61</v>
      </c>
      <c r="Q434" s="377"/>
      <c r="R434" s="410"/>
    </row>
    <row r="435" customFormat="false" ht="12.75" hidden="false" customHeight="false" outlineLevel="0" collapsed="false">
      <c r="A435" s="626"/>
      <c r="B435" s="305" t="s">
        <v>124</v>
      </c>
      <c r="C435" s="305" t="s">
        <v>718</v>
      </c>
      <c r="D435" s="306" t="n">
        <v>413</v>
      </c>
      <c r="E435" s="306" t="n">
        <v>2.5</v>
      </c>
      <c r="F435" s="305" t="s">
        <v>710</v>
      </c>
      <c r="G435" s="306" t="n">
        <v>24</v>
      </c>
      <c r="H435" s="325" t="n">
        <v>305.785123966942</v>
      </c>
      <c r="I435" s="473"/>
      <c r="J435" s="313" t="n">
        <v>0</v>
      </c>
      <c r="K435" s="627" t="n">
        <v>9.6</v>
      </c>
      <c r="L435" s="410"/>
      <c r="M435" s="506" t="n">
        <v>107</v>
      </c>
      <c r="N435" s="410"/>
      <c r="O435" s="313" t="n">
        <v>183</v>
      </c>
      <c r="P435" s="474" t="n">
        <v>230.4</v>
      </c>
      <c r="Q435" s="377"/>
      <c r="R435" s="410"/>
    </row>
    <row r="436" customFormat="false" ht="12.75" hidden="false" customHeight="false" outlineLevel="0" collapsed="false">
      <c r="A436" s="626"/>
      <c r="B436" s="305" t="s">
        <v>124</v>
      </c>
      <c r="C436" s="305" t="s">
        <v>718</v>
      </c>
      <c r="D436" s="306" t="n">
        <v>413</v>
      </c>
      <c r="E436" s="306" t="n">
        <v>2.5</v>
      </c>
      <c r="F436" s="305" t="s">
        <v>710</v>
      </c>
      <c r="G436" s="306" t="n">
        <v>48</v>
      </c>
      <c r="H436" s="325" t="n">
        <v>305.785123966942</v>
      </c>
      <c r="I436" s="473"/>
      <c r="J436" s="313" t="n">
        <v>0</v>
      </c>
      <c r="K436" s="627" t="n">
        <v>4.8</v>
      </c>
      <c r="L436" s="410"/>
      <c r="M436" s="506" t="n">
        <v>107</v>
      </c>
      <c r="N436" s="410"/>
      <c r="O436" s="313" t="n">
        <v>183</v>
      </c>
      <c r="P436" s="474" t="n">
        <v>230.4</v>
      </c>
      <c r="Q436" s="377"/>
      <c r="R436" s="410"/>
    </row>
    <row r="437" customFormat="false" ht="12.75" hidden="false" customHeight="false" outlineLevel="0" collapsed="false">
      <c r="A437" s="626"/>
      <c r="B437" s="305" t="s">
        <v>130</v>
      </c>
      <c r="C437" s="305" t="s">
        <v>719</v>
      </c>
      <c r="D437" s="306" t="n">
        <v>161</v>
      </c>
      <c r="E437" s="306" t="n">
        <v>2.5</v>
      </c>
      <c r="F437" s="305" t="s">
        <v>710</v>
      </c>
      <c r="G437" s="306" t="n">
        <v>24</v>
      </c>
      <c r="H437" s="325" t="n">
        <v>100</v>
      </c>
      <c r="I437" s="473"/>
      <c r="J437" s="313" t="n">
        <v>0</v>
      </c>
      <c r="K437" s="627" t="n">
        <v>3.39583333333333</v>
      </c>
      <c r="L437" s="410"/>
      <c r="M437" s="506" t="n">
        <v>61</v>
      </c>
      <c r="N437" s="410"/>
      <c r="O437" s="313" t="n">
        <v>80</v>
      </c>
      <c r="P437" s="474" t="n">
        <v>81.5</v>
      </c>
      <c r="Q437" s="377"/>
      <c r="R437" s="410"/>
    </row>
    <row r="438" customFormat="false" ht="12.75" hidden="false" customHeight="false" outlineLevel="0" collapsed="false">
      <c r="A438" s="626"/>
      <c r="B438" s="305" t="s">
        <v>130</v>
      </c>
      <c r="C438" s="305" t="s">
        <v>720</v>
      </c>
      <c r="D438" s="306" t="n">
        <v>288</v>
      </c>
      <c r="E438" s="306" t="n">
        <v>2.5</v>
      </c>
      <c r="F438" s="305" t="s">
        <v>710</v>
      </c>
      <c r="G438" s="306" t="n">
        <v>24</v>
      </c>
      <c r="H438" s="325" t="n">
        <v>205.785123966942</v>
      </c>
      <c r="I438" s="473"/>
      <c r="J438" s="313" t="n">
        <v>0</v>
      </c>
      <c r="K438" s="627" t="n">
        <v>6.9375</v>
      </c>
      <c r="L438" s="410"/>
      <c r="M438" s="506" t="n">
        <v>82</v>
      </c>
      <c r="N438" s="410"/>
      <c r="O438" s="313" t="n">
        <v>122</v>
      </c>
      <c r="P438" s="474" t="n">
        <v>166.5</v>
      </c>
      <c r="Q438" s="377"/>
      <c r="R438" s="410"/>
    </row>
    <row r="439" customFormat="false" ht="12.75" hidden="false" customHeight="false" outlineLevel="0" collapsed="false">
      <c r="A439" s="626"/>
      <c r="B439" s="305" t="s">
        <v>130</v>
      </c>
      <c r="C439" s="305" t="s">
        <v>721</v>
      </c>
      <c r="D439" s="306" t="n">
        <v>245</v>
      </c>
      <c r="E439" s="306" t="n">
        <v>2.5</v>
      </c>
      <c r="F439" s="305" t="s">
        <v>710</v>
      </c>
      <c r="G439" s="306" t="n">
        <v>24</v>
      </c>
      <c r="H439" s="325" t="n">
        <v>203.305785123967</v>
      </c>
      <c r="I439" s="473"/>
      <c r="J439" s="313" t="n">
        <v>0</v>
      </c>
      <c r="K439" s="627" t="n">
        <v>6.85416666666667</v>
      </c>
      <c r="L439" s="410"/>
      <c r="M439" s="506" t="n">
        <v>42</v>
      </c>
      <c r="N439" s="410"/>
      <c r="O439" s="313" t="n">
        <v>81</v>
      </c>
      <c r="P439" s="474" t="n">
        <v>164.5</v>
      </c>
      <c r="Q439" s="377"/>
      <c r="R439" s="410"/>
    </row>
    <row r="440" customFormat="false" ht="12.75" hidden="false" customHeight="false" outlineLevel="0" collapsed="false">
      <c r="A440" s="626"/>
      <c r="B440" s="305" t="s">
        <v>130</v>
      </c>
      <c r="C440" s="305" t="s">
        <v>722</v>
      </c>
      <c r="D440" s="306" t="n">
        <v>468</v>
      </c>
      <c r="E440" s="306" t="n">
        <v>2.5</v>
      </c>
      <c r="F440" s="305" t="s">
        <v>710</v>
      </c>
      <c r="G440" s="306" t="n">
        <v>24</v>
      </c>
      <c r="H440" s="325" t="n">
        <v>311.570247933884</v>
      </c>
      <c r="I440" s="473"/>
      <c r="J440" s="313" t="n">
        <v>0</v>
      </c>
      <c r="K440" s="627" t="n">
        <v>9.85416666666667</v>
      </c>
      <c r="L440" s="410"/>
      <c r="M440" s="506" t="n">
        <v>156</v>
      </c>
      <c r="N440" s="410"/>
      <c r="O440" s="313" t="n">
        <v>232</v>
      </c>
      <c r="P440" s="474" t="n">
        <v>236.5</v>
      </c>
      <c r="Q440" s="377"/>
      <c r="R440" s="410"/>
    </row>
    <row r="441" customFormat="false" ht="12.75" hidden="false" customHeight="false" outlineLevel="0" collapsed="false">
      <c r="A441" s="626"/>
      <c r="B441" s="305" t="s">
        <v>130</v>
      </c>
      <c r="C441" s="305" t="s">
        <v>722</v>
      </c>
      <c r="D441" s="306" t="n">
        <v>468</v>
      </c>
      <c r="E441" s="306" t="n">
        <v>2.5</v>
      </c>
      <c r="F441" s="305" t="s">
        <v>710</v>
      </c>
      <c r="G441" s="306" t="n">
        <v>48</v>
      </c>
      <c r="H441" s="325" t="n">
        <v>311.570247933884</v>
      </c>
      <c r="I441" s="473"/>
      <c r="J441" s="313" t="n">
        <v>0</v>
      </c>
      <c r="K441" s="627" t="n">
        <v>4.92708333333333</v>
      </c>
      <c r="L441" s="410"/>
      <c r="M441" s="506" t="n">
        <v>156</v>
      </c>
      <c r="N441" s="410"/>
      <c r="O441" s="313" t="n">
        <v>232</v>
      </c>
      <c r="P441" s="474" t="n">
        <v>236.5</v>
      </c>
      <c r="Q441" s="377"/>
      <c r="R441" s="410"/>
    </row>
    <row r="442" customFormat="false" ht="12.75" hidden="false" customHeight="false" outlineLevel="0" collapsed="false">
      <c r="A442" s="626"/>
      <c r="B442" s="305" t="s">
        <v>130</v>
      </c>
      <c r="C442" s="305" t="s">
        <v>723</v>
      </c>
      <c r="D442" s="306" t="n">
        <v>377</v>
      </c>
      <c r="E442" s="306" t="n">
        <v>2.5</v>
      </c>
      <c r="F442" s="305" t="s">
        <v>710</v>
      </c>
      <c r="G442" s="306" t="n">
        <v>24</v>
      </c>
      <c r="H442" s="325" t="n">
        <v>237.190082644628</v>
      </c>
      <c r="I442" s="473"/>
      <c r="J442" s="313" t="n">
        <v>0</v>
      </c>
      <c r="K442" s="627" t="n">
        <v>7.5625</v>
      </c>
      <c r="L442" s="410"/>
      <c r="M442" s="506" t="n">
        <v>140</v>
      </c>
      <c r="N442" s="410"/>
      <c r="O442" s="313" t="n">
        <v>196</v>
      </c>
      <c r="P442" s="474" t="n">
        <v>181.5</v>
      </c>
      <c r="Q442" s="377"/>
      <c r="R442" s="410"/>
    </row>
    <row r="443" customFormat="false" ht="12.75" hidden="false" customHeight="false" outlineLevel="0" collapsed="false">
      <c r="A443" s="626"/>
      <c r="B443" s="305" t="s">
        <v>130</v>
      </c>
      <c r="C443" s="305" t="s">
        <v>723</v>
      </c>
      <c r="D443" s="306" t="n">
        <v>377</v>
      </c>
      <c r="E443" s="306" t="n">
        <v>2.5</v>
      </c>
      <c r="F443" s="305" t="s">
        <v>710</v>
      </c>
      <c r="G443" s="306" t="n">
        <v>48</v>
      </c>
      <c r="H443" s="325" t="n">
        <v>237.190082644628</v>
      </c>
      <c r="I443" s="473"/>
      <c r="J443" s="313" t="n">
        <v>0</v>
      </c>
      <c r="K443" s="627" t="n">
        <v>3.78125</v>
      </c>
      <c r="L443" s="410"/>
      <c r="M443" s="506" t="n">
        <v>140</v>
      </c>
      <c r="N443" s="410"/>
      <c r="O443" s="313" t="n">
        <v>196</v>
      </c>
      <c r="P443" s="474" t="n">
        <v>181.5</v>
      </c>
      <c r="Q443" s="377"/>
      <c r="R443" s="410"/>
    </row>
    <row r="444" customFormat="false" ht="12.75" hidden="false" customHeight="false" outlineLevel="0" collapsed="false">
      <c r="A444" s="626"/>
      <c r="B444" s="305" t="s">
        <v>130</v>
      </c>
      <c r="C444" s="305" t="s">
        <v>724</v>
      </c>
      <c r="D444" s="306" t="n">
        <v>748</v>
      </c>
      <c r="E444" s="306" t="n">
        <v>2.5</v>
      </c>
      <c r="F444" s="305" t="s">
        <v>710</v>
      </c>
      <c r="G444" s="306" t="n">
        <v>24</v>
      </c>
      <c r="H444" s="325" t="n">
        <v>376.859504132231</v>
      </c>
      <c r="I444" s="473"/>
      <c r="J444" s="313" t="n">
        <v>0</v>
      </c>
      <c r="K444" s="627" t="n">
        <v>12.5625</v>
      </c>
      <c r="L444" s="410"/>
      <c r="M444" s="506" t="n">
        <v>371</v>
      </c>
      <c r="N444" s="410"/>
      <c r="O444" s="313" t="n">
        <v>447</v>
      </c>
      <c r="P444" s="474" t="n">
        <v>301.5</v>
      </c>
      <c r="Q444" s="377"/>
      <c r="R444" s="410"/>
    </row>
    <row r="445" customFormat="false" ht="12.75" hidden="false" customHeight="false" outlineLevel="0" collapsed="false">
      <c r="A445" s="626"/>
      <c r="B445" s="305" t="s">
        <v>130</v>
      </c>
      <c r="C445" s="305" t="s">
        <v>724</v>
      </c>
      <c r="D445" s="306" t="n">
        <v>748</v>
      </c>
      <c r="E445" s="306" t="n">
        <v>2.5</v>
      </c>
      <c r="F445" s="305" t="s">
        <v>710</v>
      </c>
      <c r="G445" s="306" t="n">
        <v>48</v>
      </c>
      <c r="H445" s="325" t="n">
        <v>376.859504132231</v>
      </c>
      <c r="I445" s="473"/>
      <c r="J445" s="313" t="n">
        <v>0</v>
      </c>
      <c r="K445" s="627" t="n">
        <v>6.28125</v>
      </c>
      <c r="L445" s="410"/>
      <c r="M445" s="506" t="n">
        <v>371</v>
      </c>
      <c r="N445" s="410"/>
      <c r="O445" s="313" t="n">
        <v>447</v>
      </c>
      <c r="P445" s="474" t="n">
        <v>301.5</v>
      </c>
      <c r="Q445" s="377"/>
      <c r="R445" s="410"/>
    </row>
    <row r="446" customFormat="false" ht="12.75" hidden="false" customHeight="false" outlineLevel="0" collapsed="false">
      <c r="A446" s="626"/>
      <c r="B446" s="305" t="s">
        <v>465</v>
      </c>
      <c r="C446" s="305" t="s">
        <v>726</v>
      </c>
      <c r="D446" s="306" t="n">
        <v>288</v>
      </c>
      <c r="E446" s="306" t="n">
        <v>2.5</v>
      </c>
      <c r="F446" s="305" t="s">
        <v>710</v>
      </c>
      <c r="G446" s="306" t="n">
        <v>24</v>
      </c>
      <c r="H446" s="325" t="n">
        <v>186.776859504132</v>
      </c>
      <c r="I446" s="473"/>
      <c r="J446" s="313" t="n">
        <v>0</v>
      </c>
      <c r="K446" s="627" t="n">
        <v>6.14625</v>
      </c>
      <c r="L446" s="410"/>
      <c r="M446" s="506" t="n">
        <v>101</v>
      </c>
      <c r="N446" s="410"/>
      <c r="O446" s="313" t="n">
        <v>140</v>
      </c>
      <c r="P446" s="474" t="n">
        <v>147.51</v>
      </c>
      <c r="Q446" s="377"/>
      <c r="R446" s="410"/>
    </row>
    <row r="447" customFormat="false" ht="12.75" hidden="false" customHeight="false" outlineLevel="0" collapsed="false">
      <c r="A447" s="626"/>
      <c r="B447" s="305" t="s">
        <v>465</v>
      </c>
      <c r="C447" s="305" t="s">
        <v>726</v>
      </c>
      <c r="D447" s="306" t="n">
        <v>288</v>
      </c>
      <c r="E447" s="306" t="n">
        <v>2.5</v>
      </c>
      <c r="F447" s="305" t="s">
        <v>710</v>
      </c>
      <c r="G447" s="306" t="n">
        <v>48</v>
      </c>
      <c r="H447" s="325" t="n">
        <v>186.776859504132</v>
      </c>
      <c r="I447" s="473"/>
      <c r="J447" s="313" t="n">
        <v>0</v>
      </c>
      <c r="K447" s="627" t="n">
        <v>3.073125</v>
      </c>
      <c r="L447" s="410"/>
      <c r="M447" s="506" t="n">
        <v>101</v>
      </c>
      <c r="N447" s="410"/>
      <c r="O447" s="313" t="n">
        <v>140</v>
      </c>
      <c r="P447" s="474" t="n">
        <v>147.51</v>
      </c>
      <c r="Q447" s="377"/>
      <c r="R447" s="410"/>
    </row>
    <row r="448" customFormat="false" ht="12.75" hidden="false" customHeight="false" outlineLevel="0" collapsed="false">
      <c r="A448" s="626"/>
      <c r="B448" s="305" t="s">
        <v>200</v>
      </c>
      <c r="C448" s="305" t="s">
        <v>727</v>
      </c>
      <c r="D448" s="306" t="n">
        <v>421</v>
      </c>
      <c r="E448" s="306" t="n">
        <v>2.5</v>
      </c>
      <c r="F448" s="305" t="s">
        <v>710</v>
      </c>
      <c r="G448" s="306" t="n">
        <v>24</v>
      </c>
      <c r="H448" s="325" t="n">
        <v>420.661157024793</v>
      </c>
      <c r="I448" s="473"/>
      <c r="J448" s="313" t="n">
        <v>0</v>
      </c>
      <c r="K448" s="627" t="n">
        <v>13.9375</v>
      </c>
      <c r="L448" s="410"/>
      <c r="M448" s="506" t="n">
        <v>0</v>
      </c>
      <c r="N448" s="410"/>
      <c r="O448" s="313" t="n">
        <v>87</v>
      </c>
      <c r="P448" s="474" t="n">
        <v>334.5</v>
      </c>
      <c r="Q448" s="377"/>
      <c r="R448" s="410"/>
    </row>
    <row r="449" customFormat="false" ht="12.75" hidden="false" customHeight="false" outlineLevel="0" collapsed="false">
      <c r="A449" s="626"/>
      <c r="B449" s="305" t="s">
        <v>200</v>
      </c>
      <c r="C449" s="305" t="s">
        <v>727</v>
      </c>
      <c r="D449" s="306" t="n">
        <v>421</v>
      </c>
      <c r="E449" s="306" t="n">
        <v>2.5</v>
      </c>
      <c r="F449" s="305" t="s">
        <v>710</v>
      </c>
      <c r="G449" s="306" t="n">
        <v>48</v>
      </c>
      <c r="H449" s="325" t="n">
        <v>420.661157024793</v>
      </c>
      <c r="I449" s="473"/>
      <c r="J449" s="313" t="n">
        <v>0</v>
      </c>
      <c r="K449" s="627" t="n">
        <v>6.96875</v>
      </c>
      <c r="L449" s="410"/>
      <c r="M449" s="506" t="n">
        <v>0</v>
      </c>
      <c r="N449" s="410"/>
      <c r="O449" s="313" t="n">
        <v>87</v>
      </c>
      <c r="P449" s="474" t="n">
        <v>334.5</v>
      </c>
      <c r="Q449" s="377"/>
      <c r="R449" s="410"/>
    </row>
    <row r="450" customFormat="false" ht="12.75" hidden="false" customHeight="false" outlineLevel="0" collapsed="false">
      <c r="A450" s="626"/>
      <c r="B450" s="305" t="s">
        <v>200</v>
      </c>
      <c r="C450" s="631" t="s">
        <v>728</v>
      </c>
      <c r="D450" s="306" t="n">
        <v>315</v>
      </c>
      <c r="E450" s="306" t="n">
        <v>2.5</v>
      </c>
      <c r="F450" s="305" t="s">
        <v>710</v>
      </c>
      <c r="G450" s="306" t="n">
        <v>24</v>
      </c>
      <c r="H450" s="325" t="n">
        <v>253.719008264463</v>
      </c>
      <c r="I450" s="473"/>
      <c r="J450" s="313" t="n">
        <v>0</v>
      </c>
      <c r="K450" s="627" t="n">
        <v>8.27083333333333</v>
      </c>
      <c r="L450" s="410"/>
      <c r="M450" s="506" t="n">
        <v>61</v>
      </c>
      <c r="N450" s="410"/>
      <c r="O450" s="313" t="n">
        <v>117</v>
      </c>
      <c r="P450" s="474" t="n">
        <v>198.5</v>
      </c>
      <c r="Q450" s="377"/>
      <c r="R450" s="410"/>
    </row>
    <row r="451" customFormat="false" ht="12.75" hidden="false" customHeight="false" outlineLevel="0" collapsed="false">
      <c r="A451" s="626"/>
      <c r="B451" s="305" t="s">
        <v>200</v>
      </c>
      <c r="C451" s="631" t="s">
        <v>728</v>
      </c>
      <c r="D451" s="306" t="n">
        <v>315</v>
      </c>
      <c r="E451" s="306" t="n">
        <v>2.5</v>
      </c>
      <c r="F451" s="305" t="s">
        <v>710</v>
      </c>
      <c r="G451" s="306" t="n">
        <v>48</v>
      </c>
      <c r="H451" s="325" t="n">
        <v>253.719008264463</v>
      </c>
      <c r="I451" s="473"/>
      <c r="J451" s="313" t="n">
        <v>0</v>
      </c>
      <c r="K451" s="627" t="n">
        <v>4.13541666666667</v>
      </c>
      <c r="L451" s="410"/>
      <c r="M451" s="506" t="n">
        <v>61</v>
      </c>
      <c r="N451" s="410"/>
      <c r="O451" s="313" t="n">
        <v>117</v>
      </c>
      <c r="P451" s="474" t="n">
        <v>198.5</v>
      </c>
      <c r="Q451" s="377"/>
      <c r="R451" s="410"/>
    </row>
    <row r="452" customFormat="false" ht="12.75" hidden="false" customHeight="false" outlineLevel="0" collapsed="false">
      <c r="A452" s="626"/>
      <c r="B452" s="305" t="s">
        <v>200</v>
      </c>
      <c r="C452" s="631" t="s">
        <v>729</v>
      </c>
      <c r="D452" s="306" t="n">
        <v>373</v>
      </c>
      <c r="E452" s="306" t="n">
        <v>2.5</v>
      </c>
      <c r="F452" s="305" t="s">
        <v>710</v>
      </c>
      <c r="G452" s="306" t="n">
        <v>24</v>
      </c>
      <c r="H452" s="325" t="n">
        <v>333.057851239669</v>
      </c>
      <c r="I452" s="473"/>
      <c r="J452" s="313" t="n">
        <v>0</v>
      </c>
      <c r="K452" s="627" t="n">
        <v>10.7291666666667</v>
      </c>
      <c r="L452" s="410"/>
      <c r="M452" s="506" t="n">
        <v>40</v>
      </c>
      <c r="N452" s="410"/>
      <c r="O452" s="313" t="n">
        <v>116</v>
      </c>
      <c r="P452" s="474" t="n">
        <v>257.5</v>
      </c>
      <c r="Q452" s="377"/>
      <c r="R452" s="410"/>
    </row>
    <row r="453" customFormat="false" ht="12.75" hidden="false" customHeight="false" outlineLevel="0" collapsed="false">
      <c r="A453" s="626"/>
      <c r="B453" s="305" t="s">
        <v>200</v>
      </c>
      <c r="C453" s="632" t="s">
        <v>729</v>
      </c>
      <c r="D453" s="306" t="n">
        <v>373</v>
      </c>
      <c r="E453" s="306" t="n">
        <v>2.5</v>
      </c>
      <c r="F453" s="305" t="s">
        <v>710</v>
      </c>
      <c r="G453" s="306" t="n">
        <v>48</v>
      </c>
      <c r="H453" s="325" t="n">
        <v>333.057851239669</v>
      </c>
      <c r="I453" s="473"/>
      <c r="J453" s="313" t="n">
        <v>0</v>
      </c>
      <c r="K453" s="627" t="n">
        <v>5.36458333333333</v>
      </c>
      <c r="L453" s="410"/>
      <c r="M453" s="506" t="n">
        <v>40</v>
      </c>
      <c r="N453" s="410"/>
      <c r="O453" s="313" t="n">
        <v>116</v>
      </c>
      <c r="P453" s="474" t="n">
        <v>257.5</v>
      </c>
      <c r="Q453" s="377"/>
      <c r="R453" s="410"/>
    </row>
    <row r="454" customFormat="false" ht="12.75" hidden="false" customHeight="false" outlineLevel="0" collapsed="false">
      <c r="A454" s="626"/>
      <c r="B454" s="305" t="s">
        <v>200</v>
      </c>
      <c r="C454" s="632" t="s">
        <v>730</v>
      </c>
      <c r="D454" s="306" t="n">
        <v>338</v>
      </c>
      <c r="E454" s="306" t="n">
        <v>2.5</v>
      </c>
      <c r="F454" s="305" t="s">
        <v>710</v>
      </c>
      <c r="G454" s="306" t="n">
        <v>24</v>
      </c>
      <c r="H454" s="325" t="n">
        <v>296.694214876033</v>
      </c>
      <c r="I454" s="473"/>
      <c r="J454" s="313" t="n">
        <v>0</v>
      </c>
      <c r="K454" s="627" t="n">
        <v>9.22916666666667</v>
      </c>
      <c r="L454" s="410"/>
      <c r="M454" s="506" t="n">
        <v>41</v>
      </c>
      <c r="N454" s="410"/>
      <c r="O454" s="313" t="n">
        <v>117</v>
      </c>
      <c r="P454" s="474" t="n">
        <v>221.5</v>
      </c>
      <c r="Q454" s="377"/>
      <c r="R454" s="410"/>
    </row>
    <row r="455" customFormat="false" ht="12.75" hidden="false" customHeight="false" outlineLevel="0" collapsed="false">
      <c r="A455" s="626"/>
      <c r="B455" s="305" t="s">
        <v>200</v>
      </c>
      <c r="C455" s="632" t="s">
        <v>730</v>
      </c>
      <c r="D455" s="306" t="n">
        <v>338</v>
      </c>
      <c r="E455" s="306" t="n">
        <v>2.5</v>
      </c>
      <c r="F455" s="305" t="s">
        <v>710</v>
      </c>
      <c r="G455" s="306" t="n">
        <v>48</v>
      </c>
      <c r="H455" s="325" t="n">
        <v>296.694214876033</v>
      </c>
      <c r="I455" s="473"/>
      <c r="J455" s="313" t="n">
        <v>0</v>
      </c>
      <c r="K455" s="627" t="n">
        <v>4.61458333333333</v>
      </c>
      <c r="L455" s="410"/>
      <c r="M455" s="506" t="n">
        <v>41</v>
      </c>
      <c r="N455" s="410"/>
      <c r="O455" s="313" t="n">
        <v>117</v>
      </c>
      <c r="P455" s="474" t="n">
        <v>221.5</v>
      </c>
      <c r="Q455" s="377"/>
      <c r="R455" s="410"/>
    </row>
    <row r="456" customFormat="false" ht="12.75" hidden="false" customHeight="false" outlineLevel="0" collapsed="false">
      <c r="A456" s="626"/>
      <c r="B456" s="305" t="s">
        <v>200</v>
      </c>
      <c r="C456" s="632" t="s">
        <v>731</v>
      </c>
      <c r="D456" s="306" t="n">
        <v>626</v>
      </c>
      <c r="E456" s="306" t="n">
        <v>2.5</v>
      </c>
      <c r="F456" s="305" t="s">
        <v>710</v>
      </c>
      <c r="G456" s="306" t="n">
        <v>24</v>
      </c>
      <c r="H456" s="325" t="n">
        <v>525.619834710744</v>
      </c>
      <c r="I456" s="473"/>
      <c r="J456" s="313" t="n">
        <v>0</v>
      </c>
      <c r="K456" s="627" t="n">
        <v>17.4791666666667</v>
      </c>
      <c r="L456" s="410"/>
      <c r="M456" s="506" t="n">
        <v>100</v>
      </c>
      <c r="N456" s="410"/>
      <c r="O456" s="313" t="n">
        <v>207</v>
      </c>
      <c r="P456" s="474" t="n">
        <v>419.5</v>
      </c>
      <c r="Q456" s="377"/>
      <c r="R456" s="410"/>
    </row>
    <row r="457" customFormat="false" ht="12.75" hidden="false" customHeight="false" outlineLevel="0" collapsed="false">
      <c r="A457" s="626"/>
      <c r="B457" s="305" t="s">
        <v>200</v>
      </c>
      <c r="C457" s="632" t="s">
        <v>731</v>
      </c>
      <c r="D457" s="306" t="n">
        <v>626</v>
      </c>
      <c r="E457" s="306" t="n">
        <v>2.5</v>
      </c>
      <c r="F457" s="305" t="s">
        <v>710</v>
      </c>
      <c r="G457" s="306" t="n">
        <v>48</v>
      </c>
      <c r="H457" s="325" t="n">
        <v>525.619834710744</v>
      </c>
      <c r="I457" s="473"/>
      <c r="J457" s="313" t="n">
        <v>0</v>
      </c>
      <c r="K457" s="627" t="n">
        <v>8.73958333333333</v>
      </c>
      <c r="L457" s="410"/>
      <c r="M457" s="506" t="n">
        <v>100</v>
      </c>
      <c r="N457" s="410"/>
      <c r="O457" s="313" t="n">
        <v>207</v>
      </c>
      <c r="P457" s="474" t="n">
        <v>419.5</v>
      </c>
      <c r="Q457" s="377"/>
      <c r="R457" s="410"/>
    </row>
    <row r="458" customFormat="false" ht="12.75" hidden="false" customHeight="false" outlineLevel="0" collapsed="false">
      <c r="A458" s="626"/>
      <c r="B458" s="305" t="s">
        <v>497</v>
      </c>
      <c r="C458" s="632" t="s">
        <v>732</v>
      </c>
      <c r="D458" s="306" t="n">
        <v>110</v>
      </c>
      <c r="E458" s="306" t="n">
        <v>2.5</v>
      </c>
      <c r="F458" s="305" t="s">
        <v>710</v>
      </c>
      <c r="G458" s="306" t="n">
        <v>24</v>
      </c>
      <c r="H458" s="325" t="n">
        <v>89.2561983471074</v>
      </c>
      <c r="I458" s="473"/>
      <c r="J458" s="313" t="n">
        <v>0</v>
      </c>
      <c r="K458" s="627" t="n">
        <v>2.96166666666667</v>
      </c>
      <c r="L458" s="410"/>
      <c r="M458" s="506" t="n">
        <v>21</v>
      </c>
      <c r="N458" s="410"/>
      <c r="O458" s="313" t="n">
        <v>39</v>
      </c>
      <c r="P458" s="474" t="n">
        <v>71.08</v>
      </c>
      <c r="Q458" s="377"/>
      <c r="R458" s="410"/>
    </row>
    <row r="459" customFormat="false" ht="12.75" hidden="false" customHeight="false" outlineLevel="0" collapsed="false">
      <c r="A459" s="626"/>
      <c r="B459" s="305" t="s">
        <v>497</v>
      </c>
      <c r="C459" s="632" t="s">
        <v>733</v>
      </c>
      <c r="D459" s="306" t="n">
        <v>64</v>
      </c>
      <c r="E459" s="306" t="n">
        <v>2.5</v>
      </c>
      <c r="F459" s="305" t="s">
        <v>710</v>
      </c>
      <c r="G459" s="306" t="n">
        <v>24</v>
      </c>
      <c r="H459" s="325" t="n">
        <v>58.6776859504132</v>
      </c>
      <c r="I459" s="473"/>
      <c r="J459" s="313" t="n">
        <v>0</v>
      </c>
      <c r="K459" s="627" t="n">
        <v>1.66125</v>
      </c>
      <c r="L459" s="410"/>
      <c r="M459" s="506" t="n">
        <v>5</v>
      </c>
      <c r="N459" s="410"/>
      <c r="O459" s="313" t="n">
        <v>24</v>
      </c>
      <c r="P459" s="474" t="n">
        <v>39.87</v>
      </c>
      <c r="Q459" s="377"/>
      <c r="R459" s="410"/>
    </row>
    <row r="460" customFormat="false" ht="12.75" hidden="false" customHeight="false" outlineLevel="0" collapsed="false">
      <c r="A460" s="626"/>
      <c r="B460" s="305" t="s">
        <v>497</v>
      </c>
      <c r="C460" s="632" t="s">
        <v>734</v>
      </c>
      <c r="D460" s="306" t="n">
        <v>348</v>
      </c>
      <c r="E460" s="306" t="n">
        <v>2.5</v>
      </c>
      <c r="F460" s="305" t="s">
        <v>710</v>
      </c>
      <c r="G460" s="306" t="n">
        <v>24</v>
      </c>
      <c r="H460" s="325" t="n">
        <v>161.98347107438</v>
      </c>
      <c r="I460" s="473"/>
      <c r="J460" s="313" t="n">
        <v>0</v>
      </c>
      <c r="K460" s="627" t="n">
        <v>7.21916666666667</v>
      </c>
      <c r="L460" s="410"/>
      <c r="M460" s="506" t="n">
        <v>186</v>
      </c>
      <c r="N460" s="410"/>
      <c r="O460" s="313" t="n">
        <v>175</v>
      </c>
      <c r="P460" s="474" t="n">
        <v>173.26</v>
      </c>
      <c r="Q460" s="377"/>
      <c r="R460" s="410"/>
    </row>
    <row r="461" customFormat="false" ht="12.75" hidden="false" customHeight="false" outlineLevel="0" collapsed="false">
      <c r="A461" s="626"/>
      <c r="B461" s="305" t="s">
        <v>497</v>
      </c>
      <c r="C461" s="632" t="s">
        <v>734</v>
      </c>
      <c r="D461" s="306" t="n">
        <v>348</v>
      </c>
      <c r="E461" s="306" t="n">
        <v>2.5</v>
      </c>
      <c r="F461" s="305" t="s">
        <v>710</v>
      </c>
      <c r="G461" s="306" t="n">
        <v>48</v>
      </c>
      <c r="H461" s="325" t="n">
        <v>161.98347107438</v>
      </c>
      <c r="I461" s="473"/>
      <c r="J461" s="313" t="n">
        <v>0</v>
      </c>
      <c r="K461" s="627" t="n">
        <v>3.60958333333333</v>
      </c>
      <c r="L461" s="410"/>
      <c r="M461" s="506" t="n">
        <v>186</v>
      </c>
      <c r="N461" s="410"/>
      <c r="O461" s="313" t="n">
        <v>175</v>
      </c>
      <c r="P461" s="474" t="n">
        <v>173.26</v>
      </c>
      <c r="Q461" s="377"/>
      <c r="R461" s="410"/>
    </row>
    <row r="462" customFormat="false" ht="12.75" hidden="false" customHeight="false" outlineLevel="0" collapsed="false">
      <c r="A462" s="626"/>
      <c r="B462" s="305" t="s">
        <v>497</v>
      </c>
      <c r="C462" s="632" t="s">
        <v>735</v>
      </c>
      <c r="D462" s="306" t="n">
        <v>172</v>
      </c>
      <c r="E462" s="306" t="n">
        <v>2.5</v>
      </c>
      <c r="F462" s="305" t="s">
        <v>710</v>
      </c>
      <c r="G462" s="306" t="n">
        <v>24</v>
      </c>
      <c r="H462" s="325" t="n">
        <v>151.239669421488</v>
      </c>
      <c r="I462" s="473"/>
      <c r="J462" s="313" t="n">
        <v>0</v>
      </c>
      <c r="K462" s="627" t="n">
        <v>4.68666666666667</v>
      </c>
      <c r="L462" s="410"/>
      <c r="M462" s="506" t="n">
        <v>21</v>
      </c>
      <c r="N462" s="410"/>
      <c r="O462" s="313" t="n">
        <v>60</v>
      </c>
      <c r="P462" s="474" t="n">
        <v>112.48</v>
      </c>
      <c r="Q462" s="377"/>
      <c r="R462" s="410"/>
    </row>
    <row r="463" customFormat="false" ht="12.75" hidden="false" customHeight="false" outlineLevel="0" collapsed="false">
      <c r="A463" s="626"/>
      <c r="B463" s="305" t="s">
        <v>497</v>
      </c>
      <c r="C463" s="632" t="s">
        <v>736</v>
      </c>
      <c r="D463" s="306" t="n">
        <v>553</v>
      </c>
      <c r="E463" s="306" t="n">
        <v>0</v>
      </c>
      <c r="F463" s="305" t="s">
        <v>737</v>
      </c>
      <c r="G463" s="306" t="n">
        <v>24</v>
      </c>
      <c r="H463" s="325" t="n">
        <v>412.396694214876</v>
      </c>
      <c r="I463" s="473"/>
      <c r="J463" s="313" t="n">
        <v>0</v>
      </c>
      <c r="K463" s="627" t="n">
        <v>13.5945833333333</v>
      </c>
      <c r="L463" s="410"/>
      <c r="M463" s="506" t="n">
        <v>141</v>
      </c>
      <c r="N463" s="410"/>
      <c r="O463" s="313" t="n">
        <v>227</v>
      </c>
      <c r="P463" s="474" t="n">
        <v>326.27</v>
      </c>
      <c r="Q463" s="377"/>
      <c r="R463" s="410"/>
    </row>
    <row r="464" customFormat="false" ht="12.75" hidden="false" customHeight="false" outlineLevel="0" collapsed="false">
      <c r="A464" s="626"/>
      <c r="B464" s="305" t="s">
        <v>497</v>
      </c>
      <c r="C464" s="632" t="s">
        <v>736</v>
      </c>
      <c r="D464" s="306" t="n">
        <v>553</v>
      </c>
      <c r="E464" s="306" t="n">
        <v>0</v>
      </c>
      <c r="F464" s="305" t="s">
        <v>737</v>
      </c>
      <c r="G464" s="306" t="n">
        <v>48</v>
      </c>
      <c r="H464" s="325" t="n">
        <v>412.396694214876</v>
      </c>
      <c r="I464" s="473"/>
      <c r="J464" s="313" t="n">
        <v>0</v>
      </c>
      <c r="K464" s="627" t="n">
        <v>6.79729166666667</v>
      </c>
      <c r="L464" s="410"/>
      <c r="M464" s="506" t="n">
        <v>141</v>
      </c>
      <c r="N464" s="410"/>
      <c r="O464" s="313" t="n">
        <v>227</v>
      </c>
      <c r="P464" s="474" t="n">
        <v>326.27</v>
      </c>
      <c r="Q464" s="377"/>
      <c r="R464" s="410"/>
    </row>
    <row r="465" customFormat="false" ht="12.75" hidden="false" customHeight="false" outlineLevel="0" collapsed="false">
      <c r="A465" s="626"/>
      <c r="B465" s="305" t="s">
        <v>497</v>
      </c>
      <c r="C465" s="632" t="s">
        <v>738</v>
      </c>
      <c r="D465" s="306" t="n">
        <v>459</v>
      </c>
      <c r="E465" s="306" t="n">
        <v>0</v>
      </c>
      <c r="F465" s="305" t="s">
        <v>737</v>
      </c>
      <c r="G465" s="306" t="n">
        <v>24</v>
      </c>
      <c r="H465" s="325" t="n">
        <v>323.140495867769</v>
      </c>
      <c r="I465" s="473"/>
      <c r="J465" s="313" t="n">
        <v>0</v>
      </c>
      <c r="K465" s="627" t="n">
        <v>10.3379166666667</v>
      </c>
      <c r="L465" s="410"/>
      <c r="M465" s="506" t="n">
        <v>136</v>
      </c>
      <c r="N465" s="410"/>
      <c r="O465" s="313" t="n">
        <v>211</v>
      </c>
      <c r="P465" s="474" t="n">
        <v>248.11</v>
      </c>
      <c r="Q465" s="377"/>
      <c r="R465" s="410"/>
    </row>
    <row r="466" customFormat="false" ht="12.75" hidden="false" customHeight="false" outlineLevel="0" collapsed="false">
      <c r="A466" s="626"/>
      <c r="B466" s="305" t="s">
        <v>497</v>
      </c>
      <c r="C466" s="632" t="s">
        <v>738</v>
      </c>
      <c r="D466" s="306" t="n">
        <v>459</v>
      </c>
      <c r="E466" s="306" t="n">
        <v>0</v>
      </c>
      <c r="F466" s="305" t="s">
        <v>737</v>
      </c>
      <c r="G466" s="306" t="n">
        <v>48</v>
      </c>
      <c r="H466" s="325" t="n">
        <v>323.140495867769</v>
      </c>
      <c r="I466" s="473"/>
      <c r="J466" s="313" t="n">
        <v>0</v>
      </c>
      <c r="K466" s="627" t="n">
        <v>5.16895833333333</v>
      </c>
      <c r="L466" s="410"/>
      <c r="M466" s="506" t="n">
        <v>136</v>
      </c>
      <c r="N466" s="410"/>
      <c r="O466" s="313" t="n">
        <v>211</v>
      </c>
      <c r="P466" s="474" t="n">
        <v>248.11</v>
      </c>
      <c r="Q466" s="377"/>
      <c r="R466" s="410"/>
    </row>
    <row r="467" customFormat="false" ht="12.75" hidden="false" customHeight="false" outlineLevel="0" collapsed="false">
      <c r="A467" s="626"/>
      <c r="B467" s="305" t="s">
        <v>497</v>
      </c>
      <c r="C467" s="632" t="s">
        <v>739</v>
      </c>
      <c r="D467" s="306" t="n">
        <v>516</v>
      </c>
      <c r="E467" s="306" t="n">
        <v>0</v>
      </c>
      <c r="F467" s="305" t="s">
        <v>737</v>
      </c>
      <c r="G467" s="306" t="n">
        <v>24</v>
      </c>
      <c r="H467" s="325" t="n">
        <v>405.785123966942</v>
      </c>
      <c r="I467" s="473"/>
      <c r="J467" s="313" t="n">
        <v>0</v>
      </c>
      <c r="K467" s="627" t="n">
        <v>13.3291666666667</v>
      </c>
      <c r="L467" s="410"/>
      <c r="M467" s="506" t="n">
        <v>110</v>
      </c>
      <c r="N467" s="410"/>
      <c r="O467" s="313" t="n">
        <v>196</v>
      </c>
      <c r="P467" s="474" t="n">
        <v>319.9</v>
      </c>
      <c r="Q467" s="377"/>
      <c r="R467" s="410"/>
    </row>
    <row r="468" customFormat="false" ht="12.75" hidden="false" customHeight="false" outlineLevel="0" collapsed="false">
      <c r="A468" s="626"/>
      <c r="B468" s="305" t="s">
        <v>497</v>
      </c>
      <c r="C468" s="632" t="s">
        <v>739</v>
      </c>
      <c r="D468" s="306" t="n">
        <v>516</v>
      </c>
      <c r="E468" s="306" t="n">
        <v>0</v>
      </c>
      <c r="F468" s="305" t="s">
        <v>737</v>
      </c>
      <c r="G468" s="306" t="n">
        <v>48</v>
      </c>
      <c r="H468" s="325" t="n">
        <v>405.785123966942</v>
      </c>
      <c r="I468" s="473"/>
      <c r="J468" s="313" t="n">
        <v>0</v>
      </c>
      <c r="K468" s="627" t="n">
        <v>6.66458333333333</v>
      </c>
      <c r="L468" s="410"/>
      <c r="M468" s="506" t="n">
        <v>110</v>
      </c>
      <c r="N468" s="410"/>
      <c r="O468" s="313" t="n">
        <v>196</v>
      </c>
      <c r="P468" s="474" t="n">
        <v>319.9</v>
      </c>
      <c r="Q468" s="377"/>
      <c r="R468" s="410"/>
    </row>
    <row r="469" customFormat="false" ht="12.75" hidden="false" customHeight="false" outlineLevel="0" collapsed="false">
      <c r="A469" s="626"/>
      <c r="B469" s="305" t="s">
        <v>465</v>
      </c>
      <c r="C469" s="633" t="s">
        <v>627</v>
      </c>
      <c r="D469" s="306" t="n">
        <v>53</v>
      </c>
      <c r="E469" s="306" t="n">
        <v>0</v>
      </c>
      <c r="F469" s="305" t="s">
        <v>603</v>
      </c>
      <c r="G469" s="306" t="n">
        <v>24</v>
      </c>
      <c r="H469" s="325" t="n">
        <v>35.5371900826446</v>
      </c>
      <c r="I469" s="473"/>
      <c r="J469" s="313" t="n">
        <v>0</v>
      </c>
      <c r="K469" s="627" t="n">
        <v>0.7925</v>
      </c>
      <c r="L469" s="410"/>
      <c r="M469" s="506" t="n">
        <v>17</v>
      </c>
      <c r="N469" s="410"/>
      <c r="O469" s="313" t="n">
        <v>34</v>
      </c>
      <c r="P469" s="474" t="n">
        <v>19.02</v>
      </c>
      <c r="Q469" s="377"/>
      <c r="R469" s="410"/>
    </row>
    <row r="470" customFormat="false" ht="12.75" hidden="false" customHeight="false" outlineLevel="0" collapsed="false">
      <c r="A470" s="626"/>
      <c r="B470" s="305" t="s">
        <v>260</v>
      </c>
      <c r="C470" s="633" t="s">
        <v>635</v>
      </c>
      <c r="D470" s="306" t="n">
        <v>101</v>
      </c>
      <c r="E470" s="306" t="n">
        <v>0</v>
      </c>
      <c r="F470" s="305" t="s">
        <v>630</v>
      </c>
      <c r="G470" s="306" t="n">
        <v>24</v>
      </c>
      <c r="H470" s="325" t="n">
        <v>100.826446280992</v>
      </c>
      <c r="I470" s="473"/>
      <c r="J470" s="313" t="n">
        <v>0</v>
      </c>
      <c r="K470" s="627" t="n">
        <v>3.43583333333333</v>
      </c>
      <c r="L470" s="410"/>
      <c r="M470" s="506" t="n">
        <v>0</v>
      </c>
      <c r="N470" s="410"/>
      <c r="O470" s="313" t="n">
        <v>19</v>
      </c>
      <c r="P470" s="474" t="n">
        <v>82.46</v>
      </c>
      <c r="Q470" s="377"/>
      <c r="R470" s="410"/>
    </row>
    <row r="471" customFormat="false" ht="12.75" hidden="false" customHeight="false" outlineLevel="0" collapsed="false">
      <c r="A471" s="626"/>
      <c r="B471" s="305" t="s">
        <v>260</v>
      </c>
      <c r="C471" s="633" t="s">
        <v>598</v>
      </c>
      <c r="D471" s="306" t="n">
        <v>129</v>
      </c>
      <c r="E471" s="306" t="n">
        <v>0</v>
      </c>
      <c r="F471" s="305" t="s">
        <v>595</v>
      </c>
      <c r="G471" s="306" t="n">
        <v>24</v>
      </c>
      <c r="H471" s="325" t="n">
        <v>128.925619834711</v>
      </c>
      <c r="I471" s="473"/>
      <c r="J471" s="313" t="n">
        <v>0</v>
      </c>
      <c r="K471" s="627" t="n">
        <v>4.19583333333333</v>
      </c>
      <c r="L471" s="410"/>
      <c r="M471" s="506" t="n">
        <v>0</v>
      </c>
      <c r="N471" s="410"/>
      <c r="O471" s="313" t="n">
        <v>28</v>
      </c>
      <c r="P471" s="474" t="n">
        <v>100.7</v>
      </c>
      <c r="Q471" s="377"/>
      <c r="R471" s="410"/>
    </row>
    <row r="472" customFormat="false" ht="12.75" hidden="false" customHeight="false" outlineLevel="0" collapsed="false">
      <c r="A472" s="626"/>
      <c r="B472" s="305" t="s">
        <v>260</v>
      </c>
      <c r="C472" s="633" t="s">
        <v>626</v>
      </c>
      <c r="D472" s="306" t="n">
        <v>199</v>
      </c>
      <c r="E472" s="306" t="n">
        <v>0</v>
      </c>
      <c r="F472" s="305" t="s">
        <v>603</v>
      </c>
      <c r="G472" s="306" t="n">
        <v>24</v>
      </c>
      <c r="H472" s="325" t="n">
        <v>198.347107438017</v>
      </c>
      <c r="I472" s="473"/>
      <c r="J472" s="313" t="n">
        <v>0</v>
      </c>
      <c r="K472" s="627" t="n">
        <v>6.22083333333333</v>
      </c>
      <c r="L472" s="410"/>
      <c r="M472" s="506" t="n">
        <v>1</v>
      </c>
      <c r="N472" s="410"/>
      <c r="O472" s="313" t="n">
        <v>50</v>
      </c>
      <c r="P472" s="474" t="n">
        <v>149.3</v>
      </c>
      <c r="Q472" s="377"/>
      <c r="R472" s="410"/>
    </row>
    <row r="473" customFormat="false" ht="12.75" hidden="false" customHeight="false" outlineLevel="0" collapsed="false">
      <c r="A473" s="626"/>
      <c r="B473" s="305" t="s">
        <v>190</v>
      </c>
      <c r="C473" s="633" t="s">
        <v>600</v>
      </c>
      <c r="D473" s="306" t="n">
        <v>166</v>
      </c>
      <c r="E473" s="306" t="n">
        <v>0</v>
      </c>
      <c r="F473" s="305" t="s">
        <v>595</v>
      </c>
      <c r="G473" s="306" t="n">
        <v>24</v>
      </c>
      <c r="H473" s="325" t="n">
        <v>165.289256198347</v>
      </c>
      <c r="I473" s="473"/>
      <c r="J473" s="313" t="n">
        <v>0</v>
      </c>
      <c r="K473" s="627" t="n">
        <v>5.25</v>
      </c>
      <c r="L473" s="410"/>
      <c r="M473" s="506" t="n">
        <v>1</v>
      </c>
      <c r="N473" s="410"/>
      <c r="O473" s="313" t="n">
        <v>40</v>
      </c>
      <c r="P473" s="474" t="n">
        <v>126</v>
      </c>
      <c r="Q473" s="377"/>
      <c r="R473" s="410"/>
    </row>
    <row r="474" customFormat="false" ht="12.75" hidden="false" customHeight="false" outlineLevel="0" collapsed="false">
      <c r="A474" s="626"/>
      <c r="B474" s="305" t="s">
        <v>190</v>
      </c>
      <c r="C474" s="633" t="s">
        <v>599</v>
      </c>
      <c r="D474" s="306" t="n">
        <v>248</v>
      </c>
      <c r="E474" s="306" t="n">
        <v>0</v>
      </c>
      <c r="F474" s="305" t="s">
        <v>595</v>
      </c>
      <c r="G474" s="306" t="n">
        <v>24</v>
      </c>
      <c r="H474" s="325" t="n">
        <v>219.00826446281</v>
      </c>
      <c r="I474" s="473"/>
      <c r="J474" s="313" t="n">
        <v>0</v>
      </c>
      <c r="K474" s="627" t="n">
        <v>7.5</v>
      </c>
      <c r="L474" s="410"/>
      <c r="M474" s="506" t="n">
        <v>29</v>
      </c>
      <c r="N474" s="410"/>
      <c r="O474" s="313" t="n">
        <v>68</v>
      </c>
      <c r="P474" s="474" t="n">
        <v>180</v>
      </c>
      <c r="Q474" s="377"/>
      <c r="R474" s="410"/>
    </row>
    <row r="475" customFormat="false" ht="12.75" hidden="false" customHeight="false" outlineLevel="0" collapsed="false">
      <c r="A475" s="626"/>
      <c r="B475" s="305" t="s">
        <v>130</v>
      </c>
      <c r="C475" s="633" t="s">
        <v>628</v>
      </c>
      <c r="D475" s="306" t="n">
        <v>97</v>
      </c>
      <c r="E475" s="306" t="n">
        <v>0</v>
      </c>
      <c r="F475" s="305" t="s">
        <v>603</v>
      </c>
      <c r="G475" s="306" t="n">
        <v>24</v>
      </c>
      <c r="H475" s="325" t="n">
        <v>84.297520661157</v>
      </c>
      <c r="I475" s="473"/>
      <c r="J475" s="313" t="n">
        <v>0</v>
      </c>
      <c r="K475" s="627" t="n">
        <v>2.75</v>
      </c>
      <c r="L475" s="410"/>
      <c r="M475" s="506" t="n">
        <v>13</v>
      </c>
      <c r="N475" s="410"/>
      <c r="O475" s="313" t="n">
        <v>31</v>
      </c>
      <c r="P475" s="474" t="n">
        <v>66</v>
      </c>
      <c r="Q475" s="377"/>
      <c r="R475" s="410"/>
    </row>
    <row r="476" customFormat="false" ht="12.75" hidden="false" customHeight="false" outlineLevel="0" collapsed="false">
      <c r="A476" s="626"/>
      <c r="B476" s="305" t="s">
        <v>130</v>
      </c>
      <c r="C476" s="633" t="s">
        <v>707</v>
      </c>
      <c r="D476" s="306" t="n">
        <v>63</v>
      </c>
      <c r="E476" s="306" t="n">
        <v>0</v>
      </c>
      <c r="F476" s="305" t="s">
        <v>705</v>
      </c>
      <c r="G476" s="306" t="n">
        <v>24</v>
      </c>
      <c r="H476" s="325" t="n">
        <v>57.0247933884298</v>
      </c>
      <c r="I476" s="473"/>
      <c r="J476" s="313" t="n">
        <v>0</v>
      </c>
      <c r="K476" s="627" t="n">
        <v>1.625</v>
      </c>
      <c r="L476" s="410"/>
      <c r="M476" s="506" t="n">
        <v>6</v>
      </c>
      <c r="N476" s="410"/>
      <c r="O476" s="313" t="n">
        <v>24</v>
      </c>
      <c r="P476" s="474" t="n">
        <v>39</v>
      </c>
      <c r="Q476" s="377"/>
      <c r="R476" s="410"/>
    </row>
    <row r="477" customFormat="false" ht="12.75" hidden="false" customHeight="false" outlineLevel="0" collapsed="false">
      <c r="A477" s="626"/>
      <c r="B477" s="305" t="s">
        <v>260</v>
      </c>
      <c r="C477" s="633" t="s">
        <v>577</v>
      </c>
      <c r="D477" s="306" t="n">
        <v>482</v>
      </c>
      <c r="E477" s="306" t="n">
        <v>0</v>
      </c>
      <c r="F477" s="305" t="s">
        <v>568</v>
      </c>
      <c r="G477" s="306" t="n">
        <v>24</v>
      </c>
      <c r="H477" s="325" t="n">
        <v>481.818181818182</v>
      </c>
      <c r="I477" s="473"/>
      <c r="J477" s="313" t="n">
        <v>0</v>
      </c>
      <c r="K477" s="627" t="n">
        <v>16.4854166666667</v>
      </c>
      <c r="L477" s="410"/>
      <c r="M477" s="506" t="n">
        <v>0</v>
      </c>
      <c r="N477" s="410"/>
      <c r="O477" s="313" t="n">
        <v>86</v>
      </c>
      <c r="P477" s="474" t="n">
        <v>395.65</v>
      </c>
      <c r="Q477" s="377"/>
      <c r="R477" s="410"/>
    </row>
    <row r="478" customFormat="false" ht="12.75" hidden="false" customHeight="false" outlineLevel="0" collapsed="false">
      <c r="A478" s="626"/>
      <c r="B478" s="305" t="s">
        <v>260</v>
      </c>
      <c r="C478" s="633" t="s">
        <v>577</v>
      </c>
      <c r="D478" s="306" t="n">
        <v>482</v>
      </c>
      <c r="E478" s="306" t="n">
        <v>0</v>
      </c>
      <c r="F478" s="305" t="s">
        <v>568</v>
      </c>
      <c r="G478" s="306" t="n">
        <v>48</v>
      </c>
      <c r="H478" s="325" t="n">
        <v>481.818181818182</v>
      </c>
      <c r="I478" s="473"/>
      <c r="J478" s="313" t="n">
        <v>0</v>
      </c>
      <c r="K478" s="627" t="n">
        <v>8.24270833333333</v>
      </c>
      <c r="L478" s="410"/>
      <c r="M478" s="506" t="n">
        <v>0</v>
      </c>
      <c r="N478" s="410"/>
      <c r="O478" s="313" t="n">
        <v>86</v>
      </c>
      <c r="P478" s="474" t="n">
        <v>395.65</v>
      </c>
      <c r="Q478" s="377"/>
      <c r="R478" s="410"/>
    </row>
    <row r="479" customFormat="false" ht="12.75" hidden="false" customHeight="false" outlineLevel="0" collapsed="false">
      <c r="A479" s="626"/>
      <c r="B479" s="305" t="s">
        <v>260</v>
      </c>
      <c r="C479" s="633" t="s">
        <v>578</v>
      </c>
      <c r="D479" s="306" t="n">
        <v>391</v>
      </c>
      <c r="E479" s="306" t="n">
        <v>0</v>
      </c>
      <c r="F479" s="305" t="s">
        <v>568</v>
      </c>
      <c r="G479" s="306" t="n">
        <v>24</v>
      </c>
      <c r="H479" s="325" t="n">
        <v>390.082644628099</v>
      </c>
      <c r="I479" s="473"/>
      <c r="J479" s="313" t="n">
        <v>0</v>
      </c>
      <c r="K479" s="627" t="n">
        <v>13.1225</v>
      </c>
      <c r="L479" s="410"/>
      <c r="M479" s="506" t="n">
        <v>1</v>
      </c>
      <c r="N479" s="410"/>
      <c r="O479" s="313" t="n">
        <v>76</v>
      </c>
      <c r="P479" s="474" t="n">
        <v>314.94</v>
      </c>
      <c r="Q479" s="377"/>
      <c r="R479" s="410"/>
    </row>
    <row r="480" customFormat="false" ht="12.75" hidden="false" customHeight="false" outlineLevel="0" collapsed="false">
      <c r="A480" s="626"/>
      <c r="B480" s="305" t="s">
        <v>260</v>
      </c>
      <c r="C480" s="633" t="s">
        <v>578</v>
      </c>
      <c r="D480" s="306" t="n">
        <v>391</v>
      </c>
      <c r="E480" s="306" t="n">
        <v>0</v>
      </c>
      <c r="F480" s="305" t="s">
        <v>568</v>
      </c>
      <c r="G480" s="306" t="n">
        <v>48</v>
      </c>
      <c r="H480" s="325" t="n">
        <v>390.082644628099</v>
      </c>
      <c r="I480" s="473"/>
      <c r="J480" s="313" t="n">
        <v>0</v>
      </c>
      <c r="K480" s="627" t="n">
        <v>6.56125</v>
      </c>
      <c r="L480" s="410"/>
      <c r="M480" s="506" t="n">
        <v>1</v>
      </c>
      <c r="N480" s="410"/>
      <c r="O480" s="313" t="n">
        <v>76</v>
      </c>
      <c r="P480" s="474" t="n">
        <v>314.94</v>
      </c>
      <c r="Q480" s="377"/>
      <c r="R480" s="410"/>
    </row>
    <row r="481" customFormat="false" ht="12.75" hidden="false" customHeight="false" outlineLevel="0" collapsed="false">
      <c r="A481" s="626"/>
      <c r="B481" s="305" t="s">
        <v>260</v>
      </c>
      <c r="C481" s="633" t="s">
        <v>601</v>
      </c>
      <c r="D481" s="306" t="n">
        <v>277</v>
      </c>
      <c r="E481" s="306" t="n">
        <v>0</v>
      </c>
      <c r="F481" s="305" t="s">
        <v>595</v>
      </c>
      <c r="G481" s="306" t="n">
        <v>24</v>
      </c>
      <c r="H481" s="325" t="n">
        <v>276.859504132231</v>
      </c>
      <c r="I481" s="473"/>
      <c r="J481" s="313" t="n">
        <v>0</v>
      </c>
      <c r="K481" s="627" t="n">
        <v>7.96833333333333</v>
      </c>
      <c r="L481" s="410"/>
      <c r="M481" s="506" t="n">
        <v>0</v>
      </c>
      <c r="N481" s="410"/>
      <c r="O481" s="313" t="n">
        <v>86</v>
      </c>
      <c r="P481" s="474" t="n">
        <v>191.24</v>
      </c>
      <c r="Q481" s="377"/>
      <c r="R481" s="410"/>
    </row>
    <row r="482" customFormat="false" ht="12.75" hidden="false" customHeight="false" outlineLevel="0" collapsed="false">
      <c r="A482" s="626"/>
      <c r="B482" s="305" t="s">
        <v>260</v>
      </c>
      <c r="C482" s="633" t="s">
        <v>601</v>
      </c>
      <c r="D482" s="306" t="n">
        <v>277</v>
      </c>
      <c r="E482" s="306" t="n">
        <v>0</v>
      </c>
      <c r="F482" s="305" t="s">
        <v>595</v>
      </c>
      <c r="G482" s="306" t="n">
        <v>48</v>
      </c>
      <c r="H482" s="325" t="n">
        <v>276.859504132231</v>
      </c>
      <c r="I482" s="473"/>
      <c r="J482" s="313" t="n">
        <v>0</v>
      </c>
      <c r="K482" s="627" t="n">
        <v>3.98416666666667</v>
      </c>
      <c r="L482" s="410"/>
      <c r="M482" s="506" t="n">
        <v>0</v>
      </c>
      <c r="N482" s="410"/>
      <c r="O482" s="313" t="n">
        <v>86</v>
      </c>
      <c r="P482" s="474" t="n">
        <v>191.24</v>
      </c>
      <c r="Q482" s="377"/>
      <c r="R482" s="410"/>
    </row>
    <row r="483" customFormat="false" ht="12.75" hidden="false" customHeight="false" outlineLevel="0" collapsed="false">
      <c r="A483" s="626"/>
      <c r="B483" s="305" t="s">
        <v>641</v>
      </c>
      <c r="C483" s="633" t="s">
        <v>645</v>
      </c>
      <c r="D483" s="306" t="n">
        <v>325</v>
      </c>
      <c r="E483" s="306" t="n">
        <v>0</v>
      </c>
      <c r="F483" s="305" t="s">
        <v>643</v>
      </c>
      <c r="G483" s="306" t="n">
        <v>24</v>
      </c>
      <c r="H483" s="325" t="n">
        <v>324.793388429752</v>
      </c>
      <c r="I483" s="473"/>
      <c r="J483" s="313" t="n">
        <v>0</v>
      </c>
      <c r="K483" s="627" t="n">
        <v>10.38</v>
      </c>
      <c r="L483" s="410"/>
      <c r="M483" s="506" t="n">
        <v>0</v>
      </c>
      <c r="N483" s="410"/>
      <c r="O483" s="313" t="n">
        <v>76</v>
      </c>
      <c r="P483" s="474" t="n">
        <v>249.12</v>
      </c>
      <c r="Q483" s="377"/>
      <c r="R483" s="410"/>
    </row>
    <row r="484" customFormat="false" ht="12.75" hidden="false" customHeight="false" outlineLevel="0" collapsed="false">
      <c r="A484" s="626"/>
      <c r="B484" s="305" t="s">
        <v>641</v>
      </c>
      <c r="C484" s="633" t="s">
        <v>645</v>
      </c>
      <c r="D484" s="306" t="n">
        <v>325</v>
      </c>
      <c r="E484" s="306" t="n">
        <v>0</v>
      </c>
      <c r="F484" s="305" t="s">
        <v>643</v>
      </c>
      <c r="G484" s="306" t="n">
        <v>48</v>
      </c>
      <c r="H484" s="325" t="n">
        <v>324.793388429752</v>
      </c>
      <c r="I484" s="473"/>
      <c r="J484" s="313" t="n">
        <v>0</v>
      </c>
      <c r="K484" s="627" t="n">
        <v>5.19</v>
      </c>
      <c r="L484" s="410"/>
      <c r="M484" s="506" t="n">
        <v>0</v>
      </c>
      <c r="N484" s="410"/>
      <c r="O484" s="313" t="n">
        <v>76</v>
      </c>
      <c r="P484" s="474" t="n">
        <v>249.12</v>
      </c>
      <c r="Q484" s="377"/>
      <c r="R484" s="410"/>
    </row>
    <row r="485" customFormat="false" ht="12.75" hidden="false" customHeight="false" outlineLevel="0" collapsed="false">
      <c r="A485" s="626"/>
      <c r="B485" s="305" t="s">
        <v>641</v>
      </c>
      <c r="C485" s="633" t="s">
        <v>646</v>
      </c>
      <c r="D485" s="306" t="n">
        <v>348</v>
      </c>
      <c r="E485" s="306" t="n">
        <v>0</v>
      </c>
      <c r="F485" s="305" t="s">
        <v>643</v>
      </c>
      <c r="G485" s="306" t="n">
        <v>24</v>
      </c>
      <c r="H485" s="325" t="n">
        <v>347.107438016529</v>
      </c>
      <c r="I485" s="473"/>
      <c r="J485" s="313" t="n">
        <v>0</v>
      </c>
      <c r="K485" s="627" t="n">
        <v>11.3241666666667</v>
      </c>
      <c r="L485" s="410"/>
      <c r="M485" s="506" t="n">
        <v>1</v>
      </c>
      <c r="N485" s="410"/>
      <c r="O485" s="313" t="n">
        <v>76</v>
      </c>
      <c r="P485" s="474" t="n">
        <v>271.78</v>
      </c>
      <c r="Q485" s="377"/>
      <c r="R485" s="410"/>
    </row>
    <row r="486" customFormat="false" ht="12.75" hidden="false" customHeight="false" outlineLevel="0" collapsed="false">
      <c r="A486" s="626"/>
      <c r="B486" s="305" t="s">
        <v>641</v>
      </c>
      <c r="C486" s="633" t="s">
        <v>646</v>
      </c>
      <c r="D486" s="306" t="n">
        <v>348</v>
      </c>
      <c r="E486" s="306" t="n">
        <v>0</v>
      </c>
      <c r="F486" s="305" t="s">
        <v>643</v>
      </c>
      <c r="G486" s="306" t="n">
        <v>48</v>
      </c>
      <c r="H486" s="325" t="n">
        <v>347.107438016529</v>
      </c>
      <c r="I486" s="473"/>
      <c r="J486" s="313" t="n">
        <v>0</v>
      </c>
      <c r="K486" s="627" t="n">
        <v>5.66208333333333</v>
      </c>
      <c r="L486" s="410"/>
      <c r="M486" s="506" t="n">
        <v>1</v>
      </c>
      <c r="N486" s="410"/>
      <c r="O486" s="313" t="n">
        <v>76</v>
      </c>
      <c r="P486" s="474" t="n">
        <v>271.78</v>
      </c>
      <c r="Q486" s="377"/>
      <c r="R486" s="410"/>
    </row>
    <row r="487" customFormat="false" ht="12.75" hidden="false" customHeight="false" outlineLevel="0" collapsed="false">
      <c r="A487" s="626"/>
      <c r="B487" s="305" t="s">
        <v>641</v>
      </c>
      <c r="C487" s="633" t="s">
        <v>642</v>
      </c>
      <c r="D487" s="306" t="n">
        <v>386</v>
      </c>
      <c r="E487" s="306" t="n">
        <v>0</v>
      </c>
      <c r="F487" s="305" t="s">
        <v>643</v>
      </c>
      <c r="G487" s="306" t="n">
        <v>24</v>
      </c>
      <c r="H487" s="325" t="n">
        <v>385.123966942149</v>
      </c>
      <c r="I487" s="473"/>
      <c r="J487" s="313" t="n">
        <v>0</v>
      </c>
      <c r="K487" s="627" t="n">
        <v>12.8979166666667</v>
      </c>
      <c r="L487" s="410"/>
      <c r="M487" s="506" t="n">
        <v>1</v>
      </c>
      <c r="N487" s="410"/>
      <c r="O487" s="313" t="n">
        <v>76</v>
      </c>
      <c r="P487" s="474" t="n">
        <v>309.55</v>
      </c>
      <c r="Q487" s="377"/>
      <c r="R487" s="410"/>
    </row>
    <row r="488" customFormat="false" ht="12.75" hidden="false" customHeight="false" outlineLevel="0" collapsed="false">
      <c r="A488" s="626"/>
      <c r="B488" s="305" t="s">
        <v>641</v>
      </c>
      <c r="C488" s="633" t="s">
        <v>642</v>
      </c>
      <c r="D488" s="306" t="n">
        <v>386</v>
      </c>
      <c r="E488" s="306" t="n">
        <v>0</v>
      </c>
      <c r="F488" s="305" t="s">
        <v>643</v>
      </c>
      <c r="G488" s="306" t="n">
        <v>48</v>
      </c>
      <c r="H488" s="325" t="n">
        <v>385.123966942149</v>
      </c>
      <c r="I488" s="473"/>
      <c r="J488" s="313" t="n">
        <v>0</v>
      </c>
      <c r="K488" s="627" t="n">
        <v>6.44895833333333</v>
      </c>
      <c r="L488" s="410"/>
      <c r="M488" s="506" t="n">
        <v>1</v>
      </c>
      <c r="N488" s="410"/>
      <c r="O488" s="313" t="n">
        <v>76</v>
      </c>
      <c r="P488" s="474" t="n">
        <v>309.55</v>
      </c>
      <c r="Q488" s="377"/>
      <c r="R488" s="410"/>
    </row>
    <row r="489" customFormat="false" ht="12.75" hidden="false" customHeight="false" outlineLevel="0" collapsed="false">
      <c r="A489" s="626"/>
      <c r="B489" s="305" t="s">
        <v>641</v>
      </c>
      <c r="C489" s="633" t="s">
        <v>644</v>
      </c>
      <c r="D489" s="306" t="n">
        <v>386</v>
      </c>
      <c r="E489" s="306" t="n">
        <v>0</v>
      </c>
      <c r="F489" s="305" t="s">
        <v>643</v>
      </c>
      <c r="G489" s="306" t="n">
        <v>24</v>
      </c>
      <c r="H489" s="325" t="n">
        <v>385.123966942149</v>
      </c>
      <c r="I489" s="473"/>
      <c r="J489" s="313" t="n">
        <v>0</v>
      </c>
      <c r="K489" s="627" t="n">
        <v>12.8979166666667</v>
      </c>
      <c r="L489" s="410"/>
      <c r="M489" s="506" t="n">
        <v>1</v>
      </c>
      <c r="N489" s="410"/>
      <c r="O489" s="313" t="n">
        <v>76</v>
      </c>
      <c r="P489" s="474" t="n">
        <v>309.55</v>
      </c>
      <c r="Q489" s="377"/>
      <c r="R489" s="410"/>
    </row>
    <row r="490" customFormat="false" ht="12.75" hidden="false" customHeight="false" outlineLevel="0" collapsed="false">
      <c r="A490" s="626"/>
      <c r="B490" s="305" t="s">
        <v>641</v>
      </c>
      <c r="C490" s="633" t="s">
        <v>644</v>
      </c>
      <c r="D490" s="306" t="n">
        <v>386</v>
      </c>
      <c r="E490" s="306" t="n">
        <v>0</v>
      </c>
      <c r="F490" s="305" t="s">
        <v>643</v>
      </c>
      <c r="G490" s="306" t="n">
        <v>48</v>
      </c>
      <c r="H490" s="325" t="n">
        <v>385.123966942149</v>
      </c>
      <c r="I490" s="473"/>
      <c r="J490" s="313" t="n">
        <v>0</v>
      </c>
      <c r="K490" s="627" t="n">
        <v>6.44895833333333</v>
      </c>
      <c r="L490" s="410"/>
      <c r="M490" s="506" t="n">
        <v>1</v>
      </c>
      <c r="N490" s="410"/>
      <c r="O490" s="313" t="n">
        <v>76</v>
      </c>
      <c r="P490" s="474" t="n">
        <v>309.55</v>
      </c>
      <c r="Q490" s="377"/>
      <c r="R490" s="410"/>
    </row>
    <row r="491" customFormat="false" ht="12.75" hidden="false" customHeight="false" outlineLevel="0" collapsed="false">
      <c r="A491" s="626"/>
      <c r="B491" s="305" t="s">
        <v>130</v>
      </c>
      <c r="C491" s="633" t="s">
        <v>725</v>
      </c>
      <c r="D491" s="306" t="n">
        <v>404</v>
      </c>
      <c r="E491" s="306" t="n">
        <v>2.5</v>
      </c>
      <c r="F491" s="305" t="s">
        <v>710</v>
      </c>
      <c r="G491" s="306" t="n">
        <v>24</v>
      </c>
      <c r="H491" s="325" t="n">
        <v>313.223140495868</v>
      </c>
      <c r="I491" s="473"/>
      <c r="J491" s="313" t="n">
        <v>0</v>
      </c>
      <c r="K491" s="627" t="n">
        <v>9.89583333333333</v>
      </c>
      <c r="L491" s="410"/>
      <c r="M491" s="506" t="n">
        <v>91</v>
      </c>
      <c r="N491" s="410"/>
      <c r="O491" s="313" t="n">
        <v>167</v>
      </c>
      <c r="P491" s="474" t="n">
        <v>237.5</v>
      </c>
      <c r="Q491" s="377"/>
      <c r="R491" s="410"/>
    </row>
    <row r="492" customFormat="false" ht="12.75" hidden="false" customHeight="false" outlineLevel="0" collapsed="false">
      <c r="A492" s="626"/>
      <c r="B492" s="305" t="s">
        <v>130</v>
      </c>
      <c r="C492" s="633" t="s">
        <v>725</v>
      </c>
      <c r="D492" s="306" t="n">
        <v>404</v>
      </c>
      <c r="E492" s="306" t="n">
        <v>2.5</v>
      </c>
      <c r="F492" s="305" t="s">
        <v>710</v>
      </c>
      <c r="G492" s="306" t="n">
        <v>48</v>
      </c>
      <c r="H492" s="325" t="n">
        <v>313.223140495868</v>
      </c>
      <c r="I492" s="473"/>
      <c r="J492" s="313" t="n">
        <v>0</v>
      </c>
      <c r="K492" s="627" t="n">
        <v>4.94791666666667</v>
      </c>
      <c r="L492" s="410"/>
      <c r="M492" s="506" t="n">
        <v>91</v>
      </c>
      <c r="N492" s="410"/>
      <c r="O492" s="313" t="n">
        <v>167</v>
      </c>
      <c r="P492" s="474" t="n">
        <v>237.5</v>
      </c>
      <c r="Q492" s="377"/>
      <c r="R492" s="410"/>
    </row>
    <row r="493" customFormat="false" ht="12.75" hidden="false" customHeight="false" outlineLevel="0" collapsed="false">
      <c r="A493" s="626"/>
      <c r="B493" s="305" t="s">
        <v>655</v>
      </c>
      <c r="C493" s="633" t="s">
        <v>703</v>
      </c>
      <c r="D493" s="306" t="n">
        <v>362</v>
      </c>
      <c r="E493" s="306" t="n">
        <v>0</v>
      </c>
      <c r="F493" s="305" t="s">
        <v>678</v>
      </c>
      <c r="G493" s="306" t="n">
        <v>24</v>
      </c>
      <c r="H493" s="325" t="n">
        <v>289.256198347107</v>
      </c>
      <c r="I493" s="473"/>
      <c r="J493" s="313" t="n">
        <v>0</v>
      </c>
      <c r="K493" s="627" t="n">
        <v>8.92375</v>
      </c>
      <c r="L493" s="410"/>
      <c r="M493" s="506" t="n">
        <v>73</v>
      </c>
      <c r="N493" s="410"/>
      <c r="O493" s="313" t="n">
        <v>148</v>
      </c>
      <c r="P493" s="474" t="n">
        <v>214.17</v>
      </c>
      <c r="Q493" s="377"/>
      <c r="R493" s="410"/>
    </row>
    <row r="494" customFormat="false" ht="12.75" hidden="false" customHeight="false" outlineLevel="0" collapsed="false">
      <c r="A494" s="626"/>
      <c r="B494" s="305" t="s">
        <v>655</v>
      </c>
      <c r="C494" s="633" t="s">
        <v>703</v>
      </c>
      <c r="D494" s="306" t="n">
        <v>362</v>
      </c>
      <c r="E494" s="306" t="n">
        <v>0</v>
      </c>
      <c r="F494" s="305" t="s">
        <v>678</v>
      </c>
      <c r="G494" s="306" t="n">
        <v>48</v>
      </c>
      <c r="H494" s="325" t="n">
        <v>289.256198347107</v>
      </c>
      <c r="I494" s="473"/>
      <c r="J494" s="313" t="n">
        <v>0</v>
      </c>
      <c r="K494" s="627" t="n">
        <v>4.461875</v>
      </c>
      <c r="L494" s="410"/>
      <c r="M494" s="506" t="n">
        <v>73</v>
      </c>
      <c r="N494" s="410"/>
      <c r="O494" s="313" t="n">
        <v>148</v>
      </c>
      <c r="P494" s="474" t="n">
        <v>214.17</v>
      </c>
      <c r="Q494" s="377"/>
      <c r="R494" s="410"/>
    </row>
    <row r="495" customFormat="false" ht="12.75" hidden="false" customHeight="false" outlineLevel="0" collapsed="false">
      <c r="A495" s="626"/>
      <c r="B495" s="305" t="s">
        <v>655</v>
      </c>
      <c r="C495" s="633" t="s">
        <v>702</v>
      </c>
      <c r="D495" s="306" t="n">
        <v>515</v>
      </c>
      <c r="E495" s="306" t="n">
        <v>0</v>
      </c>
      <c r="F495" s="305" t="s">
        <v>678</v>
      </c>
      <c r="G495" s="306" t="n">
        <v>24</v>
      </c>
      <c r="H495" s="325" t="n">
        <v>457.02479338843</v>
      </c>
      <c r="I495" s="473"/>
      <c r="J495" s="313" t="n">
        <v>0</v>
      </c>
      <c r="K495" s="627" t="n">
        <v>15.46625</v>
      </c>
      <c r="L495" s="410"/>
      <c r="M495" s="506" t="n">
        <v>58</v>
      </c>
      <c r="N495" s="410"/>
      <c r="O495" s="313" t="n">
        <v>144</v>
      </c>
      <c r="P495" s="474" t="n">
        <v>371.19</v>
      </c>
      <c r="Q495" s="377"/>
      <c r="R495" s="410"/>
    </row>
    <row r="496" customFormat="false" ht="12.75" hidden="false" customHeight="false" outlineLevel="0" collapsed="false">
      <c r="A496" s="626"/>
      <c r="B496" s="305" t="s">
        <v>655</v>
      </c>
      <c r="C496" s="633" t="s">
        <v>702</v>
      </c>
      <c r="D496" s="306" t="n">
        <v>515</v>
      </c>
      <c r="E496" s="306" t="n">
        <v>0</v>
      </c>
      <c r="F496" s="305" t="s">
        <v>678</v>
      </c>
      <c r="G496" s="306" t="n">
        <v>48</v>
      </c>
      <c r="H496" s="325" t="n">
        <v>457.02479338843</v>
      </c>
      <c r="I496" s="473"/>
      <c r="J496" s="313" t="n">
        <v>0</v>
      </c>
      <c r="K496" s="627" t="n">
        <v>7.733125</v>
      </c>
      <c r="L496" s="410"/>
      <c r="M496" s="506" t="n">
        <v>58</v>
      </c>
      <c r="N496" s="410"/>
      <c r="O496" s="313" t="n">
        <v>144</v>
      </c>
      <c r="P496" s="474" t="n">
        <v>371.19</v>
      </c>
      <c r="Q496" s="377"/>
      <c r="R496" s="410"/>
    </row>
    <row r="497" customFormat="false" ht="12.75" hidden="false" customHeight="false" outlineLevel="0" collapsed="false">
      <c r="A497" s="626"/>
      <c r="B497" s="305" t="s">
        <v>655</v>
      </c>
      <c r="C497" s="633" t="s">
        <v>701</v>
      </c>
      <c r="D497" s="306" t="n">
        <v>249</v>
      </c>
      <c r="E497" s="306" t="n">
        <v>0</v>
      </c>
      <c r="F497" s="305" t="s">
        <v>678</v>
      </c>
      <c r="G497" s="306" t="n">
        <v>24</v>
      </c>
      <c r="H497" s="325" t="n">
        <v>219.834710743802</v>
      </c>
      <c r="I497" s="473"/>
      <c r="J497" s="313" t="n">
        <v>0</v>
      </c>
      <c r="K497" s="627" t="n">
        <v>7.55125</v>
      </c>
      <c r="L497" s="410"/>
      <c r="M497" s="506" t="n">
        <v>29</v>
      </c>
      <c r="N497" s="410"/>
      <c r="O497" s="313" t="n">
        <v>68</v>
      </c>
      <c r="P497" s="474" t="n">
        <v>181.23</v>
      </c>
      <c r="Q497" s="377"/>
      <c r="R497" s="410"/>
    </row>
    <row r="498" customFormat="false" ht="12.75" hidden="false" customHeight="false" outlineLevel="0" collapsed="false">
      <c r="A498" s="626"/>
      <c r="B498" s="305" t="s">
        <v>655</v>
      </c>
      <c r="C498" s="633" t="s">
        <v>701</v>
      </c>
      <c r="D498" s="306" t="n">
        <v>249</v>
      </c>
      <c r="E498" s="306" t="n">
        <v>0</v>
      </c>
      <c r="F498" s="305" t="s">
        <v>678</v>
      </c>
      <c r="G498" s="306" t="n">
        <v>48</v>
      </c>
      <c r="H498" s="325" t="n">
        <v>219.834710743802</v>
      </c>
      <c r="I498" s="473"/>
      <c r="J498" s="313" t="n">
        <v>0</v>
      </c>
      <c r="K498" s="627" t="n">
        <v>3.775625</v>
      </c>
      <c r="L498" s="410"/>
      <c r="M498" s="506" t="n">
        <v>29</v>
      </c>
      <c r="N498" s="410"/>
      <c r="O498" s="313" t="n">
        <v>68</v>
      </c>
      <c r="P498" s="474" t="n">
        <v>181.23</v>
      </c>
      <c r="Q498" s="377"/>
      <c r="R498" s="410"/>
    </row>
    <row r="499" customFormat="false" ht="12.75" hidden="false" customHeight="false" outlineLevel="0" collapsed="false">
      <c r="A499" s="626"/>
      <c r="B499" s="305" t="s">
        <v>686</v>
      </c>
      <c r="C499" s="633" t="s">
        <v>687</v>
      </c>
      <c r="D499" s="306" t="n">
        <v>364</v>
      </c>
      <c r="E499" s="306" t="n">
        <v>0</v>
      </c>
      <c r="F499" s="305" t="s">
        <v>670</v>
      </c>
      <c r="G499" s="306" t="n">
        <v>24</v>
      </c>
      <c r="H499" s="325" t="n">
        <v>320.661157024793</v>
      </c>
      <c r="I499" s="473"/>
      <c r="J499" s="313" t="n">
        <v>0</v>
      </c>
      <c r="K499" s="627" t="n">
        <v>10.2083333333333</v>
      </c>
      <c r="L499" s="410"/>
      <c r="M499" s="506" t="n">
        <v>43</v>
      </c>
      <c r="N499" s="410"/>
      <c r="O499" s="313" t="n">
        <v>119</v>
      </c>
      <c r="P499" s="474" t="n">
        <v>245</v>
      </c>
      <c r="Q499" s="377"/>
      <c r="R499" s="410"/>
    </row>
    <row r="500" customFormat="false" ht="12.75" hidden="false" customHeight="false" outlineLevel="0" collapsed="false">
      <c r="A500" s="626"/>
      <c r="B500" s="305" t="s">
        <v>686</v>
      </c>
      <c r="C500" s="633" t="s">
        <v>687</v>
      </c>
      <c r="D500" s="306" t="n">
        <v>364</v>
      </c>
      <c r="E500" s="306" t="n">
        <v>0</v>
      </c>
      <c r="F500" s="305" t="s">
        <v>670</v>
      </c>
      <c r="G500" s="306" t="n">
        <v>48</v>
      </c>
      <c r="H500" s="325" t="n">
        <v>320.661157024793</v>
      </c>
      <c r="I500" s="473"/>
      <c r="J500" s="313" t="n">
        <v>0</v>
      </c>
      <c r="K500" s="627" t="n">
        <v>5.10416666666667</v>
      </c>
      <c r="L500" s="410"/>
      <c r="M500" s="506" t="n">
        <v>43</v>
      </c>
      <c r="N500" s="410"/>
      <c r="O500" s="313" t="n">
        <v>119</v>
      </c>
      <c r="P500" s="474" t="n">
        <v>245</v>
      </c>
      <c r="Q500" s="377"/>
      <c r="R500" s="410"/>
    </row>
    <row r="501" customFormat="false" ht="12.75" hidden="false" customHeight="false" outlineLevel="0" collapsed="false">
      <c r="A501" s="626"/>
      <c r="B501" s="305" t="s">
        <v>692</v>
      </c>
      <c r="C501" s="633" t="s">
        <v>693</v>
      </c>
      <c r="D501" s="306" t="n">
        <v>324</v>
      </c>
      <c r="E501" s="306" t="n">
        <v>0</v>
      </c>
      <c r="F501" s="305" t="s">
        <v>670</v>
      </c>
      <c r="G501" s="306" t="n">
        <v>24</v>
      </c>
      <c r="H501" s="325" t="n">
        <v>298.347107438017</v>
      </c>
      <c r="I501" s="473"/>
      <c r="J501" s="313" t="n">
        <v>0</v>
      </c>
      <c r="K501" s="627" t="n">
        <v>9.28875</v>
      </c>
      <c r="L501" s="410"/>
      <c r="M501" s="506" t="n">
        <v>26</v>
      </c>
      <c r="N501" s="410"/>
      <c r="O501" s="313" t="n">
        <v>101</v>
      </c>
      <c r="P501" s="474" t="n">
        <v>222.93</v>
      </c>
      <c r="Q501" s="377"/>
      <c r="R501" s="410"/>
    </row>
    <row r="502" customFormat="false" ht="12.75" hidden="false" customHeight="false" outlineLevel="0" collapsed="false">
      <c r="A502" s="626"/>
      <c r="B502" s="305" t="s">
        <v>692</v>
      </c>
      <c r="C502" s="633" t="s">
        <v>693</v>
      </c>
      <c r="D502" s="306" t="n">
        <v>324</v>
      </c>
      <c r="E502" s="306" t="n">
        <v>0</v>
      </c>
      <c r="F502" s="305" t="s">
        <v>670</v>
      </c>
      <c r="G502" s="306" t="n">
        <v>48</v>
      </c>
      <c r="H502" s="325" t="n">
        <v>298.347107438017</v>
      </c>
      <c r="I502" s="473"/>
      <c r="J502" s="313" t="n">
        <v>0</v>
      </c>
      <c r="K502" s="627" t="n">
        <v>4.644375</v>
      </c>
      <c r="L502" s="410"/>
      <c r="M502" s="506" t="n">
        <v>26</v>
      </c>
      <c r="N502" s="410"/>
      <c r="O502" s="313" t="n">
        <v>101</v>
      </c>
      <c r="P502" s="474" t="n">
        <v>222.93</v>
      </c>
      <c r="Q502" s="377"/>
      <c r="R502" s="410"/>
    </row>
    <row r="503" customFormat="false" ht="12.75" hidden="false" customHeight="false" outlineLevel="0" collapsed="false">
      <c r="A503" s="626"/>
      <c r="B503" s="305" t="s">
        <v>692</v>
      </c>
      <c r="C503" s="633" t="s">
        <v>740</v>
      </c>
      <c r="D503" s="306" t="n">
        <v>520</v>
      </c>
      <c r="E503" s="306" t="n">
        <v>0</v>
      </c>
      <c r="F503" s="305" t="s">
        <v>737</v>
      </c>
      <c r="G503" s="306" t="n">
        <v>24</v>
      </c>
      <c r="H503" s="325" t="n">
        <v>439.669421487603</v>
      </c>
      <c r="I503" s="473"/>
      <c r="J503" s="313" t="n">
        <v>0</v>
      </c>
      <c r="K503" s="627" t="n">
        <v>17.2516666666667</v>
      </c>
      <c r="L503" s="410"/>
      <c r="M503" s="506" t="n">
        <v>80</v>
      </c>
      <c r="N503" s="410"/>
      <c r="O503" s="313" t="n">
        <v>106</v>
      </c>
      <c r="P503" s="474" t="n">
        <v>414.04</v>
      </c>
      <c r="Q503" s="377"/>
      <c r="R503" s="410"/>
    </row>
    <row r="504" customFormat="false" ht="12.75" hidden="false" customHeight="false" outlineLevel="0" collapsed="false">
      <c r="A504" s="626"/>
      <c r="B504" s="305" t="s">
        <v>692</v>
      </c>
      <c r="C504" s="633" t="s">
        <v>740</v>
      </c>
      <c r="D504" s="306" t="n">
        <v>520</v>
      </c>
      <c r="E504" s="306" t="n">
        <v>0</v>
      </c>
      <c r="F504" s="305" t="s">
        <v>737</v>
      </c>
      <c r="G504" s="306" t="n">
        <v>48</v>
      </c>
      <c r="H504" s="325" t="n">
        <v>439.669421487603</v>
      </c>
      <c r="I504" s="473"/>
      <c r="J504" s="313" t="n">
        <v>0</v>
      </c>
      <c r="K504" s="627" t="n">
        <v>8.62583333333333</v>
      </c>
      <c r="L504" s="410"/>
      <c r="M504" s="506" t="n">
        <v>80</v>
      </c>
      <c r="N504" s="410"/>
      <c r="O504" s="313" t="n">
        <v>106</v>
      </c>
      <c r="P504" s="474" t="n">
        <v>414.04</v>
      </c>
      <c r="Q504" s="377"/>
      <c r="R504" s="410"/>
    </row>
    <row r="505" customFormat="false" ht="12.75" hidden="false" customHeight="false" outlineLevel="0" collapsed="false">
      <c r="A505" s="626"/>
      <c r="B505" s="305" t="s">
        <v>692</v>
      </c>
      <c r="C505" s="633" t="s">
        <v>741</v>
      </c>
      <c r="D505" s="306" t="n">
        <v>366</v>
      </c>
      <c r="E505" s="306" t="n">
        <v>0</v>
      </c>
      <c r="F505" s="305" t="s">
        <v>737</v>
      </c>
      <c r="G505" s="306" t="n">
        <v>24</v>
      </c>
      <c r="H505" s="325" t="n">
        <v>325.619834710744</v>
      </c>
      <c r="I505" s="473"/>
      <c r="J505" s="313" t="n">
        <v>0</v>
      </c>
      <c r="K505" s="627" t="n">
        <v>12.07625</v>
      </c>
      <c r="L505" s="410"/>
      <c r="M505" s="506" t="n">
        <v>40</v>
      </c>
      <c r="N505" s="410"/>
      <c r="O505" s="313" t="n">
        <v>76</v>
      </c>
      <c r="P505" s="474" t="n">
        <v>289.83</v>
      </c>
      <c r="Q505" s="377"/>
      <c r="R505" s="410"/>
    </row>
    <row r="506" customFormat="false" ht="13.5" hidden="false" customHeight="false" outlineLevel="0" collapsed="false">
      <c r="A506" s="626"/>
      <c r="B506" s="335" t="s">
        <v>692</v>
      </c>
      <c r="C506" s="634" t="s">
        <v>741</v>
      </c>
      <c r="D506" s="337" t="n">
        <v>366</v>
      </c>
      <c r="E506" s="337" t="n">
        <v>0</v>
      </c>
      <c r="F506" s="335" t="s">
        <v>737</v>
      </c>
      <c r="G506" s="337" t="n">
        <v>48</v>
      </c>
      <c r="H506" s="635" t="n">
        <v>325.619834710744</v>
      </c>
      <c r="I506" s="636"/>
      <c r="J506" s="346" t="n">
        <v>0</v>
      </c>
      <c r="K506" s="637" t="n">
        <v>6.038125</v>
      </c>
      <c r="L506" s="638"/>
      <c r="M506" s="336" t="n">
        <v>40</v>
      </c>
      <c r="N506" s="638"/>
      <c r="O506" s="346" t="n">
        <v>76</v>
      </c>
      <c r="P506" s="483" t="n">
        <v>289.83</v>
      </c>
      <c r="Q506" s="377"/>
      <c r="R506" s="410"/>
    </row>
    <row r="507" customFormat="false" ht="12.75" hidden="false" customHeight="false" outlineLevel="0" collapsed="false">
      <c r="A507" s="490"/>
      <c r="B507" s="490"/>
      <c r="C507" s="490"/>
      <c r="D507" s="490"/>
      <c r="E507" s="490"/>
      <c r="F507" s="490"/>
      <c r="G507" s="639"/>
      <c r="H507" s="640"/>
      <c r="I507" s="473"/>
      <c r="J507" s="377"/>
      <c r="K507" s="473"/>
      <c r="L507" s="410"/>
      <c r="M507" s="377"/>
      <c r="N507" s="410"/>
      <c r="O507" s="377"/>
      <c r="P507" s="377"/>
      <c r="Q507" s="377"/>
      <c r="R507" s="410"/>
    </row>
    <row r="508" customFormat="false" ht="12.75" hidden="false" customHeight="false" outlineLevel="0" collapsed="false">
      <c r="A508" s="490"/>
      <c r="B508" s="490"/>
      <c r="C508" s="490"/>
      <c r="D508" s="490"/>
      <c r="E508" s="490"/>
      <c r="F508" s="490"/>
      <c r="G508" s="639"/>
      <c r="H508" s="640"/>
      <c r="I508" s="473"/>
      <c r="J508" s="377"/>
      <c r="K508" s="473"/>
      <c r="L508" s="410"/>
      <c r="M508" s="377"/>
      <c r="N508" s="410"/>
      <c r="O508" s="377"/>
      <c r="P508" s="377"/>
      <c r="Q508" s="377"/>
      <c r="R508" s="410"/>
    </row>
    <row r="509" customFormat="false" ht="12.75" hidden="false" customHeight="false" outlineLevel="0" collapsed="false">
      <c r="I509" s="410"/>
      <c r="L509" s="410"/>
      <c r="N509" s="410"/>
      <c r="Q509" s="410"/>
      <c r="R509" s="410"/>
    </row>
    <row r="510" customFormat="false" ht="12.75" hidden="false" customHeight="false" outlineLevel="0" collapsed="false">
      <c r="I510" s="410"/>
      <c r="L510" s="410"/>
      <c r="N510" s="410"/>
      <c r="Q510" s="410"/>
      <c r="R510" s="410"/>
    </row>
    <row r="511" customFormat="false" ht="12.75" hidden="false" customHeight="false" outlineLevel="0" collapsed="false">
      <c r="I511" s="410"/>
      <c r="L511" s="410"/>
      <c r="N511" s="410"/>
      <c r="Q511" s="410"/>
      <c r="R511" s="410"/>
    </row>
    <row r="512" customFormat="false" ht="12.75" hidden="false" customHeight="false" outlineLevel="0" collapsed="false">
      <c r="I512" s="410"/>
      <c r="L512" s="410"/>
      <c r="N512" s="410"/>
      <c r="Q512" s="410"/>
      <c r="R512" s="410"/>
    </row>
    <row r="513" customFormat="false" ht="12.75" hidden="false" customHeight="false" outlineLevel="0" collapsed="false">
      <c r="I513" s="410"/>
      <c r="L513" s="410"/>
      <c r="N513" s="410"/>
      <c r="Q513" s="410"/>
      <c r="R513" s="410"/>
    </row>
    <row r="514" customFormat="false" ht="12.75" hidden="false" customHeight="false" outlineLevel="0" collapsed="false">
      <c r="I514" s="410"/>
      <c r="L514" s="410"/>
      <c r="N514" s="410"/>
      <c r="Q514" s="410"/>
      <c r="R514" s="410"/>
    </row>
    <row r="515" customFormat="false" ht="12.75" hidden="false" customHeight="false" outlineLevel="0" collapsed="false">
      <c r="I515" s="410"/>
      <c r="L515" s="410"/>
      <c r="N515" s="410"/>
      <c r="Q515" s="410"/>
      <c r="R515" s="410"/>
    </row>
    <row r="516" customFormat="false" ht="12.75" hidden="false" customHeight="false" outlineLevel="0" collapsed="false">
      <c r="I516" s="410"/>
      <c r="L516" s="410"/>
      <c r="N516" s="410"/>
      <c r="Q516" s="410"/>
      <c r="R516" s="410"/>
    </row>
    <row r="517" customFormat="false" ht="12.75" hidden="false" customHeight="false" outlineLevel="0" collapsed="false">
      <c r="I517" s="410"/>
      <c r="L517" s="410"/>
      <c r="N517" s="410"/>
      <c r="Q517" s="410"/>
      <c r="R517" s="410"/>
    </row>
    <row r="518" customFormat="false" ht="12.75" hidden="false" customHeight="false" outlineLevel="0" collapsed="false">
      <c r="I518" s="410"/>
      <c r="L518" s="410"/>
      <c r="N518" s="410"/>
      <c r="Q518" s="410"/>
      <c r="R518" s="410"/>
    </row>
    <row r="519" customFormat="false" ht="12.75" hidden="false" customHeight="false" outlineLevel="0" collapsed="false">
      <c r="I519" s="410"/>
      <c r="L519" s="410"/>
      <c r="N519" s="410"/>
      <c r="Q519" s="410"/>
      <c r="R519" s="410"/>
    </row>
    <row r="520" customFormat="false" ht="12.75" hidden="false" customHeight="false" outlineLevel="0" collapsed="false">
      <c r="I520" s="410"/>
      <c r="L520" s="410"/>
      <c r="N520" s="410"/>
      <c r="Q520" s="410"/>
      <c r="R520" s="410"/>
    </row>
    <row r="521" customFormat="false" ht="12.75" hidden="false" customHeight="false" outlineLevel="0" collapsed="false">
      <c r="I521" s="410"/>
      <c r="L521" s="410"/>
      <c r="N521" s="410"/>
      <c r="Q521" s="410"/>
      <c r="R521" s="410"/>
    </row>
    <row r="522" customFormat="false" ht="12.75" hidden="false" customHeight="false" outlineLevel="0" collapsed="false">
      <c r="I522" s="410"/>
      <c r="L522" s="410"/>
      <c r="N522" s="410"/>
      <c r="Q522" s="410"/>
      <c r="R522" s="410"/>
    </row>
    <row r="523" customFormat="false" ht="12.75" hidden="false" customHeight="false" outlineLevel="0" collapsed="false">
      <c r="I523" s="410"/>
      <c r="L523" s="410"/>
      <c r="N523" s="410"/>
      <c r="Q523" s="410"/>
      <c r="R523" s="410"/>
    </row>
    <row r="524" customFormat="false" ht="12.75" hidden="false" customHeight="false" outlineLevel="0" collapsed="false">
      <c r="I524" s="410"/>
      <c r="L524" s="410"/>
      <c r="N524" s="410"/>
      <c r="Q524" s="410"/>
      <c r="R524" s="410"/>
    </row>
    <row r="525" customFormat="false" ht="12.75" hidden="false" customHeight="false" outlineLevel="0" collapsed="false">
      <c r="I525" s="410"/>
      <c r="L525" s="410"/>
      <c r="N525" s="410"/>
      <c r="Q525" s="410"/>
      <c r="R525" s="410"/>
    </row>
    <row r="526" customFormat="false" ht="12.75" hidden="false" customHeight="false" outlineLevel="0" collapsed="false">
      <c r="I526" s="410"/>
      <c r="L526" s="410"/>
      <c r="N526" s="410"/>
      <c r="Q526" s="410"/>
      <c r="R526" s="410"/>
    </row>
    <row r="527" customFormat="false" ht="12.75" hidden="false" customHeight="false" outlineLevel="0" collapsed="false">
      <c r="I527" s="410"/>
      <c r="L527" s="410"/>
      <c r="N527" s="410"/>
      <c r="Q527" s="410"/>
      <c r="R527" s="410"/>
    </row>
    <row r="528" customFormat="false" ht="12.75" hidden="false" customHeight="false" outlineLevel="0" collapsed="false">
      <c r="I528" s="410"/>
      <c r="L528" s="410"/>
      <c r="N528" s="410"/>
      <c r="Q528" s="410"/>
      <c r="R528" s="410"/>
    </row>
    <row r="529" customFormat="false" ht="12.75" hidden="false" customHeight="false" outlineLevel="0" collapsed="false">
      <c r="I529" s="410"/>
      <c r="L529" s="410"/>
      <c r="N529" s="410"/>
      <c r="Q529" s="410"/>
      <c r="R529" s="410"/>
    </row>
    <row r="530" customFormat="false" ht="12.75" hidden="false" customHeight="false" outlineLevel="0" collapsed="false">
      <c r="I530" s="410"/>
      <c r="L530" s="410"/>
      <c r="N530" s="410"/>
      <c r="Q530" s="410"/>
      <c r="R530" s="410"/>
    </row>
    <row r="531" customFormat="false" ht="12.75" hidden="false" customHeight="false" outlineLevel="0" collapsed="false">
      <c r="I531" s="410"/>
      <c r="L531" s="410"/>
      <c r="N531" s="410"/>
      <c r="Q531" s="410"/>
      <c r="R531" s="410"/>
    </row>
    <row r="532" customFormat="false" ht="12.75" hidden="false" customHeight="false" outlineLevel="0" collapsed="false">
      <c r="I532" s="410"/>
      <c r="L532" s="410"/>
      <c r="N532" s="410"/>
      <c r="Q532" s="410"/>
      <c r="R532" s="410"/>
    </row>
    <row r="533" customFormat="false" ht="12.75" hidden="false" customHeight="false" outlineLevel="0" collapsed="false">
      <c r="I533" s="410"/>
      <c r="L533" s="410"/>
      <c r="N533" s="410"/>
      <c r="Q533" s="410"/>
      <c r="R533" s="410"/>
    </row>
    <row r="534" customFormat="false" ht="12.75" hidden="false" customHeight="false" outlineLevel="0" collapsed="false">
      <c r="I534" s="410"/>
      <c r="L534" s="410"/>
      <c r="N534" s="410"/>
      <c r="Q534" s="410"/>
      <c r="R534" s="410"/>
    </row>
    <row r="535" customFormat="false" ht="12.75" hidden="false" customHeight="false" outlineLevel="0" collapsed="false">
      <c r="I535" s="410"/>
      <c r="L535" s="410"/>
      <c r="N535" s="410"/>
      <c r="Q535" s="410"/>
      <c r="R535" s="410"/>
    </row>
    <row r="536" customFormat="false" ht="12.75" hidden="false" customHeight="false" outlineLevel="0" collapsed="false">
      <c r="I536" s="410"/>
      <c r="L536" s="410"/>
      <c r="N536" s="410"/>
      <c r="Q536" s="410"/>
      <c r="R536" s="410"/>
    </row>
    <row r="537" customFormat="false" ht="12.75" hidden="false" customHeight="false" outlineLevel="0" collapsed="false">
      <c r="I537" s="410"/>
      <c r="L537" s="410"/>
      <c r="N537" s="410"/>
      <c r="Q537" s="410"/>
      <c r="R537" s="410"/>
    </row>
    <row r="538" customFormat="false" ht="12.75" hidden="false" customHeight="false" outlineLevel="0" collapsed="false">
      <c r="I538" s="410"/>
      <c r="L538" s="410"/>
      <c r="N538" s="410"/>
      <c r="Q538" s="410"/>
      <c r="R538" s="410"/>
    </row>
    <row r="539" customFormat="false" ht="12.75" hidden="false" customHeight="false" outlineLevel="0" collapsed="false">
      <c r="I539" s="410"/>
      <c r="L539" s="410"/>
      <c r="N539" s="410"/>
      <c r="Q539" s="410"/>
      <c r="R539" s="410"/>
    </row>
    <row r="540" customFormat="false" ht="12.75" hidden="false" customHeight="false" outlineLevel="0" collapsed="false">
      <c r="I540" s="410"/>
      <c r="L540" s="410"/>
      <c r="N540" s="410"/>
      <c r="Q540" s="410"/>
      <c r="R540" s="410"/>
    </row>
    <row r="541" customFormat="false" ht="12.75" hidden="false" customHeight="false" outlineLevel="0" collapsed="false">
      <c r="I541" s="410"/>
      <c r="L541" s="410"/>
      <c r="N541" s="410"/>
      <c r="Q541" s="410"/>
      <c r="R541" s="410"/>
    </row>
    <row r="542" customFormat="false" ht="12.75" hidden="false" customHeight="false" outlineLevel="0" collapsed="false">
      <c r="I542" s="410"/>
      <c r="L542" s="410"/>
      <c r="N542" s="410"/>
      <c r="Q542" s="410"/>
      <c r="R542" s="410"/>
    </row>
    <row r="543" customFormat="false" ht="12.75" hidden="false" customHeight="false" outlineLevel="0" collapsed="false">
      <c r="I543" s="410"/>
      <c r="L543" s="410"/>
      <c r="N543" s="410"/>
      <c r="Q543" s="410"/>
      <c r="R543" s="410"/>
    </row>
    <row r="544" customFormat="false" ht="12.75" hidden="false" customHeight="false" outlineLevel="0" collapsed="false">
      <c r="I544" s="410"/>
      <c r="L544" s="410"/>
      <c r="N544" s="410"/>
      <c r="Q544" s="410"/>
      <c r="R544" s="410"/>
    </row>
    <row r="545" customFormat="false" ht="12.75" hidden="false" customHeight="false" outlineLevel="0" collapsed="false">
      <c r="I545" s="410"/>
      <c r="L545" s="410"/>
      <c r="N545" s="410"/>
      <c r="Q545" s="410"/>
      <c r="R545" s="410"/>
    </row>
    <row r="546" customFormat="false" ht="12.75" hidden="false" customHeight="false" outlineLevel="0" collapsed="false">
      <c r="I546" s="410"/>
      <c r="L546" s="410"/>
      <c r="N546" s="410"/>
      <c r="Q546" s="410"/>
      <c r="R546" s="410"/>
    </row>
    <row r="547" customFormat="false" ht="12.75" hidden="false" customHeight="false" outlineLevel="0" collapsed="false">
      <c r="I547" s="410"/>
      <c r="L547" s="410"/>
      <c r="N547" s="410"/>
      <c r="Q547" s="410"/>
      <c r="R547" s="410"/>
    </row>
    <row r="548" customFormat="false" ht="12.75" hidden="false" customHeight="false" outlineLevel="0" collapsed="false">
      <c r="I548" s="410"/>
      <c r="L548" s="410"/>
      <c r="N548" s="410"/>
      <c r="Q548" s="410"/>
      <c r="R548" s="410"/>
    </row>
    <row r="549" customFormat="false" ht="12.75" hidden="false" customHeight="false" outlineLevel="0" collapsed="false">
      <c r="I549" s="410"/>
      <c r="L549" s="410"/>
      <c r="N549" s="410"/>
      <c r="Q549" s="410"/>
      <c r="R549" s="410"/>
    </row>
    <row r="550" customFormat="false" ht="12.75" hidden="false" customHeight="false" outlineLevel="0" collapsed="false">
      <c r="Q550" s="411"/>
      <c r="R550" s="410"/>
    </row>
    <row r="551" customFormat="false" ht="12.75" hidden="false" customHeight="false" outlineLevel="0" collapsed="false">
      <c r="Q551" s="411"/>
      <c r="R551" s="410"/>
    </row>
    <row r="552" customFormat="false" ht="12.75" hidden="false" customHeight="false" outlineLevel="0" collapsed="false">
      <c r="Q552" s="411"/>
      <c r="R552" s="410"/>
    </row>
    <row r="553" customFormat="false" ht="12.75" hidden="false" customHeight="false" outlineLevel="0" collapsed="false">
      <c r="Q553" s="411"/>
      <c r="R553" s="410"/>
    </row>
    <row r="554" customFormat="false" ht="12.75" hidden="false" customHeight="false" outlineLevel="0" collapsed="false">
      <c r="Q554" s="411"/>
      <c r="R554" s="410"/>
    </row>
    <row r="555" customFormat="false" ht="12.75" hidden="false" customHeight="false" outlineLevel="0" collapsed="false">
      <c r="Q555" s="411"/>
      <c r="R555" s="410"/>
    </row>
    <row r="556" customFormat="false" ht="12.75" hidden="false" customHeight="false" outlineLevel="0" collapsed="false">
      <c r="Q556" s="411"/>
      <c r="R556" s="410"/>
    </row>
    <row r="557" customFormat="false" ht="12.75" hidden="false" customHeight="false" outlineLevel="0" collapsed="false">
      <c r="Q557" s="411"/>
      <c r="R557" s="410"/>
    </row>
    <row r="558" customFormat="false" ht="12.75" hidden="false" customHeight="false" outlineLevel="0" collapsed="false">
      <c r="Q558" s="411"/>
      <c r="R558" s="410"/>
    </row>
    <row r="559" customFormat="false" ht="12.75" hidden="false" customHeight="false" outlineLevel="0" collapsed="false">
      <c r="Q559" s="411"/>
      <c r="R559" s="410"/>
    </row>
    <row r="560" customFormat="false" ht="12.75" hidden="false" customHeight="false" outlineLevel="0" collapsed="false">
      <c r="Q560" s="411"/>
      <c r="R560" s="410"/>
    </row>
    <row r="561" customFormat="false" ht="12.75" hidden="false" customHeight="false" outlineLevel="0" collapsed="false">
      <c r="Q561" s="411"/>
      <c r="R561" s="410"/>
    </row>
    <row r="562" customFormat="false" ht="12.75" hidden="false" customHeight="false" outlineLevel="0" collapsed="false">
      <c r="Q562" s="411"/>
      <c r="R562" s="410"/>
    </row>
    <row r="563" customFormat="false" ht="12.75" hidden="false" customHeight="false" outlineLevel="0" collapsed="false">
      <c r="Q563" s="411"/>
      <c r="R563" s="410"/>
    </row>
    <row r="564" customFormat="false" ht="12.75" hidden="false" customHeight="false" outlineLevel="0" collapsed="false">
      <c r="Q564" s="411"/>
      <c r="R564" s="410"/>
    </row>
    <row r="565" customFormat="false" ht="12.75" hidden="false" customHeight="false" outlineLevel="0" collapsed="false">
      <c r="Q565" s="411"/>
      <c r="R565" s="410"/>
    </row>
    <row r="566" customFormat="false" ht="12.75" hidden="false" customHeight="false" outlineLevel="0" collapsed="false">
      <c r="Q566" s="411"/>
      <c r="R566" s="410"/>
    </row>
    <row r="567" customFormat="false" ht="12.75" hidden="false" customHeight="false" outlineLevel="0" collapsed="false">
      <c r="Q567" s="411"/>
      <c r="R567" s="410"/>
    </row>
    <row r="568" customFormat="false" ht="12.75" hidden="false" customHeight="false" outlineLevel="0" collapsed="false">
      <c r="Q568" s="411"/>
      <c r="R568" s="410"/>
    </row>
    <row r="569" customFormat="false" ht="12.75" hidden="false" customHeight="false" outlineLevel="0" collapsed="false">
      <c r="Q569" s="411"/>
      <c r="R569" s="410"/>
    </row>
    <row r="570" customFormat="false" ht="12.75" hidden="false" customHeight="false" outlineLevel="0" collapsed="false">
      <c r="Q570" s="411"/>
      <c r="R570" s="410"/>
    </row>
    <row r="571" customFormat="false" ht="12.75" hidden="false" customHeight="false" outlineLevel="0" collapsed="false">
      <c r="Q571" s="411"/>
      <c r="R571" s="410"/>
    </row>
    <row r="572" customFormat="false" ht="12.75" hidden="false" customHeight="false" outlineLevel="0" collapsed="false">
      <c r="Q572" s="411"/>
      <c r="R572" s="410"/>
    </row>
    <row r="573" customFormat="false" ht="12.75" hidden="false" customHeight="false" outlineLevel="0" collapsed="false">
      <c r="Q573" s="411"/>
      <c r="R573" s="410"/>
    </row>
    <row r="574" customFormat="false" ht="12.75" hidden="false" customHeight="false" outlineLevel="0" collapsed="false">
      <c r="Q574" s="411"/>
      <c r="R574" s="410"/>
    </row>
    <row r="575" customFormat="false" ht="12.75" hidden="false" customHeight="false" outlineLevel="0" collapsed="false">
      <c r="Q575" s="411"/>
      <c r="R575" s="410"/>
    </row>
    <row r="576" customFormat="false" ht="12.75" hidden="false" customHeight="false" outlineLevel="0" collapsed="false">
      <c r="Q576" s="411"/>
      <c r="R576" s="410"/>
    </row>
    <row r="577" customFormat="false" ht="12.75" hidden="false" customHeight="false" outlineLevel="0" collapsed="false">
      <c r="Q577" s="411"/>
      <c r="R577" s="410"/>
    </row>
    <row r="578" customFormat="false" ht="12.75" hidden="false" customHeight="false" outlineLevel="0" collapsed="false">
      <c r="Q578" s="411"/>
      <c r="R578" s="410"/>
    </row>
    <row r="579" customFormat="false" ht="12.75" hidden="false" customHeight="false" outlineLevel="0" collapsed="false">
      <c r="Q579" s="411"/>
      <c r="R579" s="410"/>
    </row>
    <row r="580" customFormat="false" ht="12.75" hidden="false" customHeight="false" outlineLevel="0" collapsed="false">
      <c r="Q580" s="411"/>
      <c r="R580" s="410"/>
    </row>
    <row r="581" customFormat="false" ht="12.75" hidden="false" customHeight="false" outlineLevel="0" collapsed="false">
      <c r="Q581" s="411"/>
      <c r="R581" s="410"/>
    </row>
    <row r="582" customFormat="false" ht="12.75" hidden="false" customHeight="false" outlineLevel="0" collapsed="false">
      <c r="Q582" s="411"/>
      <c r="R582" s="410"/>
    </row>
    <row r="583" customFormat="false" ht="12.75" hidden="false" customHeight="false" outlineLevel="0" collapsed="false">
      <c r="Q583" s="411"/>
      <c r="R583" s="410"/>
    </row>
    <row r="584" customFormat="false" ht="12.75" hidden="false" customHeight="false" outlineLevel="0" collapsed="false">
      <c r="Q584" s="411"/>
      <c r="R584" s="410"/>
    </row>
    <row r="585" customFormat="false" ht="12.75" hidden="false" customHeight="false" outlineLevel="0" collapsed="false">
      <c r="Q585" s="411"/>
      <c r="R585" s="410"/>
    </row>
    <row r="586" customFormat="false" ht="12.75" hidden="false" customHeight="false" outlineLevel="0" collapsed="false">
      <c r="Q586" s="411"/>
      <c r="R586" s="410"/>
    </row>
    <row r="587" customFormat="false" ht="12.75" hidden="false" customHeight="false" outlineLevel="0" collapsed="false">
      <c r="Q587" s="411"/>
      <c r="R587" s="410"/>
    </row>
    <row r="588" customFormat="false" ht="12.75" hidden="false" customHeight="false" outlineLevel="0" collapsed="false">
      <c r="Q588" s="411"/>
      <c r="R588" s="410"/>
    </row>
    <row r="589" customFormat="false" ht="12.75" hidden="false" customHeight="false" outlineLevel="0" collapsed="false">
      <c r="Q589" s="411"/>
      <c r="R589" s="410"/>
    </row>
    <row r="590" customFormat="false" ht="12.75" hidden="false" customHeight="false" outlineLevel="0" collapsed="false">
      <c r="Q590" s="411"/>
      <c r="R590" s="410"/>
    </row>
    <row r="591" customFormat="false" ht="12.75" hidden="false" customHeight="false" outlineLevel="0" collapsed="false">
      <c r="Q591" s="411"/>
      <c r="R591" s="410"/>
    </row>
    <row r="592" customFormat="false" ht="12.75" hidden="false" customHeight="false" outlineLevel="0" collapsed="false">
      <c r="Q592" s="411"/>
      <c r="R592" s="410"/>
    </row>
    <row r="593" customFormat="false" ht="12.75" hidden="false" customHeight="false" outlineLevel="0" collapsed="false">
      <c r="Q593" s="411"/>
      <c r="R593" s="410"/>
    </row>
    <row r="594" customFormat="false" ht="12.75" hidden="false" customHeight="false" outlineLevel="0" collapsed="false">
      <c r="Q594" s="411"/>
      <c r="R594" s="410"/>
    </row>
    <row r="595" customFormat="false" ht="12.75" hidden="false" customHeight="false" outlineLevel="0" collapsed="false">
      <c r="Q595" s="411"/>
      <c r="R595" s="410"/>
    </row>
    <row r="596" customFormat="false" ht="12.75" hidden="false" customHeight="false" outlineLevel="0" collapsed="false">
      <c r="Q596" s="411"/>
      <c r="R596" s="410"/>
    </row>
    <row r="597" customFormat="false" ht="12.75" hidden="false" customHeight="false" outlineLevel="0" collapsed="false">
      <c r="Q597" s="411"/>
      <c r="R597" s="410"/>
    </row>
    <row r="598" customFormat="false" ht="12.75" hidden="false" customHeight="false" outlineLevel="0" collapsed="false">
      <c r="Q598" s="411"/>
      <c r="R598" s="410"/>
    </row>
    <row r="599" customFormat="false" ht="12.75" hidden="false" customHeight="false" outlineLevel="0" collapsed="false">
      <c r="Q599" s="411"/>
      <c r="R599" s="410"/>
    </row>
    <row r="600" customFormat="false" ht="12.75" hidden="false" customHeight="false" outlineLevel="0" collapsed="false">
      <c r="Q600" s="411"/>
      <c r="R600" s="410"/>
    </row>
    <row r="601" customFormat="false" ht="12.75" hidden="false" customHeight="false" outlineLevel="0" collapsed="false">
      <c r="Q601" s="411"/>
      <c r="R601" s="410"/>
    </row>
    <row r="602" customFormat="false" ht="12.75" hidden="false" customHeight="false" outlineLevel="0" collapsed="false">
      <c r="Q602" s="411"/>
      <c r="R602" s="410"/>
    </row>
    <row r="603" customFormat="false" ht="12.75" hidden="false" customHeight="false" outlineLevel="0" collapsed="false">
      <c r="Q603" s="411"/>
      <c r="R603" s="410"/>
    </row>
    <row r="604" customFormat="false" ht="12.75" hidden="false" customHeight="false" outlineLevel="0" collapsed="false">
      <c r="Q604" s="411"/>
      <c r="R604" s="410"/>
    </row>
    <row r="605" customFormat="false" ht="12.75" hidden="false" customHeight="false" outlineLevel="0" collapsed="false">
      <c r="Q605" s="411"/>
      <c r="R605" s="410"/>
    </row>
    <row r="606" customFormat="false" ht="12.75" hidden="false" customHeight="false" outlineLevel="0" collapsed="false">
      <c r="Q606" s="411"/>
      <c r="R606" s="410"/>
    </row>
    <row r="607" customFormat="false" ht="12.75" hidden="false" customHeight="false" outlineLevel="0" collapsed="false">
      <c r="Q607" s="411"/>
      <c r="R607" s="410"/>
    </row>
    <row r="608" customFormat="false" ht="12.75" hidden="false" customHeight="false" outlineLevel="0" collapsed="false">
      <c r="Q608" s="411"/>
      <c r="R608" s="410"/>
    </row>
    <row r="609" customFormat="false" ht="12.75" hidden="false" customHeight="false" outlineLevel="0" collapsed="false">
      <c r="Q609" s="411"/>
      <c r="R609" s="410"/>
    </row>
    <row r="610" customFormat="false" ht="12.75" hidden="false" customHeight="false" outlineLevel="0" collapsed="false">
      <c r="Q610" s="411"/>
      <c r="R610" s="410"/>
    </row>
    <row r="611" customFormat="false" ht="12.75" hidden="false" customHeight="false" outlineLevel="0" collapsed="false">
      <c r="Q611" s="411"/>
      <c r="R611" s="410"/>
    </row>
    <row r="612" customFormat="false" ht="12.75" hidden="false" customHeight="false" outlineLevel="0" collapsed="false">
      <c r="Q612" s="411"/>
      <c r="R612" s="410"/>
    </row>
    <row r="613" customFormat="false" ht="12.75" hidden="false" customHeight="false" outlineLevel="0" collapsed="false">
      <c r="Q613" s="411"/>
      <c r="R613" s="410"/>
    </row>
    <row r="614" customFormat="false" ht="12.75" hidden="false" customHeight="false" outlineLevel="0" collapsed="false">
      <c r="Q614" s="411"/>
      <c r="R614" s="410"/>
    </row>
    <row r="615" customFormat="false" ht="12.75" hidden="false" customHeight="false" outlineLevel="0" collapsed="false">
      <c r="Q615" s="411"/>
      <c r="R615" s="410"/>
    </row>
    <row r="616" customFormat="false" ht="12.75" hidden="false" customHeight="false" outlineLevel="0" collapsed="false">
      <c r="Q616" s="411"/>
      <c r="R616" s="410"/>
    </row>
    <row r="617" customFormat="false" ht="12.75" hidden="false" customHeight="false" outlineLevel="0" collapsed="false">
      <c r="Q617" s="411"/>
      <c r="R617" s="410"/>
    </row>
    <row r="618" customFormat="false" ht="12.75" hidden="false" customHeight="false" outlineLevel="0" collapsed="false">
      <c r="Q618" s="411"/>
      <c r="R618" s="410"/>
    </row>
    <row r="619" customFormat="false" ht="12.75" hidden="false" customHeight="false" outlineLevel="0" collapsed="false">
      <c r="Q619" s="411"/>
      <c r="R619" s="410"/>
    </row>
    <row r="620" customFormat="false" ht="12.75" hidden="false" customHeight="false" outlineLevel="0" collapsed="false">
      <c r="Q620" s="411"/>
      <c r="R620" s="410"/>
    </row>
    <row r="621" customFormat="false" ht="12.75" hidden="false" customHeight="false" outlineLevel="0" collapsed="false">
      <c r="Q621" s="411"/>
      <c r="R621" s="410"/>
    </row>
    <row r="622" customFormat="false" ht="12.75" hidden="false" customHeight="false" outlineLevel="0" collapsed="false">
      <c r="Q622" s="411"/>
      <c r="R622" s="410"/>
    </row>
    <row r="623" customFormat="false" ht="12.75" hidden="false" customHeight="false" outlineLevel="0" collapsed="false">
      <c r="Q623" s="411"/>
      <c r="R623" s="410"/>
    </row>
    <row r="624" customFormat="false" ht="12.75" hidden="false" customHeight="false" outlineLevel="0" collapsed="false">
      <c r="Q624" s="411"/>
      <c r="R624" s="410"/>
    </row>
    <row r="625" customFormat="false" ht="12.75" hidden="false" customHeight="false" outlineLevel="0" collapsed="false">
      <c r="Q625" s="411"/>
      <c r="R625" s="410"/>
    </row>
    <row r="626" customFormat="false" ht="12.75" hidden="false" customHeight="false" outlineLevel="0" collapsed="false">
      <c r="Q626" s="411"/>
      <c r="R626" s="410"/>
    </row>
    <row r="627" customFormat="false" ht="12.75" hidden="false" customHeight="false" outlineLevel="0" collapsed="false">
      <c r="Q627" s="411"/>
      <c r="R627" s="410"/>
    </row>
    <row r="628" customFormat="false" ht="12.75" hidden="false" customHeight="false" outlineLevel="0" collapsed="false">
      <c r="Q628" s="411"/>
      <c r="R628" s="410"/>
    </row>
    <row r="629" customFormat="false" ht="12.75" hidden="false" customHeight="false" outlineLevel="0" collapsed="false">
      <c r="Q629" s="411"/>
      <c r="R629" s="410"/>
    </row>
    <row r="630" customFormat="false" ht="12.75" hidden="false" customHeight="false" outlineLevel="0" collapsed="false">
      <c r="Q630" s="411"/>
      <c r="R630" s="410"/>
    </row>
    <row r="631" customFormat="false" ht="12.75" hidden="false" customHeight="false" outlineLevel="0" collapsed="false">
      <c r="Q631" s="411"/>
      <c r="R631" s="410"/>
    </row>
    <row r="632" customFormat="false" ht="12.75" hidden="false" customHeight="false" outlineLevel="0" collapsed="false">
      <c r="Q632" s="411"/>
    </row>
    <row r="633" customFormat="false" ht="12.75" hidden="false" customHeight="false" outlineLevel="0" collapsed="false">
      <c r="Q633" s="411"/>
    </row>
    <row r="634" customFormat="false" ht="12.75" hidden="false" customHeight="false" outlineLevel="0" collapsed="false">
      <c r="Q634" s="411"/>
    </row>
    <row r="635" customFormat="false" ht="12.75" hidden="false" customHeight="false" outlineLevel="0" collapsed="false">
      <c r="Q635" s="411"/>
    </row>
    <row r="636" customFormat="false" ht="12.75" hidden="false" customHeight="false" outlineLevel="0" collapsed="false">
      <c r="Q636" s="411"/>
    </row>
    <row r="637" customFormat="false" ht="12.75" hidden="false" customHeight="false" outlineLevel="0" collapsed="false">
      <c r="Q637" s="411"/>
    </row>
    <row r="638" customFormat="false" ht="12.75" hidden="false" customHeight="false" outlineLevel="0" collapsed="false">
      <c r="Q638" s="411"/>
    </row>
    <row r="639" customFormat="false" ht="12.75" hidden="false" customHeight="false" outlineLevel="0" collapsed="false">
      <c r="Q639" s="411"/>
    </row>
    <row r="640" customFormat="false" ht="12.75" hidden="false" customHeight="false" outlineLevel="0" collapsed="false">
      <c r="Q640" s="411"/>
    </row>
    <row r="641" customFormat="false" ht="12.75" hidden="false" customHeight="false" outlineLevel="0" collapsed="false">
      <c r="Q641" s="411"/>
    </row>
    <row r="642" customFormat="false" ht="12.75" hidden="false" customHeight="false" outlineLevel="0" collapsed="false">
      <c r="Q642" s="411"/>
    </row>
    <row r="643" customFormat="false" ht="12.75" hidden="false" customHeight="false" outlineLevel="0" collapsed="false">
      <c r="Q643" s="411"/>
    </row>
    <row r="644" customFormat="false" ht="12.75" hidden="false" customHeight="false" outlineLevel="0" collapsed="false">
      <c r="Q644" s="411"/>
    </row>
    <row r="645" customFormat="false" ht="12.75" hidden="false" customHeight="false" outlineLevel="0" collapsed="false">
      <c r="Q645" s="411"/>
    </row>
    <row r="646" customFormat="false" ht="12.75" hidden="false" customHeight="false" outlineLevel="0" collapsed="false">
      <c r="Q646" s="411"/>
    </row>
    <row r="647" customFormat="false" ht="12.75" hidden="false" customHeight="false" outlineLevel="0" collapsed="false">
      <c r="Q647" s="411"/>
    </row>
    <row r="648" customFormat="false" ht="12.75" hidden="false" customHeight="false" outlineLevel="0" collapsed="false">
      <c r="Q648" s="411"/>
    </row>
    <row r="649" customFormat="false" ht="12.75" hidden="false" customHeight="false" outlineLevel="0" collapsed="false">
      <c r="Q649" s="411"/>
    </row>
    <row r="650" customFormat="false" ht="12.75" hidden="false" customHeight="false" outlineLevel="0" collapsed="false">
      <c r="Q650" s="411"/>
    </row>
    <row r="651" customFormat="false" ht="12.75" hidden="false" customHeight="false" outlineLevel="0" collapsed="false">
      <c r="Q651" s="411"/>
    </row>
    <row r="652" customFormat="false" ht="12.75" hidden="false" customHeight="false" outlineLevel="0" collapsed="false">
      <c r="Q652" s="411"/>
    </row>
    <row r="653" customFormat="false" ht="12.75" hidden="false" customHeight="false" outlineLevel="0" collapsed="false">
      <c r="Q653" s="411"/>
    </row>
    <row r="654" customFormat="false" ht="12.75" hidden="false" customHeight="false" outlineLevel="0" collapsed="false">
      <c r="Q654" s="411"/>
    </row>
    <row r="655" customFormat="false" ht="12.75" hidden="false" customHeight="false" outlineLevel="0" collapsed="false">
      <c r="Q655" s="411"/>
    </row>
    <row r="656" customFormat="false" ht="12.75" hidden="false" customHeight="false" outlineLevel="0" collapsed="false">
      <c r="Q656" s="411"/>
    </row>
    <row r="657" customFormat="false" ht="12.75" hidden="false" customHeight="false" outlineLevel="0" collapsed="false">
      <c r="Q657" s="411"/>
    </row>
    <row r="658" customFormat="false" ht="12.75" hidden="false" customHeight="false" outlineLevel="0" collapsed="false">
      <c r="Q658" s="411"/>
    </row>
    <row r="659" customFormat="false" ht="12.75" hidden="false" customHeight="false" outlineLevel="0" collapsed="false">
      <c r="Q659" s="411"/>
    </row>
    <row r="660" customFormat="false" ht="12.75" hidden="false" customHeight="false" outlineLevel="0" collapsed="false">
      <c r="Q660" s="411"/>
    </row>
    <row r="661" customFormat="false" ht="12.75" hidden="false" customHeight="false" outlineLevel="0" collapsed="false">
      <c r="Q661" s="411"/>
    </row>
    <row r="662" customFormat="false" ht="12.75" hidden="false" customHeight="false" outlineLevel="0" collapsed="false">
      <c r="Q662" s="411"/>
    </row>
    <row r="663" customFormat="false" ht="12.75" hidden="false" customHeight="false" outlineLevel="0" collapsed="false">
      <c r="Q663" s="411"/>
    </row>
    <row r="664" customFormat="false" ht="12.75" hidden="false" customHeight="false" outlineLevel="0" collapsed="false">
      <c r="Q664" s="411"/>
    </row>
    <row r="665" customFormat="false" ht="12.75" hidden="false" customHeight="false" outlineLevel="0" collapsed="false">
      <c r="Q665" s="411"/>
    </row>
    <row r="666" customFormat="false" ht="12.75" hidden="false" customHeight="false" outlineLevel="0" collapsed="false">
      <c r="Q666" s="411"/>
    </row>
    <row r="667" customFormat="false" ht="12.75" hidden="false" customHeight="false" outlineLevel="0" collapsed="false">
      <c r="Q667" s="411"/>
    </row>
    <row r="668" customFormat="false" ht="12.75" hidden="false" customHeight="false" outlineLevel="0" collapsed="false">
      <c r="Q668" s="411"/>
    </row>
    <row r="669" customFormat="false" ht="12.75" hidden="false" customHeight="false" outlineLevel="0" collapsed="false">
      <c r="Q669" s="411"/>
    </row>
    <row r="670" customFormat="false" ht="12.75" hidden="false" customHeight="false" outlineLevel="0" collapsed="false">
      <c r="Q670" s="411"/>
    </row>
    <row r="671" customFormat="false" ht="12.75" hidden="false" customHeight="false" outlineLevel="0" collapsed="false">
      <c r="Q671" s="411"/>
    </row>
    <row r="672" customFormat="false" ht="12.75" hidden="false" customHeight="false" outlineLevel="0" collapsed="false">
      <c r="Q672" s="411"/>
    </row>
    <row r="673" customFormat="false" ht="12.75" hidden="false" customHeight="false" outlineLevel="0" collapsed="false">
      <c r="Q673" s="411"/>
    </row>
    <row r="674" customFormat="false" ht="12.75" hidden="false" customHeight="false" outlineLevel="0" collapsed="false">
      <c r="Q674" s="411"/>
    </row>
    <row r="675" customFormat="false" ht="12.75" hidden="false" customHeight="false" outlineLevel="0" collapsed="false">
      <c r="Q675" s="411"/>
    </row>
    <row r="676" customFormat="false" ht="12.75" hidden="false" customHeight="false" outlineLevel="0" collapsed="false">
      <c r="Q676" s="411"/>
    </row>
    <row r="677" customFormat="false" ht="12.75" hidden="false" customHeight="false" outlineLevel="0" collapsed="false">
      <c r="Q677" s="411"/>
    </row>
    <row r="678" customFormat="false" ht="12.75" hidden="false" customHeight="false" outlineLevel="0" collapsed="false">
      <c r="Q678" s="411"/>
    </row>
    <row r="679" customFormat="false" ht="12.75" hidden="false" customHeight="false" outlineLevel="0" collapsed="false">
      <c r="Q679" s="411"/>
    </row>
    <row r="680" customFormat="false" ht="12.75" hidden="false" customHeight="false" outlineLevel="0" collapsed="false">
      <c r="Q680" s="411"/>
    </row>
    <row r="681" customFormat="false" ht="12.75" hidden="false" customHeight="false" outlineLevel="0" collapsed="false">
      <c r="Q681" s="411"/>
    </row>
    <row r="682" customFormat="false" ht="12.75" hidden="false" customHeight="false" outlineLevel="0" collapsed="false">
      <c r="Q682" s="411"/>
    </row>
    <row r="683" customFormat="false" ht="12.75" hidden="false" customHeight="false" outlineLevel="0" collapsed="false">
      <c r="Q683" s="411"/>
    </row>
    <row r="684" customFormat="false" ht="12.75" hidden="false" customHeight="false" outlineLevel="0" collapsed="false">
      <c r="Q684" s="411"/>
    </row>
    <row r="685" customFormat="false" ht="12.75" hidden="false" customHeight="false" outlineLevel="0" collapsed="false">
      <c r="Q685" s="411"/>
    </row>
    <row r="686" customFormat="false" ht="12.75" hidden="false" customHeight="false" outlineLevel="0" collapsed="false">
      <c r="Q686" s="411"/>
    </row>
    <row r="687" customFormat="false" ht="12.75" hidden="false" customHeight="false" outlineLevel="0" collapsed="false">
      <c r="Q687" s="411"/>
    </row>
    <row r="688" customFormat="false" ht="12.75" hidden="false" customHeight="false" outlineLevel="0" collapsed="false">
      <c r="Q688" s="411"/>
    </row>
    <row r="689" customFormat="false" ht="12.75" hidden="false" customHeight="false" outlineLevel="0" collapsed="false">
      <c r="Q689" s="411"/>
    </row>
    <row r="690" customFormat="false" ht="12.75" hidden="false" customHeight="false" outlineLevel="0" collapsed="false">
      <c r="Q690" s="411"/>
    </row>
    <row r="691" customFormat="false" ht="12.75" hidden="false" customHeight="false" outlineLevel="0" collapsed="false">
      <c r="Q691" s="411"/>
    </row>
    <row r="692" customFormat="false" ht="12.75" hidden="false" customHeight="false" outlineLevel="0" collapsed="false">
      <c r="Q692" s="411"/>
    </row>
    <row r="693" customFormat="false" ht="12.75" hidden="false" customHeight="false" outlineLevel="0" collapsed="false">
      <c r="Q693" s="411"/>
    </row>
    <row r="694" customFormat="false" ht="12.75" hidden="false" customHeight="false" outlineLevel="0" collapsed="false">
      <c r="Q694" s="411"/>
    </row>
    <row r="695" customFormat="false" ht="12.75" hidden="false" customHeight="false" outlineLevel="0" collapsed="false">
      <c r="Q695" s="411"/>
    </row>
    <row r="696" customFormat="false" ht="12.75" hidden="false" customHeight="false" outlineLevel="0" collapsed="false">
      <c r="Q696" s="411"/>
    </row>
    <row r="697" customFormat="false" ht="12.75" hidden="false" customHeight="false" outlineLevel="0" collapsed="false">
      <c r="Q697" s="411"/>
    </row>
    <row r="698" customFormat="false" ht="12.75" hidden="false" customHeight="false" outlineLevel="0" collapsed="false">
      <c r="Q698" s="411"/>
    </row>
    <row r="699" customFormat="false" ht="12.75" hidden="false" customHeight="false" outlineLevel="0" collapsed="false">
      <c r="Q699" s="411"/>
    </row>
    <row r="700" customFormat="false" ht="12.75" hidden="false" customHeight="false" outlineLevel="0" collapsed="false">
      <c r="Q700" s="411"/>
    </row>
    <row r="701" customFormat="false" ht="12.75" hidden="false" customHeight="false" outlineLevel="0" collapsed="false">
      <c r="Q701" s="411"/>
    </row>
    <row r="702" customFormat="false" ht="12.75" hidden="false" customHeight="false" outlineLevel="0" collapsed="false">
      <c r="Q702" s="411"/>
    </row>
    <row r="703" customFormat="false" ht="12.75" hidden="false" customHeight="false" outlineLevel="0" collapsed="false">
      <c r="Q703" s="411"/>
    </row>
    <row r="704" customFormat="false" ht="12.75" hidden="false" customHeight="false" outlineLevel="0" collapsed="false">
      <c r="Q704" s="411"/>
    </row>
    <row r="705" customFormat="false" ht="12.75" hidden="false" customHeight="false" outlineLevel="0" collapsed="false">
      <c r="Q705" s="411"/>
    </row>
    <row r="706" customFormat="false" ht="12.75" hidden="false" customHeight="false" outlineLevel="0" collapsed="false">
      <c r="Q706" s="411"/>
    </row>
    <row r="707" customFormat="false" ht="12.75" hidden="false" customHeight="false" outlineLevel="0" collapsed="false">
      <c r="Q707" s="411"/>
    </row>
    <row r="708" customFormat="false" ht="12.75" hidden="false" customHeight="false" outlineLevel="0" collapsed="false">
      <c r="Q708" s="411"/>
    </row>
    <row r="709" customFormat="false" ht="12.75" hidden="false" customHeight="false" outlineLevel="0" collapsed="false">
      <c r="Q709" s="411"/>
    </row>
    <row r="710" customFormat="false" ht="12.75" hidden="false" customHeight="false" outlineLevel="0" collapsed="false">
      <c r="Q710" s="411"/>
    </row>
    <row r="711" customFormat="false" ht="12.75" hidden="false" customHeight="false" outlineLevel="0" collapsed="false">
      <c r="Q711" s="411"/>
    </row>
    <row r="712" customFormat="false" ht="12.75" hidden="false" customHeight="false" outlineLevel="0" collapsed="false">
      <c r="Q712" s="411"/>
    </row>
    <row r="713" customFormat="false" ht="12.75" hidden="false" customHeight="false" outlineLevel="0" collapsed="false">
      <c r="Q713" s="411"/>
    </row>
    <row r="714" customFormat="false" ht="12.75" hidden="false" customHeight="false" outlineLevel="0" collapsed="false">
      <c r="Q714" s="411"/>
    </row>
    <row r="715" customFormat="false" ht="12.75" hidden="false" customHeight="false" outlineLevel="0" collapsed="false">
      <c r="Q715" s="411"/>
    </row>
    <row r="716" customFormat="false" ht="12.75" hidden="false" customHeight="false" outlineLevel="0" collapsed="false">
      <c r="Q716" s="411"/>
    </row>
    <row r="717" customFormat="false" ht="12.75" hidden="false" customHeight="false" outlineLevel="0" collapsed="false">
      <c r="Q717" s="411"/>
    </row>
    <row r="718" customFormat="false" ht="12.75" hidden="false" customHeight="false" outlineLevel="0" collapsed="false">
      <c r="Q718" s="411"/>
    </row>
    <row r="719" customFormat="false" ht="12.75" hidden="false" customHeight="false" outlineLevel="0" collapsed="false">
      <c r="Q719" s="411"/>
    </row>
    <row r="720" customFormat="false" ht="12.75" hidden="false" customHeight="false" outlineLevel="0" collapsed="false">
      <c r="Q720" s="411"/>
    </row>
    <row r="721" customFormat="false" ht="12.75" hidden="false" customHeight="false" outlineLevel="0" collapsed="false">
      <c r="Q721" s="411"/>
    </row>
    <row r="722" customFormat="false" ht="12.75" hidden="false" customHeight="false" outlineLevel="0" collapsed="false">
      <c r="Q722" s="411"/>
    </row>
    <row r="723" customFormat="false" ht="12.75" hidden="false" customHeight="false" outlineLevel="0" collapsed="false">
      <c r="Q723" s="411"/>
    </row>
    <row r="724" customFormat="false" ht="12.75" hidden="false" customHeight="false" outlineLevel="0" collapsed="false">
      <c r="Q724" s="411"/>
    </row>
    <row r="725" customFormat="false" ht="12.75" hidden="false" customHeight="false" outlineLevel="0" collapsed="false">
      <c r="Q725" s="411"/>
    </row>
    <row r="726" customFormat="false" ht="12.75" hidden="false" customHeight="false" outlineLevel="0" collapsed="false">
      <c r="Q726" s="411"/>
    </row>
    <row r="727" customFormat="false" ht="12.75" hidden="false" customHeight="false" outlineLevel="0" collapsed="false">
      <c r="Q727" s="411"/>
    </row>
    <row r="728" customFormat="false" ht="12.75" hidden="false" customHeight="false" outlineLevel="0" collapsed="false">
      <c r="Q728" s="411"/>
    </row>
    <row r="729" customFormat="false" ht="12.75" hidden="false" customHeight="false" outlineLevel="0" collapsed="false">
      <c r="Q729" s="411"/>
    </row>
    <row r="730" customFormat="false" ht="12.75" hidden="false" customHeight="false" outlineLevel="0" collapsed="false">
      <c r="Q730" s="411"/>
    </row>
    <row r="731" customFormat="false" ht="12.75" hidden="false" customHeight="false" outlineLevel="0" collapsed="false">
      <c r="Q731" s="411"/>
    </row>
    <row r="732" customFormat="false" ht="12.75" hidden="false" customHeight="false" outlineLevel="0" collapsed="false">
      <c r="Q732" s="411"/>
    </row>
    <row r="733" customFormat="false" ht="12.75" hidden="false" customHeight="false" outlineLevel="0" collapsed="false">
      <c r="Q733" s="411"/>
    </row>
    <row r="734" customFormat="false" ht="12.75" hidden="false" customHeight="false" outlineLevel="0" collapsed="false">
      <c r="Q734" s="411"/>
    </row>
    <row r="735" customFormat="false" ht="12.75" hidden="false" customHeight="false" outlineLevel="0" collapsed="false">
      <c r="Q735" s="411"/>
    </row>
    <row r="736" customFormat="false" ht="12.75" hidden="false" customHeight="false" outlineLevel="0" collapsed="false">
      <c r="Q736" s="411"/>
    </row>
    <row r="737" customFormat="false" ht="12.75" hidden="false" customHeight="false" outlineLevel="0" collapsed="false">
      <c r="Q737" s="411"/>
    </row>
    <row r="738" customFormat="false" ht="12.75" hidden="false" customHeight="false" outlineLevel="0" collapsed="false">
      <c r="Q738" s="411"/>
    </row>
    <row r="739" customFormat="false" ht="12.75" hidden="false" customHeight="false" outlineLevel="0" collapsed="false">
      <c r="Q739" s="411"/>
    </row>
    <row r="740" customFormat="false" ht="12.75" hidden="false" customHeight="false" outlineLevel="0" collapsed="false">
      <c r="Q740" s="411"/>
    </row>
    <row r="741" customFormat="false" ht="12.75" hidden="false" customHeight="false" outlineLevel="0" collapsed="false">
      <c r="Q741" s="411"/>
    </row>
    <row r="742" customFormat="false" ht="12.75" hidden="false" customHeight="false" outlineLevel="0" collapsed="false">
      <c r="Q742" s="411"/>
    </row>
    <row r="743" customFormat="false" ht="12.75" hidden="false" customHeight="false" outlineLevel="0" collapsed="false">
      <c r="Q743" s="411"/>
    </row>
    <row r="744" customFormat="false" ht="12.75" hidden="false" customHeight="false" outlineLevel="0" collapsed="false">
      <c r="Q744" s="411"/>
    </row>
    <row r="745" customFormat="false" ht="12.75" hidden="false" customHeight="false" outlineLevel="0" collapsed="false">
      <c r="Q745" s="411"/>
    </row>
    <row r="746" customFormat="false" ht="12.75" hidden="false" customHeight="false" outlineLevel="0" collapsed="false">
      <c r="Q746" s="411"/>
    </row>
    <row r="747" customFormat="false" ht="12.75" hidden="false" customHeight="false" outlineLevel="0" collapsed="false">
      <c r="Q747" s="411"/>
    </row>
    <row r="748" customFormat="false" ht="12.75" hidden="false" customHeight="false" outlineLevel="0" collapsed="false">
      <c r="Q748" s="411"/>
    </row>
    <row r="749" customFormat="false" ht="12.75" hidden="false" customHeight="false" outlineLevel="0" collapsed="false">
      <c r="Q749" s="411"/>
    </row>
    <row r="750" customFormat="false" ht="12.75" hidden="false" customHeight="false" outlineLevel="0" collapsed="false">
      <c r="Q750" s="411"/>
    </row>
    <row r="751" customFormat="false" ht="12.75" hidden="false" customHeight="false" outlineLevel="0" collapsed="false">
      <c r="Q751" s="411"/>
    </row>
    <row r="752" customFormat="false" ht="12.75" hidden="false" customHeight="false" outlineLevel="0" collapsed="false">
      <c r="Q752" s="411"/>
    </row>
    <row r="753" customFormat="false" ht="12.75" hidden="false" customHeight="false" outlineLevel="0" collapsed="false">
      <c r="Q753" s="411"/>
    </row>
    <row r="754" customFormat="false" ht="12.75" hidden="false" customHeight="false" outlineLevel="0" collapsed="false">
      <c r="Q754" s="411"/>
    </row>
    <row r="755" customFormat="false" ht="12.75" hidden="false" customHeight="false" outlineLevel="0" collapsed="false">
      <c r="Q755" s="411"/>
    </row>
    <row r="756" customFormat="false" ht="12.75" hidden="false" customHeight="false" outlineLevel="0" collapsed="false">
      <c r="Q756" s="411"/>
    </row>
    <row r="757" customFormat="false" ht="12.75" hidden="false" customHeight="false" outlineLevel="0" collapsed="false">
      <c r="Q757" s="411"/>
    </row>
    <row r="758" customFormat="false" ht="12.75" hidden="false" customHeight="false" outlineLevel="0" collapsed="false">
      <c r="Q758" s="411"/>
    </row>
    <row r="759" customFormat="false" ht="12.75" hidden="false" customHeight="false" outlineLevel="0" collapsed="false">
      <c r="Q759" s="411"/>
    </row>
    <row r="760" customFormat="false" ht="12.75" hidden="false" customHeight="false" outlineLevel="0" collapsed="false">
      <c r="Q760" s="411"/>
    </row>
    <row r="761" customFormat="false" ht="12.75" hidden="false" customHeight="false" outlineLevel="0" collapsed="false">
      <c r="Q761" s="411"/>
    </row>
    <row r="762" customFormat="false" ht="12.75" hidden="false" customHeight="false" outlineLevel="0" collapsed="false">
      <c r="Q762" s="411"/>
    </row>
    <row r="763" customFormat="false" ht="12.75" hidden="false" customHeight="false" outlineLevel="0" collapsed="false">
      <c r="Q763" s="411"/>
    </row>
    <row r="764" customFormat="false" ht="12.75" hidden="false" customHeight="false" outlineLevel="0" collapsed="false">
      <c r="Q764" s="411"/>
    </row>
    <row r="765" customFormat="false" ht="12.75" hidden="false" customHeight="false" outlineLevel="0" collapsed="false">
      <c r="Q765" s="411"/>
    </row>
    <row r="766" customFormat="false" ht="12.75" hidden="false" customHeight="false" outlineLevel="0" collapsed="false">
      <c r="Q766" s="411"/>
    </row>
    <row r="767" customFormat="false" ht="12.75" hidden="false" customHeight="false" outlineLevel="0" collapsed="false">
      <c r="Q767" s="411"/>
    </row>
    <row r="768" customFormat="false" ht="12.75" hidden="false" customHeight="false" outlineLevel="0" collapsed="false">
      <c r="Q768" s="411"/>
    </row>
    <row r="769" customFormat="false" ht="12.75" hidden="false" customHeight="false" outlineLevel="0" collapsed="false">
      <c r="Q769" s="411"/>
    </row>
    <row r="770" customFormat="false" ht="12.75" hidden="false" customHeight="false" outlineLevel="0" collapsed="false">
      <c r="Q770" s="411"/>
    </row>
    <row r="771" customFormat="false" ht="12.75" hidden="false" customHeight="false" outlineLevel="0" collapsed="false">
      <c r="Q771" s="411"/>
    </row>
    <row r="772" customFormat="false" ht="12.75" hidden="false" customHeight="false" outlineLevel="0" collapsed="false">
      <c r="Q772" s="411"/>
    </row>
    <row r="773" customFormat="false" ht="12.75" hidden="false" customHeight="false" outlineLevel="0" collapsed="false">
      <c r="Q773" s="411"/>
    </row>
    <row r="774" customFormat="false" ht="12.75" hidden="false" customHeight="false" outlineLevel="0" collapsed="false">
      <c r="Q774" s="411"/>
    </row>
    <row r="775" customFormat="false" ht="12.75" hidden="false" customHeight="false" outlineLevel="0" collapsed="false">
      <c r="Q775" s="411"/>
    </row>
    <row r="776" customFormat="false" ht="12.75" hidden="false" customHeight="false" outlineLevel="0" collapsed="false">
      <c r="Q776" s="411"/>
    </row>
    <row r="777" customFormat="false" ht="12.75" hidden="false" customHeight="false" outlineLevel="0" collapsed="false">
      <c r="Q777" s="411"/>
    </row>
    <row r="778" customFormat="false" ht="12.75" hidden="false" customHeight="false" outlineLevel="0" collapsed="false">
      <c r="Q778" s="411"/>
    </row>
    <row r="779" customFormat="false" ht="12.75" hidden="false" customHeight="false" outlineLevel="0" collapsed="false">
      <c r="Q779" s="411"/>
    </row>
    <row r="780" customFormat="false" ht="12.75" hidden="false" customHeight="false" outlineLevel="0" collapsed="false">
      <c r="Q780" s="411"/>
    </row>
    <row r="781" customFormat="false" ht="12.75" hidden="false" customHeight="false" outlineLevel="0" collapsed="false">
      <c r="Q781" s="411"/>
    </row>
    <row r="782" customFormat="false" ht="12.75" hidden="false" customHeight="false" outlineLevel="0" collapsed="false">
      <c r="Q782" s="411"/>
    </row>
    <row r="783" customFormat="false" ht="12.75" hidden="false" customHeight="false" outlineLevel="0" collapsed="false">
      <c r="Q783" s="411"/>
    </row>
    <row r="784" customFormat="false" ht="12.75" hidden="false" customHeight="false" outlineLevel="0" collapsed="false">
      <c r="Q784" s="411"/>
    </row>
    <row r="785" customFormat="false" ht="12.75" hidden="false" customHeight="false" outlineLevel="0" collapsed="false">
      <c r="Q785" s="411"/>
    </row>
    <row r="786" customFormat="false" ht="12.75" hidden="false" customHeight="false" outlineLevel="0" collapsed="false">
      <c r="Q786" s="411"/>
    </row>
    <row r="787" customFormat="false" ht="12.75" hidden="false" customHeight="false" outlineLevel="0" collapsed="false">
      <c r="Q787" s="411"/>
    </row>
    <row r="788" customFormat="false" ht="12.75" hidden="false" customHeight="false" outlineLevel="0" collapsed="false">
      <c r="Q788" s="411"/>
    </row>
    <row r="789" customFormat="false" ht="12.75" hidden="false" customHeight="false" outlineLevel="0" collapsed="false">
      <c r="Q789" s="411"/>
    </row>
    <row r="790" customFormat="false" ht="12.75" hidden="false" customHeight="false" outlineLevel="0" collapsed="false">
      <c r="Q790" s="411"/>
    </row>
    <row r="791" customFormat="false" ht="12.75" hidden="false" customHeight="false" outlineLevel="0" collapsed="false">
      <c r="Q791" s="411"/>
    </row>
    <row r="792" customFormat="false" ht="12.75" hidden="false" customHeight="false" outlineLevel="0" collapsed="false">
      <c r="Q792" s="411"/>
    </row>
    <row r="793" customFormat="false" ht="12.75" hidden="false" customHeight="false" outlineLevel="0" collapsed="false">
      <c r="Q793" s="411"/>
    </row>
    <row r="794" customFormat="false" ht="12.75" hidden="false" customHeight="false" outlineLevel="0" collapsed="false">
      <c r="Q794" s="411"/>
    </row>
    <row r="795" customFormat="false" ht="12.75" hidden="false" customHeight="false" outlineLevel="0" collapsed="false">
      <c r="Q795" s="411"/>
    </row>
    <row r="796" customFormat="false" ht="12.75" hidden="false" customHeight="false" outlineLevel="0" collapsed="false">
      <c r="Q796" s="411"/>
    </row>
    <row r="797" customFormat="false" ht="12.75" hidden="false" customHeight="false" outlineLevel="0" collapsed="false">
      <c r="Q797" s="411"/>
    </row>
    <row r="798" customFormat="false" ht="12.75" hidden="false" customHeight="false" outlineLevel="0" collapsed="false">
      <c r="Q798" s="411"/>
    </row>
    <row r="799" customFormat="false" ht="12.75" hidden="false" customHeight="false" outlineLevel="0" collapsed="false">
      <c r="Q799" s="411"/>
    </row>
    <row r="800" customFormat="false" ht="12.75" hidden="false" customHeight="false" outlineLevel="0" collapsed="false">
      <c r="Q800" s="411"/>
    </row>
    <row r="801" customFormat="false" ht="12.75" hidden="false" customHeight="false" outlineLevel="0" collapsed="false">
      <c r="Q801" s="411"/>
    </row>
    <row r="802" customFormat="false" ht="12.75" hidden="false" customHeight="false" outlineLevel="0" collapsed="false">
      <c r="Q802" s="411"/>
    </row>
    <row r="803" customFormat="false" ht="12.75" hidden="false" customHeight="false" outlineLevel="0" collapsed="false">
      <c r="Q803" s="411"/>
    </row>
    <row r="804" customFormat="false" ht="12.75" hidden="false" customHeight="false" outlineLevel="0" collapsed="false">
      <c r="Q804" s="411"/>
    </row>
    <row r="805" customFormat="false" ht="12.75" hidden="false" customHeight="false" outlineLevel="0" collapsed="false">
      <c r="Q805" s="411"/>
    </row>
    <row r="806" customFormat="false" ht="12.75" hidden="false" customHeight="false" outlineLevel="0" collapsed="false">
      <c r="Q806" s="411"/>
    </row>
    <row r="807" customFormat="false" ht="12.75" hidden="false" customHeight="false" outlineLevel="0" collapsed="false">
      <c r="Q807" s="411"/>
    </row>
    <row r="808" customFormat="false" ht="12.75" hidden="false" customHeight="false" outlineLevel="0" collapsed="false">
      <c r="Q808" s="411"/>
    </row>
    <row r="809" customFormat="false" ht="12.75" hidden="false" customHeight="false" outlineLevel="0" collapsed="false">
      <c r="Q809" s="411"/>
    </row>
    <row r="810" customFormat="false" ht="12.75" hidden="false" customHeight="false" outlineLevel="0" collapsed="false">
      <c r="Q810" s="411"/>
    </row>
    <row r="811" customFormat="false" ht="12.75" hidden="false" customHeight="false" outlineLevel="0" collapsed="false">
      <c r="Q811" s="411"/>
    </row>
    <row r="812" customFormat="false" ht="12.75" hidden="false" customHeight="false" outlineLevel="0" collapsed="false">
      <c r="Q812" s="411"/>
    </row>
    <row r="813" customFormat="false" ht="12.75" hidden="false" customHeight="false" outlineLevel="0" collapsed="false">
      <c r="Q813" s="411"/>
    </row>
    <row r="814" customFormat="false" ht="12.75" hidden="false" customHeight="false" outlineLevel="0" collapsed="false">
      <c r="Q814" s="411"/>
    </row>
    <row r="815" customFormat="false" ht="12.75" hidden="false" customHeight="false" outlineLevel="0" collapsed="false">
      <c r="Q815" s="411"/>
    </row>
    <row r="816" customFormat="false" ht="12.75" hidden="false" customHeight="false" outlineLevel="0" collapsed="false">
      <c r="Q816" s="411"/>
    </row>
    <row r="817" customFormat="false" ht="12.75" hidden="false" customHeight="false" outlineLevel="0" collapsed="false">
      <c r="Q817" s="411"/>
    </row>
    <row r="818" customFormat="false" ht="12.75" hidden="false" customHeight="false" outlineLevel="0" collapsed="false">
      <c r="Q818" s="411"/>
    </row>
    <row r="819" customFormat="false" ht="12.75" hidden="false" customHeight="false" outlineLevel="0" collapsed="false">
      <c r="Q819" s="411"/>
    </row>
    <row r="820" customFormat="false" ht="12.75" hidden="false" customHeight="false" outlineLevel="0" collapsed="false">
      <c r="Q820" s="411"/>
    </row>
    <row r="821" customFormat="false" ht="12.75" hidden="false" customHeight="false" outlineLevel="0" collapsed="false">
      <c r="Q821" s="411"/>
    </row>
    <row r="822" customFormat="false" ht="12.75" hidden="false" customHeight="false" outlineLevel="0" collapsed="false">
      <c r="Q822" s="411"/>
    </row>
    <row r="823" customFormat="false" ht="12.75" hidden="false" customHeight="false" outlineLevel="0" collapsed="false">
      <c r="Q823" s="411"/>
    </row>
    <row r="824" customFormat="false" ht="12.75" hidden="false" customHeight="false" outlineLevel="0" collapsed="false">
      <c r="Q824" s="411"/>
    </row>
    <row r="825" customFormat="false" ht="12.75" hidden="false" customHeight="false" outlineLevel="0" collapsed="false">
      <c r="Q825" s="411"/>
    </row>
    <row r="826" customFormat="false" ht="12.75" hidden="false" customHeight="false" outlineLevel="0" collapsed="false">
      <c r="Q826" s="411"/>
    </row>
    <row r="827" customFormat="false" ht="12.75" hidden="false" customHeight="false" outlineLevel="0" collapsed="false">
      <c r="Q827" s="411"/>
    </row>
    <row r="828" customFormat="false" ht="12.75" hidden="false" customHeight="false" outlineLevel="0" collapsed="false">
      <c r="Q828" s="411"/>
    </row>
    <row r="829" customFormat="false" ht="12.75" hidden="false" customHeight="false" outlineLevel="0" collapsed="false">
      <c r="Q829" s="411"/>
    </row>
    <row r="830" customFormat="false" ht="12.75" hidden="false" customHeight="false" outlineLevel="0" collapsed="false">
      <c r="Q830" s="411"/>
    </row>
    <row r="831" customFormat="false" ht="12.75" hidden="false" customHeight="false" outlineLevel="0" collapsed="false">
      <c r="Q831" s="411"/>
    </row>
    <row r="832" customFormat="false" ht="12.75" hidden="false" customHeight="false" outlineLevel="0" collapsed="false">
      <c r="Q832" s="411"/>
    </row>
    <row r="833" customFormat="false" ht="12.75" hidden="false" customHeight="false" outlineLevel="0" collapsed="false">
      <c r="Q833" s="411"/>
    </row>
    <row r="834" customFormat="false" ht="12.75" hidden="false" customHeight="false" outlineLevel="0" collapsed="false">
      <c r="Q834" s="411"/>
    </row>
    <row r="835" customFormat="false" ht="12.75" hidden="false" customHeight="false" outlineLevel="0" collapsed="false">
      <c r="Q835" s="411"/>
    </row>
    <row r="836" customFormat="false" ht="12.75" hidden="false" customHeight="false" outlineLevel="0" collapsed="false">
      <c r="Q836" s="411"/>
    </row>
    <row r="837" customFormat="false" ht="12.75" hidden="false" customHeight="false" outlineLevel="0" collapsed="false">
      <c r="Q837" s="411"/>
    </row>
    <row r="838" customFormat="false" ht="12.75" hidden="false" customHeight="false" outlineLevel="0" collapsed="false">
      <c r="Q838" s="411"/>
    </row>
    <row r="839" customFormat="false" ht="12.75" hidden="false" customHeight="false" outlineLevel="0" collapsed="false">
      <c r="Q839" s="411"/>
    </row>
    <row r="840" customFormat="false" ht="12.75" hidden="false" customHeight="false" outlineLevel="0" collapsed="false">
      <c r="Q840" s="411"/>
    </row>
    <row r="841" customFormat="false" ht="12.75" hidden="false" customHeight="false" outlineLevel="0" collapsed="false">
      <c r="Q841" s="411"/>
    </row>
    <row r="842" customFormat="false" ht="12.75" hidden="false" customHeight="false" outlineLevel="0" collapsed="false">
      <c r="Q842" s="411"/>
    </row>
    <row r="843" customFormat="false" ht="12.75" hidden="false" customHeight="false" outlineLevel="0" collapsed="false">
      <c r="Q843" s="411"/>
    </row>
    <row r="844" customFormat="false" ht="12.75" hidden="false" customHeight="false" outlineLevel="0" collapsed="false">
      <c r="Q844" s="411"/>
    </row>
    <row r="845" customFormat="false" ht="12.75" hidden="false" customHeight="false" outlineLevel="0" collapsed="false">
      <c r="Q845" s="411"/>
    </row>
    <row r="846" customFormat="false" ht="12.75" hidden="false" customHeight="false" outlineLevel="0" collapsed="false">
      <c r="Q846" s="411"/>
    </row>
    <row r="847" customFormat="false" ht="12.75" hidden="false" customHeight="false" outlineLevel="0" collapsed="false">
      <c r="Q847" s="411"/>
    </row>
    <row r="848" customFormat="false" ht="12.75" hidden="false" customHeight="false" outlineLevel="0" collapsed="false">
      <c r="Q848" s="411"/>
    </row>
    <row r="849" customFormat="false" ht="12.75" hidden="false" customHeight="false" outlineLevel="0" collapsed="false">
      <c r="Q849" s="411"/>
    </row>
    <row r="850" customFormat="false" ht="12.75" hidden="false" customHeight="false" outlineLevel="0" collapsed="false">
      <c r="Q850" s="411"/>
    </row>
    <row r="851" customFormat="false" ht="12.75" hidden="false" customHeight="false" outlineLevel="0" collapsed="false">
      <c r="Q851" s="411"/>
    </row>
    <row r="852" customFormat="false" ht="12.75" hidden="false" customHeight="false" outlineLevel="0" collapsed="false">
      <c r="Q852" s="411"/>
    </row>
    <row r="853" customFormat="false" ht="12.75" hidden="false" customHeight="false" outlineLevel="0" collapsed="false">
      <c r="Q853" s="411"/>
    </row>
    <row r="854" customFormat="false" ht="12.75" hidden="false" customHeight="false" outlineLevel="0" collapsed="false">
      <c r="Q854" s="411"/>
    </row>
    <row r="855" customFormat="false" ht="12.75" hidden="false" customHeight="false" outlineLevel="0" collapsed="false">
      <c r="Q855" s="411"/>
    </row>
    <row r="856" customFormat="false" ht="12.75" hidden="false" customHeight="false" outlineLevel="0" collapsed="false">
      <c r="Q856" s="411"/>
    </row>
    <row r="857" customFormat="false" ht="12.75" hidden="false" customHeight="false" outlineLevel="0" collapsed="false">
      <c r="Q857" s="411"/>
    </row>
    <row r="858" customFormat="false" ht="12.75" hidden="false" customHeight="false" outlineLevel="0" collapsed="false">
      <c r="Q858" s="411"/>
    </row>
    <row r="859" customFormat="false" ht="12.75" hidden="false" customHeight="false" outlineLevel="0" collapsed="false">
      <c r="Q859" s="411"/>
    </row>
    <row r="860" customFormat="false" ht="12.75" hidden="false" customHeight="false" outlineLevel="0" collapsed="false">
      <c r="Q860" s="411"/>
    </row>
    <row r="861" customFormat="false" ht="12.75" hidden="false" customHeight="false" outlineLevel="0" collapsed="false">
      <c r="Q861" s="411"/>
    </row>
    <row r="862" customFormat="false" ht="12.75" hidden="false" customHeight="false" outlineLevel="0" collapsed="false">
      <c r="Q862" s="411"/>
    </row>
    <row r="863" customFormat="false" ht="12.75" hidden="false" customHeight="false" outlineLevel="0" collapsed="false">
      <c r="Q863" s="411"/>
    </row>
    <row r="864" customFormat="false" ht="12.75" hidden="false" customHeight="false" outlineLevel="0" collapsed="false">
      <c r="Q864" s="411"/>
    </row>
    <row r="865" customFormat="false" ht="12.75" hidden="false" customHeight="false" outlineLevel="0" collapsed="false">
      <c r="Q865" s="411"/>
    </row>
    <row r="866" customFormat="false" ht="12.75" hidden="false" customHeight="false" outlineLevel="0" collapsed="false">
      <c r="Q866" s="411"/>
    </row>
    <row r="867" customFormat="false" ht="12.75" hidden="false" customHeight="false" outlineLevel="0" collapsed="false">
      <c r="Q867" s="411"/>
    </row>
    <row r="868" customFormat="false" ht="12.75" hidden="false" customHeight="false" outlineLevel="0" collapsed="false">
      <c r="Q868" s="411"/>
    </row>
    <row r="869" customFormat="false" ht="12.75" hidden="false" customHeight="false" outlineLevel="0" collapsed="false">
      <c r="Q869" s="411"/>
    </row>
    <row r="870" customFormat="false" ht="12.75" hidden="false" customHeight="false" outlineLevel="0" collapsed="false">
      <c r="Q870" s="411"/>
    </row>
    <row r="871" customFormat="false" ht="12.75" hidden="false" customHeight="false" outlineLevel="0" collapsed="false">
      <c r="Q871" s="411"/>
    </row>
    <row r="872" customFormat="false" ht="12.75" hidden="false" customHeight="false" outlineLevel="0" collapsed="false">
      <c r="Q872" s="411"/>
    </row>
    <row r="873" customFormat="false" ht="12.75" hidden="false" customHeight="false" outlineLevel="0" collapsed="false">
      <c r="Q873" s="411"/>
    </row>
    <row r="874" customFormat="false" ht="12.75" hidden="false" customHeight="false" outlineLevel="0" collapsed="false">
      <c r="Q874" s="411"/>
    </row>
    <row r="875" customFormat="false" ht="12.75" hidden="false" customHeight="false" outlineLevel="0" collapsed="false">
      <c r="Q875" s="411"/>
    </row>
    <row r="876" customFormat="false" ht="12.75" hidden="false" customHeight="false" outlineLevel="0" collapsed="false">
      <c r="Q876" s="411"/>
    </row>
    <row r="877" customFormat="false" ht="12.75" hidden="false" customHeight="false" outlineLevel="0" collapsed="false">
      <c r="Q877" s="411"/>
    </row>
    <row r="878" customFormat="false" ht="12.75" hidden="false" customHeight="false" outlineLevel="0" collapsed="false">
      <c r="Q878" s="411"/>
    </row>
    <row r="879" customFormat="false" ht="12.75" hidden="false" customHeight="false" outlineLevel="0" collapsed="false">
      <c r="Q879" s="411"/>
    </row>
    <row r="880" customFormat="false" ht="12.75" hidden="false" customHeight="false" outlineLevel="0" collapsed="false">
      <c r="Q880" s="411"/>
    </row>
    <row r="881" customFormat="false" ht="12.75" hidden="false" customHeight="false" outlineLevel="0" collapsed="false">
      <c r="Q881" s="411"/>
    </row>
    <row r="882" customFormat="false" ht="12.75" hidden="false" customHeight="false" outlineLevel="0" collapsed="false">
      <c r="Q882" s="411"/>
    </row>
    <row r="883" customFormat="false" ht="12.75" hidden="false" customHeight="false" outlineLevel="0" collapsed="false">
      <c r="Q883" s="411"/>
    </row>
    <row r="884" customFormat="false" ht="12.75" hidden="false" customHeight="false" outlineLevel="0" collapsed="false">
      <c r="Q884" s="411"/>
    </row>
    <row r="885" customFormat="false" ht="12.75" hidden="false" customHeight="false" outlineLevel="0" collapsed="false">
      <c r="Q885" s="411"/>
    </row>
    <row r="886" customFormat="false" ht="12.75" hidden="false" customHeight="false" outlineLevel="0" collapsed="false">
      <c r="Q886" s="411"/>
    </row>
    <row r="887" customFormat="false" ht="12.75" hidden="false" customHeight="false" outlineLevel="0" collapsed="false">
      <c r="Q887" s="411"/>
    </row>
    <row r="888" customFormat="false" ht="12.75" hidden="false" customHeight="false" outlineLevel="0" collapsed="false">
      <c r="Q888" s="411"/>
    </row>
    <row r="889" customFormat="false" ht="12.75" hidden="false" customHeight="false" outlineLevel="0" collapsed="false">
      <c r="Q889" s="411"/>
    </row>
    <row r="890" customFormat="false" ht="12.75" hidden="false" customHeight="false" outlineLevel="0" collapsed="false">
      <c r="Q890" s="411"/>
    </row>
    <row r="891" customFormat="false" ht="12.75" hidden="false" customHeight="false" outlineLevel="0" collapsed="false">
      <c r="Q891" s="411"/>
    </row>
    <row r="892" customFormat="false" ht="12.75" hidden="false" customHeight="false" outlineLevel="0" collapsed="false">
      <c r="Q892" s="411"/>
    </row>
    <row r="893" customFormat="false" ht="12.75" hidden="false" customHeight="false" outlineLevel="0" collapsed="false">
      <c r="Q893" s="411"/>
    </row>
    <row r="894" customFormat="false" ht="12.75" hidden="false" customHeight="false" outlineLevel="0" collapsed="false">
      <c r="Q894" s="411"/>
    </row>
    <row r="895" customFormat="false" ht="12.75" hidden="false" customHeight="false" outlineLevel="0" collapsed="false">
      <c r="Q895" s="411"/>
    </row>
    <row r="896" customFormat="false" ht="12.75" hidden="false" customHeight="false" outlineLevel="0" collapsed="false">
      <c r="Q896" s="411"/>
    </row>
    <row r="897" customFormat="false" ht="12.75" hidden="false" customHeight="false" outlineLevel="0" collapsed="false">
      <c r="Q897" s="411"/>
    </row>
    <row r="898" customFormat="false" ht="12.75" hidden="false" customHeight="false" outlineLevel="0" collapsed="false">
      <c r="Q898" s="411"/>
    </row>
    <row r="899" customFormat="false" ht="12.75" hidden="false" customHeight="false" outlineLevel="0" collapsed="false">
      <c r="Q899" s="411"/>
    </row>
    <row r="900" customFormat="false" ht="12.75" hidden="false" customHeight="false" outlineLevel="0" collapsed="false">
      <c r="Q900" s="411"/>
    </row>
    <row r="901" customFormat="false" ht="12.75" hidden="false" customHeight="false" outlineLevel="0" collapsed="false">
      <c r="Q901" s="411"/>
    </row>
    <row r="902" customFormat="false" ht="12.75" hidden="false" customHeight="false" outlineLevel="0" collapsed="false">
      <c r="Q902" s="411"/>
    </row>
    <row r="903" customFormat="false" ht="12.75" hidden="false" customHeight="false" outlineLevel="0" collapsed="false">
      <c r="Q903" s="411"/>
    </row>
    <row r="904" customFormat="false" ht="12.75" hidden="false" customHeight="false" outlineLevel="0" collapsed="false">
      <c r="Q904" s="411"/>
    </row>
    <row r="905" customFormat="false" ht="12.75" hidden="false" customHeight="false" outlineLevel="0" collapsed="false">
      <c r="Q905" s="411"/>
    </row>
    <row r="906" customFormat="false" ht="12.75" hidden="false" customHeight="false" outlineLevel="0" collapsed="false">
      <c r="Q906" s="411"/>
    </row>
    <row r="907" customFormat="false" ht="12.75" hidden="false" customHeight="false" outlineLevel="0" collapsed="false">
      <c r="Q907" s="411"/>
    </row>
    <row r="908" customFormat="false" ht="12.75" hidden="false" customHeight="false" outlineLevel="0" collapsed="false">
      <c r="Q908" s="411"/>
    </row>
    <row r="909" customFormat="false" ht="12.75" hidden="false" customHeight="false" outlineLevel="0" collapsed="false">
      <c r="Q909" s="411"/>
    </row>
    <row r="910" customFormat="false" ht="12.75" hidden="false" customHeight="false" outlineLevel="0" collapsed="false">
      <c r="Q910" s="411"/>
    </row>
    <row r="911" customFormat="false" ht="12.75" hidden="false" customHeight="false" outlineLevel="0" collapsed="false">
      <c r="Q911" s="411"/>
    </row>
    <row r="912" customFormat="false" ht="12.75" hidden="false" customHeight="false" outlineLevel="0" collapsed="false">
      <c r="Q912" s="411"/>
    </row>
    <row r="913" customFormat="false" ht="12.75" hidden="false" customHeight="false" outlineLevel="0" collapsed="false">
      <c r="Q913" s="411"/>
    </row>
    <row r="914" customFormat="false" ht="12.75" hidden="false" customHeight="false" outlineLevel="0" collapsed="false">
      <c r="Q914" s="411"/>
    </row>
    <row r="915" customFormat="false" ht="12.75" hidden="false" customHeight="false" outlineLevel="0" collapsed="false">
      <c r="Q915" s="411"/>
    </row>
    <row r="916" customFormat="false" ht="12.75" hidden="false" customHeight="false" outlineLevel="0" collapsed="false">
      <c r="Q916" s="411"/>
    </row>
    <row r="917" customFormat="false" ht="12.75" hidden="false" customHeight="false" outlineLevel="0" collapsed="false">
      <c r="Q917" s="411"/>
    </row>
    <row r="918" customFormat="false" ht="12.75" hidden="false" customHeight="false" outlineLevel="0" collapsed="false">
      <c r="Q918" s="411"/>
    </row>
    <row r="919" customFormat="false" ht="12.75" hidden="false" customHeight="false" outlineLevel="0" collapsed="false">
      <c r="Q919" s="411"/>
    </row>
    <row r="920" customFormat="false" ht="12.75" hidden="false" customHeight="false" outlineLevel="0" collapsed="false">
      <c r="Q920" s="411"/>
    </row>
    <row r="921" customFormat="false" ht="12.75" hidden="false" customHeight="false" outlineLevel="0" collapsed="false">
      <c r="Q921" s="411"/>
    </row>
    <row r="922" customFormat="false" ht="12.75" hidden="false" customHeight="false" outlineLevel="0" collapsed="false">
      <c r="Q922" s="411"/>
    </row>
    <row r="923" customFormat="false" ht="12.75" hidden="false" customHeight="false" outlineLevel="0" collapsed="false">
      <c r="Q923" s="411"/>
    </row>
    <row r="924" customFormat="false" ht="12.75" hidden="false" customHeight="false" outlineLevel="0" collapsed="false">
      <c r="Q924" s="411"/>
    </row>
    <row r="925" customFormat="false" ht="12.75" hidden="false" customHeight="false" outlineLevel="0" collapsed="false">
      <c r="Q925" s="411"/>
    </row>
    <row r="926" customFormat="false" ht="12.75" hidden="false" customHeight="false" outlineLevel="0" collapsed="false">
      <c r="Q926" s="411"/>
    </row>
    <row r="927" customFormat="false" ht="12.75" hidden="false" customHeight="false" outlineLevel="0" collapsed="false">
      <c r="Q927" s="411"/>
    </row>
    <row r="928" customFormat="false" ht="12.75" hidden="false" customHeight="false" outlineLevel="0" collapsed="false">
      <c r="Q928" s="411"/>
    </row>
    <row r="929" customFormat="false" ht="12.75" hidden="false" customHeight="false" outlineLevel="0" collapsed="false">
      <c r="Q929" s="411"/>
    </row>
    <row r="930" customFormat="false" ht="12.75" hidden="false" customHeight="false" outlineLevel="0" collapsed="false">
      <c r="Q930" s="411"/>
    </row>
    <row r="931" customFormat="false" ht="12.75" hidden="false" customHeight="false" outlineLevel="0" collapsed="false">
      <c r="Q931" s="411"/>
    </row>
    <row r="932" customFormat="false" ht="12.75" hidden="false" customHeight="false" outlineLevel="0" collapsed="false">
      <c r="Q932" s="411"/>
    </row>
    <row r="933" customFormat="false" ht="12.75" hidden="false" customHeight="false" outlineLevel="0" collapsed="false">
      <c r="Q933" s="411"/>
    </row>
    <row r="934" customFormat="false" ht="12.75" hidden="false" customHeight="false" outlineLevel="0" collapsed="false">
      <c r="Q934" s="411"/>
    </row>
    <row r="935" customFormat="false" ht="12.75" hidden="false" customHeight="false" outlineLevel="0" collapsed="false">
      <c r="Q935" s="411"/>
    </row>
    <row r="936" customFormat="false" ht="12.75" hidden="false" customHeight="false" outlineLevel="0" collapsed="false">
      <c r="Q936" s="411"/>
    </row>
    <row r="937" customFormat="false" ht="12.75" hidden="false" customHeight="false" outlineLevel="0" collapsed="false">
      <c r="Q937" s="411"/>
    </row>
    <row r="938" customFormat="false" ht="12.75" hidden="false" customHeight="false" outlineLevel="0" collapsed="false">
      <c r="Q938" s="411"/>
    </row>
    <row r="939" customFormat="false" ht="12.75" hidden="false" customHeight="false" outlineLevel="0" collapsed="false">
      <c r="Q939" s="411"/>
    </row>
    <row r="940" customFormat="false" ht="12.75" hidden="false" customHeight="false" outlineLevel="0" collapsed="false">
      <c r="Q940" s="411"/>
    </row>
    <row r="941" customFormat="false" ht="12.75" hidden="false" customHeight="false" outlineLevel="0" collapsed="false">
      <c r="Q941" s="411"/>
    </row>
    <row r="942" customFormat="false" ht="12.75" hidden="false" customHeight="false" outlineLevel="0" collapsed="false">
      <c r="Q942" s="411"/>
    </row>
    <row r="943" customFormat="false" ht="12.75" hidden="false" customHeight="false" outlineLevel="0" collapsed="false">
      <c r="Q943" s="411"/>
    </row>
    <row r="944" customFormat="false" ht="12.75" hidden="false" customHeight="false" outlineLevel="0" collapsed="false">
      <c r="Q944" s="411"/>
    </row>
    <row r="945" customFormat="false" ht="12.75" hidden="false" customHeight="false" outlineLevel="0" collapsed="false">
      <c r="Q945" s="411"/>
    </row>
    <row r="946" customFormat="false" ht="12.75" hidden="false" customHeight="false" outlineLevel="0" collapsed="false">
      <c r="Q946" s="411"/>
    </row>
    <row r="947" customFormat="false" ht="12.75" hidden="false" customHeight="false" outlineLevel="0" collapsed="false">
      <c r="Q947" s="411"/>
    </row>
    <row r="948" customFormat="false" ht="12.75" hidden="false" customHeight="false" outlineLevel="0" collapsed="false">
      <c r="Q948" s="411"/>
    </row>
    <row r="949" customFormat="false" ht="12.75" hidden="false" customHeight="false" outlineLevel="0" collapsed="false">
      <c r="Q949" s="411"/>
    </row>
    <row r="950" customFormat="false" ht="12.75" hidden="false" customHeight="false" outlineLevel="0" collapsed="false">
      <c r="Q950" s="411"/>
    </row>
    <row r="951" customFormat="false" ht="12.75" hidden="false" customHeight="false" outlineLevel="0" collapsed="false">
      <c r="Q951" s="411"/>
    </row>
    <row r="952" customFormat="false" ht="12.75" hidden="false" customHeight="false" outlineLevel="0" collapsed="false">
      <c r="Q952" s="411"/>
    </row>
    <row r="953" customFormat="false" ht="12.75" hidden="false" customHeight="false" outlineLevel="0" collapsed="false">
      <c r="Q953" s="411"/>
    </row>
    <row r="954" customFormat="false" ht="12.75" hidden="false" customHeight="false" outlineLevel="0" collapsed="false">
      <c r="Q954" s="411"/>
    </row>
    <row r="955" customFormat="false" ht="12.75" hidden="false" customHeight="false" outlineLevel="0" collapsed="false">
      <c r="Q955" s="411"/>
    </row>
    <row r="956" customFormat="false" ht="12.75" hidden="false" customHeight="false" outlineLevel="0" collapsed="false">
      <c r="Q956" s="411"/>
    </row>
    <row r="957" customFormat="false" ht="12.75" hidden="false" customHeight="false" outlineLevel="0" collapsed="false">
      <c r="Q957" s="411"/>
    </row>
    <row r="958" customFormat="false" ht="12.75" hidden="false" customHeight="false" outlineLevel="0" collapsed="false">
      <c r="Q958" s="411"/>
    </row>
    <row r="959" customFormat="false" ht="12.75" hidden="false" customHeight="false" outlineLevel="0" collapsed="false">
      <c r="Q959" s="411"/>
    </row>
    <row r="960" customFormat="false" ht="12.75" hidden="false" customHeight="false" outlineLevel="0" collapsed="false">
      <c r="Q960" s="411"/>
    </row>
    <row r="961" customFormat="false" ht="12.75" hidden="false" customHeight="false" outlineLevel="0" collapsed="false">
      <c r="Q961" s="411"/>
    </row>
    <row r="962" customFormat="false" ht="12.75" hidden="false" customHeight="false" outlineLevel="0" collapsed="false">
      <c r="Q962" s="411"/>
    </row>
    <row r="963" customFormat="false" ht="12.75" hidden="false" customHeight="false" outlineLevel="0" collapsed="false">
      <c r="Q963" s="411"/>
    </row>
    <row r="964" customFormat="false" ht="12.75" hidden="false" customHeight="false" outlineLevel="0" collapsed="false">
      <c r="Q964" s="411"/>
    </row>
    <row r="965" customFormat="false" ht="12.75" hidden="false" customHeight="false" outlineLevel="0" collapsed="false">
      <c r="Q965" s="411"/>
    </row>
    <row r="966" customFormat="false" ht="12.75" hidden="false" customHeight="false" outlineLevel="0" collapsed="false">
      <c r="Q966" s="411"/>
    </row>
    <row r="967" customFormat="false" ht="12.75" hidden="false" customHeight="false" outlineLevel="0" collapsed="false">
      <c r="Q967" s="411"/>
    </row>
    <row r="968" customFormat="false" ht="12.75" hidden="false" customHeight="false" outlineLevel="0" collapsed="false">
      <c r="Q968" s="411"/>
    </row>
    <row r="969" customFormat="false" ht="12.75" hidden="false" customHeight="false" outlineLevel="0" collapsed="false">
      <c r="Q969" s="411"/>
    </row>
    <row r="970" customFormat="false" ht="12.75" hidden="false" customHeight="false" outlineLevel="0" collapsed="false">
      <c r="Q970" s="411"/>
    </row>
    <row r="971" customFormat="false" ht="12.75" hidden="false" customHeight="false" outlineLevel="0" collapsed="false">
      <c r="Q971" s="411"/>
    </row>
    <row r="972" customFormat="false" ht="12.75" hidden="false" customHeight="false" outlineLevel="0" collapsed="false">
      <c r="Q972" s="411"/>
    </row>
    <row r="973" customFormat="false" ht="12.75" hidden="false" customHeight="false" outlineLevel="0" collapsed="false">
      <c r="Q973" s="411"/>
    </row>
    <row r="974" customFormat="false" ht="12.75" hidden="false" customHeight="false" outlineLevel="0" collapsed="false">
      <c r="Q974" s="411"/>
    </row>
    <row r="975" customFormat="false" ht="12.75" hidden="false" customHeight="false" outlineLevel="0" collapsed="false">
      <c r="Q975" s="411"/>
    </row>
    <row r="976" customFormat="false" ht="12.75" hidden="false" customHeight="false" outlineLevel="0" collapsed="false">
      <c r="Q976" s="411"/>
    </row>
    <row r="977" customFormat="false" ht="12.75" hidden="false" customHeight="false" outlineLevel="0" collapsed="false">
      <c r="Q977" s="411"/>
    </row>
    <row r="978" customFormat="false" ht="12.75" hidden="false" customHeight="false" outlineLevel="0" collapsed="false">
      <c r="Q978" s="411"/>
    </row>
    <row r="979" customFormat="false" ht="12.75" hidden="false" customHeight="false" outlineLevel="0" collapsed="false">
      <c r="Q979" s="411"/>
    </row>
    <row r="980" customFormat="false" ht="12.75" hidden="false" customHeight="false" outlineLevel="0" collapsed="false">
      <c r="Q980" s="411"/>
    </row>
    <row r="981" customFormat="false" ht="12.75" hidden="false" customHeight="false" outlineLevel="0" collapsed="false">
      <c r="Q981" s="411"/>
    </row>
    <row r="982" customFormat="false" ht="12.75" hidden="false" customHeight="false" outlineLevel="0" collapsed="false">
      <c r="Q982" s="411"/>
    </row>
    <row r="983" customFormat="false" ht="12.75" hidden="false" customHeight="false" outlineLevel="0" collapsed="false">
      <c r="Q983" s="411"/>
    </row>
    <row r="984" customFormat="false" ht="12.75" hidden="false" customHeight="false" outlineLevel="0" collapsed="false">
      <c r="Q984" s="411"/>
    </row>
    <row r="985" customFormat="false" ht="12.75" hidden="false" customHeight="false" outlineLevel="0" collapsed="false">
      <c r="Q985" s="411"/>
    </row>
    <row r="986" customFormat="false" ht="12.75" hidden="false" customHeight="false" outlineLevel="0" collapsed="false">
      <c r="Q986" s="411"/>
    </row>
    <row r="987" customFormat="false" ht="12.75" hidden="false" customHeight="false" outlineLevel="0" collapsed="false">
      <c r="Q987" s="411"/>
    </row>
  </sheetData>
  <autoFilter ref="A24:AI506"/>
  <mergeCells count="21">
    <mergeCell ref="B2:G2"/>
    <mergeCell ref="H2:H4"/>
    <mergeCell ref="J2:K2"/>
    <mergeCell ref="J4:K4"/>
    <mergeCell ref="B5:C15"/>
    <mergeCell ref="D5:G12"/>
    <mergeCell ref="H5:H12"/>
    <mergeCell ref="J5:K12"/>
    <mergeCell ref="D13:G13"/>
    <mergeCell ref="J13:K13"/>
    <mergeCell ref="D14:G14"/>
    <mergeCell ref="J14:K14"/>
    <mergeCell ref="D15:G15"/>
    <mergeCell ref="J15:K15"/>
    <mergeCell ref="B18:G22"/>
    <mergeCell ref="H18:H22"/>
    <mergeCell ref="J18:K20"/>
    <mergeCell ref="M18:M22"/>
    <mergeCell ref="O18:P20"/>
    <mergeCell ref="J22:K22"/>
    <mergeCell ref="O22:P22"/>
  </mergeCells>
  <conditionalFormatting sqref="F4">
    <cfRule type="expression" priority="2" aboveAverage="0" equalAverage="0" bottom="0" percent="0" rank="0" text="" dxfId="118">
      <formula>ISERROR(F4)</formula>
    </cfRule>
    <cfRule type="cellIs" priority="3" operator="lessThan" aboveAverage="0" equalAverage="0" bottom="0" percent="0" rank="0" text="" dxfId="119">
      <formula>0</formula>
    </cfRule>
  </conditionalFormatting>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&amp;C&amp;1#&amp;"Calibri,Normal"&amp;8&amp;Ked7d31Orange Restricted</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F6600"/>
    <pageSetUpPr fitToPage="false"/>
  </sheetPr>
  <dimension ref="A1:BI236"/>
  <sheetViews>
    <sheetView showFormulas="false" showGridLines="false" showRowColHeaders="true" showZeros="true" rightToLeft="false" tabSelected="false" showOutlineSymbols="true" defaultGridColor="true" view="normal" topLeftCell="A1" colorId="64" zoomScale="70" zoomScaleNormal="70" zoomScalePageLayoutView="100" workbookViewId="0">
      <selection pane="topLeft" activeCell="B4" activeCellId="0" sqref="B4"/>
    </sheetView>
  </sheetViews>
  <sheetFormatPr defaultColWidth="11.43359375" defaultRowHeight="12.75" zeroHeight="false" outlineLevelRow="0" outlineLevelCol="0"/>
  <cols>
    <col collapsed="false" customWidth="true" hidden="false" outlineLevel="0" max="1" min="1" style="15" width="3.14"/>
    <col collapsed="false" customWidth="true" hidden="false" outlineLevel="0" max="2" min="2" style="2" width="13.14"/>
    <col collapsed="false" customWidth="true" hidden="false" outlineLevel="0" max="3" min="3" style="2" width="61.58"/>
    <col collapsed="false" customWidth="true" hidden="false" outlineLevel="0" max="4" min="4" style="2" width="9.14"/>
    <col collapsed="false" customWidth="true" hidden="false" outlineLevel="0" max="5" min="5" style="2" width="9"/>
    <col collapsed="false" customWidth="true" hidden="false" outlineLevel="0" max="6" min="6" style="2" width="48.42"/>
    <col collapsed="false" customWidth="true" hidden="false" outlineLevel="0" max="7" min="7" style="2" width="8.57"/>
    <col collapsed="false" customWidth="true" hidden="false" outlineLevel="0" max="8" min="8" style="2" width="9.14"/>
    <col collapsed="false" customWidth="true" hidden="true" outlineLevel="0" max="9" min="9" style="2" width="3.86"/>
    <col collapsed="false" customWidth="true" hidden="true" outlineLevel="0" max="10" min="10" style="2" width="8.86"/>
    <col collapsed="false" customWidth="true" hidden="true" outlineLevel="0" max="11" min="11" style="2" width="8.42"/>
    <col collapsed="false" customWidth="true" hidden="false" outlineLevel="0" max="12" min="12" style="641" width="1.85"/>
    <col collapsed="false" customWidth="true" hidden="false" outlineLevel="0" max="18" min="13" style="2" width="12.57"/>
    <col collapsed="false" customWidth="true" hidden="false" outlineLevel="0" max="19" min="19" style="2" width="1.42"/>
    <col collapsed="false" customWidth="true" hidden="false" outlineLevel="0" max="29" min="20" style="2" width="14.01"/>
    <col collapsed="false" customWidth="true" hidden="false" outlineLevel="0" max="30" min="30" style="2" width="2.14"/>
    <col collapsed="false" customWidth="true" hidden="false" outlineLevel="0" max="31" min="31" style="2" width="20.42"/>
    <col collapsed="false" customWidth="true" hidden="false" outlineLevel="0" max="32" min="32" style="2" width="2.42"/>
    <col collapsed="false" customWidth="true" hidden="true" outlineLevel="0" max="33" min="33" style="2" width="9.58"/>
    <col collapsed="false" customWidth="true" hidden="true" outlineLevel="0" max="34" min="34" style="2" width="9.42"/>
    <col collapsed="false" customWidth="true" hidden="false" outlineLevel="0" max="35" min="35" style="2" width="1.58"/>
    <col collapsed="false" customWidth="true" hidden="false" outlineLevel="0" max="36" min="36" style="2" width="10.14"/>
    <col collapsed="false" customWidth="true" hidden="false" outlineLevel="0" max="37" min="37" style="2" width="9"/>
    <col collapsed="false" customWidth="true" hidden="false" outlineLevel="0" max="39" min="38" style="2" width="11.14"/>
    <col collapsed="false" customWidth="true" hidden="false" outlineLevel="0" max="41" min="40" style="2" width="9.85"/>
    <col collapsed="false" customWidth="true" hidden="false" outlineLevel="0" max="42" min="42" style="2" width="1.85"/>
    <col collapsed="false" customWidth="true" hidden="false" outlineLevel="0" max="43" min="43" style="2" width="10.42"/>
    <col collapsed="false" customWidth="true" hidden="false" outlineLevel="0" max="44" min="44" style="2" width="9"/>
    <col collapsed="false" customWidth="true" hidden="false" outlineLevel="0" max="45" min="45" style="2" width="10.85"/>
    <col collapsed="false" customWidth="true" hidden="false" outlineLevel="0" max="46" min="46" style="2" width="9"/>
    <col collapsed="false" customWidth="true" hidden="false" outlineLevel="0" max="47" min="47" style="2" width="10.14"/>
    <col collapsed="false" customWidth="true" hidden="false" outlineLevel="0" max="50" min="48" style="2" width="9"/>
    <col collapsed="false" customWidth="true" hidden="false" outlineLevel="0" max="52" min="51" style="2" width="8.86"/>
    <col collapsed="false" customWidth="false" hidden="false" outlineLevel="0" max="1024" min="53" style="15" width="11.42"/>
  </cols>
  <sheetData>
    <row r="1" s="2" customFormat="true" ht="23.25" hidden="false" customHeight="true" outlineLevel="0" collapsed="false">
      <c r="B1" s="3" t="s">
        <v>0</v>
      </c>
      <c r="C1" s="3"/>
      <c r="D1" s="3"/>
      <c r="E1" s="3"/>
      <c r="F1" s="3"/>
      <c r="G1" s="3"/>
      <c r="H1" s="215" t="s">
        <v>1</v>
      </c>
      <c r="I1" s="1"/>
      <c r="J1" s="5" t="s">
        <v>2</v>
      </c>
      <c r="K1" s="5"/>
      <c r="L1" s="6"/>
      <c r="M1" s="7" t="s">
        <v>3</v>
      </c>
      <c r="N1" s="7"/>
      <c r="O1" s="7"/>
      <c r="P1" s="7"/>
      <c r="Q1" s="7"/>
      <c r="R1" s="7"/>
      <c r="S1" s="7"/>
      <c r="T1" s="7"/>
      <c r="U1" s="7"/>
      <c r="V1" s="7"/>
      <c r="W1" s="7"/>
      <c r="X1" s="7"/>
      <c r="Y1" s="7"/>
      <c r="Z1" s="7"/>
      <c r="AA1" s="7"/>
      <c r="AB1" s="7"/>
      <c r="AC1" s="7"/>
      <c r="AE1" s="8"/>
      <c r="AG1" s="8"/>
      <c r="AH1" s="9"/>
      <c r="AI1" s="216"/>
      <c r="AJ1" s="9"/>
      <c r="AK1" s="9"/>
      <c r="AL1" s="9"/>
      <c r="AM1" s="9"/>
      <c r="AN1" s="9"/>
      <c r="AO1" s="9"/>
      <c r="AP1" s="9"/>
      <c r="AQ1" s="9"/>
      <c r="AR1" s="9"/>
      <c r="AS1" s="9"/>
      <c r="AT1" s="9"/>
      <c r="AU1" s="9"/>
      <c r="AV1" s="9"/>
    </row>
    <row r="2" customFormat="false" ht="3.75" hidden="false" customHeight="true" outlineLevel="0" collapsed="false">
      <c r="B2" s="11"/>
      <c r="H2" s="215"/>
      <c r="M2" s="12"/>
      <c r="S2" s="13"/>
      <c r="Y2" s="14"/>
      <c r="AA2" s="14"/>
      <c r="AB2" s="14"/>
      <c r="AC2" s="14"/>
      <c r="AE2" s="8"/>
      <c r="AF2" s="15"/>
      <c r="AG2" s="15"/>
      <c r="AH2" s="15"/>
      <c r="AI2" s="15"/>
      <c r="AJ2" s="15"/>
      <c r="AK2" s="15"/>
      <c r="AL2" s="15"/>
      <c r="AM2" s="15"/>
      <c r="AN2" s="15"/>
      <c r="AO2" s="15"/>
      <c r="AP2" s="15"/>
      <c r="AQ2" s="15"/>
      <c r="AR2" s="15"/>
      <c r="AS2" s="15"/>
      <c r="AT2" s="15"/>
      <c r="AU2" s="15"/>
      <c r="AV2" s="16"/>
      <c r="AZ2" s="15"/>
    </row>
    <row r="3" s="28" customFormat="true" ht="30" hidden="false" customHeight="true" outlineLevel="0" collapsed="false">
      <c r="B3" s="18" t="n">
        <v>45748</v>
      </c>
      <c r="C3" s="221" t="s">
        <v>395</v>
      </c>
      <c r="D3" s="222"/>
      <c r="E3" s="222"/>
      <c r="F3" s="223"/>
      <c r="G3" s="224"/>
      <c r="H3" s="215"/>
      <c r="I3" s="21"/>
      <c r="J3" s="22" t="s">
        <v>4</v>
      </c>
      <c r="K3" s="22"/>
      <c r="L3" s="21"/>
      <c r="M3" s="23" t="s">
        <v>4</v>
      </c>
      <c r="N3" s="23"/>
      <c r="O3" s="24" t="s">
        <v>6</v>
      </c>
      <c r="P3" s="24"/>
      <c r="Q3" s="25" t="s">
        <v>7</v>
      </c>
      <c r="R3" s="25"/>
      <c r="S3" s="26"/>
      <c r="T3" s="23" t="s">
        <v>4</v>
      </c>
      <c r="U3" s="23"/>
      <c r="V3" s="24" t="s">
        <v>8</v>
      </c>
      <c r="W3" s="24"/>
      <c r="X3" s="24" t="s">
        <v>6</v>
      </c>
      <c r="Y3" s="24"/>
      <c r="Z3" s="24" t="s">
        <v>6</v>
      </c>
      <c r="AA3" s="24"/>
      <c r="AB3" s="27" t="s">
        <v>7</v>
      </c>
      <c r="AC3" s="27"/>
      <c r="AE3" s="8"/>
      <c r="AF3" s="226"/>
      <c r="AG3" s="29"/>
      <c r="AH3" s="29"/>
      <c r="AI3" s="226"/>
      <c r="AJ3" s="29"/>
      <c r="AK3" s="29"/>
      <c r="AL3" s="29"/>
      <c r="AM3" s="29"/>
      <c r="AN3" s="29"/>
      <c r="AO3" s="29"/>
      <c r="AP3" s="29"/>
      <c r="AQ3" s="31"/>
      <c r="AR3" s="31"/>
      <c r="AS3" s="29"/>
      <c r="AT3" s="29"/>
      <c r="AU3" s="29"/>
      <c r="AV3" s="29"/>
    </row>
    <row r="4" s="2" customFormat="true" ht="15.75" hidden="false" customHeight="true" outlineLevel="0" collapsed="false">
      <c r="B4" s="32" t="s">
        <v>9</v>
      </c>
      <c r="C4" s="32"/>
      <c r="D4" s="33" t="s">
        <v>10</v>
      </c>
      <c r="E4" s="33"/>
      <c r="F4" s="33"/>
      <c r="G4" s="33"/>
      <c r="H4" s="229" t="s">
        <v>11</v>
      </c>
      <c r="I4" s="35"/>
      <c r="J4" s="36" t="s">
        <v>12</v>
      </c>
      <c r="K4" s="36"/>
      <c r="L4" s="37"/>
      <c r="M4" s="231" t="s">
        <v>826</v>
      </c>
      <c r="N4" s="231"/>
      <c r="O4" s="232" t="s">
        <v>397</v>
      </c>
      <c r="P4" s="232"/>
      <c r="Q4" s="232" t="s">
        <v>398</v>
      </c>
      <c r="R4" s="232"/>
      <c r="S4" s="233"/>
      <c r="T4" s="43"/>
      <c r="U4" s="43"/>
      <c r="V4" s="234" t="s">
        <v>399</v>
      </c>
      <c r="W4" s="234"/>
      <c r="X4" s="40" t="s">
        <v>400</v>
      </c>
      <c r="Y4" s="40"/>
      <c r="Z4" s="40" t="s">
        <v>773</v>
      </c>
      <c r="AA4" s="40"/>
      <c r="AB4" s="44" t="s">
        <v>402</v>
      </c>
      <c r="AC4" s="44"/>
      <c r="AE4" s="45"/>
      <c r="AF4" s="80"/>
      <c r="AG4" s="28"/>
      <c r="AH4" s="28"/>
      <c r="AI4" s="88"/>
      <c r="AJ4" s="28"/>
      <c r="AK4" s="28"/>
      <c r="AL4" s="45"/>
      <c r="AM4" s="45"/>
      <c r="AN4" s="45"/>
      <c r="AO4" s="45"/>
      <c r="AP4" s="88"/>
      <c r="AQ4" s="28"/>
      <c r="AR4" s="28"/>
      <c r="AS4" s="28"/>
      <c r="AT4" s="28"/>
      <c r="AU4" s="28"/>
      <c r="AV4" s="28"/>
    </row>
    <row r="5" s="2" customFormat="true" ht="15.75" hidden="false" customHeight="true" outlineLevel="0" collapsed="false">
      <c r="B5" s="32"/>
      <c r="C5" s="32"/>
      <c r="D5" s="33"/>
      <c r="E5" s="33"/>
      <c r="F5" s="33"/>
      <c r="G5" s="33"/>
      <c r="H5" s="229"/>
      <c r="I5" s="37"/>
      <c r="J5" s="36"/>
      <c r="K5" s="36"/>
      <c r="L5" s="37"/>
      <c r="M5" s="236"/>
      <c r="N5" s="237"/>
      <c r="O5" s="232"/>
      <c r="P5" s="232"/>
      <c r="Q5" s="232"/>
      <c r="R5" s="232"/>
      <c r="S5" s="233"/>
      <c r="T5" s="46"/>
      <c r="U5" s="47"/>
      <c r="V5" s="234"/>
      <c r="W5" s="234"/>
      <c r="X5" s="40"/>
      <c r="Y5" s="40"/>
      <c r="Z5" s="40"/>
      <c r="AA5" s="40"/>
      <c r="AB5" s="44"/>
      <c r="AC5" s="44"/>
      <c r="AE5" s="28"/>
      <c r="AF5" s="88"/>
      <c r="AG5" s="28"/>
      <c r="AH5" s="28"/>
      <c r="AI5" s="88"/>
      <c r="AJ5" s="28"/>
      <c r="AK5" s="28"/>
      <c r="AL5" s="45"/>
      <c r="AM5" s="45"/>
      <c r="AN5" s="45"/>
      <c r="AO5" s="45"/>
      <c r="AP5" s="88"/>
      <c r="AQ5" s="28"/>
      <c r="AR5" s="28"/>
      <c r="AS5" s="28"/>
      <c r="AT5" s="28"/>
      <c r="AU5" s="28"/>
      <c r="AV5" s="28"/>
    </row>
    <row r="6" s="2" customFormat="true" ht="15.75" hidden="false" customHeight="true" outlineLevel="0" collapsed="false">
      <c r="B6" s="32"/>
      <c r="C6" s="32"/>
      <c r="D6" s="33"/>
      <c r="E6" s="33"/>
      <c r="F6" s="33"/>
      <c r="G6" s="33"/>
      <c r="H6" s="229"/>
      <c r="I6" s="37"/>
      <c r="J6" s="36"/>
      <c r="K6" s="36"/>
      <c r="L6" s="37"/>
      <c r="M6" s="238"/>
      <c r="N6" s="237"/>
      <c r="O6" s="232"/>
      <c r="P6" s="232"/>
      <c r="Q6" s="232"/>
      <c r="R6" s="232"/>
      <c r="S6" s="42"/>
      <c r="T6" s="49" t="s">
        <v>403</v>
      </c>
      <c r="U6" s="49"/>
      <c r="V6" s="234"/>
      <c r="W6" s="234"/>
      <c r="X6" s="40"/>
      <c r="Y6" s="40"/>
      <c r="Z6" s="40"/>
      <c r="AA6" s="40"/>
      <c r="AB6" s="44"/>
      <c r="AC6" s="44"/>
      <c r="AE6" s="50"/>
      <c r="AF6" s="88"/>
      <c r="AG6" s="28"/>
      <c r="AH6" s="28"/>
      <c r="AI6" s="88"/>
      <c r="AJ6" s="28"/>
      <c r="AK6" s="28"/>
      <c r="AL6" s="45"/>
      <c r="AM6" s="45"/>
      <c r="AN6" s="45"/>
      <c r="AO6" s="45"/>
      <c r="AP6" s="88"/>
      <c r="AQ6" s="28"/>
      <c r="AR6" s="28"/>
      <c r="AS6" s="28"/>
      <c r="AT6" s="28"/>
      <c r="AU6" s="28"/>
      <c r="AV6" s="28"/>
    </row>
    <row r="7" s="2" customFormat="true" ht="15.75" hidden="false" customHeight="true" outlineLevel="0" collapsed="false">
      <c r="B7" s="32"/>
      <c r="C7" s="32"/>
      <c r="D7" s="33"/>
      <c r="E7" s="33"/>
      <c r="F7" s="33"/>
      <c r="G7" s="33"/>
      <c r="H7" s="229"/>
      <c r="I7" s="37"/>
      <c r="J7" s="36"/>
      <c r="K7" s="36"/>
      <c r="L7" s="37"/>
      <c r="M7" s="239"/>
      <c r="N7" s="237"/>
      <c r="O7" s="232"/>
      <c r="P7" s="232"/>
      <c r="Q7" s="232"/>
      <c r="R7" s="232"/>
      <c r="S7" s="42"/>
      <c r="T7" s="49"/>
      <c r="U7" s="49"/>
      <c r="V7" s="234"/>
      <c r="W7" s="234"/>
      <c r="X7" s="40"/>
      <c r="Y7" s="40"/>
      <c r="Z7" s="40"/>
      <c r="AA7" s="40"/>
      <c r="AB7" s="44"/>
      <c r="AC7" s="44"/>
      <c r="AE7" s="50"/>
      <c r="AF7" s="88"/>
      <c r="AG7" s="28"/>
      <c r="AH7" s="28"/>
      <c r="AI7" s="88"/>
      <c r="AJ7" s="28"/>
      <c r="AK7" s="28"/>
      <c r="AL7" s="45"/>
      <c r="AM7" s="45"/>
      <c r="AN7" s="45"/>
      <c r="AO7" s="45"/>
      <c r="AP7" s="88"/>
      <c r="AQ7" s="28"/>
      <c r="AR7" s="28"/>
      <c r="AS7" s="28"/>
      <c r="AT7" s="28"/>
      <c r="AU7" s="28"/>
      <c r="AV7" s="28"/>
    </row>
    <row r="8" s="2" customFormat="true" ht="15.75" hidden="false" customHeight="true" outlineLevel="0" collapsed="false">
      <c r="B8" s="32"/>
      <c r="C8" s="32"/>
      <c r="D8" s="33"/>
      <c r="E8" s="33"/>
      <c r="F8" s="33"/>
      <c r="G8" s="33"/>
      <c r="H8" s="229"/>
      <c r="I8" s="37"/>
      <c r="J8" s="36"/>
      <c r="K8" s="36"/>
      <c r="L8" s="37"/>
      <c r="M8" s="238" t="s">
        <v>404</v>
      </c>
      <c r="N8" s="237"/>
      <c r="O8" s="232"/>
      <c r="P8" s="232"/>
      <c r="Q8" s="232"/>
      <c r="R8" s="232"/>
      <c r="S8" s="42"/>
      <c r="T8" s="49"/>
      <c r="U8" s="49"/>
      <c r="V8" s="234"/>
      <c r="W8" s="234"/>
      <c r="X8" s="40"/>
      <c r="Y8" s="40"/>
      <c r="Z8" s="40"/>
      <c r="AA8" s="40"/>
      <c r="AB8" s="44"/>
      <c r="AC8" s="44"/>
      <c r="AE8" s="50"/>
      <c r="AF8" s="88"/>
      <c r="AG8" s="28"/>
      <c r="AH8" s="28"/>
      <c r="AI8" s="88"/>
      <c r="AJ8" s="28"/>
      <c r="AK8" s="28"/>
      <c r="AL8" s="45"/>
      <c r="AM8" s="45"/>
      <c r="AN8" s="45"/>
      <c r="AO8" s="45"/>
      <c r="AP8" s="88"/>
      <c r="AQ8" s="28"/>
      <c r="AR8" s="28"/>
      <c r="AS8" s="28"/>
      <c r="AT8" s="28"/>
      <c r="AU8" s="28"/>
      <c r="AV8" s="28"/>
    </row>
    <row r="9" s="2" customFormat="true" ht="15.75" hidden="false" customHeight="true" outlineLevel="0" collapsed="false">
      <c r="B9" s="32"/>
      <c r="C9" s="32"/>
      <c r="D9" s="33"/>
      <c r="E9" s="33"/>
      <c r="F9" s="33"/>
      <c r="G9" s="33"/>
      <c r="H9" s="229"/>
      <c r="I9" s="37"/>
      <c r="J9" s="36"/>
      <c r="K9" s="36"/>
      <c r="L9" s="37"/>
      <c r="M9" s="239"/>
      <c r="N9" s="237"/>
      <c r="O9" s="232"/>
      <c r="P9" s="232"/>
      <c r="Q9" s="232"/>
      <c r="R9" s="232"/>
      <c r="S9" s="42"/>
      <c r="T9" s="49"/>
      <c r="U9" s="49"/>
      <c r="V9" s="234"/>
      <c r="W9" s="234"/>
      <c r="X9" s="40"/>
      <c r="Y9" s="40"/>
      <c r="Z9" s="40"/>
      <c r="AA9" s="40"/>
      <c r="AB9" s="44"/>
      <c r="AC9" s="44"/>
      <c r="AE9" s="28"/>
      <c r="AF9" s="88"/>
      <c r="AG9" s="28"/>
      <c r="AH9" s="28"/>
      <c r="AI9" s="88"/>
      <c r="AJ9" s="28"/>
      <c r="AK9" s="28"/>
      <c r="AL9" s="45"/>
      <c r="AM9" s="45"/>
      <c r="AN9" s="45"/>
      <c r="AO9" s="45"/>
      <c r="AP9" s="88"/>
      <c r="AQ9" s="28"/>
      <c r="AR9" s="28"/>
      <c r="AS9" s="28"/>
      <c r="AT9" s="28"/>
      <c r="AU9" s="28"/>
      <c r="AV9" s="28"/>
    </row>
    <row r="10" s="2" customFormat="true" ht="15.75" hidden="false" customHeight="true" outlineLevel="0" collapsed="false">
      <c r="B10" s="32"/>
      <c r="C10" s="32"/>
      <c r="D10" s="33"/>
      <c r="E10" s="33"/>
      <c r="F10" s="33"/>
      <c r="G10" s="33"/>
      <c r="H10" s="229"/>
      <c r="I10" s="37"/>
      <c r="J10" s="36"/>
      <c r="K10" s="36"/>
      <c r="L10" s="37"/>
      <c r="M10" s="238" t="s">
        <v>405</v>
      </c>
      <c r="N10" s="237"/>
      <c r="O10" s="232"/>
      <c r="P10" s="232"/>
      <c r="Q10" s="232"/>
      <c r="R10" s="232"/>
      <c r="S10" s="42"/>
      <c r="T10" s="49"/>
      <c r="U10" s="49"/>
      <c r="V10" s="234"/>
      <c r="W10" s="234"/>
      <c r="X10" s="40"/>
      <c r="Y10" s="40"/>
      <c r="Z10" s="40"/>
      <c r="AA10" s="40"/>
      <c r="AB10" s="44"/>
      <c r="AC10" s="44"/>
      <c r="AE10" s="28"/>
      <c r="AF10" s="88"/>
      <c r="AG10" s="28"/>
      <c r="AH10" s="28"/>
      <c r="AI10" s="88"/>
      <c r="AJ10" s="28"/>
      <c r="AK10" s="28"/>
      <c r="AL10" s="45"/>
      <c r="AM10" s="45"/>
      <c r="AN10" s="45"/>
      <c r="AO10" s="45"/>
      <c r="AP10" s="88"/>
      <c r="AQ10" s="28"/>
      <c r="AR10" s="28"/>
      <c r="AS10" s="28"/>
      <c r="AT10" s="28"/>
      <c r="AU10" s="28"/>
      <c r="AV10" s="28"/>
    </row>
    <row r="11" s="2" customFormat="true" ht="15.75" hidden="false" customHeight="true" outlineLevel="0" collapsed="false">
      <c r="B11" s="32"/>
      <c r="C11" s="32"/>
      <c r="D11" s="33"/>
      <c r="E11" s="33"/>
      <c r="F11" s="33"/>
      <c r="G11" s="33"/>
      <c r="H11" s="229"/>
      <c r="I11" s="37"/>
      <c r="J11" s="36"/>
      <c r="K11" s="36"/>
      <c r="L11" s="37"/>
      <c r="M11" s="240"/>
      <c r="N11" s="241"/>
      <c r="O11" s="232"/>
      <c r="P11" s="232"/>
      <c r="Q11" s="232"/>
      <c r="R11" s="232"/>
      <c r="S11" s="42"/>
      <c r="T11" s="49"/>
      <c r="U11" s="49"/>
      <c r="V11" s="234"/>
      <c r="W11" s="234"/>
      <c r="X11" s="40"/>
      <c r="Y11" s="40"/>
      <c r="Z11" s="40"/>
      <c r="AA11" s="40"/>
      <c r="AB11" s="44"/>
      <c r="AC11" s="44"/>
      <c r="AE11" s="28"/>
      <c r="AF11" s="88"/>
      <c r="AG11" s="28"/>
      <c r="AH11" s="28"/>
      <c r="AI11" s="88"/>
      <c r="AJ11" s="28"/>
      <c r="AK11" s="28"/>
      <c r="AL11" s="45"/>
      <c r="AM11" s="45"/>
      <c r="AN11" s="45"/>
      <c r="AO11" s="45"/>
      <c r="AP11" s="88"/>
      <c r="AQ11" s="28"/>
      <c r="AR11" s="28"/>
      <c r="AS11" s="28"/>
      <c r="AT11" s="28"/>
      <c r="AU11" s="28"/>
      <c r="AV11" s="28"/>
    </row>
    <row r="12" s="2" customFormat="true" ht="37.5" hidden="false" customHeight="true" outlineLevel="0" collapsed="false">
      <c r="B12" s="32"/>
      <c r="C12" s="32"/>
      <c r="D12" s="54" t="s">
        <v>25</v>
      </c>
      <c r="E12" s="54"/>
      <c r="F12" s="54"/>
      <c r="G12" s="54"/>
      <c r="H12" s="242"/>
      <c r="I12" s="37"/>
      <c r="J12" s="56" t="s">
        <v>12</v>
      </c>
      <c r="K12" s="56"/>
      <c r="L12" s="37"/>
      <c r="M12" s="243" t="s">
        <v>12</v>
      </c>
      <c r="N12" s="243"/>
      <c r="O12" s="244" t="s">
        <v>397</v>
      </c>
      <c r="P12" s="244"/>
      <c r="Q12" s="244" t="s">
        <v>398</v>
      </c>
      <c r="R12" s="244"/>
      <c r="S12" s="42"/>
      <c r="T12" s="245" t="s">
        <v>406</v>
      </c>
      <c r="U12" s="245"/>
      <c r="V12" s="246" t="s">
        <v>407</v>
      </c>
      <c r="W12" s="246"/>
      <c r="X12" s="246" t="s">
        <v>408</v>
      </c>
      <c r="Y12" s="246"/>
      <c r="Z12" s="246" t="s">
        <v>409</v>
      </c>
      <c r="AA12" s="246"/>
      <c r="AB12" s="55" t="s">
        <v>410</v>
      </c>
      <c r="AC12" s="55"/>
      <c r="AE12" s="28"/>
      <c r="AF12" s="88"/>
      <c r="AG12" s="28"/>
      <c r="AH12" s="28"/>
      <c r="AI12" s="88"/>
      <c r="AJ12" s="28"/>
      <c r="AK12" s="28"/>
      <c r="AL12" s="45"/>
      <c r="AM12" s="45"/>
      <c r="AN12" s="45"/>
      <c r="AO12" s="45"/>
      <c r="AP12" s="88"/>
      <c r="AQ12" s="28"/>
      <c r="AR12" s="28"/>
      <c r="AS12" s="28"/>
      <c r="AT12" s="28"/>
      <c r="AU12" s="28"/>
      <c r="AV12" s="28"/>
    </row>
    <row r="13" s="2" customFormat="true" ht="37.5" hidden="false" customHeight="true" outlineLevel="0" collapsed="false">
      <c r="B13" s="32"/>
      <c r="C13" s="32"/>
      <c r="D13" s="54"/>
      <c r="E13" s="54"/>
      <c r="F13" s="54"/>
      <c r="G13" s="54"/>
      <c r="H13" s="247"/>
      <c r="I13" s="37"/>
      <c r="J13" s="63" t="s">
        <v>12</v>
      </c>
      <c r="K13" s="63"/>
      <c r="L13" s="37"/>
      <c r="M13" s="64" t="s">
        <v>12</v>
      </c>
      <c r="N13" s="64"/>
      <c r="O13" s="66" t="s">
        <v>12</v>
      </c>
      <c r="P13" s="66"/>
      <c r="Q13" s="67" t="s">
        <v>12</v>
      </c>
      <c r="R13" s="67"/>
      <c r="S13" s="42"/>
      <c r="T13" s="248" t="s">
        <v>411</v>
      </c>
      <c r="U13" s="248"/>
      <c r="V13" s="248" t="s">
        <v>412</v>
      </c>
      <c r="W13" s="248"/>
      <c r="X13" s="249"/>
      <c r="Y13" s="251"/>
      <c r="Z13" s="249"/>
      <c r="AA13" s="251"/>
      <c r="AB13" s="249"/>
      <c r="AC13" s="252"/>
      <c r="AE13" s="28"/>
      <c r="AF13" s="88"/>
      <c r="AG13" s="28"/>
      <c r="AH13" s="28"/>
      <c r="AI13" s="88"/>
      <c r="AJ13" s="28"/>
      <c r="AK13" s="28"/>
      <c r="AL13" s="45"/>
      <c r="AM13" s="45"/>
      <c r="AN13" s="45"/>
      <c r="AO13" s="45"/>
      <c r="AP13" s="88"/>
      <c r="AQ13" s="28"/>
      <c r="AR13" s="28"/>
      <c r="AS13" s="28"/>
      <c r="AT13" s="28"/>
      <c r="AU13" s="28"/>
      <c r="AV13" s="28"/>
    </row>
    <row r="14" s="2" customFormat="true" ht="30.75" hidden="false" customHeight="true" outlineLevel="0" collapsed="false">
      <c r="B14" s="32"/>
      <c r="C14" s="32"/>
      <c r="D14" s="72" t="s">
        <v>34</v>
      </c>
      <c r="E14" s="72"/>
      <c r="F14" s="72"/>
      <c r="G14" s="72"/>
      <c r="H14" s="253" t="s">
        <v>12</v>
      </c>
      <c r="I14" s="74"/>
      <c r="J14" s="75" t="s">
        <v>12</v>
      </c>
      <c r="K14" s="75"/>
      <c r="L14" s="37"/>
      <c r="M14" s="76" t="s">
        <v>35</v>
      </c>
      <c r="N14" s="76"/>
      <c r="O14" s="78" t="s">
        <v>36</v>
      </c>
      <c r="P14" s="78"/>
      <c r="Q14" s="78" t="s">
        <v>36</v>
      </c>
      <c r="R14" s="78"/>
      <c r="S14" s="233"/>
      <c r="T14" s="76" t="s">
        <v>35</v>
      </c>
      <c r="U14" s="76"/>
      <c r="V14" s="77" t="s">
        <v>36</v>
      </c>
      <c r="W14" s="77"/>
      <c r="X14" s="78" t="s">
        <v>36</v>
      </c>
      <c r="Y14" s="78"/>
      <c r="Z14" s="78" t="s">
        <v>36</v>
      </c>
      <c r="AA14" s="78"/>
      <c r="AB14" s="79" t="s">
        <v>36</v>
      </c>
      <c r="AC14" s="79"/>
      <c r="AE14" s="80"/>
      <c r="AF14" s="80"/>
      <c r="AG14" s="28"/>
      <c r="AH14" s="28"/>
      <c r="AI14" s="88"/>
      <c r="AJ14" s="28"/>
      <c r="AK14" s="28"/>
      <c r="AL14" s="28"/>
      <c r="AM14" s="28"/>
      <c r="AN14" s="28"/>
      <c r="AO14" s="28"/>
      <c r="AP14" s="88"/>
      <c r="AQ14" s="28"/>
      <c r="AR14" s="28"/>
      <c r="AS14" s="28"/>
      <c r="AT14" s="28"/>
      <c r="AU14" s="28"/>
      <c r="AV14" s="28"/>
    </row>
    <row r="15" s="2" customFormat="true" ht="65.25" hidden="false" customHeight="true" outlineLevel="0" collapsed="false">
      <c r="B15" s="32"/>
      <c r="C15" s="32"/>
      <c r="D15" s="72" t="s">
        <v>37</v>
      </c>
      <c r="E15" s="72"/>
      <c r="F15" s="72"/>
      <c r="G15" s="72"/>
      <c r="H15" s="253" t="s">
        <v>38</v>
      </c>
      <c r="I15" s="74"/>
      <c r="J15" s="81" t="s">
        <v>413</v>
      </c>
      <c r="K15" s="81"/>
      <c r="L15" s="37"/>
      <c r="M15" s="82" t="s">
        <v>40</v>
      </c>
      <c r="N15" s="82"/>
      <c r="O15" s="77" t="s">
        <v>41</v>
      </c>
      <c r="P15" s="77"/>
      <c r="Q15" s="77" t="s">
        <v>41</v>
      </c>
      <c r="R15" s="77"/>
      <c r="S15" s="233"/>
      <c r="T15" s="82" t="s">
        <v>40</v>
      </c>
      <c r="U15" s="82"/>
      <c r="V15" s="77" t="s">
        <v>41</v>
      </c>
      <c r="W15" s="77"/>
      <c r="X15" s="77" t="s">
        <v>41</v>
      </c>
      <c r="Y15" s="77"/>
      <c r="Z15" s="77" t="s">
        <v>41</v>
      </c>
      <c r="AA15" s="77"/>
      <c r="AB15" s="83" t="s">
        <v>41</v>
      </c>
      <c r="AC15" s="83"/>
      <c r="AE15" s="80"/>
      <c r="AF15" s="80"/>
      <c r="AG15" s="45"/>
      <c r="AH15" s="28"/>
      <c r="AI15" s="88"/>
      <c r="AJ15" s="45"/>
      <c r="AK15" s="45"/>
      <c r="AL15" s="45"/>
      <c r="AM15" s="28"/>
      <c r="AN15" s="45"/>
      <c r="AO15" s="28"/>
      <c r="AP15" s="88"/>
      <c r="AQ15" s="45"/>
      <c r="AR15" s="28"/>
      <c r="AS15" s="45"/>
      <c r="AT15" s="28"/>
      <c r="AU15" s="45"/>
      <c r="AV15" s="28"/>
    </row>
    <row r="16" s="2" customFormat="true" ht="21" hidden="false" customHeight="true" outlineLevel="0" collapsed="false">
      <c r="B16" s="32"/>
      <c r="C16" s="32"/>
      <c r="D16" s="84" t="s">
        <v>42</v>
      </c>
      <c r="E16" s="84"/>
      <c r="F16" s="84"/>
      <c r="G16" s="84"/>
      <c r="H16" s="255" t="s">
        <v>12</v>
      </c>
      <c r="I16" s="86"/>
      <c r="J16" s="75" t="s">
        <v>12</v>
      </c>
      <c r="K16" s="75"/>
      <c r="L16" s="37"/>
      <c r="M16" s="87" t="s">
        <v>43</v>
      </c>
      <c r="N16" s="87"/>
      <c r="O16" s="78" t="s">
        <v>43</v>
      </c>
      <c r="P16" s="78"/>
      <c r="Q16" s="78" t="s">
        <v>43</v>
      </c>
      <c r="R16" s="78"/>
      <c r="S16" s="233"/>
      <c r="T16" s="87" t="s">
        <v>43</v>
      </c>
      <c r="U16" s="87"/>
      <c r="V16" s="78" t="s">
        <v>43</v>
      </c>
      <c r="W16" s="78"/>
      <c r="X16" s="78" t="s">
        <v>43</v>
      </c>
      <c r="Y16" s="78"/>
      <c r="Z16" s="78" t="s">
        <v>43</v>
      </c>
      <c r="AA16" s="78"/>
      <c r="AB16" s="79" t="s">
        <v>43</v>
      </c>
      <c r="AC16" s="79"/>
      <c r="AE16" s="88"/>
      <c r="AF16" s="88"/>
      <c r="AG16" s="28"/>
      <c r="AH16" s="28"/>
      <c r="AI16" s="88"/>
      <c r="AJ16" s="28"/>
      <c r="AK16" s="28"/>
      <c r="AL16" s="28"/>
      <c r="AM16" s="28"/>
      <c r="AN16" s="28"/>
      <c r="AO16" s="28"/>
      <c r="AP16" s="88"/>
      <c r="AQ16" s="28"/>
      <c r="AR16" s="28"/>
      <c r="AS16" s="28"/>
      <c r="AT16" s="28"/>
      <c r="AU16" s="45"/>
      <c r="AV16" s="28"/>
    </row>
    <row r="17" s="2" customFormat="true" ht="23.25" hidden="false" customHeight="false" outlineLevel="0" collapsed="false">
      <c r="B17" s="257"/>
      <c r="C17" s="257"/>
      <c r="D17" s="258"/>
      <c r="E17" s="258"/>
      <c r="F17" s="259"/>
      <c r="G17" s="259"/>
      <c r="H17" s="260"/>
      <c r="I17" s="88"/>
      <c r="J17" s="262"/>
      <c r="K17" s="262"/>
      <c r="L17" s="88"/>
      <c r="M17" s="263"/>
      <c r="N17" s="263"/>
      <c r="O17" s="263"/>
      <c r="P17" s="263"/>
      <c r="Q17" s="263"/>
      <c r="R17" s="263"/>
      <c r="S17" s="88"/>
      <c r="T17" s="263"/>
      <c r="U17" s="262"/>
      <c r="V17" s="263"/>
      <c r="W17" s="262"/>
      <c r="X17" s="263"/>
      <c r="Y17" s="263"/>
      <c r="Z17" s="263"/>
      <c r="AA17" s="263"/>
      <c r="AB17" s="263"/>
      <c r="AC17" s="262"/>
      <c r="AE17" s="88"/>
      <c r="AF17" s="88"/>
      <c r="AG17" s="28"/>
      <c r="AH17" s="28"/>
      <c r="AI17" s="88"/>
      <c r="AJ17" s="28"/>
      <c r="AK17" s="28"/>
      <c r="AL17" s="28"/>
      <c r="AM17" s="28"/>
      <c r="AN17" s="28"/>
      <c r="AO17" s="28"/>
      <c r="AP17" s="88"/>
      <c r="AQ17" s="28"/>
      <c r="AR17" s="28"/>
      <c r="AS17" s="28"/>
      <c r="AT17" s="28"/>
      <c r="AU17" s="45"/>
      <c r="AV17" s="28"/>
    </row>
    <row r="18" s="2" customFormat="true" ht="21" hidden="false" customHeight="true" outlineLevel="0" collapsed="false">
      <c r="B18" s="95"/>
      <c r="C18" s="96" t="s">
        <v>767</v>
      </c>
      <c r="H18" s="212"/>
      <c r="I18" s="1"/>
      <c r="L18" s="1"/>
    </row>
    <row r="19" s="2" customFormat="true" ht="21" hidden="false" customHeight="true" outlineLevel="0" collapsed="false">
      <c r="C19" s="96" t="s">
        <v>59</v>
      </c>
      <c r="D19" s="99"/>
      <c r="E19" s="99"/>
      <c r="H19" s="212"/>
    </row>
    <row r="20" s="2" customFormat="true" ht="23.25" hidden="false" customHeight="true" outlineLevel="0" collapsed="false">
      <c r="C20" s="96"/>
      <c r="D20" s="99"/>
      <c r="E20" s="99"/>
      <c r="L20" s="641"/>
    </row>
    <row r="21" s="2" customFormat="true" ht="23.25" hidden="false" customHeight="true" outlineLevel="0" collapsed="false">
      <c r="C21" s="642" t="s">
        <v>827</v>
      </c>
      <c r="D21" s="643"/>
      <c r="E21" s="643"/>
      <c r="F21" s="644"/>
      <c r="G21" s="644"/>
      <c r="H21" s="644"/>
      <c r="I21" s="644"/>
      <c r="J21" s="644"/>
      <c r="K21" s="644"/>
      <c r="L21" s="645"/>
      <c r="M21" s="644"/>
    </row>
    <row r="22" s="2" customFormat="true" ht="23.25" hidden="false" customHeight="true" outlineLevel="0" collapsed="false">
      <c r="B22" s="101" t="s">
        <v>61</v>
      </c>
      <c r="C22" s="101"/>
      <c r="D22" s="101"/>
      <c r="E22" s="101"/>
      <c r="F22" s="101"/>
      <c r="G22" s="101"/>
      <c r="H22" s="102" t="s">
        <v>1</v>
      </c>
      <c r="J22" s="102" t="s">
        <v>62</v>
      </c>
      <c r="K22" s="102"/>
      <c r="L22" s="646"/>
      <c r="M22" s="102" t="s">
        <v>63</v>
      </c>
      <c r="N22" s="102"/>
      <c r="O22" s="102"/>
      <c r="P22" s="102"/>
      <c r="Q22" s="102"/>
      <c r="R22" s="102"/>
      <c r="S22" s="102"/>
      <c r="T22" s="102"/>
      <c r="U22" s="102"/>
      <c r="V22" s="102"/>
      <c r="W22" s="102"/>
      <c r="X22" s="102"/>
      <c r="Y22" s="102"/>
      <c r="Z22" s="102"/>
      <c r="AA22" s="102"/>
      <c r="AB22" s="102"/>
      <c r="AC22" s="102"/>
      <c r="AE22" s="102" t="s">
        <v>65</v>
      </c>
      <c r="AG22" s="102" t="s">
        <v>66</v>
      </c>
      <c r="AH22" s="102"/>
      <c r="AI22" s="216"/>
      <c r="AJ22" s="104" t="s">
        <v>67</v>
      </c>
      <c r="AK22" s="104"/>
      <c r="AL22" s="104"/>
      <c r="AM22" s="104"/>
      <c r="AN22" s="104"/>
      <c r="AO22" s="104"/>
      <c r="AP22" s="104"/>
      <c r="AQ22" s="104"/>
      <c r="AR22" s="104"/>
      <c r="AS22" s="104"/>
      <c r="AT22" s="104"/>
      <c r="AU22" s="104"/>
      <c r="AV22" s="104"/>
      <c r="AW22" s="104"/>
      <c r="AX22" s="104"/>
      <c r="AY22" s="104"/>
      <c r="AZ22" s="104"/>
    </row>
    <row r="23" s="2" customFormat="true" ht="3.75" hidden="false" customHeight="true" outlineLevel="0" collapsed="false">
      <c r="B23" s="101"/>
      <c r="C23" s="101"/>
      <c r="D23" s="101"/>
      <c r="E23" s="101"/>
      <c r="F23" s="101"/>
      <c r="G23" s="101"/>
      <c r="H23" s="102"/>
      <c r="J23" s="102"/>
      <c r="K23" s="102"/>
      <c r="L23" s="646"/>
      <c r="M23" s="105"/>
      <c r="N23" s="6"/>
      <c r="O23" s="6"/>
      <c r="P23" s="6"/>
      <c r="Q23" s="6"/>
      <c r="R23" s="6"/>
      <c r="S23" s="6"/>
      <c r="T23" s="6"/>
      <c r="U23" s="6"/>
      <c r="V23" s="6"/>
      <c r="W23" s="6"/>
      <c r="X23" s="6"/>
      <c r="Y23" s="6"/>
      <c r="Z23" s="6"/>
      <c r="AA23" s="6"/>
      <c r="AB23" s="6"/>
      <c r="AC23" s="6"/>
      <c r="AE23" s="102"/>
      <c r="AG23" s="102"/>
      <c r="AH23" s="102"/>
      <c r="AI23" s="216"/>
      <c r="AJ23" s="105"/>
      <c r="AK23" s="6"/>
      <c r="AL23" s="6"/>
      <c r="AM23" s="6"/>
      <c r="AN23" s="6"/>
      <c r="AO23" s="6"/>
      <c r="AP23" s="6"/>
      <c r="AQ23" s="6"/>
      <c r="AR23" s="6"/>
      <c r="AS23" s="6"/>
      <c r="AT23" s="6"/>
      <c r="AU23" s="6"/>
      <c r="AV23" s="6"/>
      <c r="AW23" s="6"/>
      <c r="AX23" s="6"/>
    </row>
    <row r="24" s="2" customFormat="true" ht="33.75" hidden="false" customHeight="true" outlineLevel="0" collapsed="false">
      <c r="B24" s="101"/>
      <c r="C24" s="101"/>
      <c r="D24" s="101"/>
      <c r="E24" s="101"/>
      <c r="F24" s="101"/>
      <c r="G24" s="101"/>
      <c r="H24" s="102"/>
      <c r="J24" s="102"/>
      <c r="K24" s="102"/>
      <c r="L24" s="647"/>
      <c r="M24" s="106" t="s">
        <v>68</v>
      </c>
      <c r="N24" s="106"/>
      <c r="O24" s="106"/>
      <c r="P24" s="106"/>
      <c r="Q24" s="106"/>
      <c r="R24" s="106"/>
      <c r="S24" s="16"/>
      <c r="T24" s="106" t="s">
        <v>69</v>
      </c>
      <c r="U24" s="106"/>
      <c r="V24" s="106"/>
      <c r="W24" s="106"/>
      <c r="X24" s="106"/>
      <c r="Y24" s="106"/>
      <c r="Z24" s="106"/>
      <c r="AA24" s="106"/>
      <c r="AB24" s="106"/>
      <c r="AC24" s="106"/>
      <c r="AE24" s="102"/>
      <c r="AG24" s="102"/>
      <c r="AH24" s="102"/>
      <c r="AI24" s="226"/>
      <c r="AJ24" s="106" t="s">
        <v>68</v>
      </c>
      <c r="AK24" s="106"/>
      <c r="AL24" s="106"/>
      <c r="AM24" s="106"/>
      <c r="AN24" s="106"/>
      <c r="AO24" s="106"/>
      <c r="AP24" s="16"/>
      <c r="AQ24" s="648" t="s">
        <v>69</v>
      </c>
      <c r="AR24" s="648"/>
      <c r="AS24" s="648"/>
      <c r="AT24" s="648"/>
      <c r="AU24" s="648"/>
      <c r="AV24" s="648"/>
      <c r="AW24" s="648"/>
      <c r="AX24" s="648"/>
      <c r="AY24" s="648"/>
      <c r="AZ24" s="648"/>
    </row>
    <row r="25" s="2" customFormat="true" ht="3.75" hidden="false" customHeight="true" outlineLevel="0" collapsed="false">
      <c r="A25" s="1"/>
      <c r="B25" s="101"/>
      <c r="C25" s="101"/>
      <c r="D25" s="101"/>
      <c r="E25" s="101"/>
      <c r="F25" s="101"/>
      <c r="G25" s="101"/>
      <c r="H25" s="102"/>
      <c r="J25" s="6"/>
      <c r="K25" s="6"/>
      <c r="L25" s="647"/>
      <c r="M25" s="107"/>
      <c r="N25" s="14"/>
      <c r="O25" s="14"/>
      <c r="P25" s="14"/>
      <c r="Q25" s="14"/>
      <c r="R25" s="108"/>
      <c r="S25" s="16"/>
      <c r="T25" s="107"/>
      <c r="U25" s="14"/>
      <c r="V25" s="14"/>
      <c r="W25" s="14"/>
      <c r="X25" s="14"/>
      <c r="Y25" s="14"/>
      <c r="Z25" s="14"/>
      <c r="AA25" s="14"/>
      <c r="AB25" s="14"/>
      <c r="AC25" s="108"/>
      <c r="AD25" s="1"/>
      <c r="AE25" s="102"/>
      <c r="AG25" s="6"/>
      <c r="AH25" s="6"/>
      <c r="AI25" s="226"/>
      <c r="AJ25" s="107"/>
      <c r="AK25" s="14"/>
      <c r="AL25" s="14"/>
      <c r="AM25" s="14"/>
      <c r="AN25" s="14"/>
      <c r="AO25" s="108"/>
      <c r="AP25" s="16"/>
      <c r="AQ25" s="107"/>
      <c r="AR25" s="14"/>
      <c r="AS25" s="14"/>
      <c r="AT25" s="14"/>
      <c r="AU25" s="14"/>
      <c r="AV25" s="108"/>
      <c r="AW25" s="1"/>
      <c r="AX25" s="109"/>
      <c r="AY25" s="1"/>
    </row>
    <row r="26" s="2" customFormat="true" ht="30" hidden="false" customHeight="true" outlineLevel="0" collapsed="false">
      <c r="B26" s="101"/>
      <c r="C26" s="101"/>
      <c r="D26" s="101"/>
      <c r="E26" s="101"/>
      <c r="F26" s="101"/>
      <c r="G26" s="101"/>
      <c r="H26" s="102"/>
      <c r="I26" s="285"/>
      <c r="J26" s="111" t="s">
        <v>4</v>
      </c>
      <c r="K26" s="111"/>
      <c r="L26" s="647"/>
      <c r="M26" s="112" t="s">
        <v>4</v>
      </c>
      <c r="N26" s="112"/>
      <c r="O26" s="112" t="s">
        <v>6</v>
      </c>
      <c r="P26" s="112"/>
      <c r="Q26" s="113" t="s">
        <v>7</v>
      </c>
      <c r="R26" s="113"/>
      <c r="S26" s="226"/>
      <c r="T26" s="112" t="s">
        <v>70</v>
      </c>
      <c r="U26" s="112"/>
      <c r="V26" s="112" t="s">
        <v>71</v>
      </c>
      <c r="W26" s="112"/>
      <c r="X26" s="112" t="s">
        <v>72</v>
      </c>
      <c r="Y26" s="112"/>
      <c r="Z26" s="112" t="s">
        <v>72</v>
      </c>
      <c r="AA26" s="112"/>
      <c r="AB26" s="113" t="s">
        <v>73</v>
      </c>
      <c r="AC26" s="113"/>
      <c r="AE26" s="102"/>
      <c r="AF26" s="285"/>
      <c r="AG26" s="111" t="s">
        <v>4</v>
      </c>
      <c r="AH26" s="111"/>
      <c r="AI26" s="226"/>
      <c r="AJ26" s="111" t="s">
        <v>4</v>
      </c>
      <c r="AK26" s="111"/>
      <c r="AL26" s="111" t="s">
        <v>6</v>
      </c>
      <c r="AM26" s="111"/>
      <c r="AN26" s="111" t="s">
        <v>7</v>
      </c>
      <c r="AO26" s="111"/>
      <c r="AP26" s="226"/>
      <c r="AQ26" s="113" t="s">
        <v>70</v>
      </c>
      <c r="AR26" s="113"/>
      <c r="AS26" s="113" t="s">
        <v>71</v>
      </c>
      <c r="AT26" s="113"/>
      <c r="AU26" s="114" t="s">
        <v>72</v>
      </c>
      <c r="AV26" s="114"/>
      <c r="AW26" s="112" t="s">
        <v>72</v>
      </c>
      <c r="AX26" s="112"/>
      <c r="AY26" s="113" t="s">
        <v>73</v>
      </c>
      <c r="AZ26" s="113"/>
    </row>
    <row r="27" customFormat="false" ht="3.75" hidden="false" customHeight="true" outlineLevel="0" collapsed="false">
      <c r="B27" s="117"/>
      <c r="H27" s="118"/>
      <c r="I27" s="15"/>
      <c r="J27" s="119"/>
      <c r="K27" s="120"/>
      <c r="L27" s="649"/>
      <c r="M27" s="119"/>
      <c r="S27" s="15"/>
      <c r="T27" s="119"/>
      <c r="AE27" s="118"/>
      <c r="AF27" s="15"/>
      <c r="AG27" s="119"/>
      <c r="AH27" s="120"/>
      <c r="AI27" s="15"/>
      <c r="AJ27" s="119"/>
      <c r="AO27" s="120"/>
      <c r="AP27" s="15"/>
      <c r="AQ27" s="119"/>
      <c r="AR27" s="120"/>
      <c r="AS27" s="119"/>
      <c r="AT27" s="120"/>
      <c r="AV27" s="120"/>
      <c r="AZ27" s="15"/>
    </row>
    <row r="28" s="2" customFormat="true" ht="48.75" hidden="false" customHeight="true" outlineLevel="0" collapsed="false">
      <c r="B28" s="290" t="s">
        <v>74</v>
      </c>
      <c r="C28" s="290" t="s">
        <v>420</v>
      </c>
      <c r="D28" s="291" t="s">
        <v>76</v>
      </c>
      <c r="E28" s="291" t="s">
        <v>77</v>
      </c>
      <c r="F28" s="292" t="s">
        <v>78</v>
      </c>
      <c r="G28" s="292" t="s">
        <v>79</v>
      </c>
      <c r="H28" s="292" t="s">
        <v>80</v>
      </c>
      <c r="I28" s="226"/>
      <c r="J28" s="124" t="s">
        <v>81</v>
      </c>
      <c r="K28" s="125" t="s">
        <v>82</v>
      </c>
      <c r="L28" s="647" t="s">
        <v>828</v>
      </c>
      <c r="M28" s="294" t="s">
        <v>81</v>
      </c>
      <c r="N28" s="295" t="s">
        <v>83</v>
      </c>
      <c r="O28" s="294" t="s">
        <v>81</v>
      </c>
      <c r="P28" s="296" t="s">
        <v>83</v>
      </c>
      <c r="Q28" s="294" t="s">
        <v>81</v>
      </c>
      <c r="R28" s="297" t="s">
        <v>83</v>
      </c>
      <c r="S28" s="300"/>
      <c r="T28" s="294" t="s">
        <v>81</v>
      </c>
      <c r="U28" s="296" t="s">
        <v>83</v>
      </c>
      <c r="V28" s="294" t="s">
        <v>81</v>
      </c>
      <c r="W28" s="296" t="s">
        <v>83</v>
      </c>
      <c r="X28" s="294" t="s">
        <v>81</v>
      </c>
      <c r="Y28" s="296" t="s">
        <v>83</v>
      </c>
      <c r="Z28" s="124" t="s">
        <v>81</v>
      </c>
      <c r="AA28" s="127" t="s">
        <v>83</v>
      </c>
      <c r="AB28" s="124" t="s">
        <v>81</v>
      </c>
      <c r="AC28" s="128" t="s">
        <v>83</v>
      </c>
      <c r="AE28" s="292" t="s">
        <v>85</v>
      </c>
      <c r="AF28" s="226"/>
      <c r="AG28" s="124" t="s">
        <v>86</v>
      </c>
      <c r="AH28" s="125" t="s">
        <v>87</v>
      </c>
      <c r="AI28" s="226"/>
      <c r="AJ28" s="294" t="s">
        <v>86</v>
      </c>
      <c r="AK28" s="299" t="s">
        <v>87</v>
      </c>
      <c r="AL28" s="294" t="s">
        <v>86</v>
      </c>
      <c r="AM28" s="299" t="s">
        <v>87</v>
      </c>
      <c r="AN28" s="294" t="s">
        <v>86</v>
      </c>
      <c r="AO28" s="299" t="s">
        <v>87</v>
      </c>
      <c r="AP28" s="300"/>
      <c r="AQ28" s="294" t="s">
        <v>86</v>
      </c>
      <c r="AR28" s="299" t="s">
        <v>87</v>
      </c>
      <c r="AS28" s="294" t="s">
        <v>86</v>
      </c>
      <c r="AT28" s="299" t="s">
        <v>87</v>
      </c>
      <c r="AU28" s="294" t="s">
        <v>86</v>
      </c>
      <c r="AV28" s="299" t="s">
        <v>87</v>
      </c>
      <c r="AW28" s="124" t="s">
        <v>86</v>
      </c>
      <c r="AX28" s="125" t="s">
        <v>87</v>
      </c>
      <c r="AY28" s="124" t="s">
        <v>86</v>
      </c>
      <c r="AZ28" s="125" t="s">
        <v>87</v>
      </c>
    </row>
    <row r="29" customFormat="false" ht="12.75" hidden="false" customHeight="false" outlineLevel="0" collapsed="false">
      <c r="A29" s="268"/>
      <c r="B29" s="306" t="s">
        <v>424</v>
      </c>
      <c r="C29" s="305" t="s">
        <v>425</v>
      </c>
      <c r="D29" s="306" t="n">
        <v>64</v>
      </c>
      <c r="E29" s="306" t="n">
        <v>1.1</v>
      </c>
      <c r="F29" s="324" t="s">
        <v>426</v>
      </c>
      <c r="G29" s="307" t="n">
        <v>24</v>
      </c>
      <c r="H29" s="143" t="n">
        <v>63.6363636363636</v>
      </c>
      <c r="I29" s="410"/>
      <c r="J29" s="311" t="s">
        <v>12</v>
      </c>
      <c r="K29" s="309" t="s">
        <v>12</v>
      </c>
      <c r="L29" s="650"/>
      <c r="M29" s="651" t="n">
        <v>0</v>
      </c>
      <c r="N29" s="652" t="n">
        <v>2.3</v>
      </c>
      <c r="O29" s="651" t="n">
        <v>0</v>
      </c>
      <c r="P29" s="312" t="n">
        <v>0.3</v>
      </c>
      <c r="Q29" s="652" t="n">
        <v>0</v>
      </c>
      <c r="R29" s="312" t="n">
        <v>0.3</v>
      </c>
      <c r="S29" s="310"/>
      <c r="T29" s="651" t="n">
        <v>0</v>
      </c>
      <c r="U29" s="652" t="n">
        <v>0.5</v>
      </c>
      <c r="V29" s="651" t="n">
        <v>0</v>
      </c>
      <c r="W29" s="652" t="n">
        <v>0.5</v>
      </c>
      <c r="X29" s="651" t="n">
        <v>0</v>
      </c>
      <c r="Y29" s="312" t="n">
        <v>0.5</v>
      </c>
      <c r="Z29" s="313" t="n">
        <v>0</v>
      </c>
      <c r="AA29" s="314" t="n">
        <v>0.4</v>
      </c>
      <c r="AB29" s="313" t="n">
        <v>0</v>
      </c>
      <c r="AC29" s="314" t="n">
        <v>0.4</v>
      </c>
      <c r="AE29" s="143" t="n">
        <v>0</v>
      </c>
      <c r="AF29" s="315"/>
      <c r="AG29" s="311" t="n">
        <v>0</v>
      </c>
      <c r="AH29" s="309" t="n">
        <v>0</v>
      </c>
      <c r="AI29" s="310"/>
      <c r="AJ29" s="311" t="n">
        <v>9</v>
      </c>
      <c r="AK29" s="309" t="n">
        <v>55.2</v>
      </c>
      <c r="AL29" s="311" t="n">
        <v>57</v>
      </c>
      <c r="AM29" s="309" t="n">
        <v>7.2</v>
      </c>
      <c r="AN29" s="311" t="n">
        <v>57</v>
      </c>
      <c r="AO29" s="309" t="n">
        <v>7.2</v>
      </c>
      <c r="AP29" s="310"/>
      <c r="AQ29" s="311" t="n">
        <v>52</v>
      </c>
      <c r="AR29" s="309" t="n">
        <v>12</v>
      </c>
      <c r="AS29" s="311" t="n">
        <v>52</v>
      </c>
      <c r="AT29" s="309" t="n">
        <v>12</v>
      </c>
      <c r="AU29" s="311" t="n">
        <v>52</v>
      </c>
      <c r="AV29" s="309" t="n">
        <v>12</v>
      </c>
      <c r="AW29" s="313" t="n">
        <v>54</v>
      </c>
      <c r="AX29" s="474" t="n">
        <v>9.6</v>
      </c>
      <c r="AY29" s="313" t="n">
        <v>54</v>
      </c>
      <c r="AZ29" s="474" t="n">
        <v>9.6</v>
      </c>
    </row>
    <row r="30" customFormat="false" ht="12.75" hidden="false" customHeight="false" outlineLevel="0" collapsed="false">
      <c r="A30" s="268"/>
      <c r="B30" s="306" t="s">
        <v>424</v>
      </c>
      <c r="C30" s="305" t="s">
        <v>427</v>
      </c>
      <c r="D30" s="306" t="n">
        <v>77</v>
      </c>
      <c r="E30" s="306" t="n">
        <v>1.1</v>
      </c>
      <c r="F30" s="324" t="s">
        <v>426</v>
      </c>
      <c r="G30" s="144" t="n">
        <v>24</v>
      </c>
      <c r="H30" s="143" t="n">
        <v>76.8595041322314</v>
      </c>
      <c r="I30" s="410"/>
      <c r="J30" s="311" t="s">
        <v>12</v>
      </c>
      <c r="K30" s="309" t="s">
        <v>12</v>
      </c>
      <c r="L30" s="650"/>
      <c r="M30" s="651" t="n">
        <v>0</v>
      </c>
      <c r="N30" s="652" t="n">
        <v>2.9</v>
      </c>
      <c r="O30" s="651" t="n">
        <v>0</v>
      </c>
      <c r="P30" s="312" t="n">
        <v>0.5</v>
      </c>
      <c r="Q30" s="652" t="n">
        <v>0</v>
      </c>
      <c r="R30" s="312" t="n">
        <v>0.3</v>
      </c>
      <c r="S30" s="310"/>
      <c r="T30" s="651" t="n">
        <v>0</v>
      </c>
      <c r="U30" s="652" t="n">
        <v>2.9</v>
      </c>
      <c r="V30" s="651" t="n">
        <v>0</v>
      </c>
      <c r="W30" s="652" t="n">
        <v>0.9</v>
      </c>
      <c r="X30" s="651" t="n">
        <v>0</v>
      </c>
      <c r="Y30" s="312" t="n">
        <v>0.9</v>
      </c>
      <c r="Z30" s="313" t="n">
        <v>0</v>
      </c>
      <c r="AA30" s="314" t="n">
        <v>0.8</v>
      </c>
      <c r="AB30" s="313" t="n">
        <v>0</v>
      </c>
      <c r="AC30" s="314" t="n">
        <v>0.8</v>
      </c>
      <c r="AE30" s="324" t="n">
        <v>0</v>
      </c>
      <c r="AF30" s="315"/>
      <c r="AG30" s="311" t="n">
        <v>0</v>
      </c>
      <c r="AH30" s="309" t="n">
        <v>0</v>
      </c>
      <c r="AI30" s="310"/>
      <c r="AJ30" s="311" t="n">
        <v>7</v>
      </c>
      <c r="AK30" s="309" t="n">
        <v>69.6</v>
      </c>
      <c r="AL30" s="311" t="n">
        <v>65</v>
      </c>
      <c r="AM30" s="309" t="n">
        <v>12</v>
      </c>
      <c r="AN30" s="310" t="n">
        <v>70</v>
      </c>
      <c r="AO30" s="309" t="n">
        <v>7.2</v>
      </c>
      <c r="AP30" s="310"/>
      <c r="AQ30" s="311" t="n">
        <v>7</v>
      </c>
      <c r="AR30" s="309" t="n">
        <v>69.6</v>
      </c>
      <c r="AS30" s="311" t="n">
        <v>55</v>
      </c>
      <c r="AT30" s="309" t="n">
        <v>21.6</v>
      </c>
      <c r="AU30" s="310" t="n">
        <v>55</v>
      </c>
      <c r="AV30" s="309" t="n">
        <v>21.6</v>
      </c>
      <c r="AW30" s="310" t="n">
        <v>58</v>
      </c>
      <c r="AX30" s="309" t="n">
        <v>19.2</v>
      </c>
      <c r="AY30" s="310" t="n">
        <v>58</v>
      </c>
      <c r="AZ30" s="309" t="n">
        <v>19.2</v>
      </c>
    </row>
    <row r="31" customFormat="false" ht="12.75" hidden="false" customHeight="false" outlineLevel="0" collapsed="false">
      <c r="A31" s="268"/>
      <c r="B31" s="306" t="s">
        <v>428</v>
      </c>
      <c r="C31" s="305" t="s">
        <v>429</v>
      </c>
      <c r="D31" s="306" t="n">
        <v>49</v>
      </c>
      <c r="E31" s="306" t="n">
        <v>1.1</v>
      </c>
      <c r="F31" s="324" t="s">
        <v>426</v>
      </c>
      <c r="G31" s="307" t="n">
        <v>24</v>
      </c>
      <c r="H31" s="143" t="n">
        <v>47.1074380165289</v>
      </c>
      <c r="I31" s="410"/>
      <c r="J31" s="311" t="s">
        <v>12</v>
      </c>
      <c r="K31" s="309" t="s">
        <v>12</v>
      </c>
      <c r="L31" s="650"/>
      <c r="M31" s="651" t="n">
        <v>0</v>
      </c>
      <c r="N31" s="652" t="n">
        <v>1.7</v>
      </c>
      <c r="O31" s="651" t="n">
        <v>0</v>
      </c>
      <c r="P31" s="312" t="n">
        <v>0.3</v>
      </c>
      <c r="Q31" s="652" t="n">
        <v>0</v>
      </c>
      <c r="R31" s="312" t="n">
        <v>0.3</v>
      </c>
      <c r="S31" s="310"/>
      <c r="T31" s="651" t="n">
        <v>0</v>
      </c>
      <c r="U31" s="652" t="n">
        <v>0</v>
      </c>
      <c r="V31" s="651" t="n">
        <v>0</v>
      </c>
      <c r="W31" s="652" t="n">
        <v>0</v>
      </c>
      <c r="X31" s="651" t="n">
        <v>0</v>
      </c>
      <c r="Y31" s="312" t="n">
        <v>0</v>
      </c>
      <c r="Z31" s="313" t="n">
        <v>0</v>
      </c>
      <c r="AA31" s="314" t="n">
        <v>0</v>
      </c>
      <c r="AB31" s="313" t="n">
        <v>0</v>
      </c>
      <c r="AC31" s="314" t="n">
        <v>0</v>
      </c>
      <c r="AE31" s="324" t="n">
        <v>2</v>
      </c>
      <c r="AF31" s="315"/>
      <c r="AG31" s="311" t="n">
        <v>0</v>
      </c>
      <c r="AH31" s="309" t="n">
        <v>0</v>
      </c>
      <c r="AI31" s="310"/>
      <c r="AJ31" s="311" t="n">
        <v>8</v>
      </c>
      <c r="AK31" s="309" t="n">
        <v>40.8</v>
      </c>
      <c r="AL31" s="311" t="n">
        <v>42</v>
      </c>
      <c r="AM31" s="309" t="n">
        <v>7.2</v>
      </c>
      <c r="AN31" s="311" t="n">
        <v>42</v>
      </c>
      <c r="AO31" s="309" t="n">
        <v>7.2</v>
      </c>
      <c r="AP31" s="310"/>
      <c r="AQ31" s="311" t="n">
        <v>49</v>
      </c>
      <c r="AR31" s="309" t="n">
        <v>0</v>
      </c>
      <c r="AS31" s="311" t="n">
        <v>49</v>
      </c>
      <c r="AT31" s="309" t="n">
        <v>0</v>
      </c>
      <c r="AU31" s="311" t="n">
        <v>49</v>
      </c>
      <c r="AV31" s="309" t="n">
        <v>0</v>
      </c>
      <c r="AW31" s="311" t="n">
        <v>49</v>
      </c>
      <c r="AX31" s="309" t="n">
        <v>0</v>
      </c>
      <c r="AY31" s="311" t="n">
        <v>49</v>
      </c>
      <c r="AZ31" s="309" t="n">
        <v>0</v>
      </c>
    </row>
    <row r="32" customFormat="false" ht="12.75" hidden="false" customHeight="false" outlineLevel="0" collapsed="false">
      <c r="A32" s="268"/>
      <c r="B32" s="306" t="s">
        <v>428</v>
      </c>
      <c r="C32" s="305" t="s">
        <v>430</v>
      </c>
      <c r="D32" s="306" t="n">
        <v>60</v>
      </c>
      <c r="E32" s="306" t="n">
        <v>1.1</v>
      </c>
      <c r="F32" s="324" t="s">
        <v>426</v>
      </c>
      <c r="G32" s="144" t="n">
        <v>24</v>
      </c>
      <c r="H32" s="143" t="n">
        <v>59.504132231405</v>
      </c>
      <c r="I32" s="410"/>
      <c r="J32" s="311" t="s">
        <v>12</v>
      </c>
      <c r="K32" s="309" t="s">
        <v>12</v>
      </c>
      <c r="L32" s="650"/>
      <c r="M32" s="651" t="n">
        <v>0</v>
      </c>
      <c r="N32" s="652" t="n">
        <v>2.1</v>
      </c>
      <c r="O32" s="651" t="n">
        <v>0</v>
      </c>
      <c r="P32" s="312" t="n">
        <v>0.3</v>
      </c>
      <c r="Q32" s="652" t="n">
        <v>0</v>
      </c>
      <c r="R32" s="312" t="n">
        <v>0.3</v>
      </c>
      <c r="S32" s="310"/>
      <c r="T32" s="651" t="n">
        <v>0</v>
      </c>
      <c r="U32" s="652" t="n">
        <v>0.9</v>
      </c>
      <c r="V32" s="651" t="n">
        <v>0</v>
      </c>
      <c r="W32" s="652" t="n">
        <v>0.9</v>
      </c>
      <c r="X32" s="651" t="n">
        <v>0</v>
      </c>
      <c r="Y32" s="312" t="n">
        <v>0.9</v>
      </c>
      <c r="Z32" s="313" t="n">
        <v>0</v>
      </c>
      <c r="AA32" s="314" t="n">
        <v>0.8</v>
      </c>
      <c r="AB32" s="313" t="n">
        <v>0</v>
      </c>
      <c r="AC32" s="314" t="n">
        <v>0.8</v>
      </c>
      <c r="AE32" s="324" t="n">
        <v>0</v>
      </c>
      <c r="AF32" s="315"/>
      <c r="AG32" s="311" t="n">
        <v>0</v>
      </c>
      <c r="AH32" s="309" t="n">
        <v>0</v>
      </c>
      <c r="AI32" s="310"/>
      <c r="AJ32" s="311" t="n">
        <v>10</v>
      </c>
      <c r="AK32" s="309" t="n">
        <v>50.4</v>
      </c>
      <c r="AL32" s="311" t="n">
        <v>53</v>
      </c>
      <c r="AM32" s="309" t="n">
        <v>7.2</v>
      </c>
      <c r="AN32" s="310" t="n">
        <v>53</v>
      </c>
      <c r="AO32" s="309" t="n">
        <v>7.2</v>
      </c>
      <c r="AP32" s="310"/>
      <c r="AQ32" s="311" t="n">
        <v>38</v>
      </c>
      <c r="AR32" s="309" t="n">
        <v>21.6</v>
      </c>
      <c r="AS32" s="311" t="n">
        <v>38</v>
      </c>
      <c r="AT32" s="309" t="n">
        <v>21.6</v>
      </c>
      <c r="AU32" s="310" t="n">
        <v>38</v>
      </c>
      <c r="AV32" s="309" t="n">
        <v>21.6</v>
      </c>
      <c r="AW32" s="310" t="n">
        <v>41</v>
      </c>
      <c r="AX32" s="309" t="n">
        <v>19.2</v>
      </c>
      <c r="AY32" s="310" t="n">
        <v>41</v>
      </c>
      <c r="AZ32" s="309" t="n">
        <v>19.2</v>
      </c>
    </row>
    <row r="33" customFormat="false" ht="12.75" hidden="false" customHeight="false" outlineLevel="0" collapsed="false">
      <c r="A33" s="268"/>
      <c r="B33" s="306" t="s">
        <v>450</v>
      </c>
      <c r="C33" s="305" t="s">
        <v>452</v>
      </c>
      <c r="D33" s="306" t="n">
        <v>309</v>
      </c>
      <c r="E33" s="306" t="n">
        <v>3.25</v>
      </c>
      <c r="F33" s="324" t="s">
        <v>432</v>
      </c>
      <c r="G33" s="307" t="n">
        <v>24</v>
      </c>
      <c r="H33" s="143" t="n">
        <v>240.495867768595</v>
      </c>
      <c r="I33" s="410"/>
      <c r="J33" s="311" t="s">
        <v>12</v>
      </c>
      <c r="K33" s="309" t="s">
        <v>12</v>
      </c>
      <c r="L33" s="650"/>
      <c r="M33" s="651" t="s">
        <v>12</v>
      </c>
      <c r="N33" s="652" t="s">
        <v>12</v>
      </c>
      <c r="O33" s="651" t="s">
        <v>12</v>
      </c>
      <c r="P33" s="312" t="s">
        <v>12</v>
      </c>
      <c r="Q33" s="652" t="s">
        <v>12</v>
      </c>
      <c r="R33" s="312" t="s">
        <v>12</v>
      </c>
      <c r="S33" s="310"/>
      <c r="T33" s="651" t="n">
        <v>0</v>
      </c>
      <c r="U33" s="652" t="n">
        <v>8.1</v>
      </c>
      <c r="V33" s="651" t="n">
        <v>0</v>
      </c>
      <c r="W33" s="652" t="n">
        <v>5</v>
      </c>
      <c r="X33" s="651" t="n">
        <v>0</v>
      </c>
      <c r="Y33" s="312" t="n">
        <v>1.5</v>
      </c>
      <c r="Z33" s="313" t="n">
        <v>0</v>
      </c>
      <c r="AA33" s="314" t="n">
        <v>1.5</v>
      </c>
      <c r="AB33" s="313" t="n">
        <v>0</v>
      </c>
      <c r="AC33" s="314" t="n">
        <v>1.5</v>
      </c>
      <c r="AE33" s="324" t="n">
        <v>69</v>
      </c>
      <c r="AF33" s="315"/>
      <c r="AG33" s="311" t="n">
        <v>0</v>
      </c>
      <c r="AH33" s="309" t="n">
        <v>0</v>
      </c>
      <c r="AI33" s="310"/>
      <c r="AJ33" s="311" t="s">
        <v>12</v>
      </c>
      <c r="AK33" s="309" t="s">
        <v>12</v>
      </c>
      <c r="AL33" s="311" t="s">
        <v>12</v>
      </c>
      <c r="AM33" s="309" t="s">
        <v>12</v>
      </c>
      <c r="AN33" s="311" t="s">
        <v>12</v>
      </c>
      <c r="AO33" s="309" t="s">
        <v>12</v>
      </c>
      <c r="AP33" s="310"/>
      <c r="AQ33" s="311" t="n">
        <v>115</v>
      </c>
      <c r="AR33" s="309" t="n">
        <v>194.4</v>
      </c>
      <c r="AS33" s="311" t="n">
        <v>189</v>
      </c>
      <c r="AT33" s="309" t="n">
        <v>120</v>
      </c>
      <c r="AU33" s="311" t="n">
        <v>273</v>
      </c>
      <c r="AV33" s="309" t="n">
        <v>36</v>
      </c>
      <c r="AW33" s="311" t="n">
        <v>273</v>
      </c>
      <c r="AX33" s="309" t="n">
        <v>36</v>
      </c>
      <c r="AY33" s="311" t="n">
        <v>273</v>
      </c>
      <c r="AZ33" s="309" t="n">
        <v>36</v>
      </c>
    </row>
    <row r="34" customFormat="false" ht="12.75" hidden="false" customHeight="false" outlineLevel="0" collapsed="false">
      <c r="A34" s="268"/>
      <c r="B34" s="306" t="s">
        <v>450</v>
      </c>
      <c r="C34" s="305" t="s">
        <v>452</v>
      </c>
      <c r="D34" s="306" t="n">
        <v>309</v>
      </c>
      <c r="E34" s="306" t="n">
        <v>3.25</v>
      </c>
      <c r="F34" s="324" t="s">
        <v>432</v>
      </c>
      <c r="G34" s="144" t="n">
        <v>48</v>
      </c>
      <c r="H34" s="143" t="n">
        <v>240.495867768595</v>
      </c>
      <c r="I34" s="410"/>
      <c r="J34" s="311" t="s">
        <v>12</v>
      </c>
      <c r="K34" s="309" t="s">
        <v>12</v>
      </c>
      <c r="L34" s="650"/>
      <c r="M34" s="651" t="s">
        <v>12</v>
      </c>
      <c r="N34" s="652" t="s">
        <v>12</v>
      </c>
      <c r="O34" s="651" t="s">
        <v>12</v>
      </c>
      <c r="P34" s="312" t="s">
        <v>12</v>
      </c>
      <c r="Q34" s="652" t="s">
        <v>12</v>
      </c>
      <c r="R34" s="312" t="s">
        <v>12</v>
      </c>
      <c r="S34" s="310"/>
      <c r="T34" s="651" t="n">
        <v>0</v>
      </c>
      <c r="U34" s="652" t="n">
        <v>4.1</v>
      </c>
      <c r="V34" s="651" t="n">
        <v>0</v>
      </c>
      <c r="W34" s="652" t="n">
        <v>2.5</v>
      </c>
      <c r="X34" s="651" t="n">
        <v>0</v>
      </c>
      <c r="Y34" s="312" t="n">
        <v>0.8</v>
      </c>
      <c r="Z34" s="313" t="n">
        <v>0</v>
      </c>
      <c r="AA34" s="314" t="n">
        <v>0.8</v>
      </c>
      <c r="AB34" s="313" t="n">
        <v>0</v>
      </c>
      <c r="AC34" s="314" t="n">
        <v>0.8</v>
      </c>
      <c r="AE34" s="324" t="n">
        <v>69</v>
      </c>
      <c r="AF34" s="315"/>
      <c r="AG34" s="311" t="n">
        <v>0</v>
      </c>
      <c r="AH34" s="309" t="n">
        <v>0</v>
      </c>
      <c r="AI34" s="310"/>
      <c r="AJ34" s="311" t="s">
        <v>12</v>
      </c>
      <c r="AK34" s="309" t="s">
        <v>12</v>
      </c>
      <c r="AL34" s="311" t="s">
        <v>12</v>
      </c>
      <c r="AM34" s="309" t="s">
        <v>12</v>
      </c>
      <c r="AN34" s="310" t="s">
        <v>12</v>
      </c>
      <c r="AO34" s="309" t="s">
        <v>12</v>
      </c>
      <c r="AP34" s="310"/>
      <c r="AQ34" s="311" t="n">
        <v>112</v>
      </c>
      <c r="AR34" s="309" t="n">
        <v>196.8</v>
      </c>
      <c r="AS34" s="311" t="n">
        <v>189</v>
      </c>
      <c r="AT34" s="309" t="n">
        <v>120</v>
      </c>
      <c r="AU34" s="310" t="n">
        <v>271</v>
      </c>
      <c r="AV34" s="309" t="n">
        <v>38.4</v>
      </c>
      <c r="AW34" s="310" t="n">
        <v>271</v>
      </c>
      <c r="AX34" s="309" t="n">
        <v>38.4</v>
      </c>
      <c r="AY34" s="310" t="n">
        <v>271</v>
      </c>
      <c r="AZ34" s="309" t="n">
        <v>38.4</v>
      </c>
    </row>
    <row r="35" customFormat="false" ht="12.75" hidden="false" customHeight="false" outlineLevel="0" collapsed="false">
      <c r="A35" s="268"/>
      <c r="B35" s="306" t="s">
        <v>450</v>
      </c>
      <c r="C35" s="305" t="s">
        <v>454</v>
      </c>
      <c r="D35" s="306" t="n">
        <v>181</v>
      </c>
      <c r="E35" s="306" t="n">
        <v>3.25</v>
      </c>
      <c r="F35" s="324" t="s">
        <v>432</v>
      </c>
      <c r="G35" s="307" t="n">
        <v>24</v>
      </c>
      <c r="H35" s="143" t="n">
        <v>135.537190082645</v>
      </c>
      <c r="I35" s="410"/>
      <c r="J35" s="311" t="s">
        <v>12</v>
      </c>
      <c r="K35" s="309" t="s">
        <v>12</v>
      </c>
      <c r="L35" s="650"/>
      <c r="M35" s="651" t="n">
        <v>19</v>
      </c>
      <c r="N35" s="652" t="n">
        <v>1.5</v>
      </c>
      <c r="O35" s="651" t="n">
        <v>0</v>
      </c>
      <c r="P35" s="312" t="n">
        <v>1.5</v>
      </c>
      <c r="Q35" s="652" t="n">
        <v>0</v>
      </c>
      <c r="R35" s="312" t="n">
        <v>1</v>
      </c>
      <c r="S35" s="310"/>
      <c r="T35" s="651" t="n">
        <v>0</v>
      </c>
      <c r="U35" s="652" t="n">
        <v>3.1</v>
      </c>
      <c r="V35" s="651" t="n">
        <v>0</v>
      </c>
      <c r="W35" s="652" t="n">
        <v>1.7</v>
      </c>
      <c r="X35" s="651" t="n">
        <v>0</v>
      </c>
      <c r="Y35" s="312" t="n">
        <v>0.7</v>
      </c>
      <c r="Z35" s="313" t="n">
        <v>0</v>
      </c>
      <c r="AA35" s="314" t="n">
        <v>0.7</v>
      </c>
      <c r="AB35" s="313" t="n">
        <v>0</v>
      </c>
      <c r="AC35" s="314" t="n">
        <v>0.7</v>
      </c>
      <c r="AE35" s="324" t="n">
        <v>45</v>
      </c>
      <c r="AF35" s="315"/>
      <c r="AG35" s="311" t="n">
        <v>0</v>
      </c>
      <c r="AH35" s="309" t="n">
        <v>0</v>
      </c>
      <c r="AI35" s="310"/>
      <c r="AJ35" s="311" t="n">
        <v>126</v>
      </c>
      <c r="AK35" s="309" t="n">
        <v>36</v>
      </c>
      <c r="AL35" s="311" t="n">
        <v>145</v>
      </c>
      <c r="AM35" s="309" t="n">
        <v>36</v>
      </c>
      <c r="AN35" s="311" t="n">
        <v>157</v>
      </c>
      <c r="AO35" s="309" t="n">
        <v>24</v>
      </c>
      <c r="AP35" s="310"/>
      <c r="AQ35" s="311" t="n">
        <v>107</v>
      </c>
      <c r="AR35" s="309" t="n">
        <v>74.4</v>
      </c>
      <c r="AS35" s="311" t="n">
        <v>140</v>
      </c>
      <c r="AT35" s="309" t="n">
        <v>40.8</v>
      </c>
      <c r="AU35" s="311" t="n">
        <v>164</v>
      </c>
      <c r="AV35" s="309" t="n">
        <v>16.8</v>
      </c>
      <c r="AW35" s="311" t="n">
        <v>164</v>
      </c>
      <c r="AX35" s="309" t="n">
        <v>16.8</v>
      </c>
      <c r="AY35" s="311" t="n">
        <v>164</v>
      </c>
      <c r="AZ35" s="309" t="n">
        <v>16.8</v>
      </c>
    </row>
    <row r="36" customFormat="false" ht="12.75" hidden="false" customHeight="false" outlineLevel="0" collapsed="false">
      <c r="A36" s="268"/>
      <c r="B36" s="306" t="s">
        <v>450</v>
      </c>
      <c r="C36" s="305" t="s">
        <v>454</v>
      </c>
      <c r="D36" s="306" t="n">
        <v>181</v>
      </c>
      <c r="E36" s="306" t="n">
        <v>3.25</v>
      </c>
      <c r="F36" s="324" t="s">
        <v>432</v>
      </c>
      <c r="G36" s="144" t="n">
        <v>48</v>
      </c>
      <c r="H36" s="143" t="n">
        <v>135.537190082645</v>
      </c>
      <c r="I36" s="410"/>
      <c r="J36" s="311" t="s">
        <v>12</v>
      </c>
      <c r="K36" s="309" t="s">
        <v>12</v>
      </c>
      <c r="L36" s="650"/>
      <c r="M36" s="651" t="n">
        <v>19</v>
      </c>
      <c r="N36" s="652" t="n">
        <v>0.8</v>
      </c>
      <c r="O36" s="651" t="n">
        <v>0</v>
      </c>
      <c r="P36" s="312" t="n">
        <v>0.8</v>
      </c>
      <c r="Q36" s="652" t="n">
        <v>0</v>
      </c>
      <c r="R36" s="312" t="n">
        <v>0.5</v>
      </c>
      <c r="S36" s="310"/>
      <c r="T36" s="651" t="n">
        <v>0</v>
      </c>
      <c r="U36" s="652" t="n">
        <v>1.6</v>
      </c>
      <c r="V36" s="651" t="n">
        <v>0</v>
      </c>
      <c r="W36" s="652" t="n">
        <v>0.9</v>
      </c>
      <c r="X36" s="651" t="n">
        <v>0</v>
      </c>
      <c r="Y36" s="312" t="n">
        <v>0.4</v>
      </c>
      <c r="Z36" s="313" t="n">
        <v>0</v>
      </c>
      <c r="AA36" s="314" t="n">
        <v>0.4</v>
      </c>
      <c r="AB36" s="313" t="n">
        <v>0</v>
      </c>
      <c r="AC36" s="314" t="n">
        <v>0.4</v>
      </c>
      <c r="AE36" s="324" t="n">
        <v>45</v>
      </c>
      <c r="AF36" s="315"/>
      <c r="AG36" s="311" t="n">
        <v>0</v>
      </c>
      <c r="AH36" s="309" t="n">
        <v>0</v>
      </c>
      <c r="AI36" s="310"/>
      <c r="AJ36" s="311" t="n">
        <v>124</v>
      </c>
      <c r="AK36" s="309" t="n">
        <v>38.4</v>
      </c>
      <c r="AL36" s="311" t="n">
        <v>143</v>
      </c>
      <c r="AM36" s="309" t="n">
        <v>38.4</v>
      </c>
      <c r="AN36" s="310" t="n">
        <v>157</v>
      </c>
      <c r="AO36" s="309" t="n">
        <v>24</v>
      </c>
      <c r="AP36" s="310"/>
      <c r="AQ36" s="311" t="n">
        <v>104</v>
      </c>
      <c r="AR36" s="309" t="n">
        <v>76.8</v>
      </c>
      <c r="AS36" s="311" t="n">
        <v>138</v>
      </c>
      <c r="AT36" s="309" t="n">
        <v>43.2</v>
      </c>
      <c r="AU36" s="310" t="n">
        <v>162</v>
      </c>
      <c r="AV36" s="309" t="n">
        <v>19.2</v>
      </c>
      <c r="AW36" s="310" t="n">
        <v>162</v>
      </c>
      <c r="AX36" s="309" t="n">
        <v>19.2</v>
      </c>
      <c r="AY36" s="310" t="n">
        <v>162</v>
      </c>
      <c r="AZ36" s="309" t="n">
        <v>19.2</v>
      </c>
    </row>
    <row r="37" customFormat="false" ht="12.75" hidden="false" customHeight="false" outlineLevel="0" collapsed="false">
      <c r="A37" s="268"/>
      <c r="B37" s="306" t="s">
        <v>211</v>
      </c>
      <c r="C37" s="305" t="s">
        <v>460</v>
      </c>
      <c r="D37" s="306" t="n">
        <v>183</v>
      </c>
      <c r="E37" s="306" t="n">
        <v>3.25</v>
      </c>
      <c r="F37" s="324" t="s">
        <v>432</v>
      </c>
      <c r="G37" s="307" t="n">
        <v>24</v>
      </c>
      <c r="H37" s="143" t="n">
        <v>132.231404958678</v>
      </c>
      <c r="I37" s="410"/>
      <c r="J37" s="311" t="s">
        <v>12</v>
      </c>
      <c r="K37" s="309" t="s">
        <v>12</v>
      </c>
      <c r="L37" s="650"/>
      <c r="M37" s="651" t="n">
        <v>19</v>
      </c>
      <c r="N37" s="652" t="n">
        <v>4.2</v>
      </c>
      <c r="O37" s="651" t="n">
        <v>0</v>
      </c>
      <c r="P37" s="312" t="n">
        <v>2.3</v>
      </c>
      <c r="Q37" s="652" t="n">
        <v>0</v>
      </c>
      <c r="R37" s="312" t="n">
        <v>1.5</v>
      </c>
      <c r="S37" s="310"/>
      <c r="T37" s="651" t="n">
        <v>0</v>
      </c>
      <c r="U37" s="652" t="n">
        <v>3.1</v>
      </c>
      <c r="V37" s="651" t="n">
        <v>0</v>
      </c>
      <c r="W37" s="652" t="n">
        <v>1.7</v>
      </c>
      <c r="X37" s="651" t="n">
        <v>0</v>
      </c>
      <c r="Y37" s="312" t="n">
        <v>0.2</v>
      </c>
      <c r="Z37" s="313" t="n">
        <v>0</v>
      </c>
      <c r="AA37" s="314" t="n">
        <v>0.2</v>
      </c>
      <c r="AB37" s="313" t="n">
        <v>0</v>
      </c>
      <c r="AC37" s="314" t="n">
        <v>0.2</v>
      </c>
      <c r="AE37" s="324" t="n">
        <v>51</v>
      </c>
      <c r="AF37" s="315"/>
      <c r="AG37" s="311" t="n">
        <v>0</v>
      </c>
      <c r="AH37" s="309" t="n">
        <v>0</v>
      </c>
      <c r="AI37" s="310"/>
      <c r="AJ37" s="311" t="n">
        <v>63</v>
      </c>
      <c r="AK37" s="309" t="n">
        <v>100.8</v>
      </c>
      <c r="AL37" s="311" t="n">
        <v>128</v>
      </c>
      <c r="AM37" s="309" t="n">
        <v>55.2</v>
      </c>
      <c r="AN37" s="311" t="n">
        <v>147</v>
      </c>
      <c r="AO37" s="309" t="n">
        <v>36</v>
      </c>
      <c r="AP37" s="310"/>
      <c r="AQ37" s="311" t="n">
        <v>109</v>
      </c>
      <c r="AR37" s="309" t="n">
        <v>74.4</v>
      </c>
      <c r="AS37" s="311" t="n">
        <v>142</v>
      </c>
      <c r="AT37" s="309" t="n">
        <v>40.8</v>
      </c>
      <c r="AU37" s="311" t="n">
        <v>178</v>
      </c>
      <c r="AV37" s="309" t="n">
        <v>4.8</v>
      </c>
      <c r="AW37" s="311" t="n">
        <v>178</v>
      </c>
      <c r="AX37" s="309" t="n">
        <v>4.8</v>
      </c>
      <c r="AY37" s="311" t="n">
        <v>178</v>
      </c>
      <c r="AZ37" s="309" t="n">
        <v>4.8</v>
      </c>
    </row>
    <row r="38" customFormat="false" ht="12.75" hidden="false" customHeight="false" outlineLevel="0" collapsed="false">
      <c r="A38" s="268"/>
      <c r="B38" s="306" t="s">
        <v>211</v>
      </c>
      <c r="C38" s="305" t="s">
        <v>460</v>
      </c>
      <c r="D38" s="306" t="n">
        <v>183</v>
      </c>
      <c r="E38" s="306" t="n">
        <v>3.25</v>
      </c>
      <c r="F38" s="324" t="s">
        <v>432</v>
      </c>
      <c r="G38" s="144" t="n">
        <v>48</v>
      </c>
      <c r="H38" s="143" t="n">
        <v>132.231404958678</v>
      </c>
      <c r="I38" s="410"/>
      <c r="J38" s="311" t="s">
        <v>12</v>
      </c>
      <c r="K38" s="309" t="s">
        <v>12</v>
      </c>
      <c r="L38" s="650"/>
      <c r="M38" s="651" t="n">
        <v>19</v>
      </c>
      <c r="N38" s="652" t="n">
        <v>2.1</v>
      </c>
      <c r="O38" s="651" t="n">
        <v>0</v>
      </c>
      <c r="P38" s="312" t="n">
        <v>1.2</v>
      </c>
      <c r="Q38" s="652" t="n">
        <v>0</v>
      </c>
      <c r="R38" s="312" t="n">
        <v>0.8</v>
      </c>
      <c r="S38" s="310"/>
      <c r="T38" s="651" t="n">
        <v>0</v>
      </c>
      <c r="U38" s="652" t="n">
        <v>1.6</v>
      </c>
      <c r="V38" s="651" t="n">
        <v>0</v>
      </c>
      <c r="W38" s="652" t="n">
        <v>0.9</v>
      </c>
      <c r="X38" s="651" t="n">
        <v>0</v>
      </c>
      <c r="Y38" s="312" t="n">
        <v>0.1</v>
      </c>
      <c r="Z38" s="313" t="n">
        <v>0</v>
      </c>
      <c r="AA38" s="314" t="n">
        <v>0.1</v>
      </c>
      <c r="AB38" s="313" t="n">
        <v>0</v>
      </c>
      <c r="AC38" s="314" t="n">
        <v>0.1</v>
      </c>
      <c r="AE38" s="324" t="n">
        <v>51</v>
      </c>
      <c r="AF38" s="315"/>
      <c r="AG38" s="311" t="n">
        <v>0</v>
      </c>
      <c r="AH38" s="309" t="n">
        <v>0</v>
      </c>
      <c r="AI38" s="310"/>
      <c r="AJ38" s="311" t="n">
        <v>63</v>
      </c>
      <c r="AK38" s="309" t="n">
        <v>100.8</v>
      </c>
      <c r="AL38" s="311" t="n">
        <v>125</v>
      </c>
      <c r="AM38" s="309" t="n">
        <v>57.6</v>
      </c>
      <c r="AN38" s="310" t="n">
        <v>145</v>
      </c>
      <c r="AO38" s="309" t="n">
        <v>38.4</v>
      </c>
      <c r="AP38" s="310"/>
      <c r="AQ38" s="311" t="n">
        <v>106</v>
      </c>
      <c r="AR38" s="309" t="n">
        <v>76.8</v>
      </c>
      <c r="AS38" s="311" t="n">
        <v>140</v>
      </c>
      <c r="AT38" s="309" t="n">
        <v>43.2</v>
      </c>
      <c r="AU38" s="310" t="n">
        <v>178</v>
      </c>
      <c r="AV38" s="309" t="n">
        <v>4.8</v>
      </c>
      <c r="AW38" s="310" t="n">
        <v>178</v>
      </c>
      <c r="AX38" s="309" t="n">
        <v>4.8</v>
      </c>
      <c r="AY38" s="310" t="n">
        <v>178</v>
      </c>
      <c r="AZ38" s="309" t="n">
        <v>4.8</v>
      </c>
    </row>
    <row r="39" customFormat="false" ht="12.75" hidden="false" customHeight="false" outlineLevel="0" collapsed="false">
      <c r="A39" s="268"/>
      <c r="B39" s="306" t="s">
        <v>211</v>
      </c>
      <c r="C39" s="305" t="s">
        <v>461</v>
      </c>
      <c r="D39" s="306" t="n">
        <v>255</v>
      </c>
      <c r="E39" s="306" t="n">
        <v>3.25</v>
      </c>
      <c r="F39" s="324" t="s">
        <v>432</v>
      </c>
      <c r="G39" s="307" t="n">
        <v>24</v>
      </c>
      <c r="H39" s="143" t="n">
        <v>177.685950413223</v>
      </c>
      <c r="I39" s="410"/>
      <c r="J39" s="311" t="s">
        <v>12</v>
      </c>
      <c r="K39" s="309" t="s">
        <v>12</v>
      </c>
      <c r="L39" s="650"/>
      <c r="M39" s="651" t="s">
        <v>12</v>
      </c>
      <c r="N39" s="652" t="s">
        <v>12</v>
      </c>
      <c r="O39" s="651" t="s">
        <v>12</v>
      </c>
      <c r="P39" s="312" t="s">
        <v>12</v>
      </c>
      <c r="Q39" s="652" t="s">
        <v>12</v>
      </c>
      <c r="R39" s="312" t="s">
        <v>12</v>
      </c>
      <c r="S39" s="310"/>
      <c r="T39" s="651" t="n">
        <v>0</v>
      </c>
      <c r="U39" s="652" t="n">
        <v>6.2</v>
      </c>
      <c r="V39" s="651" t="n">
        <v>0</v>
      </c>
      <c r="W39" s="652" t="n">
        <v>3.4</v>
      </c>
      <c r="X39" s="651" t="n">
        <v>0</v>
      </c>
      <c r="Y39" s="312" t="n">
        <v>1</v>
      </c>
      <c r="Z39" s="313" t="n">
        <v>0</v>
      </c>
      <c r="AA39" s="314" t="n">
        <v>1</v>
      </c>
      <c r="AB39" s="313" t="n">
        <v>0</v>
      </c>
      <c r="AC39" s="314" t="n">
        <v>1</v>
      </c>
      <c r="AE39" s="324" t="n">
        <v>77</v>
      </c>
      <c r="AF39" s="315"/>
      <c r="AG39" s="311" t="n">
        <v>0</v>
      </c>
      <c r="AH39" s="309" t="n">
        <v>0</v>
      </c>
      <c r="AI39" s="310"/>
      <c r="AJ39" s="311" t="s">
        <v>12</v>
      </c>
      <c r="AK39" s="309" t="s">
        <v>12</v>
      </c>
      <c r="AL39" s="311" t="s">
        <v>12</v>
      </c>
      <c r="AM39" s="309" t="s">
        <v>12</v>
      </c>
      <c r="AN39" s="311" t="s">
        <v>12</v>
      </c>
      <c r="AO39" s="309" t="s">
        <v>12</v>
      </c>
      <c r="AP39" s="310"/>
      <c r="AQ39" s="311" t="n">
        <v>106</v>
      </c>
      <c r="AR39" s="309" t="n">
        <v>148.8</v>
      </c>
      <c r="AS39" s="311" t="n">
        <v>173</v>
      </c>
      <c r="AT39" s="309" t="n">
        <v>81.6</v>
      </c>
      <c r="AU39" s="311" t="n">
        <v>231</v>
      </c>
      <c r="AV39" s="309" t="n">
        <v>24</v>
      </c>
      <c r="AW39" s="311" t="n">
        <v>231</v>
      </c>
      <c r="AX39" s="309" t="n">
        <v>24</v>
      </c>
      <c r="AY39" s="311" t="n">
        <v>231</v>
      </c>
      <c r="AZ39" s="309" t="n">
        <v>24</v>
      </c>
    </row>
    <row r="40" customFormat="false" ht="12.75" hidden="false" customHeight="false" outlineLevel="0" collapsed="false">
      <c r="A40" s="268"/>
      <c r="B40" s="306" t="s">
        <v>211</v>
      </c>
      <c r="C40" s="305" t="s">
        <v>461</v>
      </c>
      <c r="D40" s="306" t="n">
        <v>255</v>
      </c>
      <c r="E40" s="306" t="n">
        <v>3.25</v>
      </c>
      <c r="F40" s="324" t="s">
        <v>432</v>
      </c>
      <c r="G40" s="144" t="n">
        <v>48</v>
      </c>
      <c r="H40" s="143" t="n">
        <v>177.685950413223</v>
      </c>
      <c r="I40" s="410"/>
      <c r="J40" s="311" t="s">
        <v>12</v>
      </c>
      <c r="K40" s="309" t="s">
        <v>12</v>
      </c>
      <c r="L40" s="650"/>
      <c r="M40" s="651" t="s">
        <v>12</v>
      </c>
      <c r="N40" s="652" t="s">
        <v>12</v>
      </c>
      <c r="O40" s="651" t="s">
        <v>12</v>
      </c>
      <c r="P40" s="312" t="s">
        <v>12</v>
      </c>
      <c r="Q40" s="652" t="s">
        <v>12</v>
      </c>
      <c r="R40" s="312" t="s">
        <v>12</v>
      </c>
      <c r="S40" s="310"/>
      <c r="T40" s="651" t="n">
        <v>0</v>
      </c>
      <c r="U40" s="652" t="n">
        <v>3.1</v>
      </c>
      <c r="V40" s="651" t="n">
        <v>0</v>
      </c>
      <c r="W40" s="652" t="n">
        <v>1.7</v>
      </c>
      <c r="X40" s="651" t="n">
        <v>0</v>
      </c>
      <c r="Y40" s="312" t="n">
        <v>0.5</v>
      </c>
      <c r="Z40" s="313" t="n">
        <v>0</v>
      </c>
      <c r="AA40" s="314" t="n">
        <v>0.5</v>
      </c>
      <c r="AB40" s="313" t="n">
        <v>0</v>
      </c>
      <c r="AC40" s="314" t="n">
        <v>0.5</v>
      </c>
      <c r="AE40" s="324" t="n">
        <v>77</v>
      </c>
      <c r="AF40" s="315"/>
      <c r="AG40" s="311" t="n">
        <v>0</v>
      </c>
      <c r="AH40" s="309" t="n">
        <v>0</v>
      </c>
      <c r="AI40" s="310"/>
      <c r="AJ40" s="311" t="s">
        <v>12</v>
      </c>
      <c r="AK40" s="309" t="s">
        <v>12</v>
      </c>
      <c r="AL40" s="311" t="s">
        <v>12</v>
      </c>
      <c r="AM40" s="309" t="s">
        <v>12</v>
      </c>
      <c r="AN40" s="310" t="s">
        <v>12</v>
      </c>
      <c r="AO40" s="309" t="s">
        <v>12</v>
      </c>
      <c r="AP40" s="310"/>
      <c r="AQ40" s="311" t="n">
        <v>106</v>
      </c>
      <c r="AR40" s="309" t="n">
        <v>148.8</v>
      </c>
      <c r="AS40" s="311" t="n">
        <v>173</v>
      </c>
      <c r="AT40" s="309" t="n">
        <v>81.6</v>
      </c>
      <c r="AU40" s="310" t="n">
        <v>231</v>
      </c>
      <c r="AV40" s="309" t="n">
        <v>24</v>
      </c>
      <c r="AW40" s="310" t="n">
        <v>231</v>
      </c>
      <c r="AX40" s="309" t="n">
        <v>24</v>
      </c>
      <c r="AY40" s="310" t="n">
        <v>231</v>
      </c>
      <c r="AZ40" s="309" t="n">
        <v>24</v>
      </c>
    </row>
    <row r="41" customFormat="false" ht="12.75" hidden="false" customHeight="false" outlineLevel="0" collapsed="false">
      <c r="A41" s="268"/>
      <c r="B41" s="306" t="s">
        <v>211</v>
      </c>
      <c r="C41" s="305" t="s">
        <v>462</v>
      </c>
      <c r="D41" s="306" t="n">
        <v>353</v>
      </c>
      <c r="E41" s="306" t="n">
        <v>3.25</v>
      </c>
      <c r="F41" s="324" t="s">
        <v>432</v>
      </c>
      <c r="G41" s="307" t="n">
        <v>24</v>
      </c>
      <c r="H41" s="143" t="n">
        <v>312.396694214876</v>
      </c>
      <c r="I41" s="410"/>
      <c r="J41" s="311" t="s">
        <v>12</v>
      </c>
      <c r="K41" s="309" t="s">
        <v>12</v>
      </c>
      <c r="L41" s="650"/>
      <c r="M41" s="651" t="s">
        <v>12</v>
      </c>
      <c r="N41" s="652" t="s">
        <v>12</v>
      </c>
      <c r="O41" s="651" t="s">
        <v>12</v>
      </c>
      <c r="P41" s="312" t="s">
        <v>12</v>
      </c>
      <c r="Q41" s="652" t="s">
        <v>12</v>
      </c>
      <c r="R41" s="312" t="s">
        <v>12</v>
      </c>
      <c r="S41" s="310"/>
      <c r="T41" s="651" t="n">
        <v>0</v>
      </c>
      <c r="U41" s="652" t="n">
        <v>10.4</v>
      </c>
      <c r="V41" s="651" t="n">
        <v>0</v>
      </c>
      <c r="W41" s="652" t="n">
        <v>6.7</v>
      </c>
      <c r="X41" s="651" t="n">
        <v>0</v>
      </c>
      <c r="Y41" s="312" t="n">
        <v>2</v>
      </c>
      <c r="Z41" s="313" t="n">
        <v>0</v>
      </c>
      <c r="AA41" s="314" t="n">
        <v>2</v>
      </c>
      <c r="AB41" s="313" t="n">
        <v>0</v>
      </c>
      <c r="AC41" s="314" t="n">
        <v>2</v>
      </c>
      <c r="AE41" s="324" t="n">
        <v>41</v>
      </c>
      <c r="AF41" s="315"/>
      <c r="AG41" s="311" t="n">
        <v>0</v>
      </c>
      <c r="AH41" s="309" t="n">
        <v>0</v>
      </c>
      <c r="AI41" s="310"/>
      <c r="AJ41" s="311" t="s">
        <v>12</v>
      </c>
      <c r="AK41" s="309" t="s">
        <v>12</v>
      </c>
      <c r="AL41" s="311" t="s">
        <v>12</v>
      </c>
      <c r="AM41" s="309" t="s">
        <v>12</v>
      </c>
      <c r="AN41" s="311" t="s">
        <v>12</v>
      </c>
      <c r="AO41" s="309" t="s">
        <v>12</v>
      </c>
      <c r="AP41" s="310"/>
      <c r="AQ41" s="311" t="n">
        <v>103</v>
      </c>
      <c r="AR41" s="309" t="n">
        <v>249.6</v>
      </c>
      <c r="AS41" s="311" t="n">
        <v>192</v>
      </c>
      <c r="AT41" s="309" t="n">
        <v>160.8</v>
      </c>
      <c r="AU41" s="311" t="n">
        <v>305</v>
      </c>
      <c r="AV41" s="309" t="n">
        <v>48</v>
      </c>
      <c r="AW41" s="311" t="n">
        <v>305</v>
      </c>
      <c r="AX41" s="309" t="n">
        <v>48</v>
      </c>
      <c r="AY41" s="311" t="n">
        <v>305</v>
      </c>
      <c r="AZ41" s="309" t="n">
        <v>48</v>
      </c>
    </row>
    <row r="42" customFormat="false" ht="12.75" hidden="false" customHeight="false" outlineLevel="0" collapsed="false">
      <c r="A42" s="268"/>
      <c r="B42" s="306" t="s">
        <v>211</v>
      </c>
      <c r="C42" s="305" t="s">
        <v>462</v>
      </c>
      <c r="D42" s="306" t="n">
        <v>353</v>
      </c>
      <c r="E42" s="306" t="n">
        <v>3.25</v>
      </c>
      <c r="F42" s="324" t="s">
        <v>432</v>
      </c>
      <c r="G42" s="144" t="n">
        <v>48</v>
      </c>
      <c r="H42" s="143" t="n">
        <v>312.396694214876</v>
      </c>
      <c r="I42" s="410"/>
      <c r="J42" s="311" t="s">
        <v>12</v>
      </c>
      <c r="K42" s="309" t="s">
        <v>12</v>
      </c>
      <c r="L42" s="650"/>
      <c r="M42" s="651" t="s">
        <v>12</v>
      </c>
      <c r="N42" s="652" t="s">
        <v>12</v>
      </c>
      <c r="O42" s="651" t="s">
        <v>12</v>
      </c>
      <c r="P42" s="312" t="s">
        <v>12</v>
      </c>
      <c r="Q42" s="652" t="s">
        <v>12</v>
      </c>
      <c r="R42" s="312" t="s">
        <v>12</v>
      </c>
      <c r="S42" s="310"/>
      <c r="T42" s="651" t="n">
        <v>0</v>
      </c>
      <c r="U42" s="652" t="n">
        <v>5.2</v>
      </c>
      <c r="V42" s="651" t="n">
        <v>0</v>
      </c>
      <c r="W42" s="652" t="n">
        <v>3.4</v>
      </c>
      <c r="X42" s="651" t="n">
        <v>0</v>
      </c>
      <c r="Y42" s="312" t="n">
        <v>1</v>
      </c>
      <c r="Z42" s="313" t="n">
        <v>0</v>
      </c>
      <c r="AA42" s="314" t="n">
        <v>1</v>
      </c>
      <c r="AB42" s="313" t="n">
        <v>0</v>
      </c>
      <c r="AC42" s="314" t="n">
        <v>1</v>
      </c>
      <c r="AE42" s="324" t="n">
        <v>41</v>
      </c>
      <c r="AF42" s="315"/>
      <c r="AG42" s="311" t="n">
        <v>0</v>
      </c>
      <c r="AH42" s="309" t="n">
        <v>0</v>
      </c>
      <c r="AI42" s="310"/>
      <c r="AJ42" s="311" t="s">
        <v>12</v>
      </c>
      <c r="AK42" s="309" t="s">
        <v>12</v>
      </c>
      <c r="AL42" s="311" t="s">
        <v>12</v>
      </c>
      <c r="AM42" s="309" t="s">
        <v>12</v>
      </c>
      <c r="AN42" s="310" t="s">
        <v>12</v>
      </c>
      <c r="AO42" s="309" t="s">
        <v>12</v>
      </c>
      <c r="AP42" s="310"/>
      <c r="AQ42" s="311" t="n">
        <v>103</v>
      </c>
      <c r="AR42" s="309" t="n">
        <v>249.6</v>
      </c>
      <c r="AS42" s="311" t="n">
        <v>190</v>
      </c>
      <c r="AT42" s="309" t="n">
        <v>163.2</v>
      </c>
      <c r="AU42" s="310" t="n">
        <v>305</v>
      </c>
      <c r="AV42" s="309" t="n">
        <v>48</v>
      </c>
      <c r="AW42" s="310" t="n">
        <v>305</v>
      </c>
      <c r="AX42" s="309" t="n">
        <v>48</v>
      </c>
      <c r="AY42" s="310" t="n">
        <v>305</v>
      </c>
      <c r="AZ42" s="309" t="n">
        <v>48</v>
      </c>
    </row>
    <row r="43" customFormat="false" ht="12.75" hidden="false" customHeight="false" outlineLevel="0" collapsed="false">
      <c r="A43" s="268"/>
      <c r="B43" s="306" t="s">
        <v>465</v>
      </c>
      <c r="C43" s="305" t="s">
        <v>466</v>
      </c>
      <c r="D43" s="306" t="n">
        <v>160</v>
      </c>
      <c r="E43" s="306" t="n">
        <v>3.25</v>
      </c>
      <c r="F43" s="324" t="s">
        <v>432</v>
      </c>
      <c r="G43" s="307" t="n">
        <v>24</v>
      </c>
      <c r="H43" s="143" t="n">
        <v>88.4297520661157</v>
      </c>
      <c r="I43" s="410"/>
      <c r="J43" s="311" t="s">
        <v>12</v>
      </c>
      <c r="K43" s="309" t="s">
        <v>12</v>
      </c>
      <c r="L43" s="650"/>
      <c r="M43" s="651" t="n">
        <v>0</v>
      </c>
      <c r="N43" s="652" t="n">
        <v>1</v>
      </c>
      <c r="O43" s="651" t="n">
        <v>0</v>
      </c>
      <c r="P43" s="312" t="n">
        <v>0</v>
      </c>
      <c r="Q43" s="652" t="n">
        <v>0</v>
      </c>
      <c r="R43" s="312" t="n">
        <v>0</v>
      </c>
      <c r="S43" s="310"/>
      <c r="T43" s="651" t="n">
        <v>0</v>
      </c>
      <c r="U43" s="652" t="n">
        <v>0.9</v>
      </c>
      <c r="V43" s="651" t="n">
        <v>0</v>
      </c>
      <c r="W43" s="652" t="n">
        <v>0.9</v>
      </c>
      <c r="X43" s="651" t="n">
        <v>0</v>
      </c>
      <c r="Y43" s="312" t="n">
        <v>0</v>
      </c>
      <c r="Z43" s="313" t="n">
        <v>0</v>
      </c>
      <c r="AA43" s="314" t="n">
        <v>0</v>
      </c>
      <c r="AB43" s="313" t="n">
        <v>0</v>
      </c>
      <c r="AC43" s="314" t="n">
        <v>0</v>
      </c>
      <c r="AE43" s="324" t="n">
        <v>72</v>
      </c>
      <c r="AF43" s="315"/>
      <c r="AG43" s="311" t="n">
        <v>0</v>
      </c>
      <c r="AH43" s="309" t="n">
        <v>0</v>
      </c>
      <c r="AI43" s="310"/>
      <c r="AJ43" s="311" t="n">
        <v>136</v>
      </c>
      <c r="AK43" s="309" t="n">
        <v>24</v>
      </c>
      <c r="AL43" s="311" t="n">
        <v>160</v>
      </c>
      <c r="AM43" s="309" t="n">
        <v>0</v>
      </c>
      <c r="AN43" s="311" t="n">
        <v>160</v>
      </c>
      <c r="AO43" s="309" t="n">
        <v>0</v>
      </c>
      <c r="AP43" s="310"/>
      <c r="AQ43" s="311" t="n">
        <v>138</v>
      </c>
      <c r="AR43" s="309" t="n">
        <v>21.6</v>
      </c>
      <c r="AS43" s="311" t="n">
        <v>138</v>
      </c>
      <c r="AT43" s="309" t="n">
        <v>21.6</v>
      </c>
      <c r="AU43" s="311" t="n">
        <v>160</v>
      </c>
      <c r="AV43" s="309" t="n">
        <v>0</v>
      </c>
      <c r="AW43" s="311" t="n">
        <v>160</v>
      </c>
      <c r="AX43" s="309" t="n">
        <v>0</v>
      </c>
      <c r="AY43" s="311" t="n">
        <v>160</v>
      </c>
      <c r="AZ43" s="309" t="n">
        <v>0</v>
      </c>
    </row>
    <row r="44" customFormat="false" ht="12.75" hidden="false" customHeight="false" outlineLevel="0" collapsed="false">
      <c r="A44" s="268"/>
      <c r="B44" s="306" t="s">
        <v>465</v>
      </c>
      <c r="C44" s="305" t="s">
        <v>467</v>
      </c>
      <c r="D44" s="306" t="n">
        <v>176</v>
      </c>
      <c r="E44" s="306" t="n">
        <v>3.25</v>
      </c>
      <c r="F44" s="324" t="s">
        <v>432</v>
      </c>
      <c r="G44" s="144" t="n">
        <v>24</v>
      </c>
      <c r="H44" s="143" t="n">
        <v>157.851239669422</v>
      </c>
      <c r="I44" s="410"/>
      <c r="J44" s="311" t="s">
        <v>12</v>
      </c>
      <c r="K44" s="309" t="s">
        <v>12</v>
      </c>
      <c r="L44" s="650"/>
      <c r="M44" s="651" t="n">
        <v>0</v>
      </c>
      <c r="N44" s="652" t="n">
        <v>2</v>
      </c>
      <c r="O44" s="651" t="n">
        <v>0</v>
      </c>
      <c r="P44" s="312" t="n">
        <v>1.5</v>
      </c>
      <c r="Q44" s="652" t="n">
        <v>0</v>
      </c>
      <c r="R44" s="312" t="n">
        <v>1.1</v>
      </c>
      <c r="S44" s="310"/>
      <c r="T44" s="651" t="n">
        <v>0</v>
      </c>
      <c r="U44" s="652" t="n">
        <v>4.2</v>
      </c>
      <c r="V44" s="651" t="n">
        <v>0</v>
      </c>
      <c r="W44" s="652" t="n">
        <v>2.5</v>
      </c>
      <c r="X44" s="651" t="n">
        <v>0</v>
      </c>
      <c r="Y44" s="312" t="n">
        <v>0.3</v>
      </c>
      <c r="Z44" s="313" t="n">
        <v>0</v>
      </c>
      <c r="AA44" s="314" t="n">
        <v>0.3</v>
      </c>
      <c r="AB44" s="313" t="n">
        <v>0</v>
      </c>
      <c r="AC44" s="314" t="n">
        <v>0.3</v>
      </c>
      <c r="AE44" s="324" t="n">
        <v>18</v>
      </c>
      <c r="AF44" s="315"/>
      <c r="AG44" s="311" t="n">
        <v>0</v>
      </c>
      <c r="AH44" s="309" t="n">
        <v>0</v>
      </c>
      <c r="AI44" s="310"/>
      <c r="AJ44" s="311" t="n">
        <v>128</v>
      </c>
      <c r="AK44" s="309" t="n">
        <v>48</v>
      </c>
      <c r="AL44" s="311" t="n">
        <v>140</v>
      </c>
      <c r="AM44" s="309" t="n">
        <v>36</v>
      </c>
      <c r="AN44" s="310" t="n">
        <v>150</v>
      </c>
      <c r="AO44" s="309" t="n">
        <v>26.4</v>
      </c>
      <c r="AP44" s="310"/>
      <c r="AQ44" s="311" t="n">
        <v>75</v>
      </c>
      <c r="AR44" s="309" t="n">
        <v>100.8</v>
      </c>
      <c r="AS44" s="311" t="n">
        <v>116</v>
      </c>
      <c r="AT44" s="309" t="n">
        <v>60</v>
      </c>
      <c r="AU44" s="310" t="n">
        <v>169</v>
      </c>
      <c r="AV44" s="309" t="n">
        <v>7.2</v>
      </c>
      <c r="AW44" s="310" t="n">
        <v>169</v>
      </c>
      <c r="AX44" s="309" t="n">
        <v>7.2</v>
      </c>
      <c r="AY44" s="310" t="n">
        <v>169</v>
      </c>
      <c r="AZ44" s="309" t="n">
        <v>7.2</v>
      </c>
    </row>
    <row r="45" customFormat="false" ht="12.75" hidden="false" customHeight="false" outlineLevel="0" collapsed="false">
      <c r="A45" s="268"/>
      <c r="B45" s="306" t="s">
        <v>465</v>
      </c>
      <c r="C45" s="305" t="s">
        <v>467</v>
      </c>
      <c r="D45" s="306" t="n">
        <v>176</v>
      </c>
      <c r="E45" s="306" t="n">
        <v>3.25</v>
      </c>
      <c r="F45" s="324" t="s">
        <v>432</v>
      </c>
      <c r="G45" s="307" t="n">
        <v>48</v>
      </c>
      <c r="H45" s="143" t="n">
        <v>157.851239669422</v>
      </c>
      <c r="I45" s="410"/>
      <c r="J45" s="311" t="s">
        <v>12</v>
      </c>
      <c r="K45" s="309" t="s">
        <v>12</v>
      </c>
      <c r="L45" s="650"/>
      <c r="M45" s="651" t="n">
        <v>0</v>
      </c>
      <c r="N45" s="652" t="n">
        <v>1</v>
      </c>
      <c r="O45" s="651" t="n">
        <v>0</v>
      </c>
      <c r="P45" s="312" t="n">
        <v>0.8</v>
      </c>
      <c r="Q45" s="652" t="n">
        <v>0</v>
      </c>
      <c r="R45" s="312" t="n">
        <v>0.6</v>
      </c>
      <c r="S45" s="310"/>
      <c r="T45" s="651" t="n">
        <v>0</v>
      </c>
      <c r="U45" s="652" t="n">
        <v>2.1</v>
      </c>
      <c r="V45" s="651" t="n">
        <v>0</v>
      </c>
      <c r="W45" s="652" t="n">
        <v>1.3</v>
      </c>
      <c r="X45" s="651" t="n">
        <v>0</v>
      </c>
      <c r="Y45" s="312" t="n">
        <v>0.2</v>
      </c>
      <c r="Z45" s="313" t="n">
        <v>0</v>
      </c>
      <c r="AA45" s="314" t="n">
        <v>0.2</v>
      </c>
      <c r="AB45" s="313" t="n">
        <v>0</v>
      </c>
      <c r="AC45" s="314" t="n">
        <v>0.2</v>
      </c>
      <c r="AE45" s="324" t="n">
        <v>18</v>
      </c>
      <c r="AF45" s="315"/>
      <c r="AG45" s="311" t="n">
        <v>0</v>
      </c>
      <c r="AH45" s="309" t="n">
        <v>0</v>
      </c>
      <c r="AI45" s="310"/>
      <c r="AJ45" s="311" t="n">
        <v>128</v>
      </c>
      <c r="AK45" s="309" t="n">
        <v>48</v>
      </c>
      <c r="AL45" s="311" t="n">
        <v>138</v>
      </c>
      <c r="AM45" s="309" t="n">
        <v>38.4</v>
      </c>
      <c r="AN45" s="311" t="n">
        <v>147</v>
      </c>
      <c r="AO45" s="309" t="n">
        <v>28.8</v>
      </c>
      <c r="AP45" s="310"/>
      <c r="AQ45" s="311" t="n">
        <v>75</v>
      </c>
      <c r="AR45" s="309" t="n">
        <v>100.8</v>
      </c>
      <c r="AS45" s="311" t="n">
        <v>114</v>
      </c>
      <c r="AT45" s="309" t="n">
        <v>62.4</v>
      </c>
      <c r="AU45" s="311" t="n">
        <v>166</v>
      </c>
      <c r="AV45" s="309" t="n">
        <v>9.6</v>
      </c>
      <c r="AW45" s="311" t="n">
        <v>166</v>
      </c>
      <c r="AX45" s="309" t="n">
        <v>9.6</v>
      </c>
      <c r="AY45" s="311" t="n">
        <v>166</v>
      </c>
      <c r="AZ45" s="309" t="n">
        <v>9.6</v>
      </c>
    </row>
    <row r="46" customFormat="false" ht="12.75" hidden="false" customHeight="false" outlineLevel="0" collapsed="false">
      <c r="A46" s="268"/>
      <c r="B46" s="306" t="s">
        <v>465</v>
      </c>
      <c r="C46" s="305" t="s">
        <v>468</v>
      </c>
      <c r="D46" s="306" t="n">
        <v>245</v>
      </c>
      <c r="E46" s="306" t="n">
        <v>3.25</v>
      </c>
      <c r="F46" s="324" t="s">
        <v>432</v>
      </c>
      <c r="G46" s="144" t="n">
        <v>24</v>
      </c>
      <c r="H46" s="143" t="n">
        <v>188.429752066116</v>
      </c>
      <c r="I46" s="410"/>
      <c r="J46" s="311" t="s">
        <v>12</v>
      </c>
      <c r="K46" s="309" t="s">
        <v>12</v>
      </c>
      <c r="L46" s="650"/>
      <c r="M46" s="651" t="s">
        <v>12</v>
      </c>
      <c r="N46" s="652" t="s">
        <v>12</v>
      </c>
      <c r="O46" s="651" t="s">
        <v>12</v>
      </c>
      <c r="P46" s="312" t="s">
        <v>12</v>
      </c>
      <c r="Q46" s="652" t="s">
        <v>12</v>
      </c>
      <c r="R46" s="312" t="s">
        <v>12</v>
      </c>
      <c r="S46" s="310"/>
      <c r="T46" s="651" t="n">
        <v>0</v>
      </c>
      <c r="U46" s="652" t="n">
        <v>6.7</v>
      </c>
      <c r="V46" s="651" t="n">
        <v>0</v>
      </c>
      <c r="W46" s="652" t="n">
        <v>3.4</v>
      </c>
      <c r="X46" s="651" t="n">
        <v>0</v>
      </c>
      <c r="Y46" s="312" t="n">
        <v>2.5</v>
      </c>
      <c r="Z46" s="313" t="n">
        <v>0</v>
      </c>
      <c r="AA46" s="314" t="n">
        <v>2.5</v>
      </c>
      <c r="AB46" s="313" t="n">
        <v>0</v>
      </c>
      <c r="AC46" s="314" t="n">
        <v>2.5</v>
      </c>
      <c r="AE46" s="324" t="n">
        <v>57</v>
      </c>
      <c r="AF46" s="315"/>
      <c r="AG46" s="311" t="n">
        <v>0</v>
      </c>
      <c r="AH46" s="309" t="n">
        <v>0</v>
      </c>
      <c r="AI46" s="310"/>
      <c r="AJ46" s="311" t="s">
        <v>12</v>
      </c>
      <c r="AK46" s="309" t="s">
        <v>12</v>
      </c>
      <c r="AL46" s="311" t="s">
        <v>12</v>
      </c>
      <c r="AM46" s="309" t="s">
        <v>12</v>
      </c>
      <c r="AN46" s="310" t="s">
        <v>12</v>
      </c>
      <c r="AO46" s="309" t="s">
        <v>12</v>
      </c>
      <c r="AP46" s="310"/>
      <c r="AQ46" s="311" t="n">
        <v>84</v>
      </c>
      <c r="AR46" s="309" t="n">
        <v>160.8</v>
      </c>
      <c r="AS46" s="311" t="n">
        <v>163</v>
      </c>
      <c r="AT46" s="309" t="n">
        <v>81.6</v>
      </c>
      <c r="AU46" s="310" t="n">
        <v>185</v>
      </c>
      <c r="AV46" s="309" t="n">
        <v>60</v>
      </c>
      <c r="AW46" s="310" t="n">
        <v>185</v>
      </c>
      <c r="AX46" s="309" t="n">
        <v>60</v>
      </c>
      <c r="AY46" s="310" t="n">
        <v>185</v>
      </c>
      <c r="AZ46" s="309" t="n">
        <v>60</v>
      </c>
    </row>
    <row r="47" customFormat="false" ht="12.75" hidden="false" customHeight="false" outlineLevel="0" collapsed="false">
      <c r="A47" s="268"/>
      <c r="B47" s="306" t="s">
        <v>465</v>
      </c>
      <c r="C47" s="305" t="s">
        <v>468</v>
      </c>
      <c r="D47" s="306" t="n">
        <v>245</v>
      </c>
      <c r="E47" s="306" t="n">
        <v>3.25</v>
      </c>
      <c r="F47" s="324" t="s">
        <v>432</v>
      </c>
      <c r="G47" s="307" t="n">
        <v>48</v>
      </c>
      <c r="H47" s="143" t="n">
        <v>188.429752066116</v>
      </c>
      <c r="I47" s="410"/>
      <c r="J47" s="311" t="s">
        <v>12</v>
      </c>
      <c r="K47" s="309" t="s">
        <v>12</v>
      </c>
      <c r="L47" s="650"/>
      <c r="M47" s="651" t="s">
        <v>12</v>
      </c>
      <c r="N47" s="652" t="s">
        <v>12</v>
      </c>
      <c r="O47" s="651" t="s">
        <v>12</v>
      </c>
      <c r="P47" s="312" t="s">
        <v>12</v>
      </c>
      <c r="Q47" s="652" t="s">
        <v>12</v>
      </c>
      <c r="R47" s="312" t="s">
        <v>12</v>
      </c>
      <c r="S47" s="310"/>
      <c r="T47" s="651" t="n">
        <v>0</v>
      </c>
      <c r="U47" s="652" t="n">
        <v>3.4</v>
      </c>
      <c r="V47" s="651" t="n">
        <v>0</v>
      </c>
      <c r="W47" s="652" t="n">
        <v>1.7</v>
      </c>
      <c r="X47" s="651" t="n">
        <v>0</v>
      </c>
      <c r="Y47" s="312" t="n">
        <v>1.3</v>
      </c>
      <c r="Z47" s="313" t="n">
        <v>0</v>
      </c>
      <c r="AA47" s="314" t="n">
        <v>1.3</v>
      </c>
      <c r="AB47" s="313" t="n">
        <v>0</v>
      </c>
      <c r="AC47" s="314" t="n">
        <v>1.3</v>
      </c>
      <c r="AE47" s="324" t="n">
        <v>57</v>
      </c>
      <c r="AF47" s="315"/>
      <c r="AG47" s="311" t="n">
        <v>0</v>
      </c>
      <c r="AH47" s="309" t="n">
        <v>0</v>
      </c>
      <c r="AI47" s="310"/>
      <c r="AJ47" s="311" t="s">
        <v>12</v>
      </c>
      <c r="AK47" s="309" t="s">
        <v>12</v>
      </c>
      <c r="AL47" s="311" t="s">
        <v>12</v>
      </c>
      <c r="AM47" s="309" t="s">
        <v>12</v>
      </c>
      <c r="AN47" s="311" t="s">
        <v>12</v>
      </c>
      <c r="AO47" s="309" t="s">
        <v>12</v>
      </c>
      <c r="AP47" s="310"/>
      <c r="AQ47" s="311" t="n">
        <v>82</v>
      </c>
      <c r="AR47" s="309" t="n">
        <v>163.2</v>
      </c>
      <c r="AS47" s="311" t="n">
        <v>163</v>
      </c>
      <c r="AT47" s="309" t="n">
        <v>81.6</v>
      </c>
      <c r="AU47" s="311" t="n">
        <v>183</v>
      </c>
      <c r="AV47" s="309" t="n">
        <v>62.4</v>
      </c>
      <c r="AW47" s="311" t="n">
        <v>183</v>
      </c>
      <c r="AX47" s="309" t="n">
        <v>62.4</v>
      </c>
      <c r="AY47" s="311" t="n">
        <v>183</v>
      </c>
      <c r="AZ47" s="309" t="n">
        <v>62.4</v>
      </c>
    </row>
    <row r="48" customFormat="false" ht="12.75" hidden="false" customHeight="false" outlineLevel="0" collapsed="false">
      <c r="A48" s="268"/>
      <c r="B48" s="306" t="s">
        <v>465</v>
      </c>
      <c r="C48" s="305" t="s">
        <v>471</v>
      </c>
      <c r="D48" s="306" t="n">
        <v>364</v>
      </c>
      <c r="E48" s="306" t="n">
        <v>3.25</v>
      </c>
      <c r="F48" s="324" t="s">
        <v>432</v>
      </c>
      <c r="G48" s="144" t="n">
        <v>24</v>
      </c>
      <c r="H48" s="143" t="n">
        <v>303.305785123967</v>
      </c>
      <c r="I48" s="410"/>
      <c r="J48" s="311" t="s">
        <v>12</v>
      </c>
      <c r="K48" s="309" t="s">
        <v>12</v>
      </c>
      <c r="L48" s="650"/>
      <c r="M48" s="651" t="s">
        <v>12</v>
      </c>
      <c r="N48" s="652" t="s">
        <v>12</v>
      </c>
      <c r="O48" s="651" t="s">
        <v>12</v>
      </c>
      <c r="P48" s="312" t="s">
        <v>12</v>
      </c>
      <c r="Q48" s="652" t="s">
        <v>12</v>
      </c>
      <c r="R48" s="312" t="s">
        <v>12</v>
      </c>
      <c r="S48" s="310"/>
      <c r="T48" s="651" t="n">
        <v>0</v>
      </c>
      <c r="U48" s="652" t="n">
        <v>10</v>
      </c>
      <c r="V48" s="651" t="n">
        <v>0</v>
      </c>
      <c r="W48" s="652" t="n">
        <v>6.7</v>
      </c>
      <c r="X48" s="651" t="n">
        <v>0</v>
      </c>
      <c r="Y48" s="312" t="n">
        <v>4</v>
      </c>
      <c r="Z48" s="313" t="n">
        <v>0</v>
      </c>
      <c r="AA48" s="314" t="n">
        <v>4</v>
      </c>
      <c r="AB48" s="313" t="n">
        <v>0</v>
      </c>
      <c r="AC48" s="314" t="n">
        <v>4</v>
      </c>
      <c r="AE48" s="324" t="n">
        <v>61</v>
      </c>
      <c r="AF48" s="315"/>
      <c r="AG48" s="311" t="n">
        <v>0</v>
      </c>
      <c r="AH48" s="309" t="n">
        <v>0</v>
      </c>
      <c r="AI48" s="310"/>
      <c r="AJ48" s="311" t="s">
        <v>12</v>
      </c>
      <c r="AK48" s="309" t="s">
        <v>12</v>
      </c>
      <c r="AL48" s="311" t="s">
        <v>12</v>
      </c>
      <c r="AM48" s="309" t="s">
        <v>12</v>
      </c>
      <c r="AN48" s="310" t="s">
        <v>12</v>
      </c>
      <c r="AO48" s="309" t="s">
        <v>12</v>
      </c>
      <c r="AP48" s="310"/>
      <c r="AQ48" s="311" t="n">
        <v>124</v>
      </c>
      <c r="AR48" s="309" t="n">
        <v>240</v>
      </c>
      <c r="AS48" s="311" t="n">
        <v>203</v>
      </c>
      <c r="AT48" s="309" t="n">
        <v>160.8</v>
      </c>
      <c r="AU48" s="310" t="n">
        <v>268</v>
      </c>
      <c r="AV48" s="309" t="n">
        <v>96</v>
      </c>
      <c r="AW48" s="310" t="n">
        <v>268</v>
      </c>
      <c r="AX48" s="309" t="n">
        <v>96</v>
      </c>
      <c r="AY48" s="310" t="n">
        <v>268</v>
      </c>
      <c r="AZ48" s="309" t="n">
        <v>96</v>
      </c>
    </row>
    <row r="49" customFormat="false" ht="12.75" hidden="false" customHeight="false" outlineLevel="0" collapsed="false">
      <c r="A49" s="268"/>
      <c r="B49" s="306" t="s">
        <v>465</v>
      </c>
      <c r="C49" s="305" t="s">
        <v>471</v>
      </c>
      <c r="D49" s="306" t="n">
        <v>364</v>
      </c>
      <c r="E49" s="306" t="n">
        <v>3.25</v>
      </c>
      <c r="F49" s="324" t="s">
        <v>432</v>
      </c>
      <c r="G49" s="307" t="n">
        <v>48</v>
      </c>
      <c r="H49" s="143" t="n">
        <v>303.305785123967</v>
      </c>
      <c r="I49" s="410"/>
      <c r="J49" s="311" t="s">
        <v>12</v>
      </c>
      <c r="K49" s="309" t="s">
        <v>12</v>
      </c>
      <c r="L49" s="650"/>
      <c r="M49" s="651" t="s">
        <v>12</v>
      </c>
      <c r="N49" s="652" t="s">
        <v>12</v>
      </c>
      <c r="O49" s="651" t="s">
        <v>12</v>
      </c>
      <c r="P49" s="312" t="s">
        <v>12</v>
      </c>
      <c r="Q49" s="652" t="s">
        <v>12</v>
      </c>
      <c r="R49" s="312" t="s">
        <v>12</v>
      </c>
      <c r="S49" s="310"/>
      <c r="T49" s="651" t="n">
        <v>0</v>
      </c>
      <c r="U49" s="652" t="n">
        <v>5</v>
      </c>
      <c r="V49" s="651" t="n">
        <v>0</v>
      </c>
      <c r="W49" s="652" t="n">
        <v>3.4</v>
      </c>
      <c r="X49" s="651" t="n">
        <v>0</v>
      </c>
      <c r="Y49" s="312" t="n">
        <v>2</v>
      </c>
      <c r="Z49" s="313" t="n">
        <v>0</v>
      </c>
      <c r="AA49" s="314" t="n">
        <v>2</v>
      </c>
      <c r="AB49" s="313" t="n">
        <v>0</v>
      </c>
      <c r="AC49" s="314" t="n">
        <v>2</v>
      </c>
      <c r="AE49" s="324" t="n">
        <v>61</v>
      </c>
      <c r="AF49" s="315"/>
      <c r="AG49" s="311" t="n">
        <v>0</v>
      </c>
      <c r="AH49" s="309" t="n">
        <v>0</v>
      </c>
      <c r="AI49" s="310"/>
      <c r="AJ49" s="311" t="s">
        <v>12</v>
      </c>
      <c r="AK49" s="309" t="s">
        <v>12</v>
      </c>
      <c r="AL49" s="311" t="s">
        <v>12</v>
      </c>
      <c r="AM49" s="309" t="s">
        <v>12</v>
      </c>
      <c r="AN49" s="311" t="s">
        <v>12</v>
      </c>
      <c r="AO49" s="309" t="s">
        <v>12</v>
      </c>
      <c r="AP49" s="310"/>
      <c r="AQ49" s="311" t="n">
        <v>124</v>
      </c>
      <c r="AR49" s="309" t="n">
        <v>240</v>
      </c>
      <c r="AS49" s="311" t="n">
        <v>201</v>
      </c>
      <c r="AT49" s="309" t="n">
        <v>163.2</v>
      </c>
      <c r="AU49" s="311" t="n">
        <v>268</v>
      </c>
      <c r="AV49" s="309" t="n">
        <v>96</v>
      </c>
      <c r="AW49" s="311" t="n">
        <v>268</v>
      </c>
      <c r="AX49" s="309" t="n">
        <v>96</v>
      </c>
      <c r="AY49" s="311" t="n">
        <v>268</v>
      </c>
      <c r="AZ49" s="309" t="n">
        <v>96</v>
      </c>
    </row>
    <row r="50" customFormat="false" ht="12.75" hidden="false" customHeight="false" outlineLevel="0" collapsed="false">
      <c r="A50" s="268"/>
      <c r="B50" s="306" t="s">
        <v>200</v>
      </c>
      <c r="C50" s="305" t="s">
        <v>473</v>
      </c>
      <c r="D50" s="306" t="n">
        <v>186</v>
      </c>
      <c r="E50" s="306" t="n">
        <v>3.25</v>
      </c>
      <c r="F50" s="324" t="s">
        <v>432</v>
      </c>
      <c r="G50" s="144" t="n">
        <v>24</v>
      </c>
      <c r="H50" s="143" t="n">
        <v>166.115702479339</v>
      </c>
      <c r="I50" s="410"/>
      <c r="J50" s="311" t="s">
        <v>12</v>
      </c>
      <c r="K50" s="309" t="s">
        <v>12</v>
      </c>
      <c r="L50" s="650"/>
      <c r="M50" s="651" t="n">
        <v>29</v>
      </c>
      <c r="N50" s="652" t="n">
        <v>1.5</v>
      </c>
      <c r="O50" s="651" t="n">
        <v>0</v>
      </c>
      <c r="P50" s="312" t="n">
        <v>1.5</v>
      </c>
      <c r="Q50" s="652" t="n">
        <v>0</v>
      </c>
      <c r="R50" s="312" t="n">
        <v>1</v>
      </c>
      <c r="S50" s="310"/>
      <c r="T50" s="651" t="n">
        <v>0</v>
      </c>
      <c r="U50" s="652" t="n">
        <v>5.6</v>
      </c>
      <c r="V50" s="651" t="n">
        <v>0</v>
      </c>
      <c r="W50" s="652" t="n">
        <v>3.4</v>
      </c>
      <c r="X50" s="651" t="n">
        <v>0</v>
      </c>
      <c r="Y50" s="312" t="n">
        <v>0.7</v>
      </c>
      <c r="Z50" s="313" t="n">
        <v>0</v>
      </c>
      <c r="AA50" s="314" t="n">
        <v>0.7</v>
      </c>
      <c r="AB50" s="313" t="n">
        <v>0</v>
      </c>
      <c r="AC50" s="314" t="n">
        <v>0.7</v>
      </c>
      <c r="AE50" s="324" t="n">
        <v>20</v>
      </c>
      <c r="AF50" s="315"/>
      <c r="AG50" s="311" t="n">
        <v>0</v>
      </c>
      <c r="AH50" s="309" t="n">
        <v>0</v>
      </c>
      <c r="AI50" s="310"/>
      <c r="AJ50" s="311" t="n">
        <v>121</v>
      </c>
      <c r="AK50" s="309" t="n">
        <v>36</v>
      </c>
      <c r="AL50" s="311" t="n">
        <v>150</v>
      </c>
      <c r="AM50" s="309" t="n">
        <v>36</v>
      </c>
      <c r="AN50" s="310" t="n">
        <v>162</v>
      </c>
      <c r="AO50" s="309" t="n">
        <v>24</v>
      </c>
      <c r="AP50" s="310"/>
      <c r="AQ50" s="311" t="n">
        <v>52</v>
      </c>
      <c r="AR50" s="309" t="n">
        <v>134.4</v>
      </c>
      <c r="AS50" s="311" t="n">
        <v>104</v>
      </c>
      <c r="AT50" s="309" t="n">
        <v>81.6</v>
      </c>
      <c r="AU50" s="310" t="n">
        <v>169</v>
      </c>
      <c r="AV50" s="309" t="n">
        <v>16.8</v>
      </c>
      <c r="AW50" s="310" t="n">
        <v>169</v>
      </c>
      <c r="AX50" s="309" t="n">
        <v>16.8</v>
      </c>
      <c r="AY50" s="310" t="n">
        <v>169</v>
      </c>
      <c r="AZ50" s="309" t="n">
        <v>16.8</v>
      </c>
    </row>
    <row r="51" customFormat="false" ht="12.75" hidden="false" customHeight="false" outlineLevel="0" collapsed="false">
      <c r="A51" s="268"/>
      <c r="B51" s="306" t="s">
        <v>200</v>
      </c>
      <c r="C51" s="305" t="s">
        <v>474</v>
      </c>
      <c r="D51" s="306" t="n">
        <v>248</v>
      </c>
      <c r="E51" s="306" t="n">
        <v>3.25</v>
      </c>
      <c r="F51" s="324" t="s">
        <v>432</v>
      </c>
      <c r="G51" s="307" t="n">
        <v>24</v>
      </c>
      <c r="H51" s="143" t="n">
        <v>190.909090909091</v>
      </c>
      <c r="I51" s="410"/>
      <c r="J51" s="311" t="s">
        <v>12</v>
      </c>
      <c r="K51" s="309" t="s">
        <v>12</v>
      </c>
      <c r="L51" s="650"/>
      <c r="M51" s="651" t="s">
        <v>12</v>
      </c>
      <c r="N51" s="652" t="s">
        <v>12</v>
      </c>
      <c r="O51" s="651" t="s">
        <v>12</v>
      </c>
      <c r="P51" s="312" t="s">
        <v>12</v>
      </c>
      <c r="Q51" s="652" t="s">
        <v>12</v>
      </c>
      <c r="R51" s="312" t="s">
        <v>12</v>
      </c>
      <c r="S51" s="310"/>
      <c r="T51" s="651" t="n">
        <v>0</v>
      </c>
      <c r="U51" s="652" t="n">
        <v>6.7</v>
      </c>
      <c r="V51" s="651" t="n">
        <v>0</v>
      </c>
      <c r="W51" s="652" t="n">
        <v>4.2</v>
      </c>
      <c r="X51" s="651" t="n">
        <v>0</v>
      </c>
      <c r="Y51" s="312" t="n">
        <v>1.5</v>
      </c>
      <c r="Z51" s="313" t="n">
        <v>0</v>
      </c>
      <c r="AA51" s="314" t="n">
        <v>1.5</v>
      </c>
      <c r="AB51" s="313" t="n">
        <v>0</v>
      </c>
      <c r="AC51" s="314" t="n">
        <v>1.5</v>
      </c>
      <c r="AE51" s="324" t="n">
        <v>57</v>
      </c>
      <c r="AF51" s="315"/>
      <c r="AG51" s="311" t="n">
        <v>0</v>
      </c>
      <c r="AH51" s="309" t="n">
        <v>0</v>
      </c>
      <c r="AI51" s="310"/>
      <c r="AJ51" s="311" t="s">
        <v>12</v>
      </c>
      <c r="AK51" s="309" t="s">
        <v>12</v>
      </c>
      <c r="AL51" s="311" t="s">
        <v>12</v>
      </c>
      <c r="AM51" s="309" t="s">
        <v>12</v>
      </c>
      <c r="AN51" s="311" t="s">
        <v>12</v>
      </c>
      <c r="AO51" s="309" t="s">
        <v>12</v>
      </c>
      <c r="AP51" s="310"/>
      <c r="AQ51" s="311" t="n">
        <v>87</v>
      </c>
      <c r="AR51" s="309" t="n">
        <v>160.8</v>
      </c>
      <c r="AS51" s="311" t="n">
        <v>147</v>
      </c>
      <c r="AT51" s="309" t="n">
        <v>100.8</v>
      </c>
      <c r="AU51" s="311" t="n">
        <v>212</v>
      </c>
      <c r="AV51" s="309" t="n">
        <v>36</v>
      </c>
      <c r="AW51" s="311" t="n">
        <v>212</v>
      </c>
      <c r="AX51" s="309" t="n">
        <v>36</v>
      </c>
      <c r="AY51" s="311" t="n">
        <v>212</v>
      </c>
      <c r="AZ51" s="309" t="n">
        <v>36</v>
      </c>
    </row>
    <row r="52" customFormat="false" ht="12.75" hidden="false" customHeight="false" outlineLevel="0" collapsed="false">
      <c r="A52" s="268"/>
      <c r="B52" s="306" t="s">
        <v>200</v>
      </c>
      <c r="C52" s="305" t="s">
        <v>474</v>
      </c>
      <c r="D52" s="306" t="n">
        <v>248</v>
      </c>
      <c r="E52" s="306" t="n">
        <v>3.25</v>
      </c>
      <c r="F52" s="324" t="s">
        <v>432</v>
      </c>
      <c r="G52" s="144" t="n">
        <v>48</v>
      </c>
      <c r="H52" s="143" t="n">
        <v>190.909090909091</v>
      </c>
      <c r="I52" s="410"/>
      <c r="J52" s="311" t="s">
        <v>12</v>
      </c>
      <c r="K52" s="309" t="s">
        <v>12</v>
      </c>
      <c r="L52" s="650"/>
      <c r="M52" s="651" t="s">
        <v>12</v>
      </c>
      <c r="N52" s="652" t="s">
        <v>12</v>
      </c>
      <c r="O52" s="651" t="s">
        <v>12</v>
      </c>
      <c r="P52" s="312" t="s">
        <v>12</v>
      </c>
      <c r="Q52" s="652" t="s">
        <v>12</v>
      </c>
      <c r="R52" s="312" t="s">
        <v>12</v>
      </c>
      <c r="S52" s="310"/>
      <c r="T52" s="651" t="n">
        <v>0</v>
      </c>
      <c r="U52" s="652" t="n">
        <v>3.4</v>
      </c>
      <c r="V52" s="651" t="n">
        <v>0</v>
      </c>
      <c r="W52" s="652" t="n">
        <v>2.1</v>
      </c>
      <c r="X52" s="651" t="n">
        <v>0</v>
      </c>
      <c r="Y52" s="312" t="n">
        <v>0.8</v>
      </c>
      <c r="Z52" s="313" t="n">
        <v>0</v>
      </c>
      <c r="AA52" s="314" t="n">
        <v>0.8</v>
      </c>
      <c r="AB52" s="313" t="n">
        <v>0</v>
      </c>
      <c r="AC52" s="314" t="n">
        <v>0.8</v>
      </c>
      <c r="AE52" s="324" t="n">
        <v>57</v>
      </c>
      <c r="AF52" s="315"/>
      <c r="AG52" s="311" t="n">
        <v>0</v>
      </c>
      <c r="AH52" s="309" t="n">
        <v>0</v>
      </c>
      <c r="AI52" s="310"/>
      <c r="AJ52" s="311" t="s">
        <v>12</v>
      </c>
      <c r="AK52" s="309" t="s">
        <v>12</v>
      </c>
      <c r="AL52" s="311" t="s">
        <v>12</v>
      </c>
      <c r="AM52" s="309" t="s">
        <v>12</v>
      </c>
      <c r="AN52" s="310" t="s">
        <v>12</v>
      </c>
      <c r="AO52" s="309" t="s">
        <v>12</v>
      </c>
      <c r="AP52" s="310"/>
      <c r="AQ52" s="311" t="n">
        <v>85</v>
      </c>
      <c r="AR52" s="309" t="n">
        <v>163.2</v>
      </c>
      <c r="AS52" s="311" t="n">
        <v>147</v>
      </c>
      <c r="AT52" s="309" t="n">
        <v>100.8</v>
      </c>
      <c r="AU52" s="310" t="n">
        <v>210</v>
      </c>
      <c r="AV52" s="309" t="n">
        <v>38.4</v>
      </c>
      <c r="AW52" s="310" t="n">
        <v>210</v>
      </c>
      <c r="AX52" s="309" t="n">
        <v>38.4</v>
      </c>
      <c r="AY52" s="310" t="n">
        <v>210</v>
      </c>
      <c r="AZ52" s="309" t="n">
        <v>38.4</v>
      </c>
    </row>
    <row r="53" customFormat="false" ht="12.75" hidden="false" customHeight="false" outlineLevel="0" collapsed="false">
      <c r="A53" s="268"/>
      <c r="B53" s="306" t="s">
        <v>200</v>
      </c>
      <c r="C53" s="305" t="s">
        <v>475</v>
      </c>
      <c r="D53" s="306" t="n">
        <v>308</v>
      </c>
      <c r="E53" s="306" t="n">
        <v>3.25</v>
      </c>
      <c r="F53" s="324" t="s">
        <v>432</v>
      </c>
      <c r="G53" s="307" t="n">
        <v>24</v>
      </c>
      <c r="H53" s="143" t="n">
        <v>278.512396694215</v>
      </c>
      <c r="I53" s="410"/>
      <c r="J53" s="311" t="s">
        <v>12</v>
      </c>
      <c r="K53" s="309" t="s">
        <v>12</v>
      </c>
      <c r="L53" s="650"/>
      <c r="M53" s="651" t="s">
        <v>12</v>
      </c>
      <c r="N53" s="652" t="s">
        <v>12</v>
      </c>
      <c r="O53" s="651" t="s">
        <v>12</v>
      </c>
      <c r="P53" s="312" t="s">
        <v>12</v>
      </c>
      <c r="Q53" s="652" t="s">
        <v>12</v>
      </c>
      <c r="R53" s="312" t="s">
        <v>12</v>
      </c>
      <c r="S53" s="310"/>
      <c r="T53" s="651" t="n">
        <v>0</v>
      </c>
      <c r="U53" s="652" t="n">
        <v>8.9</v>
      </c>
      <c r="V53" s="651" t="n">
        <v>0</v>
      </c>
      <c r="W53" s="652" t="n">
        <v>5.8</v>
      </c>
      <c r="X53" s="651" t="n">
        <v>0</v>
      </c>
      <c r="Y53" s="312" t="n">
        <v>5.8</v>
      </c>
      <c r="Z53" s="313" t="n">
        <v>0</v>
      </c>
      <c r="AA53" s="314" t="n">
        <v>3</v>
      </c>
      <c r="AB53" s="313" t="n">
        <v>0</v>
      </c>
      <c r="AC53" s="314" t="n">
        <v>3</v>
      </c>
      <c r="AE53" s="324" t="n">
        <v>29</v>
      </c>
      <c r="AF53" s="315"/>
      <c r="AG53" s="311" t="n">
        <v>0</v>
      </c>
      <c r="AH53" s="309" t="n">
        <v>0</v>
      </c>
      <c r="AI53" s="310"/>
      <c r="AJ53" s="311" t="s">
        <v>12</v>
      </c>
      <c r="AK53" s="309" t="s">
        <v>12</v>
      </c>
      <c r="AL53" s="311" t="s">
        <v>12</v>
      </c>
      <c r="AM53" s="309" t="s">
        <v>12</v>
      </c>
      <c r="AN53" s="311" t="s">
        <v>12</v>
      </c>
      <c r="AO53" s="309" t="s">
        <v>12</v>
      </c>
      <c r="AP53" s="310"/>
      <c r="AQ53" s="311" t="n">
        <v>94</v>
      </c>
      <c r="AR53" s="309" t="n">
        <v>213.6</v>
      </c>
      <c r="AS53" s="311" t="n">
        <v>169</v>
      </c>
      <c r="AT53" s="309" t="n">
        <v>139.2</v>
      </c>
      <c r="AU53" s="311" t="n">
        <v>169</v>
      </c>
      <c r="AV53" s="309" t="n">
        <v>139.2</v>
      </c>
      <c r="AW53" s="311" t="n">
        <v>236</v>
      </c>
      <c r="AX53" s="309" t="n">
        <v>72</v>
      </c>
      <c r="AY53" s="311" t="n">
        <v>236</v>
      </c>
      <c r="AZ53" s="309" t="n">
        <v>72</v>
      </c>
    </row>
    <row r="54" customFormat="false" ht="12.75" hidden="false" customHeight="false" outlineLevel="0" collapsed="false">
      <c r="A54" s="268"/>
      <c r="B54" s="306" t="s">
        <v>200</v>
      </c>
      <c r="C54" s="305" t="s">
        <v>475</v>
      </c>
      <c r="D54" s="306" t="n">
        <v>308</v>
      </c>
      <c r="E54" s="306" t="n">
        <v>3.25</v>
      </c>
      <c r="F54" s="324" t="s">
        <v>432</v>
      </c>
      <c r="G54" s="144" t="n">
        <v>48</v>
      </c>
      <c r="H54" s="143" t="n">
        <v>278.512396694215</v>
      </c>
      <c r="I54" s="410"/>
      <c r="J54" s="311" t="s">
        <v>12</v>
      </c>
      <c r="K54" s="309" t="s">
        <v>12</v>
      </c>
      <c r="L54" s="650"/>
      <c r="M54" s="651" t="s">
        <v>12</v>
      </c>
      <c r="N54" s="652" t="s">
        <v>12</v>
      </c>
      <c r="O54" s="651" t="s">
        <v>12</v>
      </c>
      <c r="P54" s="312" t="s">
        <v>12</v>
      </c>
      <c r="Q54" s="652" t="s">
        <v>12</v>
      </c>
      <c r="R54" s="312" t="s">
        <v>12</v>
      </c>
      <c r="S54" s="310"/>
      <c r="T54" s="651" t="n">
        <v>0</v>
      </c>
      <c r="U54" s="652" t="n">
        <v>4.5</v>
      </c>
      <c r="V54" s="651" t="n">
        <v>0</v>
      </c>
      <c r="W54" s="652" t="n">
        <v>2.9</v>
      </c>
      <c r="X54" s="651" t="n">
        <v>0</v>
      </c>
      <c r="Y54" s="312" t="n">
        <v>2.9</v>
      </c>
      <c r="Z54" s="313" t="n">
        <v>0</v>
      </c>
      <c r="AA54" s="314" t="n">
        <v>1.5</v>
      </c>
      <c r="AB54" s="313" t="n">
        <v>0</v>
      </c>
      <c r="AC54" s="314" t="n">
        <v>1.5</v>
      </c>
      <c r="AE54" s="324" t="n">
        <v>29</v>
      </c>
      <c r="AF54" s="315"/>
      <c r="AG54" s="311" t="n">
        <v>0</v>
      </c>
      <c r="AH54" s="309" t="n">
        <v>0</v>
      </c>
      <c r="AI54" s="310"/>
      <c r="AJ54" s="311" t="s">
        <v>12</v>
      </c>
      <c r="AK54" s="309" t="s">
        <v>12</v>
      </c>
      <c r="AL54" s="311" t="s">
        <v>12</v>
      </c>
      <c r="AM54" s="309" t="s">
        <v>12</v>
      </c>
      <c r="AN54" s="310" t="s">
        <v>12</v>
      </c>
      <c r="AO54" s="309" t="s">
        <v>12</v>
      </c>
      <c r="AP54" s="310"/>
      <c r="AQ54" s="311" t="n">
        <v>92</v>
      </c>
      <c r="AR54" s="309" t="n">
        <v>216</v>
      </c>
      <c r="AS54" s="311" t="n">
        <v>169</v>
      </c>
      <c r="AT54" s="309" t="n">
        <v>139.2</v>
      </c>
      <c r="AU54" s="310" t="n">
        <v>169</v>
      </c>
      <c r="AV54" s="309" t="n">
        <v>139.2</v>
      </c>
      <c r="AW54" s="310" t="n">
        <v>236</v>
      </c>
      <c r="AX54" s="309" t="n">
        <v>72</v>
      </c>
      <c r="AY54" s="310" t="n">
        <v>236</v>
      </c>
      <c r="AZ54" s="309" t="n">
        <v>72</v>
      </c>
    </row>
    <row r="55" customFormat="false" ht="12.75" hidden="false" customHeight="false" outlineLevel="0" collapsed="false">
      <c r="A55" s="268"/>
      <c r="B55" s="306" t="s">
        <v>200</v>
      </c>
      <c r="C55" s="305" t="s">
        <v>476</v>
      </c>
      <c r="D55" s="306" t="n">
        <v>369</v>
      </c>
      <c r="E55" s="306" t="n">
        <v>3.25</v>
      </c>
      <c r="F55" s="324" t="s">
        <v>432</v>
      </c>
      <c r="G55" s="307" t="n">
        <v>24</v>
      </c>
      <c r="H55" s="143" t="n">
        <v>336.363636363636</v>
      </c>
      <c r="I55" s="410"/>
      <c r="J55" s="311" t="s">
        <v>12</v>
      </c>
      <c r="K55" s="309" t="s">
        <v>12</v>
      </c>
      <c r="L55" s="650"/>
      <c r="M55" s="651" t="s">
        <v>12</v>
      </c>
      <c r="N55" s="652" t="s">
        <v>12</v>
      </c>
      <c r="O55" s="651" t="s">
        <v>12</v>
      </c>
      <c r="P55" s="312" t="s">
        <v>12</v>
      </c>
      <c r="Q55" s="652" t="s">
        <v>12</v>
      </c>
      <c r="R55" s="312" t="s">
        <v>12</v>
      </c>
      <c r="S55" s="310"/>
      <c r="T55" s="651" t="n">
        <v>0</v>
      </c>
      <c r="U55" s="652" t="n">
        <v>11.2</v>
      </c>
      <c r="V55" s="651" t="n">
        <v>0</v>
      </c>
      <c r="W55" s="652" t="n">
        <v>7.5</v>
      </c>
      <c r="X55" s="651" t="n">
        <v>0</v>
      </c>
      <c r="Y55" s="312" t="n">
        <v>7.5</v>
      </c>
      <c r="Z55" s="313" t="n">
        <v>0</v>
      </c>
      <c r="AA55" s="314" t="n">
        <v>3.5</v>
      </c>
      <c r="AB55" s="313" t="n">
        <v>0</v>
      </c>
      <c r="AC55" s="314" t="n">
        <v>3.5</v>
      </c>
      <c r="AE55" s="324" t="n">
        <v>33</v>
      </c>
      <c r="AF55" s="315"/>
      <c r="AG55" s="311" t="n">
        <v>0</v>
      </c>
      <c r="AH55" s="309" t="n">
        <v>0</v>
      </c>
      <c r="AI55" s="310"/>
      <c r="AJ55" s="311" t="s">
        <v>12</v>
      </c>
      <c r="AK55" s="309" t="s">
        <v>12</v>
      </c>
      <c r="AL55" s="311" t="s">
        <v>12</v>
      </c>
      <c r="AM55" s="309" t="s">
        <v>12</v>
      </c>
      <c r="AN55" s="311" t="s">
        <v>12</v>
      </c>
      <c r="AO55" s="309" t="s">
        <v>12</v>
      </c>
      <c r="AP55" s="310"/>
      <c r="AQ55" s="311" t="n">
        <v>100</v>
      </c>
      <c r="AR55" s="309" t="n">
        <v>268.8</v>
      </c>
      <c r="AS55" s="311" t="n">
        <v>189</v>
      </c>
      <c r="AT55" s="309" t="n">
        <v>180</v>
      </c>
      <c r="AU55" s="311" t="n">
        <v>189</v>
      </c>
      <c r="AV55" s="309" t="n">
        <v>180</v>
      </c>
      <c r="AW55" s="311" t="n">
        <v>285</v>
      </c>
      <c r="AX55" s="309" t="n">
        <v>84</v>
      </c>
      <c r="AY55" s="311" t="n">
        <v>285</v>
      </c>
      <c r="AZ55" s="309" t="n">
        <v>84</v>
      </c>
    </row>
    <row r="56" customFormat="false" ht="12.75" hidden="false" customHeight="false" outlineLevel="0" collapsed="false">
      <c r="A56" s="268"/>
      <c r="B56" s="306" t="s">
        <v>200</v>
      </c>
      <c r="C56" s="305" t="s">
        <v>476</v>
      </c>
      <c r="D56" s="306" t="n">
        <v>369</v>
      </c>
      <c r="E56" s="306" t="n">
        <v>3.25</v>
      </c>
      <c r="F56" s="324" t="s">
        <v>432</v>
      </c>
      <c r="G56" s="144" t="n">
        <v>48</v>
      </c>
      <c r="H56" s="143" t="n">
        <v>336.363636363636</v>
      </c>
      <c r="I56" s="410"/>
      <c r="J56" s="311" t="s">
        <v>12</v>
      </c>
      <c r="K56" s="309" t="s">
        <v>12</v>
      </c>
      <c r="L56" s="650"/>
      <c r="M56" s="651" t="s">
        <v>12</v>
      </c>
      <c r="N56" s="652" t="s">
        <v>12</v>
      </c>
      <c r="O56" s="651" t="s">
        <v>12</v>
      </c>
      <c r="P56" s="312" t="s">
        <v>12</v>
      </c>
      <c r="Q56" s="652" t="s">
        <v>12</v>
      </c>
      <c r="R56" s="312" t="s">
        <v>12</v>
      </c>
      <c r="S56" s="310"/>
      <c r="T56" s="651" t="n">
        <v>0</v>
      </c>
      <c r="U56" s="652" t="n">
        <v>5.6</v>
      </c>
      <c r="V56" s="651" t="n">
        <v>0</v>
      </c>
      <c r="W56" s="652" t="n">
        <v>3.8</v>
      </c>
      <c r="X56" s="651" t="n">
        <v>0</v>
      </c>
      <c r="Y56" s="312" t="n">
        <v>3.8</v>
      </c>
      <c r="Z56" s="313" t="n">
        <v>0</v>
      </c>
      <c r="AA56" s="314" t="n">
        <v>1.8</v>
      </c>
      <c r="AB56" s="313" t="n">
        <v>0</v>
      </c>
      <c r="AC56" s="314" t="n">
        <v>1.8</v>
      </c>
      <c r="AE56" s="324" t="n">
        <v>33</v>
      </c>
      <c r="AF56" s="315"/>
      <c r="AG56" s="311" t="n">
        <v>0</v>
      </c>
      <c r="AH56" s="309" t="n">
        <v>0</v>
      </c>
      <c r="AI56" s="310"/>
      <c r="AJ56" s="311" t="s">
        <v>12</v>
      </c>
      <c r="AK56" s="309" t="s">
        <v>12</v>
      </c>
      <c r="AL56" s="311" t="s">
        <v>12</v>
      </c>
      <c r="AM56" s="309" t="s">
        <v>12</v>
      </c>
      <c r="AN56" s="310" t="s">
        <v>12</v>
      </c>
      <c r="AO56" s="309" t="s">
        <v>12</v>
      </c>
      <c r="AP56" s="310"/>
      <c r="AQ56" s="311" t="n">
        <v>100</v>
      </c>
      <c r="AR56" s="309" t="n">
        <v>268.8</v>
      </c>
      <c r="AS56" s="311" t="n">
        <v>187</v>
      </c>
      <c r="AT56" s="309" t="n">
        <v>182.4</v>
      </c>
      <c r="AU56" s="310" t="n">
        <v>187</v>
      </c>
      <c r="AV56" s="309" t="n">
        <v>182.4</v>
      </c>
      <c r="AW56" s="310" t="n">
        <v>283</v>
      </c>
      <c r="AX56" s="309" t="n">
        <v>86.4</v>
      </c>
      <c r="AY56" s="310" t="n">
        <v>283</v>
      </c>
      <c r="AZ56" s="309" t="n">
        <v>86.4</v>
      </c>
    </row>
    <row r="57" customFormat="false" ht="12.75" hidden="false" customHeight="false" outlineLevel="0" collapsed="false">
      <c r="A57" s="268"/>
      <c r="B57" s="306" t="s">
        <v>428</v>
      </c>
      <c r="C57" s="305" t="s">
        <v>494</v>
      </c>
      <c r="D57" s="306" t="n">
        <v>162</v>
      </c>
      <c r="E57" s="306" t="n">
        <v>3.25</v>
      </c>
      <c r="F57" s="324" t="s">
        <v>432</v>
      </c>
      <c r="G57" s="307" t="n">
        <v>24</v>
      </c>
      <c r="H57" s="143" t="n">
        <v>114.04958677686</v>
      </c>
      <c r="I57" s="410"/>
      <c r="J57" s="311" t="s">
        <v>12</v>
      </c>
      <c r="K57" s="309" t="s">
        <v>12</v>
      </c>
      <c r="L57" s="650"/>
      <c r="M57" s="651" t="n">
        <v>0</v>
      </c>
      <c r="N57" s="652" t="n">
        <v>1</v>
      </c>
      <c r="O57" s="651" t="n">
        <v>0</v>
      </c>
      <c r="P57" s="312" t="n">
        <v>2.1</v>
      </c>
      <c r="Q57" s="652" t="n">
        <v>0</v>
      </c>
      <c r="R57" s="312" t="n">
        <v>1.3</v>
      </c>
      <c r="S57" s="310"/>
      <c r="T57" s="651" t="n">
        <v>0</v>
      </c>
      <c r="U57" s="652" t="n">
        <v>4.4</v>
      </c>
      <c r="V57" s="651" t="n">
        <v>0</v>
      </c>
      <c r="W57" s="652" t="n">
        <v>1.7</v>
      </c>
      <c r="X57" s="651" t="n">
        <v>0</v>
      </c>
      <c r="Y57" s="312" t="n">
        <v>0.6</v>
      </c>
      <c r="Z57" s="313" t="n">
        <v>0</v>
      </c>
      <c r="AA57" s="314" t="n">
        <v>0.6</v>
      </c>
      <c r="AB57" s="313" t="n">
        <v>0</v>
      </c>
      <c r="AC57" s="314" t="n">
        <v>0.6</v>
      </c>
      <c r="AE57" s="324" t="n">
        <v>48</v>
      </c>
      <c r="AF57" s="315"/>
      <c r="AG57" s="311" t="n">
        <v>0</v>
      </c>
      <c r="AH57" s="309" t="n">
        <v>0</v>
      </c>
      <c r="AI57" s="310"/>
      <c r="AJ57" s="311" t="n">
        <v>138</v>
      </c>
      <c r="AK57" s="309" t="n">
        <v>24</v>
      </c>
      <c r="AL57" s="311" t="n">
        <v>112</v>
      </c>
      <c r="AM57" s="309" t="n">
        <v>50.4</v>
      </c>
      <c r="AN57" s="311" t="n">
        <v>131</v>
      </c>
      <c r="AO57" s="309" t="n">
        <v>31.2</v>
      </c>
      <c r="AP57" s="310"/>
      <c r="AQ57" s="311" t="n">
        <v>56</v>
      </c>
      <c r="AR57" s="309" t="n">
        <v>105.6</v>
      </c>
      <c r="AS57" s="311" t="n">
        <v>121</v>
      </c>
      <c r="AT57" s="309" t="n">
        <v>40.8</v>
      </c>
      <c r="AU57" s="311" t="n">
        <v>148</v>
      </c>
      <c r="AV57" s="309" t="n">
        <v>14.4</v>
      </c>
      <c r="AW57" s="311" t="n">
        <v>148</v>
      </c>
      <c r="AX57" s="309" t="n">
        <v>14.4</v>
      </c>
      <c r="AY57" s="311" t="n">
        <v>148</v>
      </c>
      <c r="AZ57" s="309" t="n">
        <v>14.4</v>
      </c>
    </row>
    <row r="58" customFormat="false" ht="12.75" hidden="false" customHeight="false" outlineLevel="0" collapsed="false">
      <c r="A58" s="268"/>
      <c r="B58" s="306" t="s">
        <v>428</v>
      </c>
      <c r="C58" s="305" t="s">
        <v>495</v>
      </c>
      <c r="D58" s="306" t="n">
        <v>161</v>
      </c>
      <c r="E58" s="306" t="n">
        <v>3.25</v>
      </c>
      <c r="F58" s="324" t="s">
        <v>432</v>
      </c>
      <c r="G58" s="144" t="n">
        <v>24</v>
      </c>
      <c r="H58" s="143" t="n">
        <v>134.710743801653</v>
      </c>
      <c r="I58" s="410"/>
      <c r="J58" s="311" t="s">
        <v>12</v>
      </c>
      <c r="K58" s="309" t="s">
        <v>12</v>
      </c>
      <c r="L58" s="650"/>
      <c r="M58" s="651" t="n">
        <v>19</v>
      </c>
      <c r="N58" s="652" t="n">
        <v>4.2</v>
      </c>
      <c r="O58" s="651" t="n">
        <v>0</v>
      </c>
      <c r="P58" s="312" t="n">
        <v>2.5</v>
      </c>
      <c r="Q58" s="652" t="n">
        <v>0</v>
      </c>
      <c r="R58" s="312" t="n">
        <v>1.7</v>
      </c>
      <c r="S58" s="310"/>
      <c r="T58" s="651" t="n">
        <v>0</v>
      </c>
      <c r="U58" s="652" t="n">
        <v>3.4</v>
      </c>
      <c r="V58" s="651" t="n">
        <v>0</v>
      </c>
      <c r="W58" s="652" t="n">
        <v>1.7</v>
      </c>
      <c r="X58" s="651" t="n">
        <v>0</v>
      </c>
      <c r="Y58" s="312" t="n">
        <v>0.7</v>
      </c>
      <c r="Z58" s="313" t="n">
        <v>0</v>
      </c>
      <c r="AA58" s="314" t="n">
        <v>0.7</v>
      </c>
      <c r="AB58" s="313" t="n">
        <v>0</v>
      </c>
      <c r="AC58" s="314" t="n">
        <v>0.7</v>
      </c>
      <c r="AE58" s="324" t="n">
        <v>26</v>
      </c>
      <c r="AF58" s="315"/>
      <c r="AG58" s="311" t="n">
        <v>0</v>
      </c>
      <c r="AH58" s="309" t="n">
        <v>0</v>
      </c>
      <c r="AI58" s="310"/>
      <c r="AJ58" s="311" t="n">
        <v>41</v>
      </c>
      <c r="AK58" s="309" t="n">
        <v>100.8</v>
      </c>
      <c r="AL58" s="311" t="n">
        <v>101</v>
      </c>
      <c r="AM58" s="309" t="n">
        <v>60</v>
      </c>
      <c r="AN58" s="310" t="n">
        <v>120</v>
      </c>
      <c r="AO58" s="309" t="n">
        <v>40.8</v>
      </c>
      <c r="AP58" s="310"/>
      <c r="AQ58" s="311" t="n">
        <v>79</v>
      </c>
      <c r="AR58" s="309" t="n">
        <v>81.6</v>
      </c>
      <c r="AS58" s="311" t="n">
        <v>120</v>
      </c>
      <c r="AT58" s="309" t="n">
        <v>40.8</v>
      </c>
      <c r="AU58" s="310" t="n">
        <v>144</v>
      </c>
      <c r="AV58" s="309" t="n">
        <v>16.8</v>
      </c>
      <c r="AW58" s="310" t="n">
        <v>144</v>
      </c>
      <c r="AX58" s="309" t="n">
        <v>16.8</v>
      </c>
      <c r="AY58" s="310" t="n">
        <v>144</v>
      </c>
      <c r="AZ58" s="309" t="n">
        <v>16.8</v>
      </c>
    </row>
    <row r="59" customFormat="false" ht="12.75" hidden="false" customHeight="false" outlineLevel="0" collapsed="false">
      <c r="A59" s="268"/>
      <c r="B59" s="306" t="s">
        <v>428</v>
      </c>
      <c r="C59" s="305" t="s">
        <v>495</v>
      </c>
      <c r="D59" s="306" t="n">
        <v>161</v>
      </c>
      <c r="E59" s="306" t="n">
        <v>3.25</v>
      </c>
      <c r="F59" s="324" t="s">
        <v>432</v>
      </c>
      <c r="G59" s="307" t="n">
        <v>48</v>
      </c>
      <c r="H59" s="143" t="n">
        <v>134.710743801653</v>
      </c>
      <c r="I59" s="410"/>
      <c r="J59" s="311" t="s">
        <v>12</v>
      </c>
      <c r="K59" s="309" t="s">
        <v>12</v>
      </c>
      <c r="L59" s="650"/>
      <c r="M59" s="651" t="n">
        <v>19</v>
      </c>
      <c r="N59" s="652" t="n">
        <v>2.1</v>
      </c>
      <c r="O59" s="651" t="n">
        <v>0</v>
      </c>
      <c r="P59" s="312" t="n">
        <v>1.3</v>
      </c>
      <c r="Q59" s="652" t="n">
        <v>0</v>
      </c>
      <c r="R59" s="312" t="n">
        <v>0.9</v>
      </c>
      <c r="S59" s="310"/>
      <c r="T59" s="651" t="n">
        <v>0</v>
      </c>
      <c r="U59" s="652" t="n">
        <v>1.7</v>
      </c>
      <c r="V59" s="651" t="n">
        <v>0</v>
      </c>
      <c r="W59" s="652" t="n">
        <v>0.9</v>
      </c>
      <c r="X59" s="651" t="n">
        <v>0</v>
      </c>
      <c r="Y59" s="312" t="n">
        <v>0.4</v>
      </c>
      <c r="Z59" s="313" t="n">
        <v>0</v>
      </c>
      <c r="AA59" s="314" t="n">
        <v>0.4</v>
      </c>
      <c r="AB59" s="313" t="n">
        <v>0</v>
      </c>
      <c r="AC59" s="314" t="n">
        <v>0.4</v>
      </c>
      <c r="AE59" s="324" t="n">
        <v>26</v>
      </c>
      <c r="AF59" s="315"/>
      <c r="AG59" s="311" t="n">
        <v>0</v>
      </c>
      <c r="AH59" s="309" t="n">
        <v>0</v>
      </c>
      <c r="AI59" s="310"/>
      <c r="AJ59" s="311" t="n">
        <v>41</v>
      </c>
      <c r="AK59" s="309" t="n">
        <v>100.8</v>
      </c>
      <c r="AL59" s="311" t="n">
        <v>99</v>
      </c>
      <c r="AM59" s="309" t="n">
        <v>62.4</v>
      </c>
      <c r="AN59" s="311" t="n">
        <v>118</v>
      </c>
      <c r="AO59" s="309" t="n">
        <v>43.2</v>
      </c>
      <c r="AP59" s="310"/>
      <c r="AQ59" s="311" t="n">
        <v>79</v>
      </c>
      <c r="AR59" s="309" t="n">
        <v>81.6</v>
      </c>
      <c r="AS59" s="311" t="n">
        <v>118</v>
      </c>
      <c r="AT59" s="309" t="n">
        <v>43.2</v>
      </c>
      <c r="AU59" s="311" t="n">
        <v>142</v>
      </c>
      <c r="AV59" s="309" t="n">
        <v>19.2</v>
      </c>
      <c r="AW59" s="311" t="n">
        <v>142</v>
      </c>
      <c r="AX59" s="309" t="n">
        <v>19.2</v>
      </c>
      <c r="AY59" s="311" t="n">
        <v>142</v>
      </c>
      <c r="AZ59" s="309" t="n">
        <v>19.2</v>
      </c>
    </row>
    <row r="60" customFormat="false" ht="12.75" hidden="false" customHeight="false" outlineLevel="0" collapsed="false">
      <c r="A60" s="268"/>
      <c r="B60" s="306" t="s">
        <v>428</v>
      </c>
      <c r="C60" s="305" t="s">
        <v>496</v>
      </c>
      <c r="D60" s="306" t="n">
        <v>294</v>
      </c>
      <c r="E60" s="306" t="n">
        <v>3.25</v>
      </c>
      <c r="F60" s="324" t="s">
        <v>432</v>
      </c>
      <c r="G60" s="144" t="n">
        <v>24</v>
      </c>
      <c r="H60" s="143" t="n">
        <v>248.760330578512</v>
      </c>
      <c r="I60" s="410"/>
      <c r="J60" s="311" t="s">
        <v>12</v>
      </c>
      <c r="K60" s="309" t="s">
        <v>12</v>
      </c>
      <c r="L60" s="650"/>
      <c r="M60" s="651" t="s">
        <v>12</v>
      </c>
      <c r="N60" s="652" t="s">
        <v>12</v>
      </c>
      <c r="O60" s="651" t="s">
        <v>12</v>
      </c>
      <c r="P60" s="312" t="s">
        <v>12</v>
      </c>
      <c r="Q60" s="652" t="s">
        <v>12</v>
      </c>
      <c r="R60" s="312" t="s">
        <v>12</v>
      </c>
      <c r="S60" s="310"/>
      <c r="T60" s="651" t="n">
        <v>0</v>
      </c>
      <c r="U60" s="652" t="n">
        <v>8.5</v>
      </c>
      <c r="V60" s="651" t="n">
        <v>0</v>
      </c>
      <c r="W60" s="652" t="n">
        <v>5</v>
      </c>
      <c r="X60" s="651" t="n">
        <v>0</v>
      </c>
      <c r="Y60" s="312" t="n">
        <v>5</v>
      </c>
      <c r="Z60" s="313" t="n">
        <v>0</v>
      </c>
      <c r="AA60" s="314" t="n">
        <v>5</v>
      </c>
      <c r="AB60" s="313" t="n">
        <v>0</v>
      </c>
      <c r="AC60" s="314" t="n">
        <v>5</v>
      </c>
      <c r="AE60" s="324" t="n">
        <v>45</v>
      </c>
      <c r="AF60" s="315"/>
      <c r="AG60" s="311" t="n">
        <v>0</v>
      </c>
      <c r="AH60" s="309" t="n">
        <v>0</v>
      </c>
      <c r="AI60" s="310"/>
      <c r="AJ60" s="311" t="s">
        <v>12</v>
      </c>
      <c r="AK60" s="309" t="s">
        <v>12</v>
      </c>
      <c r="AL60" s="311" t="s">
        <v>12</v>
      </c>
      <c r="AM60" s="309" t="s">
        <v>12</v>
      </c>
      <c r="AN60" s="310" t="s">
        <v>12</v>
      </c>
      <c r="AO60" s="309" t="s">
        <v>12</v>
      </c>
      <c r="AP60" s="310"/>
      <c r="AQ60" s="311" t="n">
        <v>90</v>
      </c>
      <c r="AR60" s="309" t="n">
        <v>204</v>
      </c>
      <c r="AS60" s="311" t="n">
        <v>174</v>
      </c>
      <c r="AT60" s="309" t="n">
        <v>120</v>
      </c>
      <c r="AU60" s="310" t="n">
        <v>174</v>
      </c>
      <c r="AV60" s="309" t="n">
        <v>120</v>
      </c>
      <c r="AW60" s="310" t="n">
        <v>174</v>
      </c>
      <c r="AX60" s="309" t="n">
        <v>120</v>
      </c>
      <c r="AY60" s="310" t="n">
        <v>174</v>
      </c>
      <c r="AZ60" s="309" t="n">
        <v>120</v>
      </c>
    </row>
    <row r="61" customFormat="false" ht="12.75" hidden="false" customHeight="false" outlineLevel="0" collapsed="false">
      <c r="A61" s="268"/>
      <c r="B61" s="306" t="s">
        <v>428</v>
      </c>
      <c r="C61" s="305" t="s">
        <v>496</v>
      </c>
      <c r="D61" s="306" t="n">
        <v>294</v>
      </c>
      <c r="E61" s="306" t="n">
        <v>3.25</v>
      </c>
      <c r="F61" s="324" t="s">
        <v>432</v>
      </c>
      <c r="G61" s="307" t="n">
        <v>48</v>
      </c>
      <c r="H61" s="143" t="n">
        <v>248.760330578512</v>
      </c>
      <c r="I61" s="410"/>
      <c r="J61" s="311" t="s">
        <v>12</v>
      </c>
      <c r="K61" s="309" t="s">
        <v>12</v>
      </c>
      <c r="L61" s="650"/>
      <c r="M61" s="651" t="s">
        <v>12</v>
      </c>
      <c r="N61" s="652" t="s">
        <v>12</v>
      </c>
      <c r="O61" s="651" t="s">
        <v>12</v>
      </c>
      <c r="P61" s="312" t="s">
        <v>12</v>
      </c>
      <c r="Q61" s="652" t="s">
        <v>12</v>
      </c>
      <c r="R61" s="312" t="s">
        <v>12</v>
      </c>
      <c r="S61" s="310"/>
      <c r="T61" s="651" t="n">
        <v>0</v>
      </c>
      <c r="U61" s="652" t="n">
        <v>4.3</v>
      </c>
      <c r="V61" s="651" t="n">
        <v>0</v>
      </c>
      <c r="W61" s="652" t="n">
        <v>2.5</v>
      </c>
      <c r="X61" s="651" t="n">
        <v>0</v>
      </c>
      <c r="Y61" s="312" t="n">
        <v>2.5</v>
      </c>
      <c r="Z61" s="313" t="n">
        <v>0</v>
      </c>
      <c r="AA61" s="314" t="n">
        <v>2.5</v>
      </c>
      <c r="AB61" s="313" t="n">
        <v>0</v>
      </c>
      <c r="AC61" s="314" t="n">
        <v>2.5</v>
      </c>
      <c r="AE61" s="324" t="n">
        <v>45</v>
      </c>
      <c r="AF61" s="315"/>
      <c r="AG61" s="311" t="n">
        <v>0</v>
      </c>
      <c r="AH61" s="309" t="n">
        <v>0</v>
      </c>
      <c r="AI61" s="310"/>
      <c r="AJ61" s="311" t="s">
        <v>12</v>
      </c>
      <c r="AK61" s="309" t="s">
        <v>12</v>
      </c>
      <c r="AL61" s="311" t="s">
        <v>12</v>
      </c>
      <c r="AM61" s="309" t="s">
        <v>12</v>
      </c>
      <c r="AN61" s="311" t="s">
        <v>12</v>
      </c>
      <c r="AO61" s="309" t="s">
        <v>12</v>
      </c>
      <c r="AP61" s="310"/>
      <c r="AQ61" s="311" t="n">
        <v>88</v>
      </c>
      <c r="AR61" s="309" t="n">
        <v>206.4</v>
      </c>
      <c r="AS61" s="311" t="n">
        <v>174</v>
      </c>
      <c r="AT61" s="309" t="n">
        <v>120</v>
      </c>
      <c r="AU61" s="311" t="n">
        <v>174</v>
      </c>
      <c r="AV61" s="309" t="n">
        <v>120</v>
      </c>
      <c r="AW61" s="311" t="n">
        <v>174</v>
      </c>
      <c r="AX61" s="309" t="n">
        <v>120</v>
      </c>
      <c r="AY61" s="311" t="n">
        <v>174</v>
      </c>
      <c r="AZ61" s="309" t="n">
        <v>120</v>
      </c>
    </row>
    <row r="62" customFormat="false" ht="12.75" hidden="false" customHeight="false" outlineLevel="0" collapsed="false">
      <c r="A62" s="268"/>
      <c r="B62" s="306" t="s">
        <v>497</v>
      </c>
      <c r="C62" s="305" t="s">
        <v>498</v>
      </c>
      <c r="D62" s="306" t="n">
        <v>174</v>
      </c>
      <c r="E62" s="306" t="n">
        <v>3.25</v>
      </c>
      <c r="F62" s="324" t="s">
        <v>432</v>
      </c>
      <c r="G62" s="144" t="n">
        <v>24</v>
      </c>
      <c r="H62" s="143" t="n">
        <v>88.4297520661157</v>
      </c>
      <c r="I62" s="410"/>
      <c r="J62" s="311" t="s">
        <v>12</v>
      </c>
      <c r="K62" s="309" t="s">
        <v>12</v>
      </c>
      <c r="L62" s="650"/>
      <c r="M62" s="651" t="n">
        <v>0</v>
      </c>
      <c r="N62" s="652" t="n">
        <v>1</v>
      </c>
      <c r="O62" s="651" t="n">
        <v>0</v>
      </c>
      <c r="P62" s="312" t="n">
        <v>0.9</v>
      </c>
      <c r="Q62" s="652" t="n">
        <v>0</v>
      </c>
      <c r="R62" s="312" t="n">
        <v>0.3</v>
      </c>
      <c r="S62" s="310"/>
      <c r="T62" s="651" t="n">
        <v>0</v>
      </c>
      <c r="U62" s="652" t="n">
        <v>0.9</v>
      </c>
      <c r="V62" s="651" t="n">
        <v>0</v>
      </c>
      <c r="W62" s="652" t="n">
        <v>0</v>
      </c>
      <c r="X62" s="651" t="n">
        <v>0</v>
      </c>
      <c r="Y62" s="312" t="n">
        <v>0</v>
      </c>
      <c r="Z62" s="313" t="n">
        <v>0</v>
      </c>
      <c r="AA62" s="314" t="n">
        <v>0</v>
      </c>
      <c r="AB62" s="313" t="n">
        <v>0</v>
      </c>
      <c r="AC62" s="314" t="n">
        <v>0</v>
      </c>
      <c r="AE62" s="324" t="n">
        <v>86</v>
      </c>
      <c r="AF62" s="315"/>
      <c r="AG62" s="311" t="n">
        <v>0</v>
      </c>
      <c r="AH62" s="309" t="n">
        <v>0</v>
      </c>
      <c r="AI62" s="310"/>
      <c r="AJ62" s="311" t="n">
        <v>150</v>
      </c>
      <c r="AK62" s="309" t="n">
        <v>24</v>
      </c>
      <c r="AL62" s="311" t="n">
        <v>152</v>
      </c>
      <c r="AM62" s="309" t="n">
        <v>21.6</v>
      </c>
      <c r="AN62" s="310" t="n">
        <v>167</v>
      </c>
      <c r="AO62" s="309" t="n">
        <v>7.2</v>
      </c>
      <c r="AP62" s="310"/>
      <c r="AQ62" s="311" t="n">
        <v>152</v>
      </c>
      <c r="AR62" s="309" t="n">
        <v>21.6</v>
      </c>
      <c r="AS62" s="311" t="n">
        <v>174</v>
      </c>
      <c r="AT62" s="309" t="n">
        <v>0</v>
      </c>
      <c r="AU62" s="310" t="n">
        <v>174</v>
      </c>
      <c r="AV62" s="309" t="n">
        <v>0</v>
      </c>
      <c r="AW62" s="310" t="n">
        <v>174</v>
      </c>
      <c r="AX62" s="309" t="n">
        <v>0</v>
      </c>
      <c r="AY62" s="310" t="n">
        <v>174</v>
      </c>
      <c r="AZ62" s="309" t="n">
        <v>0</v>
      </c>
    </row>
    <row r="63" customFormat="false" ht="12.75" hidden="false" customHeight="false" outlineLevel="0" collapsed="false">
      <c r="A63" s="268"/>
      <c r="B63" s="306" t="s">
        <v>497</v>
      </c>
      <c r="C63" s="305" t="s">
        <v>504</v>
      </c>
      <c r="D63" s="306" t="n">
        <v>205</v>
      </c>
      <c r="E63" s="306" t="n">
        <v>3.25</v>
      </c>
      <c r="F63" s="324" t="s">
        <v>432</v>
      </c>
      <c r="G63" s="307" t="n">
        <v>24</v>
      </c>
      <c r="H63" s="143" t="n">
        <v>128.925619834711</v>
      </c>
      <c r="I63" s="410"/>
      <c r="J63" s="311" t="s">
        <v>12</v>
      </c>
      <c r="K63" s="309" t="s">
        <v>12</v>
      </c>
      <c r="L63" s="650"/>
      <c r="M63" s="651" t="n">
        <v>19</v>
      </c>
      <c r="N63" s="652" t="n">
        <v>1.5</v>
      </c>
      <c r="O63" s="651" t="n">
        <v>0</v>
      </c>
      <c r="P63" s="312" t="n">
        <v>0.5</v>
      </c>
      <c r="Q63" s="652" t="n">
        <v>0</v>
      </c>
      <c r="R63" s="312" t="n">
        <v>0</v>
      </c>
      <c r="S63" s="310"/>
      <c r="T63" s="651" t="n">
        <v>0</v>
      </c>
      <c r="U63" s="652" t="n">
        <v>2.5</v>
      </c>
      <c r="V63" s="651" t="n">
        <v>0</v>
      </c>
      <c r="W63" s="652" t="n">
        <v>1.7</v>
      </c>
      <c r="X63" s="651" t="n">
        <v>0</v>
      </c>
      <c r="Y63" s="312" t="n">
        <v>0.7</v>
      </c>
      <c r="Z63" s="313" t="n">
        <v>0</v>
      </c>
      <c r="AA63" s="314" t="n">
        <v>0.7</v>
      </c>
      <c r="AB63" s="313" t="n">
        <v>0</v>
      </c>
      <c r="AC63" s="314" t="n">
        <v>0.7</v>
      </c>
      <c r="AE63" s="324" t="n">
        <v>76</v>
      </c>
      <c r="AF63" s="315"/>
      <c r="AG63" s="311" t="n">
        <v>0</v>
      </c>
      <c r="AH63" s="309" t="n">
        <v>0</v>
      </c>
      <c r="AI63" s="310"/>
      <c r="AJ63" s="311" t="n">
        <v>150</v>
      </c>
      <c r="AK63" s="309" t="n">
        <v>36</v>
      </c>
      <c r="AL63" s="311" t="n">
        <v>193</v>
      </c>
      <c r="AM63" s="309" t="n">
        <v>12</v>
      </c>
      <c r="AN63" s="311" t="n">
        <v>205</v>
      </c>
      <c r="AO63" s="309" t="n">
        <v>0</v>
      </c>
      <c r="AP63" s="310"/>
      <c r="AQ63" s="311" t="n">
        <v>145</v>
      </c>
      <c r="AR63" s="309" t="n">
        <v>60</v>
      </c>
      <c r="AS63" s="311" t="n">
        <v>164</v>
      </c>
      <c r="AT63" s="309" t="n">
        <v>40.8</v>
      </c>
      <c r="AU63" s="311" t="n">
        <v>188</v>
      </c>
      <c r="AV63" s="309" t="n">
        <v>16.8</v>
      </c>
      <c r="AW63" s="311" t="n">
        <v>188</v>
      </c>
      <c r="AX63" s="309" t="n">
        <v>16.8</v>
      </c>
      <c r="AY63" s="311" t="n">
        <v>188</v>
      </c>
      <c r="AZ63" s="309" t="n">
        <v>16.8</v>
      </c>
    </row>
    <row r="64" customFormat="false" ht="12.75" hidden="false" customHeight="false" outlineLevel="0" collapsed="false">
      <c r="A64" s="268"/>
      <c r="B64" s="306" t="s">
        <v>497</v>
      </c>
      <c r="C64" s="305" t="s">
        <v>504</v>
      </c>
      <c r="D64" s="306" t="n">
        <v>205</v>
      </c>
      <c r="E64" s="306" t="n">
        <v>3.25</v>
      </c>
      <c r="F64" s="324" t="s">
        <v>432</v>
      </c>
      <c r="G64" s="144" t="n">
        <v>48</v>
      </c>
      <c r="H64" s="143" t="n">
        <v>128.925619834711</v>
      </c>
      <c r="I64" s="410"/>
      <c r="J64" s="311" t="s">
        <v>12</v>
      </c>
      <c r="K64" s="309" t="s">
        <v>12</v>
      </c>
      <c r="L64" s="650"/>
      <c r="M64" s="651" t="n">
        <v>19</v>
      </c>
      <c r="N64" s="652" t="n">
        <v>0.8</v>
      </c>
      <c r="O64" s="651" t="n">
        <v>0</v>
      </c>
      <c r="P64" s="312" t="n">
        <v>0.3</v>
      </c>
      <c r="Q64" s="652" t="n">
        <v>0</v>
      </c>
      <c r="R64" s="312" t="n">
        <v>0</v>
      </c>
      <c r="S64" s="310"/>
      <c r="T64" s="651" t="n">
        <v>0</v>
      </c>
      <c r="U64" s="652" t="n">
        <v>1.3</v>
      </c>
      <c r="V64" s="651" t="n">
        <v>0</v>
      </c>
      <c r="W64" s="652" t="n">
        <v>0.9</v>
      </c>
      <c r="X64" s="651" t="n">
        <v>0</v>
      </c>
      <c r="Y64" s="312" t="n">
        <v>0.4</v>
      </c>
      <c r="Z64" s="313" t="n">
        <v>0</v>
      </c>
      <c r="AA64" s="314" t="n">
        <v>0.4</v>
      </c>
      <c r="AB64" s="313" t="n">
        <v>0</v>
      </c>
      <c r="AC64" s="314" t="n">
        <v>0.4</v>
      </c>
      <c r="AE64" s="324" t="n">
        <v>76</v>
      </c>
      <c r="AF64" s="315"/>
      <c r="AG64" s="311" t="n">
        <v>0</v>
      </c>
      <c r="AH64" s="309" t="n">
        <v>0</v>
      </c>
      <c r="AI64" s="310"/>
      <c r="AJ64" s="311" t="n">
        <v>148</v>
      </c>
      <c r="AK64" s="309" t="n">
        <v>38.4</v>
      </c>
      <c r="AL64" s="311" t="n">
        <v>191</v>
      </c>
      <c r="AM64" s="309" t="n">
        <v>14.4</v>
      </c>
      <c r="AN64" s="310" t="n">
        <v>205</v>
      </c>
      <c r="AO64" s="309" t="n">
        <v>0</v>
      </c>
      <c r="AP64" s="310"/>
      <c r="AQ64" s="311" t="n">
        <v>143</v>
      </c>
      <c r="AR64" s="309" t="n">
        <v>62.4</v>
      </c>
      <c r="AS64" s="311" t="n">
        <v>162</v>
      </c>
      <c r="AT64" s="309" t="n">
        <v>43.2</v>
      </c>
      <c r="AU64" s="310" t="n">
        <v>186</v>
      </c>
      <c r="AV64" s="309" t="n">
        <v>19.2</v>
      </c>
      <c r="AW64" s="310" t="n">
        <v>186</v>
      </c>
      <c r="AX64" s="309" t="n">
        <v>19.2</v>
      </c>
      <c r="AY64" s="310" t="n">
        <v>186</v>
      </c>
      <c r="AZ64" s="309" t="n">
        <v>19.2</v>
      </c>
    </row>
    <row r="65" customFormat="false" ht="12.75" hidden="false" customHeight="false" outlineLevel="0" collapsed="false">
      <c r="A65" s="268"/>
      <c r="B65" s="306" t="s">
        <v>497</v>
      </c>
      <c r="C65" s="305" t="s">
        <v>505</v>
      </c>
      <c r="D65" s="306" t="n">
        <v>281</v>
      </c>
      <c r="E65" s="306" t="n">
        <v>3.25</v>
      </c>
      <c r="F65" s="324" t="s">
        <v>432</v>
      </c>
      <c r="G65" s="307" t="n">
        <v>24</v>
      </c>
      <c r="H65" s="143" t="n">
        <v>154.545454545455</v>
      </c>
      <c r="I65" s="410"/>
      <c r="J65" s="311" t="s">
        <v>12</v>
      </c>
      <c r="K65" s="309" t="s">
        <v>12</v>
      </c>
      <c r="L65" s="650"/>
      <c r="M65" s="651" t="n">
        <v>29</v>
      </c>
      <c r="N65" s="652" t="n">
        <v>4.4</v>
      </c>
      <c r="O65" s="651" t="n">
        <v>0</v>
      </c>
      <c r="P65" s="312" t="n">
        <v>2.9</v>
      </c>
      <c r="Q65" s="652" t="n">
        <v>0</v>
      </c>
      <c r="R65" s="312" t="n">
        <v>2.1</v>
      </c>
      <c r="S65" s="310"/>
      <c r="T65" s="651" t="n">
        <v>0</v>
      </c>
      <c r="U65" s="652" t="n">
        <v>4.2</v>
      </c>
      <c r="V65" s="651" t="n">
        <v>0</v>
      </c>
      <c r="W65" s="652" t="n">
        <v>2.5</v>
      </c>
      <c r="X65" s="651" t="n">
        <v>0</v>
      </c>
      <c r="Y65" s="312" t="n">
        <v>1.5</v>
      </c>
      <c r="Z65" s="313" t="n">
        <v>0</v>
      </c>
      <c r="AA65" s="314" t="n">
        <v>1.5</v>
      </c>
      <c r="AB65" s="313" t="n">
        <v>0</v>
      </c>
      <c r="AC65" s="314" t="n">
        <v>1.5</v>
      </c>
      <c r="AE65" s="324" t="n">
        <v>126</v>
      </c>
      <c r="AF65" s="315"/>
      <c r="AG65" s="311" t="n">
        <v>0</v>
      </c>
      <c r="AH65" s="309" t="n">
        <v>0</v>
      </c>
      <c r="AI65" s="310"/>
      <c r="AJ65" s="311" t="n">
        <v>146</v>
      </c>
      <c r="AK65" s="309" t="n">
        <v>105.6</v>
      </c>
      <c r="AL65" s="311" t="n">
        <v>211</v>
      </c>
      <c r="AM65" s="309" t="n">
        <v>69.6</v>
      </c>
      <c r="AN65" s="311" t="n">
        <v>231</v>
      </c>
      <c r="AO65" s="309" t="n">
        <v>50.4</v>
      </c>
      <c r="AP65" s="310"/>
      <c r="AQ65" s="311" t="n">
        <v>180</v>
      </c>
      <c r="AR65" s="309" t="n">
        <v>100.8</v>
      </c>
      <c r="AS65" s="311" t="n">
        <v>221</v>
      </c>
      <c r="AT65" s="309" t="n">
        <v>60</v>
      </c>
      <c r="AU65" s="311" t="n">
        <v>245</v>
      </c>
      <c r="AV65" s="309" t="n">
        <v>36</v>
      </c>
      <c r="AW65" s="311" t="n">
        <v>245</v>
      </c>
      <c r="AX65" s="309" t="n">
        <v>36</v>
      </c>
      <c r="AY65" s="311" t="n">
        <v>245</v>
      </c>
      <c r="AZ65" s="309" t="n">
        <v>36</v>
      </c>
    </row>
    <row r="66" customFormat="false" ht="12.75" hidden="false" customHeight="false" outlineLevel="0" collapsed="false">
      <c r="A66" s="268"/>
      <c r="B66" s="306" t="s">
        <v>497</v>
      </c>
      <c r="C66" s="305" t="s">
        <v>505</v>
      </c>
      <c r="D66" s="306" t="n">
        <v>281</v>
      </c>
      <c r="E66" s="306" t="n">
        <v>3.25</v>
      </c>
      <c r="F66" s="324" t="s">
        <v>432</v>
      </c>
      <c r="G66" s="144" t="n">
        <v>48</v>
      </c>
      <c r="H66" s="143" t="n">
        <v>154.545454545455</v>
      </c>
      <c r="I66" s="410"/>
      <c r="J66" s="311" t="s">
        <v>12</v>
      </c>
      <c r="K66" s="309" t="s">
        <v>12</v>
      </c>
      <c r="L66" s="650"/>
      <c r="M66" s="651" t="n">
        <v>29</v>
      </c>
      <c r="N66" s="652" t="n">
        <v>2.2</v>
      </c>
      <c r="O66" s="651" t="n">
        <v>0</v>
      </c>
      <c r="P66" s="312" t="n">
        <v>1.5</v>
      </c>
      <c r="Q66" s="652" t="n">
        <v>0</v>
      </c>
      <c r="R66" s="312" t="n">
        <v>1.1</v>
      </c>
      <c r="S66" s="310"/>
      <c r="T66" s="651" t="n">
        <v>0</v>
      </c>
      <c r="U66" s="652" t="n">
        <v>2.1</v>
      </c>
      <c r="V66" s="651" t="n">
        <v>0</v>
      </c>
      <c r="W66" s="652" t="n">
        <v>1.3</v>
      </c>
      <c r="X66" s="651" t="n">
        <v>0</v>
      </c>
      <c r="Y66" s="312" t="n">
        <v>0.8</v>
      </c>
      <c r="Z66" s="313" t="n">
        <v>0</v>
      </c>
      <c r="AA66" s="314" t="n">
        <v>0.8</v>
      </c>
      <c r="AB66" s="313" t="n">
        <v>0</v>
      </c>
      <c r="AC66" s="314" t="n">
        <v>0.8</v>
      </c>
      <c r="AE66" s="324" t="n">
        <v>126</v>
      </c>
      <c r="AF66" s="315"/>
      <c r="AG66" s="311" t="n">
        <v>0</v>
      </c>
      <c r="AH66" s="309" t="n">
        <v>0</v>
      </c>
      <c r="AI66" s="310"/>
      <c r="AJ66" s="311" t="n">
        <v>146</v>
      </c>
      <c r="AK66" s="309" t="n">
        <v>105.6</v>
      </c>
      <c r="AL66" s="311" t="n">
        <v>209</v>
      </c>
      <c r="AM66" s="309" t="n">
        <v>72</v>
      </c>
      <c r="AN66" s="310" t="n">
        <v>228</v>
      </c>
      <c r="AO66" s="309" t="n">
        <v>52.8</v>
      </c>
      <c r="AP66" s="310"/>
      <c r="AQ66" s="311" t="n">
        <v>180</v>
      </c>
      <c r="AR66" s="309" t="n">
        <v>100.8</v>
      </c>
      <c r="AS66" s="311" t="n">
        <v>219</v>
      </c>
      <c r="AT66" s="309" t="n">
        <v>62.4</v>
      </c>
      <c r="AU66" s="310" t="n">
        <v>243</v>
      </c>
      <c r="AV66" s="309" t="n">
        <v>38.4</v>
      </c>
      <c r="AW66" s="310" t="n">
        <v>243</v>
      </c>
      <c r="AX66" s="309" t="n">
        <v>38.4</v>
      </c>
      <c r="AY66" s="310" t="n">
        <v>243</v>
      </c>
      <c r="AZ66" s="309" t="n">
        <v>38.4</v>
      </c>
    </row>
    <row r="67" customFormat="false" ht="12.75" hidden="false" customHeight="false" outlineLevel="0" collapsed="false">
      <c r="A67" s="268"/>
      <c r="B67" s="306" t="s">
        <v>497</v>
      </c>
      <c r="C67" s="327" t="s">
        <v>506</v>
      </c>
      <c r="D67" s="306" t="n">
        <v>164</v>
      </c>
      <c r="E67" s="306" t="n">
        <v>3.25</v>
      </c>
      <c r="F67" s="324" t="s">
        <v>432</v>
      </c>
      <c r="G67" s="307" t="n">
        <v>24</v>
      </c>
      <c r="H67" s="143" t="n">
        <v>87.603305785124</v>
      </c>
      <c r="I67" s="410"/>
      <c r="J67" s="311" t="s">
        <v>12</v>
      </c>
      <c r="K67" s="309" t="s">
        <v>12</v>
      </c>
      <c r="L67" s="650"/>
      <c r="M67" s="651" t="n">
        <v>0</v>
      </c>
      <c r="N67" s="652" t="n">
        <v>3.4</v>
      </c>
      <c r="O67" s="651" t="n">
        <v>0</v>
      </c>
      <c r="P67" s="312" t="n">
        <v>0.9</v>
      </c>
      <c r="Q67" s="652" t="n">
        <v>0</v>
      </c>
      <c r="R67" s="312" t="n">
        <v>0.3</v>
      </c>
      <c r="S67" s="310"/>
      <c r="T67" s="651" t="n">
        <v>0</v>
      </c>
      <c r="U67" s="652" t="n">
        <v>3.4</v>
      </c>
      <c r="V67" s="651" t="n">
        <v>0</v>
      </c>
      <c r="W67" s="652" t="n">
        <v>0.9</v>
      </c>
      <c r="X67" s="651" t="n">
        <v>0</v>
      </c>
      <c r="Y67" s="312" t="n">
        <v>0</v>
      </c>
      <c r="Z67" s="313" t="n">
        <v>0</v>
      </c>
      <c r="AA67" s="314" t="n">
        <v>0</v>
      </c>
      <c r="AB67" s="313" t="n">
        <v>0</v>
      </c>
      <c r="AC67" s="314" t="n">
        <v>0</v>
      </c>
      <c r="AE67" s="324" t="n">
        <v>76</v>
      </c>
      <c r="AF67" s="315"/>
      <c r="AG67" s="311" t="n">
        <v>0</v>
      </c>
      <c r="AH67" s="309" t="n">
        <v>0</v>
      </c>
      <c r="AI67" s="310"/>
      <c r="AJ67" s="311" t="n">
        <v>82</v>
      </c>
      <c r="AK67" s="309" t="n">
        <v>81.6</v>
      </c>
      <c r="AL67" s="311" t="n">
        <v>142</v>
      </c>
      <c r="AM67" s="309" t="n">
        <v>21.6</v>
      </c>
      <c r="AN67" s="311" t="n">
        <v>157</v>
      </c>
      <c r="AO67" s="309" t="n">
        <v>7.2</v>
      </c>
      <c r="AP67" s="310"/>
      <c r="AQ67" s="311" t="n">
        <v>82</v>
      </c>
      <c r="AR67" s="309" t="n">
        <v>81.6</v>
      </c>
      <c r="AS67" s="311" t="n">
        <v>142</v>
      </c>
      <c r="AT67" s="309" t="n">
        <v>21.6</v>
      </c>
      <c r="AU67" s="311" t="n">
        <v>164</v>
      </c>
      <c r="AV67" s="309" t="n">
        <v>0</v>
      </c>
      <c r="AW67" s="311" t="n">
        <v>164</v>
      </c>
      <c r="AX67" s="309" t="n">
        <v>0</v>
      </c>
      <c r="AY67" s="311" t="n">
        <v>164</v>
      </c>
      <c r="AZ67" s="309" t="n">
        <v>0</v>
      </c>
    </row>
    <row r="68" customFormat="false" ht="12.75" hidden="false" customHeight="false" outlineLevel="0" collapsed="false">
      <c r="A68" s="268"/>
      <c r="B68" s="306" t="s">
        <v>497</v>
      </c>
      <c r="C68" s="305" t="s">
        <v>507</v>
      </c>
      <c r="D68" s="306" t="n">
        <v>323</v>
      </c>
      <c r="E68" s="306" t="n">
        <v>3.25</v>
      </c>
      <c r="F68" s="324" t="s">
        <v>432</v>
      </c>
      <c r="G68" s="144" t="n">
        <v>24</v>
      </c>
      <c r="H68" s="143" t="n">
        <v>286.776859504132</v>
      </c>
      <c r="I68" s="410"/>
      <c r="J68" s="311" t="s">
        <v>12</v>
      </c>
      <c r="K68" s="309" t="s">
        <v>12</v>
      </c>
      <c r="L68" s="650"/>
      <c r="M68" s="651" t="s">
        <v>12</v>
      </c>
      <c r="N68" s="652" t="s">
        <v>12</v>
      </c>
      <c r="O68" s="651" t="s">
        <v>12</v>
      </c>
      <c r="P68" s="312" t="s">
        <v>12</v>
      </c>
      <c r="Q68" s="652" t="s">
        <v>12</v>
      </c>
      <c r="R68" s="312" t="s">
        <v>12</v>
      </c>
      <c r="S68" s="310"/>
      <c r="T68" s="651" t="n">
        <v>0</v>
      </c>
      <c r="U68" s="652" t="n">
        <v>7.3</v>
      </c>
      <c r="V68" s="651" t="n">
        <v>0</v>
      </c>
      <c r="W68" s="652" t="n">
        <v>5.8</v>
      </c>
      <c r="X68" s="651" t="n">
        <v>0</v>
      </c>
      <c r="Y68" s="312" t="n">
        <v>3.5</v>
      </c>
      <c r="Z68" s="313" t="n">
        <v>0</v>
      </c>
      <c r="AA68" s="314" t="n">
        <v>3.5</v>
      </c>
      <c r="AB68" s="313" t="n">
        <v>0</v>
      </c>
      <c r="AC68" s="314" t="n">
        <v>3.5</v>
      </c>
      <c r="AE68" s="324" t="n">
        <v>36</v>
      </c>
      <c r="AF68" s="315"/>
      <c r="AG68" s="311" t="n">
        <v>0</v>
      </c>
      <c r="AH68" s="309" t="n">
        <v>0</v>
      </c>
      <c r="AI68" s="310"/>
      <c r="AJ68" s="311" t="s">
        <v>12</v>
      </c>
      <c r="AK68" s="309" t="s">
        <v>12</v>
      </c>
      <c r="AL68" s="311" t="s">
        <v>12</v>
      </c>
      <c r="AM68" s="309" t="s">
        <v>12</v>
      </c>
      <c r="AN68" s="310" t="s">
        <v>12</v>
      </c>
      <c r="AO68" s="309" t="s">
        <v>12</v>
      </c>
      <c r="AP68" s="310"/>
      <c r="AQ68" s="311" t="n">
        <v>148</v>
      </c>
      <c r="AR68" s="309" t="n">
        <v>175.2</v>
      </c>
      <c r="AS68" s="311" t="n">
        <v>184</v>
      </c>
      <c r="AT68" s="309" t="n">
        <v>139.2</v>
      </c>
      <c r="AU68" s="310" t="n">
        <v>239</v>
      </c>
      <c r="AV68" s="309" t="n">
        <v>84</v>
      </c>
      <c r="AW68" s="310" t="n">
        <v>239</v>
      </c>
      <c r="AX68" s="309" t="n">
        <v>84</v>
      </c>
      <c r="AY68" s="310" t="n">
        <v>239</v>
      </c>
      <c r="AZ68" s="309" t="n">
        <v>84</v>
      </c>
    </row>
    <row r="69" customFormat="false" ht="12.75" hidden="false" customHeight="false" outlineLevel="0" collapsed="false">
      <c r="A69" s="268"/>
      <c r="B69" s="306" t="s">
        <v>497</v>
      </c>
      <c r="C69" s="305" t="s">
        <v>507</v>
      </c>
      <c r="D69" s="306" t="n">
        <v>323</v>
      </c>
      <c r="E69" s="306" t="n">
        <v>3.25</v>
      </c>
      <c r="F69" s="324" t="s">
        <v>432</v>
      </c>
      <c r="G69" s="307" t="n">
        <v>48</v>
      </c>
      <c r="H69" s="143" t="n">
        <v>286.776859504132</v>
      </c>
      <c r="I69" s="410"/>
      <c r="J69" s="311" t="s">
        <v>12</v>
      </c>
      <c r="K69" s="309" t="s">
        <v>12</v>
      </c>
      <c r="L69" s="650"/>
      <c r="M69" s="651" t="s">
        <v>12</v>
      </c>
      <c r="N69" s="652" t="s">
        <v>12</v>
      </c>
      <c r="O69" s="651" t="s">
        <v>12</v>
      </c>
      <c r="P69" s="312" t="s">
        <v>12</v>
      </c>
      <c r="Q69" s="652" t="s">
        <v>12</v>
      </c>
      <c r="R69" s="312" t="s">
        <v>12</v>
      </c>
      <c r="S69" s="310"/>
      <c r="T69" s="651" t="n">
        <v>0</v>
      </c>
      <c r="U69" s="652" t="n">
        <v>3.7</v>
      </c>
      <c r="V69" s="651" t="n">
        <v>0</v>
      </c>
      <c r="W69" s="652" t="n">
        <v>2.9</v>
      </c>
      <c r="X69" s="651" t="n">
        <v>0</v>
      </c>
      <c r="Y69" s="312" t="n">
        <v>1.8</v>
      </c>
      <c r="Z69" s="313" t="n">
        <v>0</v>
      </c>
      <c r="AA69" s="314" t="n">
        <v>1.8</v>
      </c>
      <c r="AB69" s="313" t="n">
        <v>0</v>
      </c>
      <c r="AC69" s="314" t="n">
        <v>1.8</v>
      </c>
      <c r="AE69" s="324" t="n">
        <v>36</v>
      </c>
      <c r="AF69" s="315"/>
      <c r="AG69" s="311" t="n">
        <v>0</v>
      </c>
      <c r="AH69" s="309" t="n">
        <v>0</v>
      </c>
      <c r="AI69" s="310"/>
      <c r="AJ69" s="311" t="s">
        <v>12</v>
      </c>
      <c r="AK69" s="309" t="s">
        <v>12</v>
      </c>
      <c r="AL69" s="311" t="s">
        <v>12</v>
      </c>
      <c r="AM69" s="309" t="s">
        <v>12</v>
      </c>
      <c r="AN69" s="311" t="s">
        <v>12</v>
      </c>
      <c r="AO69" s="309" t="s">
        <v>12</v>
      </c>
      <c r="AP69" s="310"/>
      <c r="AQ69" s="311" t="n">
        <v>145</v>
      </c>
      <c r="AR69" s="309" t="n">
        <v>177.6</v>
      </c>
      <c r="AS69" s="311" t="n">
        <v>184</v>
      </c>
      <c r="AT69" s="309" t="n">
        <v>139.2</v>
      </c>
      <c r="AU69" s="311" t="n">
        <v>237</v>
      </c>
      <c r="AV69" s="309" t="n">
        <v>86.4</v>
      </c>
      <c r="AW69" s="311" t="n">
        <v>237</v>
      </c>
      <c r="AX69" s="309" t="n">
        <v>86.4</v>
      </c>
      <c r="AY69" s="311" t="n">
        <v>237</v>
      </c>
      <c r="AZ69" s="309" t="n">
        <v>86.4</v>
      </c>
    </row>
    <row r="70" customFormat="false" ht="12.75" hidden="false" customHeight="false" outlineLevel="0" collapsed="false">
      <c r="A70" s="268"/>
      <c r="B70" s="306" t="s">
        <v>497</v>
      </c>
      <c r="C70" s="305" t="s">
        <v>508</v>
      </c>
      <c r="D70" s="306" t="n">
        <v>415</v>
      </c>
      <c r="E70" s="306" t="n">
        <v>3.25</v>
      </c>
      <c r="F70" s="324" t="s">
        <v>432</v>
      </c>
      <c r="G70" s="144" t="n">
        <v>24</v>
      </c>
      <c r="H70" s="143" t="n">
        <v>303.305785123967</v>
      </c>
      <c r="I70" s="410"/>
      <c r="J70" s="311" t="s">
        <v>12</v>
      </c>
      <c r="K70" s="309" t="s">
        <v>12</v>
      </c>
      <c r="L70" s="650"/>
      <c r="M70" s="651" t="s">
        <v>12</v>
      </c>
      <c r="N70" s="652" t="s">
        <v>12</v>
      </c>
      <c r="O70" s="651" t="s">
        <v>12</v>
      </c>
      <c r="P70" s="312" t="s">
        <v>12</v>
      </c>
      <c r="Q70" s="652" t="s">
        <v>12</v>
      </c>
      <c r="R70" s="312" t="s">
        <v>12</v>
      </c>
      <c r="S70" s="310"/>
      <c r="T70" s="651" t="n">
        <v>0</v>
      </c>
      <c r="U70" s="652" t="n">
        <v>10</v>
      </c>
      <c r="V70" s="651" t="n">
        <v>0</v>
      </c>
      <c r="W70" s="652" t="n">
        <v>6.7</v>
      </c>
      <c r="X70" s="651" t="n">
        <v>0</v>
      </c>
      <c r="Y70" s="312" t="n">
        <v>5</v>
      </c>
      <c r="Z70" s="313" t="n">
        <v>0</v>
      </c>
      <c r="AA70" s="314" t="n">
        <v>5</v>
      </c>
      <c r="AB70" s="313" t="n">
        <v>0</v>
      </c>
      <c r="AC70" s="314" t="n">
        <v>5</v>
      </c>
      <c r="AE70" s="324" t="n">
        <v>112</v>
      </c>
      <c r="AF70" s="315"/>
      <c r="AG70" s="311" t="n">
        <v>0</v>
      </c>
      <c r="AH70" s="309" t="n">
        <v>0</v>
      </c>
      <c r="AI70" s="310"/>
      <c r="AJ70" s="311" t="s">
        <v>12</v>
      </c>
      <c r="AK70" s="309" t="s">
        <v>12</v>
      </c>
      <c r="AL70" s="311" t="s">
        <v>12</v>
      </c>
      <c r="AM70" s="309" t="s">
        <v>12</v>
      </c>
      <c r="AN70" s="310" t="s">
        <v>12</v>
      </c>
      <c r="AO70" s="309" t="s">
        <v>12</v>
      </c>
      <c r="AP70" s="310"/>
      <c r="AQ70" s="311" t="n">
        <v>175</v>
      </c>
      <c r="AR70" s="309" t="n">
        <v>240</v>
      </c>
      <c r="AS70" s="311" t="n">
        <v>254</v>
      </c>
      <c r="AT70" s="309" t="n">
        <v>160.8</v>
      </c>
      <c r="AU70" s="310" t="n">
        <v>295</v>
      </c>
      <c r="AV70" s="309" t="n">
        <v>120</v>
      </c>
      <c r="AW70" s="310" t="n">
        <v>295</v>
      </c>
      <c r="AX70" s="309" t="n">
        <v>120</v>
      </c>
      <c r="AY70" s="310" t="n">
        <v>295</v>
      </c>
      <c r="AZ70" s="309" t="n">
        <v>120</v>
      </c>
    </row>
    <row r="71" customFormat="false" ht="12.75" hidden="false" customHeight="false" outlineLevel="0" collapsed="false">
      <c r="A71" s="268"/>
      <c r="B71" s="306" t="s">
        <v>497</v>
      </c>
      <c r="C71" s="305" t="s">
        <v>508</v>
      </c>
      <c r="D71" s="306" t="n">
        <v>415</v>
      </c>
      <c r="E71" s="306" t="n">
        <v>3.25</v>
      </c>
      <c r="F71" s="324" t="s">
        <v>432</v>
      </c>
      <c r="G71" s="307" t="n">
        <v>48</v>
      </c>
      <c r="H71" s="143" t="n">
        <v>303.305785123967</v>
      </c>
      <c r="I71" s="410"/>
      <c r="J71" s="311" t="s">
        <v>12</v>
      </c>
      <c r="K71" s="309" t="s">
        <v>12</v>
      </c>
      <c r="L71" s="650"/>
      <c r="M71" s="651" t="s">
        <v>12</v>
      </c>
      <c r="N71" s="652" t="s">
        <v>12</v>
      </c>
      <c r="O71" s="651" t="s">
        <v>12</v>
      </c>
      <c r="P71" s="312" t="s">
        <v>12</v>
      </c>
      <c r="Q71" s="652" t="s">
        <v>12</v>
      </c>
      <c r="R71" s="312" t="s">
        <v>12</v>
      </c>
      <c r="S71" s="310"/>
      <c r="T71" s="651" t="n">
        <v>0</v>
      </c>
      <c r="U71" s="652" t="n">
        <v>5</v>
      </c>
      <c r="V71" s="651" t="n">
        <v>0</v>
      </c>
      <c r="W71" s="652" t="n">
        <v>3.4</v>
      </c>
      <c r="X71" s="651" t="n">
        <v>0</v>
      </c>
      <c r="Y71" s="312" t="n">
        <v>2.5</v>
      </c>
      <c r="Z71" s="313" t="n">
        <v>0</v>
      </c>
      <c r="AA71" s="314" t="n">
        <v>2.5</v>
      </c>
      <c r="AB71" s="313" t="n">
        <v>0</v>
      </c>
      <c r="AC71" s="314" t="n">
        <v>2.5</v>
      </c>
      <c r="AE71" s="324" t="n">
        <v>112</v>
      </c>
      <c r="AF71" s="315"/>
      <c r="AG71" s="311" t="n">
        <v>0</v>
      </c>
      <c r="AH71" s="309" t="n">
        <v>0</v>
      </c>
      <c r="AI71" s="310"/>
      <c r="AJ71" s="311" t="s">
        <v>12</v>
      </c>
      <c r="AK71" s="309" t="s">
        <v>12</v>
      </c>
      <c r="AL71" s="311" t="s">
        <v>12</v>
      </c>
      <c r="AM71" s="309" t="s">
        <v>12</v>
      </c>
      <c r="AN71" s="311" t="s">
        <v>12</v>
      </c>
      <c r="AO71" s="309" t="s">
        <v>12</v>
      </c>
      <c r="AP71" s="310"/>
      <c r="AQ71" s="311" t="n">
        <v>175</v>
      </c>
      <c r="AR71" s="309" t="n">
        <v>240</v>
      </c>
      <c r="AS71" s="311" t="n">
        <v>252</v>
      </c>
      <c r="AT71" s="309" t="n">
        <v>163.2</v>
      </c>
      <c r="AU71" s="311" t="n">
        <v>295</v>
      </c>
      <c r="AV71" s="309" t="n">
        <v>120</v>
      </c>
      <c r="AW71" s="311" t="n">
        <v>295</v>
      </c>
      <c r="AX71" s="309" t="n">
        <v>120</v>
      </c>
      <c r="AY71" s="311" t="n">
        <v>295</v>
      </c>
      <c r="AZ71" s="309" t="n">
        <v>120</v>
      </c>
    </row>
    <row r="72" customFormat="false" ht="12.75" hidden="false" customHeight="false" outlineLevel="0" collapsed="false">
      <c r="A72" s="268"/>
      <c r="B72" s="306" t="s">
        <v>510</v>
      </c>
      <c r="C72" s="305" t="s">
        <v>511</v>
      </c>
      <c r="D72" s="306" t="n">
        <v>148</v>
      </c>
      <c r="E72" s="306" t="n">
        <v>3.25</v>
      </c>
      <c r="F72" s="324" t="s">
        <v>432</v>
      </c>
      <c r="G72" s="144" t="n">
        <v>24</v>
      </c>
      <c r="H72" s="143" t="n">
        <v>96.6942148760331</v>
      </c>
      <c r="I72" s="410"/>
      <c r="J72" s="311" t="s">
        <v>12</v>
      </c>
      <c r="K72" s="309" t="s">
        <v>12</v>
      </c>
      <c r="L72" s="650"/>
      <c r="M72" s="651" t="n">
        <v>0</v>
      </c>
      <c r="N72" s="652" t="n">
        <v>1.5</v>
      </c>
      <c r="O72" s="651" t="n">
        <v>0</v>
      </c>
      <c r="P72" s="312" t="n">
        <v>1.3</v>
      </c>
      <c r="Q72" s="652" t="n">
        <v>0</v>
      </c>
      <c r="R72" s="312" t="n">
        <v>0.5</v>
      </c>
      <c r="S72" s="310"/>
      <c r="T72" s="651" t="n">
        <v>0</v>
      </c>
      <c r="U72" s="652" t="n">
        <v>2.1</v>
      </c>
      <c r="V72" s="651" t="n">
        <v>0</v>
      </c>
      <c r="W72" s="652" t="n">
        <v>0.3</v>
      </c>
      <c r="X72" s="651" t="n">
        <v>0</v>
      </c>
      <c r="Y72" s="312" t="n">
        <v>0.3</v>
      </c>
      <c r="Z72" s="313" t="n">
        <v>0</v>
      </c>
      <c r="AA72" s="314" t="n">
        <v>0.3</v>
      </c>
      <c r="AB72" s="313" t="n">
        <v>0</v>
      </c>
      <c r="AC72" s="314" t="n">
        <v>0.3</v>
      </c>
      <c r="AE72" s="324" t="n">
        <v>51</v>
      </c>
      <c r="AF72" s="315"/>
      <c r="AG72" s="311" t="n">
        <v>0</v>
      </c>
      <c r="AH72" s="309" t="n">
        <v>0</v>
      </c>
      <c r="AI72" s="310"/>
      <c r="AJ72" s="311" t="n">
        <v>112</v>
      </c>
      <c r="AK72" s="309" t="n">
        <v>36</v>
      </c>
      <c r="AL72" s="311" t="n">
        <v>117</v>
      </c>
      <c r="AM72" s="309" t="n">
        <v>31.2</v>
      </c>
      <c r="AN72" s="310" t="n">
        <v>136</v>
      </c>
      <c r="AO72" s="309" t="n">
        <v>12</v>
      </c>
      <c r="AP72" s="310"/>
      <c r="AQ72" s="311" t="n">
        <v>98</v>
      </c>
      <c r="AR72" s="309" t="n">
        <v>50.4</v>
      </c>
      <c r="AS72" s="311" t="n">
        <v>141</v>
      </c>
      <c r="AT72" s="309" t="n">
        <v>7.2</v>
      </c>
      <c r="AU72" s="310" t="n">
        <v>141</v>
      </c>
      <c r="AV72" s="309" t="n">
        <v>7.2</v>
      </c>
      <c r="AW72" s="310" t="n">
        <v>141</v>
      </c>
      <c r="AX72" s="309" t="n">
        <v>7.2</v>
      </c>
      <c r="AY72" s="310" t="n">
        <v>141</v>
      </c>
      <c r="AZ72" s="309" t="n">
        <v>7.2</v>
      </c>
    </row>
    <row r="73" customFormat="false" ht="12.75" hidden="false" customHeight="false" outlineLevel="0" collapsed="false">
      <c r="A73" s="268"/>
      <c r="B73" s="306" t="s">
        <v>510</v>
      </c>
      <c r="C73" s="305" t="s">
        <v>511</v>
      </c>
      <c r="D73" s="306" t="n">
        <v>148</v>
      </c>
      <c r="E73" s="306" t="n">
        <v>3.25</v>
      </c>
      <c r="F73" s="324" t="s">
        <v>432</v>
      </c>
      <c r="G73" s="307" t="n">
        <v>48</v>
      </c>
      <c r="H73" s="143" t="n">
        <v>96.6942148760331</v>
      </c>
      <c r="I73" s="410"/>
      <c r="J73" s="311" t="s">
        <v>12</v>
      </c>
      <c r="K73" s="309" t="s">
        <v>12</v>
      </c>
      <c r="L73" s="650"/>
      <c r="M73" s="651" t="n">
        <v>0</v>
      </c>
      <c r="N73" s="652" t="n">
        <v>0.8</v>
      </c>
      <c r="O73" s="651" t="n">
        <v>0</v>
      </c>
      <c r="P73" s="312" t="n">
        <v>0.7</v>
      </c>
      <c r="Q73" s="652" t="n">
        <v>0</v>
      </c>
      <c r="R73" s="312" t="n">
        <v>0.3</v>
      </c>
      <c r="S73" s="310"/>
      <c r="T73" s="651" t="n">
        <v>0</v>
      </c>
      <c r="U73" s="652" t="n">
        <v>1.1</v>
      </c>
      <c r="V73" s="651" t="n">
        <v>0</v>
      </c>
      <c r="W73" s="652" t="n">
        <v>0.2</v>
      </c>
      <c r="X73" s="651" t="n">
        <v>0</v>
      </c>
      <c r="Y73" s="312" t="n">
        <v>0.2</v>
      </c>
      <c r="Z73" s="313" t="n">
        <v>0</v>
      </c>
      <c r="AA73" s="314" t="n">
        <v>0.2</v>
      </c>
      <c r="AB73" s="313" t="n">
        <v>0</v>
      </c>
      <c r="AC73" s="314" t="n">
        <v>0.2</v>
      </c>
      <c r="AE73" s="324" t="n">
        <v>51</v>
      </c>
      <c r="AF73" s="315"/>
      <c r="AG73" s="311" t="n">
        <v>0</v>
      </c>
      <c r="AH73" s="309" t="n">
        <v>0</v>
      </c>
      <c r="AI73" s="310"/>
      <c r="AJ73" s="311" t="n">
        <v>110</v>
      </c>
      <c r="AK73" s="309" t="n">
        <v>38.4</v>
      </c>
      <c r="AL73" s="311" t="n">
        <v>114</v>
      </c>
      <c r="AM73" s="309" t="n">
        <v>33.6</v>
      </c>
      <c r="AN73" s="311" t="n">
        <v>134</v>
      </c>
      <c r="AO73" s="309" t="n">
        <v>14.4</v>
      </c>
      <c r="AP73" s="310"/>
      <c r="AQ73" s="311" t="n">
        <v>95</v>
      </c>
      <c r="AR73" s="309" t="n">
        <v>52.8</v>
      </c>
      <c r="AS73" s="311" t="n">
        <v>138</v>
      </c>
      <c r="AT73" s="309" t="n">
        <v>9.6</v>
      </c>
      <c r="AU73" s="311" t="n">
        <v>138</v>
      </c>
      <c r="AV73" s="309" t="n">
        <v>9.6</v>
      </c>
      <c r="AW73" s="311" t="n">
        <v>138</v>
      </c>
      <c r="AX73" s="309" t="n">
        <v>9.6</v>
      </c>
      <c r="AY73" s="311" t="n">
        <v>138</v>
      </c>
      <c r="AZ73" s="309" t="n">
        <v>9.6</v>
      </c>
      <c r="BA73" s="2"/>
      <c r="BB73" s="2"/>
      <c r="BC73" s="2"/>
      <c r="BD73" s="2"/>
      <c r="BE73" s="2"/>
      <c r="BF73" s="2"/>
      <c r="BG73" s="2"/>
      <c r="BH73" s="2"/>
      <c r="BI73" s="2"/>
    </row>
    <row r="74" customFormat="false" ht="12.75" hidden="false" customHeight="false" outlineLevel="0" collapsed="false">
      <c r="A74" s="268"/>
      <c r="B74" s="306" t="s">
        <v>190</v>
      </c>
      <c r="C74" s="305" t="s">
        <v>513</v>
      </c>
      <c r="D74" s="306" t="n">
        <v>215</v>
      </c>
      <c r="E74" s="306" t="n">
        <v>0</v>
      </c>
      <c r="F74" s="324" t="s">
        <v>514</v>
      </c>
      <c r="G74" s="144" t="n">
        <v>24</v>
      </c>
      <c r="H74" s="143" t="n">
        <v>214.04958677686</v>
      </c>
      <c r="I74" s="410"/>
      <c r="J74" s="311" t="s">
        <v>12</v>
      </c>
      <c r="K74" s="309" t="s">
        <v>12</v>
      </c>
      <c r="L74" s="650"/>
      <c r="M74" s="651" t="s">
        <v>12</v>
      </c>
      <c r="N74" s="652" t="s">
        <v>12</v>
      </c>
      <c r="O74" s="651" t="s">
        <v>12</v>
      </c>
      <c r="P74" s="312" t="s">
        <v>12</v>
      </c>
      <c r="Q74" s="652" t="s">
        <v>12</v>
      </c>
      <c r="R74" s="312" t="s">
        <v>12</v>
      </c>
      <c r="S74" s="310"/>
      <c r="T74" s="651" t="n">
        <v>0</v>
      </c>
      <c r="U74" s="652" t="n">
        <v>6.5</v>
      </c>
      <c r="V74" s="651" t="n">
        <v>0</v>
      </c>
      <c r="W74" s="652" t="n">
        <v>2</v>
      </c>
      <c r="X74" s="651" t="n">
        <v>0</v>
      </c>
      <c r="Y74" s="312" t="n">
        <v>1</v>
      </c>
      <c r="Z74" s="313" t="n">
        <v>0</v>
      </c>
      <c r="AA74" s="314" t="n">
        <v>1</v>
      </c>
      <c r="AB74" s="313" t="n">
        <v>0</v>
      </c>
      <c r="AC74" s="314" t="n">
        <v>1</v>
      </c>
      <c r="AE74" s="324" t="n">
        <v>1</v>
      </c>
      <c r="AF74" s="315"/>
      <c r="AG74" s="311" t="n">
        <v>0</v>
      </c>
      <c r="AH74" s="309" t="n">
        <v>0</v>
      </c>
      <c r="AI74" s="310"/>
      <c r="AJ74" s="311" t="s">
        <v>12</v>
      </c>
      <c r="AK74" s="309" t="s">
        <v>12</v>
      </c>
      <c r="AL74" s="311" t="s">
        <v>12</v>
      </c>
      <c r="AM74" s="309" t="s">
        <v>12</v>
      </c>
      <c r="AN74" s="310" t="s">
        <v>12</v>
      </c>
      <c r="AO74" s="309" t="s">
        <v>12</v>
      </c>
      <c r="AP74" s="310"/>
      <c r="AQ74" s="311" t="n">
        <v>59</v>
      </c>
      <c r="AR74" s="309" t="n">
        <v>156</v>
      </c>
      <c r="AS74" s="311" t="n">
        <v>167</v>
      </c>
      <c r="AT74" s="309" t="n">
        <v>48</v>
      </c>
      <c r="AU74" s="310" t="n">
        <v>191</v>
      </c>
      <c r="AV74" s="309" t="n">
        <v>24</v>
      </c>
      <c r="AW74" s="310" t="n">
        <v>191</v>
      </c>
      <c r="AX74" s="309" t="n">
        <v>24</v>
      </c>
      <c r="AY74" s="310" t="n">
        <v>191</v>
      </c>
      <c r="AZ74" s="309" t="n">
        <v>24</v>
      </c>
      <c r="BA74" s="2"/>
      <c r="BB74" s="2"/>
      <c r="BC74" s="2"/>
      <c r="BD74" s="2"/>
      <c r="BE74" s="2"/>
      <c r="BF74" s="2"/>
      <c r="BG74" s="2"/>
      <c r="BH74" s="2"/>
      <c r="BI74" s="2"/>
    </row>
    <row r="75" customFormat="false" ht="12.75" hidden="false" customHeight="false" outlineLevel="0" collapsed="false">
      <c r="A75" s="268"/>
      <c r="B75" s="306" t="s">
        <v>428</v>
      </c>
      <c r="C75" s="305" t="s">
        <v>529</v>
      </c>
      <c r="D75" s="306" t="n">
        <v>159</v>
      </c>
      <c r="E75" s="306" t="n">
        <v>0</v>
      </c>
      <c r="F75" s="324" t="s">
        <v>514</v>
      </c>
      <c r="G75" s="307" t="n">
        <v>24</v>
      </c>
      <c r="H75" s="143" t="n">
        <v>158.677685950413</v>
      </c>
      <c r="I75" s="410"/>
      <c r="J75" s="311" t="s">
        <v>12</v>
      </c>
      <c r="K75" s="309" t="s">
        <v>12</v>
      </c>
      <c r="L75" s="650"/>
      <c r="M75" s="651" t="n">
        <v>29</v>
      </c>
      <c r="N75" s="652" t="n">
        <v>4.4</v>
      </c>
      <c r="O75" s="651" t="n">
        <v>0</v>
      </c>
      <c r="P75" s="312" t="n">
        <v>3.1</v>
      </c>
      <c r="Q75" s="652" t="n">
        <v>0</v>
      </c>
      <c r="R75" s="312" t="n">
        <v>2.3</v>
      </c>
      <c r="S75" s="310"/>
      <c r="T75" s="651" t="n">
        <v>0</v>
      </c>
      <c r="U75" s="652" t="n">
        <v>5.4</v>
      </c>
      <c r="V75" s="651" t="n">
        <v>0</v>
      </c>
      <c r="W75" s="652" t="n">
        <v>1</v>
      </c>
      <c r="X75" s="651" t="n">
        <v>0</v>
      </c>
      <c r="Y75" s="312" t="n">
        <v>0.5</v>
      </c>
      <c r="Z75" s="313" t="n">
        <v>0</v>
      </c>
      <c r="AA75" s="314" t="n">
        <v>0.5</v>
      </c>
      <c r="AB75" s="313" t="n">
        <v>0</v>
      </c>
      <c r="AC75" s="314" t="n">
        <v>0.5</v>
      </c>
      <c r="AE75" s="324" t="n">
        <v>0</v>
      </c>
      <c r="AF75" s="315"/>
      <c r="AG75" s="311" t="n">
        <v>0</v>
      </c>
      <c r="AH75" s="309" t="n">
        <v>0</v>
      </c>
      <c r="AI75" s="310"/>
      <c r="AJ75" s="311" t="n">
        <v>24</v>
      </c>
      <c r="AK75" s="309" t="n">
        <v>105.6</v>
      </c>
      <c r="AL75" s="311" t="n">
        <v>85</v>
      </c>
      <c r="AM75" s="309" t="n">
        <v>74.4</v>
      </c>
      <c r="AN75" s="311" t="n">
        <v>104</v>
      </c>
      <c r="AO75" s="309" t="n">
        <v>55.2</v>
      </c>
      <c r="AP75" s="310"/>
      <c r="AQ75" s="311" t="n">
        <v>29</v>
      </c>
      <c r="AR75" s="309" t="n">
        <v>129.6</v>
      </c>
      <c r="AS75" s="311" t="n">
        <v>135</v>
      </c>
      <c r="AT75" s="309" t="n">
        <v>24</v>
      </c>
      <c r="AU75" s="311" t="n">
        <v>147</v>
      </c>
      <c r="AV75" s="309" t="n">
        <v>12</v>
      </c>
      <c r="AW75" s="311" t="n">
        <v>147</v>
      </c>
      <c r="AX75" s="309" t="n">
        <v>12</v>
      </c>
      <c r="AY75" s="311" t="n">
        <v>147</v>
      </c>
      <c r="AZ75" s="309" t="n">
        <v>12</v>
      </c>
    </row>
    <row r="76" customFormat="false" ht="12.75" hidden="false" customHeight="false" outlineLevel="0" collapsed="false">
      <c r="A76" s="268"/>
      <c r="B76" s="306" t="s">
        <v>428</v>
      </c>
      <c r="C76" s="305" t="s">
        <v>530</v>
      </c>
      <c r="D76" s="306" t="n">
        <v>315</v>
      </c>
      <c r="E76" s="306" t="n">
        <v>0</v>
      </c>
      <c r="F76" s="324" t="s">
        <v>514</v>
      </c>
      <c r="G76" s="144" t="n">
        <v>24</v>
      </c>
      <c r="H76" s="143" t="n">
        <v>288.429752066116</v>
      </c>
      <c r="I76" s="410"/>
      <c r="J76" s="311" t="s">
        <v>12</v>
      </c>
      <c r="K76" s="309" t="s">
        <v>12</v>
      </c>
      <c r="L76" s="650"/>
      <c r="M76" s="651" t="s">
        <v>12</v>
      </c>
      <c r="N76" s="652" t="s">
        <v>12</v>
      </c>
      <c r="O76" s="651" t="s">
        <v>12</v>
      </c>
      <c r="P76" s="312" t="s">
        <v>12</v>
      </c>
      <c r="Q76" s="652" t="s">
        <v>12</v>
      </c>
      <c r="R76" s="312" t="s">
        <v>12</v>
      </c>
      <c r="S76" s="310"/>
      <c r="T76" s="651" t="n">
        <v>0</v>
      </c>
      <c r="U76" s="652" t="n">
        <v>9.1</v>
      </c>
      <c r="V76" s="651" t="n">
        <v>0</v>
      </c>
      <c r="W76" s="652" t="n">
        <v>5.8</v>
      </c>
      <c r="X76" s="651" t="n">
        <v>0</v>
      </c>
      <c r="Y76" s="312" t="n">
        <v>5.8</v>
      </c>
      <c r="Z76" s="313" t="n">
        <v>0</v>
      </c>
      <c r="AA76" s="314" t="n">
        <v>5.8</v>
      </c>
      <c r="AB76" s="313" t="n">
        <v>0</v>
      </c>
      <c r="AC76" s="314" t="n">
        <v>5.8</v>
      </c>
      <c r="AE76" s="324" t="n">
        <v>27</v>
      </c>
      <c r="AF76" s="315"/>
      <c r="AG76" s="311" t="n">
        <v>0</v>
      </c>
      <c r="AH76" s="309" t="n">
        <v>0</v>
      </c>
      <c r="AI76" s="310"/>
      <c r="AJ76" s="311" t="s">
        <v>12</v>
      </c>
      <c r="AK76" s="309" t="s">
        <v>12</v>
      </c>
      <c r="AL76" s="311" t="s">
        <v>12</v>
      </c>
      <c r="AM76" s="309" t="s">
        <v>12</v>
      </c>
      <c r="AN76" s="310" t="s">
        <v>12</v>
      </c>
      <c r="AO76" s="309" t="s">
        <v>12</v>
      </c>
      <c r="AP76" s="310"/>
      <c r="AQ76" s="311" t="n">
        <v>97</v>
      </c>
      <c r="AR76" s="309" t="n">
        <v>218.4</v>
      </c>
      <c r="AS76" s="311" t="n">
        <v>176</v>
      </c>
      <c r="AT76" s="309" t="n">
        <v>139.2</v>
      </c>
      <c r="AU76" s="310" t="n">
        <v>176</v>
      </c>
      <c r="AV76" s="309" t="n">
        <v>139.2</v>
      </c>
      <c r="AW76" s="310" t="n">
        <v>176</v>
      </c>
      <c r="AX76" s="309" t="n">
        <v>139.2</v>
      </c>
      <c r="AY76" s="310" t="n">
        <v>176</v>
      </c>
      <c r="AZ76" s="309" t="n">
        <v>139.2</v>
      </c>
    </row>
    <row r="77" customFormat="false" ht="12.75" hidden="false" customHeight="false" outlineLevel="0" collapsed="false">
      <c r="A77" s="268"/>
      <c r="B77" s="306" t="s">
        <v>428</v>
      </c>
      <c r="C77" s="305" t="s">
        <v>530</v>
      </c>
      <c r="D77" s="306" t="n">
        <v>315</v>
      </c>
      <c r="E77" s="306" t="n">
        <v>0</v>
      </c>
      <c r="F77" s="324" t="s">
        <v>514</v>
      </c>
      <c r="G77" s="307" t="n">
        <v>48</v>
      </c>
      <c r="H77" s="143" t="n">
        <v>288.429752066116</v>
      </c>
      <c r="I77" s="410"/>
      <c r="J77" s="311" t="s">
        <v>12</v>
      </c>
      <c r="K77" s="309" t="s">
        <v>12</v>
      </c>
      <c r="L77" s="650"/>
      <c r="M77" s="651" t="s">
        <v>12</v>
      </c>
      <c r="N77" s="652" t="s">
        <v>12</v>
      </c>
      <c r="O77" s="651" t="s">
        <v>12</v>
      </c>
      <c r="P77" s="312" t="s">
        <v>12</v>
      </c>
      <c r="Q77" s="652" t="s">
        <v>12</v>
      </c>
      <c r="R77" s="312" t="s">
        <v>12</v>
      </c>
      <c r="S77" s="310"/>
      <c r="T77" s="651" t="n">
        <v>0</v>
      </c>
      <c r="U77" s="652" t="n">
        <v>4.6</v>
      </c>
      <c r="V77" s="651" t="n">
        <v>0</v>
      </c>
      <c r="W77" s="652" t="n">
        <v>2.9</v>
      </c>
      <c r="X77" s="651" t="n">
        <v>0</v>
      </c>
      <c r="Y77" s="312" t="n">
        <v>2.9</v>
      </c>
      <c r="Z77" s="313" t="n">
        <v>0</v>
      </c>
      <c r="AA77" s="314" t="n">
        <v>2.9</v>
      </c>
      <c r="AB77" s="313" t="n">
        <v>0</v>
      </c>
      <c r="AC77" s="314" t="n">
        <v>2.9</v>
      </c>
      <c r="AE77" s="324" t="n">
        <v>27</v>
      </c>
      <c r="AF77" s="315"/>
      <c r="AG77" s="311" t="n">
        <v>0</v>
      </c>
      <c r="AH77" s="309" t="n">
        <v>0</v>
      </c>
      <c r="AI77" s="310"/>
      <c r="AJ77" s="311" t="s">
        <v>12</v>
      </c>
      <c r="AK77" s="309" t="s">
        <v>12</v>
      </c>
      <c r="AL77" s="311" t="s">
        <v>12</v>
      </c>
      <c r="AM77" s="309" t="s">
        <v>12</v>
      </c>
      <c r="AN77" s="311" t="s">
        <v>12</v>
      </c>
      <c r="AO77" s="309" t="s">
        <v>12</v>
      </c>
      <c r="AP77" s="310"/>
      <c r="AQ77" s="311" t="n">
        <v>94</v>
      </c>
      <c r="AR77" s="309" t="n">
        <v>220.8</v>
      </c>
      <c r="AS77" s="311" t="n">
        <v>176</v>
      </c>
      <c r="AT77" s="309" t="n">
        <v>139.2</v>
      </c>
      <c r="AU77" s="311" t="n">
        <v>176</v>
      </c>
      <c r="AV77" s="309" t="n">
        <v>139.2</v>
      </c>
      <c r="AW77" s="311" t="n">
        <v>176</v>
      </c>
      <c r="AX77" s="309" t="n">
        <v>139.2</v>
      </c>
      <c r="AY77" s="311" t="n">
        <v>176</v>
      </c>
      <c r="AZ77" s="309" t="n">
        <v>139.2</v>
      </c>
    </row>
    <row r="78" customFormat="false" ht="12.75" hidden="false" customHeight="false" outlineLevel="0" collapsed="false">
      <c r="A78" s="268"/>
      <c r="B78" s="306" t="s">
        <v>497</v>
      </c>
      <c r="C78" s="305" t="s">
        <v>535</v>
      </c>
      <c r="D78" s="306" t="n">
        <v>298</v>
      </c>
      <c r="E78" s="306" t="n">
        <v>0</v>
      </c>
      <c r="F78" s="324" t="s">
        <v>514</v>
      </c>
      <c r="G78" s="144" t="n">
        <v>24</v>
      </c>
      <c r="H78" s="143" t="n">
        <v>247.107438016529</v>
      </c>
      <c r="I78" s="410"/>
      <c r="J78" s="311" t="s">
        <v>12</v>
      </c>
      <c r="K78" s="309" t="s">
        <v>12</v>
      </c>
      <c r="L78" s="650"/>
      <c r="M78" s="651" t="s">
        <v>12</v>
      </c>
      <c r="N78" s="652" t="s">
        <v>12</v>
      </c>
      <c r="O78" s="651" t="s">
        <v>12</v>
      </c>
      <c r="P78" s="312" t="s">
        <v>12</v>
      </c>
      <c r="Q78" s="652" t="s">
        <v>12</v>
      </c>
      <c r="R78" s="312" t="s">
        <v>12</v>
      </c>
      <c r="S78" s="310"/>
      <c r="T78" s="651" t="n">
        <v>0</v>
      </c>
      <c r="U78" s="652" t="n">
        <v>9.1</v>
      </c>
      <c r="V78" s="651" t="n">
        <v>0</v>
      </c>
      <c r="W78" s="652" t="n">
        <v>5.8</v>
      </c>
      <c r="X78" s="651" t="n">
        <v>0</v>
      </c>
      <c r="Y78" s="312" t="n">
        <v>5.8</v>
      </c>
      <c r="Z78" s="313" t="n">
        <v>0</v>
      </c>
      <c r="AA78" s="314" t="n">
        <v>5.8</v>
      </c>
      <c r="AB78" s="313" t="n">
        <v>0</v>
      </c>
      <c r="AC78" s="314" t="n">
        <v>5.8</v>
      </c>
      <c r="AE78" s="324" t="n">
        <v>51</v>
      </c>
      <c r="AF78" s="315"/>
      <c r="AG78" s="311" t="n">
        <v>0</v>
      </c>
      <c r="AH78" s="309" t="n">
        <v>0</v>
      </c>
      <c r="AI78" s="310"/>
      <c r="AJ78" s="311" t="s">
        <v>12</v>
      </c>
      <c r="AK78" s="309" t="s">
        <v>12</v>
      </c>
      <c r="AL78" s="311" t="s">
        <v>12</v>
      </c>
      <c r="AM78" s="309" t="s">
        <v>12</v>
      </c>
      <c r="AN78" s="310" t="s">
        <v>12</v>
      </c>
      <c r="AO78" s="309" t="s">
        <v>12</v>
      </c>
      <c r="AP78" s="310"/>
      <c r="AQ78" s="311" t="n">
        <v>80</v>
      </c>
      <c r="AR78" s="309" t="n">
        <v>218.4</v>
      </c>
      <c r="AS78" s="311" t="n">
        <v>159</v>
      </c>
      <c r="AT78" s="309" t="n">
        <v>139.2</v>
      </c>
      <c r="AU78" s="310" t="n">
        <v>159</v>
      </c>
      <c r="AV78" s="309" t="n">
        <v>139.2</v>
      </c>
      <c r="AW78" s="310" t="n">
        <v>159</v>
      </c>
      <c r="AX78" s="309" t="n">
        <v>139.2</v>
      </c>
      <c r="AY78" s="310" t="n">
        <v>159</v>
      </c>
      <c r="AZ78" s="309" t="n">
        <v>139.2</v>
      </c>
    </row>
    <row r="79" customFormat="false" ht="12.75" hidden="false" customHeight="false" outlineLevel="0" collapsed="false">
      <c r="A79" s="268"/>
      <c r="B79" s="306" t="s">
        <v>497</v>
      </c>
      <c r="C79" s="305" t="s">
        <v>535</v>
      </c>
      <c r="D79" s="306" t="n">
        <v>298</v>
      </c>
      <c r="E79" s="306" t="n">
        <v>0</v>
      </c>
      <c r="F79" s="324" t="s">
        <v>514</v>
      </c>
      <c r="G79" s="307" t="n">
        <v>48</v>
      </c>
      <c r="H79" s="143" t="n">
        <v>247.107438016529</v>
      </c>
      <c r="I79" s="410"/>
      <c r="J79" s="311" t="s">
        <v>12</v>
      </c>
      <c r="K79" s="309" t="s">
        <v>12</v>
      </c>
      <c r="L79" s="650"/>
      <c r="M79" s="651" t="s">
        <v>12</v>
      </c>
      <c r="N79" s="652" t="s">
        <v>12</v>
      </c>
      <c r="O79" s="651" t="s">
        <v>12</v>
      </c>
      <c r="P79" s="312" t="s">
        <v>12</v>
      </c>
      <c r="Q79" s="652" t="s">
        <v>12</v>
      </c>
      <c r="R79" s="312" t="s">
        <v>12</v>
      </c>
      <c r="S79" s="310"/>
      <c r="T79" s="651" t="n">
        <v>0</v>
      </c>
      <c r="U79" s="652" t="n">
        <v>4.6</v>
      </c>
      <c r="V79" s="651" t="n">
        <v>0</v>
      </c>
      <c r="W79" s="652" t="n">
        <v>2.9</v>
      </c>
      <c r="X79" s="651" t="n">
        <v>0</v>
      </c>
      <c r="Y79" s="312" t="n">
        <v>2.9</v>
      </c>
      <c r="Z79" s="313" t="n">
        <v>0</v>
      </c>
      <c r="AA79" s="314" t="n">
        <v>2.9</v>
      </c>
      <c r="AB79" s="313" t="n">
        <v>0</v>
      </c>
      <c r="AC79" s="314" t="n">
        <v>2.9</v>
      </c>
      <c r="AE79" s="324" t="n">
        <v>51</v>
      </c>
      <c r="AF79" s="315"/>
      <c r="AG79" s="311" t="n">
        <v>0</v>
      </c>
      <c r="AH79" s="309" t="n">
        <v>0</v>
      </c>
      <c r="AI79" s="310"/>
      <c r="AJ79" s="311" t="s">
        <v>12</v>
      </c>
      <c r="AK79" s="309" t="s">
        <v>12</v>
      </c>
      <c r="AL79" s="311" t="s">
        <v>12</v>
      </c>
      <c r="AM79" s="309" t="s">
        <v>12</v>
      </c>
      <c r="AN79" s="311" t="s">
        <v>12</v>
      </c>
      <c r="AO79" s="309" t="s">
        <v>12</v>
      </c>
      <c r="AP79" s="310"/>
      <c r="AQ79" s="311" t="n">
        <v>77</v>
      </c>
      <c r="AR79" s="309" t="n">
        <v>220.8</v>
      </c>
      <c r="AS79" s="311" t="n">
        <v>159</v>
      </c>
      <c r="AT79" s="309" t="n">
        <v>139.2</v>
      </c>
      <c r="AU79" s="311" t="n">
        <v>159</v>
      </c>
      <c r="AV79" s="309" t="n">
        <v>139.2</v>
      </c>
      <c r="AW79" s="311" t="n">
        <v>159</v>
      </c>
      <c r="AX79" s="309" t="n">
        <v>139.2</v>
      </c>
      <c r="AY79" s="311" t="n">
        <v>159</v>
      </c>
      <c r="AZ79" s="309" t="n">
        <v>139.2</v>
      </c>
    </row>
    <row r="80" customFormat="false" ht="12.75" hidden="false" customHeight="false" outlineLevel="0" collapsed="false">
      <c r="A80" s="268"/>
      <c r="B80" s="306" t="s">
        <v>497</v>
      </c>
      <c r="C80" s="305" t="s">
        <v>538</v>
      </c>
      <c r="D80" s="306" t="n">
        <v>165</v>
      </c>
      <c r="E80" s="306" t="n">
        <v>0</v>
      </c>
      <c r="F80" s="324" t="s">
        <v>514</v>
      </c>
      <c r="G80" s="144" t="n">
        <v>24</v>
      </c>
      <c r="H80" s="143" t="n">
        <v>158.677685950413</v>
      </c>
      <c r="I80" s="410"/>
      <c r="J80" s="311" t="s">
        <v>12</v>
      </c>
      <c r="K80" s="309" t="s">
        <v>12</v>
      </c>
      <c r="L80" s="650"/>
      <c r="M80" s="651" t="n">
        <v>29</v>
      </c>
      <c r="N80" s="652" t="n">
        <v>4.4</v>
      </c>
      <c r="O80" s="651" t="n">
        <v>0</v>
      </c>
      <c r="P80" s="312" t="n">
        <v>3.1</v>
      </c>
      <c r="Q80" s="652" t="n">
        <v>0</v>
      </c>
      <c r="R80" s="312" t="n">
        <v>2.3</v>
      </c>
      <c r="S80" s="310"/>
      <c r="T80" s="651" t="n">
        <v>0</v>
      </c>
      <c r="U80" s="652" t="n">
        <v>5.4</v>
      </c>
      <c r="V80" s="651" t="n">
        <v>0</v>
      </c>
      <c r="W80" s="652" t="n">
        <v>1</v>
      </c>
      <c r="X80" s="651" t="n">
        <v>0</v>
      </c>
      <c r="Y80" s="312" t="n">
        <v>0.5</v>
      </c>
      <c r="Z80" s="313" t="n">
        <v>0</v>
      </c>
      <c r="AA80" s="314" t="n">
        <v>0.5</v>
      </c>
      <c r="AB80" s="313" t="n">
        <v>0</v>
      </c>
      <c r="AC80" s="314" t="n">
        <v>0.5</v>
      </c>
      <c r="AE80" s="324" t="n">
        <v>6</v>
      </c>
      <c r="AF80" s="315"/>
      <c r="AG80" s="311" t="n">
        <v>0</v>
      </c>
      <c r="AH80" s="309" t="n">
        <v>0</v>
      </c>
      <c r="AI80" s="310"/>
      <c r="AJ80" s="311" t="n">
        <v>30</v>
      </c>
      <c r="AK80" s="309" t="n">
        <v>105.6</v>
      </c>
      <c r="AL80" s="311" t="n">
        <v>91</v>
      </c>
      <c r="AM80" s="309" t="n">
        <v>74.4</v>
      </c>
      <c r="AN80" s="310" t="n">
        <v>110</v>
      </c>
      <c r="AO80" s="309" t="n">
        <v>55.2</v>
      </c>
      <c r="AP80" s="310"/>
      <c r="AQ80" s="311" t="n">
        <v>35</v>
      </c>
      <c r="AR80" s="309" t="n">
        <v>129.6</v>
      </c>
      <c r="AS80" s="311" t="n">
        <v>141</v>
      </c>
      <c r="AT80" s="309" t="n">
        <v>24</v>
      </c>
      <c r="AU80" s="310" t="n">
        <v>153</v>
      </c>
      <c r="AV80" s="309" t="n">
        <v>12</v>
      </c>
      <c r="AW80" s="310" t="n">
        <v>153</v>
      </c>
      <c r="AX80" s="309" t="n">
        <v>12</v>
      </c>
      <c r="AY80" s="310" t="n">
        <v>153</v>
      </c>
      <c r="AZ80" s="309" t="n">
        <v>12</v>
      </c>
    </row>
    <row r="81" customFormat="false" ht="12.75" hidden="false" customHeight="false" outlineLevel="0" collapsed="false">
      <c r="A81" s="268"/>
      <c r="B81" s="306" t="s">
        <v>428</v>
      </c>
      <c r="C81" s="327" t="s">
        <v>550</v>
      </c>
      <c r="D81" s="306" t="n">
        <v>255</v>
      </c>
      <c r="E81" s="306" t="n">
        <v>3.75</v>
      </c>
      <c r="F81" s="324" t="s">
        <v>541</v>
      </c>
      <c r="G81" s="307" t="n">
        <v>24</v>
      </c>
      <c r="H81" s="143" t="n">
        <v>254.545454545455</v>
      </c>
      <c r="I81" s="410"/>
      <c r="J81" s="311" t="s">
        <v>12</v>
      </c>
      <c r="K81" s="309" t="s">
        <v>12</v>
      </c>
      <c r="L81" s="650"/>
      <c r="M81" s="651" t="s">
        <v>12</v>
      </c>
      <c r="N81" s="652" t="s">
        <v>12</v>
      </c>
      <c r="O81" s="651" t="s">
        <v>12</v>
      </c>
      <c r="P81" s="312" t="s">
        <v>12</v>
      </c>
      <c r="Q81" s="652" t="s">
        <v>12</v>
      </c>
      <c r="R81" s="312" t="s">
        <v>12</v>
      </c>
      <c r="S81" s="310"/>
      <c r="T81" s="651" t="n">
        <v>0</v>
      </c>
      <c r="U81" s="652" t="n">
        <v>8.7</v>
      </c>
      <c r="V81" s="651" t="n">
        <v>0</v>
      </c>
      <c r="W81" s="652" t="n">
        <v>5</v>
      </c>
      <c r="X81" s="651" t="n">
        <v>0</v>
      </c>
      <c r="Y81" s="312" t="n">
        <v>5</v>
      </c>
      <c r="Z81" s="313" t="n">
        <v>0</v>
      </c>
      <c r="AA81" s="314" t="n">
        <v>5</v>
      </c>
      <c r="AB81" s="313" t="n">
        <v>0</v>
      </c>
      <c r="AC81" s="314" t="n">
        <v>5</v>
      </c>
      <c r="AE81" s="324" t="n">
        <v>0</v>
      </c>
      <c r="AF81" s="315"/>
      <c r="AG81" s="311" t="n">
        <v>0</v>
      </c>
      <c r="AH81" s="309" t="n">
        <v>0</v>
      </c>
      <c r="AI81" s="310"/>
      <c r="AJ81" s="311" t="s">
        <v>12</v>
      </c>
      <c r="AK81" s="309" t="s">
        <v>12</v>
      </c>
      <c r="AL81" s="311" t="s">
        <v>12</v>
      </c>
      <c r="AM81" s="309" t="s">
        <v>12</v>
      </c>
      <c r="AN81" s="311" t="s">
        <v>12</v>
      </c>
      <c r="AO81" s="309" t="s">
        <v>12</v>
      </c>
      <c r="AP81" s="310"/>
      <c r="AQ81" s="311" t="n">
        <v>46</v>
      </c>
      <c r="AR81" s="309" t="n">
        <v>208.8</v>
      </c>
      <c r="AS81" s="311" t="n">
        <v>135</v>
      </c>
      <c r="AT81" s="309" t="n">
        <v>120</v>
      </c>
      <c r="AU81" s="311" t="n">
        <v>135</v>
      </c>
      <c r="AV81" s="309" t="n">
        <v>120</v>
      </c>
      <c r="AW81" s="311" t="n">
        <v>135</v>
      </c>
      <c r="AX81" s="309" t="n">
        <v>120</v>
      </c>
      <c r="AY81" s="311" t="n">
        <v>135</v>
      </c>
      <c r="AZ81" s="309" t="n">
        <v>120</v>
      </c>
    </row>
    <row r="82" customFormat="false" ht="12.75" hidden="false" customHeight="false" outlineLevel="0" collapsed="false">
      <c r="A82" s="268"/>
      <c r="B82" s="306" t="s">
        <v>184</v>
      </c>
      <c r="C82" s="305" t="s">
        <v>551</v>
      </c>
      <c r="D82" s="306" t="n">
        <v>191</v>
      </c>
      <c r="E82" s="306" t="n">
        <v>3.75</v>
      </c>
      <c r="F82" s="324" t="s">
        <v>541</v>
      </c>
      <c r="G82" s="144" t="n">
        <v>24</v>
      </c>
      <c r="H82" s="143" t="n">
        <v>166.115702479339</v>
      </c>
      <c r="I82" s="410"/>
      <c r="J82" s="311" t="s">
        <v>12</v>
      </c>
      <c r="K82" s="309" t="s">
        <v>12</v>
      </c>
      <c r="L82" s="650"/>
      <c r="M82" s="651" t="s">
        <v>12</v>
      </c>
      <c r="N82" s="652" t="s">
        <v>12</v>
      </c>
      <c r="O82" s="651" t="s">
        <v>12</v>
      </c>
      <c r="P82" s="312" t="s">
        <v>12</v>
      </c>
      <c r="Q82" s="652" t="s">
        <v>12</v>
      </c>
      <c r="R82" s="312" t="s">
        <v>12</v>
      </c>
      <c r="S82" s="310"/>
      <c r="T82" s="651" t="n">
        <v>0</v>
      </c>
      <c r="U82" s="652" t="n">
        <v>5.6</v>
      </c>
      <c r="V82" s="651" t="n">
        <v>0</v>
      </c>
      <c r="W82" s="652" t="n">
        <v>2.5</v>
      </c>
      <c r="X82" s="651" t="n">
        <v>0</v>
      </c>
      <c r="Y82" s="312" t="n">
        <v>1.8</v>
      </c>
      <c r="Z82" s="313" t="n">
        <v>0</v>
      </c>
      <c r="AA82" s="314" t="n">
        <v>1.8</v>
      </c>
      <c r="AB82" s="313" t="n">
        <v>0</v>
      </c>
      <c r="AC82" s="314" t="n">
        <v>1.8</v>
      </c>
      <c r="AE82" s="324" t="n">
        <v>25</v>
      </c>
      <c r="AF82" s="315"/>
      <c r="AG82" s="311" t="n">
        <v>0</v>
      </c>
      <c r="AH82" s="309" t="n">
        <v>0</v>
      </c>
      <c r="AI82" s="310"/>
      <c r="AJ82" s="311" t="s">
        <v>12</v>
      </c>
      <c r="AK82" s="309" t="s">
        <v>12</v>
      </c>
      <c r="AL82" s="311" t="s">
        <v>12</v>
      </c>
      <c r="AM82" s="309" t="s">
        <v>12</v>
      </c>
      <c r="AN82" s="310" t="s">
        <v>12</v>
      </c>
      <c r="AO82" s="309" t="s">
        <v>12</v>
      </c>
      <c r="AP82" s="310"/>
      <c r="AQ82" s="311" t="n">
        <v>57</v>
      </c>
      <c r="AR82" s="309" t="n">
        <v>134.4</v>
      </c>
      <c r="AS82" s="311" t="n">
        <v>131</v>
      </c>
      <c r="AT82" s="309" t="n">
        <v>60</v>
      </c>
      <c r="AU82" s="310" t="n">
        <v>148</v>
      </c>
      <c r="AV82" s="309" t="n">
        <v>43.2</v>
      </c>
      <c r="AW82" s="310" t="n">
        <v>148</v>
      </c>
      <c r="AX82" s="309" t="n">
        <v>43.2</v>
      </c>
      <c r="AY82" s="310" t="n">
        <v>148</v>
      </c>
      <c r="AZ82" s="309" t="n">
        <v>43.2</v>
      </c>
    </row>
    <row r="83" customFormat="false" ht="12.75" hidden="false" customHeight="false" outlineLevel="0" collapsed="false">
      <c r="A83" s="268"/>
      <c r="B83" s="306" t="s">
        <v>200</v>
      </c>
      <c r="C83" s="305" t="s">
        <v>552</v>
      </c>
      <c r="D83" s="306" t="n">
        <v>182</v>
      </c>
      <c r="E83" s="306" t="n">
        <v>3.75</v>
      </c>
      <c r="F83" s="324" t="s">
        <v>541</v>
      </c>
      <c r="G83" s="307" t="n">
        <v>24</v>
      </c>
      <c r="H83" s="143" t="n">
        <v>176.859504132231</v>
      </c>
      <c r="I83" s="410"/>
      <c r="J83" s="311" t="s">
        <v>12</v>
      </c>
      <c r="K83" s="309" t="s">
        <v>12</v>
      </c>
      <c r="L83" s="650"/>
      <c r="M83" s="651" t="s">
        <v>12</v>
      </c>
      <c r="N83" s="652" t="s">
        <v>12</v>
      </c>
      <c r="O83" s="651" t="s">
        <v>12</v>
      </c>
      <c r="P83" s="312" t="s">
        <v>12</v>
      </c>
      <c r="Q83" s="652" t="s">
        <v>12</v>
      </c>
      <c r="R83" s="312" t="s">
        <v>12</v>
      </c>
      <c r="S83" s="310"/>
      <c r="T83" s="651" t="n">
        <v>0</v>
      </c>
      <c r="U83" s="652" t="n">
        <v>6.2</v>
      </c>
      <c r="V83" s="651" t="n">
        <v>0</v>
      </c>
      <c r="W83" s="652" t="n">
        <v>3.4</v>
      </c>
      <c r="X83" s="651" t="n">
        <v>0</v>
      </c>
      <c r="Y83" s="312" t="n">
        <v>3.4</v>
      </c>
      <c r="Z83" s="313" t="n">
        <v>0</v>
      </c>
      <c r="AA83" s="314" t="n">
        <v>3.3</v>
      </c>
      <c r="AB83" s="313" t="n">
        <v>0</v>
      </c>
      <c r="AC83" s="314" t="n">
        <v>3.3</v>
      </c>
      <c r="AE83" s="324" t="n">
        <v>5</v>
      </c>
      <c r="AF83" s="315"/>
      <c r="AG83" s="311" t="n">
        <v>0</v>
      </c>
      <c r="AH83" s="309" t="n">
        <v>0</v>
      </c>
      <c r="AI83" s="310"/>
      <c r="AJ83" s="311" t="s">
        <v>12</v>
      </c>
      <c r="AK83" s="309" t="s">
        <v>12</v>
      </c>
      <c r="AL83" s="311" t="s">
        <v>12</v>
      </c>
      <c r="AM83" s="309" t="s">
        <v>12</v>
      </c>
      <c r="AN83" s="311" t="s">
        <v>12</v>
      </c>
      <c r="AO83" s="309" t="s">
        <v>12</v>
      </c>
      <c r="AP83" s="310"/>
      <c r="AQ83" s="311" t="n">
        <v>33</v>
      </c>
      <c r="AR83" s="309" t="n">
        <v>148.8</v>
      </c>
      <c r="AS83" s="311" t="n">
        <v>100</v>
      </c>
      <c r="AT83" s="309" t="n">
        <v>81.6</v>
      </c>
      <c r="AU83" s="311" t="n">
        <v>100</v>
      </c>
      <c r="AV83" s="309" t="n">
        <v>81.6</v>
      </c>
      <c r="AW83" s="311" t="n">
        <v>103</v>
      </c>
      <c r="AX83" s="309" t="n">
        <v>79.2</v>
      </c>
      <c r="AY83" s="311" t="n">
        <v>103</v>
      </c>
      <c r="AZ83" s="309" t="n">
        <v>79.2</v>
      </c>
    </row>
    <row r="84" customFormat="false" ht="12.75" hidden="false" customHeight="false" outlineLevel="0" collapsed="false">
      <c r="A84" s="268"/>
      <c r="B84" s="306" t="s">
        <v>200</v>
      </c>
      <c r="C84" s="305" t="s">
        <v>553</v>
      </c>
      <c r="D84" s="306" t="n">
        <v>310</v>
      </c>
      <c r="E84" s="306" t="n">
        <v>3.75</v>
      </c>
      <c r="F84" s="324" t="s">
        <v>541</v>
      </c>
      <c r="G84" s="144" t="n">
        <v>24</v>
      </c>
      <c r="H84" s="143" t="n">
        <v>250.413223140496</v>
      </c>
      <c r="I84" s="410"/>
      <c r="J84" s="311" t="s">
        <v>12</v>
      </c>
      <c r="K84" s="309" t="s">
        <v>12</v>
      </c>
      <c r="L84" s="650"/>
      <c r="M84" s="651" t="s">
        <v>12</v>
      </c>
      <c r="N84" s="652" t="s">
        <v>12</v>
      </c>
      <c r="O84" s="651" t="s">
        <v>12</v>
      </c>
      <c r="P84" s="312" t="s">
        <v>12</v>
      </c>
      <c r="Q84" s="652" t="s">
        <v>12</v>
      </c>
      <c r="R84" s="312" t="s">
        <v>12</v>
      </c>
      <c r="S84" s="310"/>
      <c r="T84" s="651" t="n">
        <v>0</v>
      </c>
      <c r="U84" s="652" t="n">
        <v>8.5</v>
      </c>
      <c r="V84" s="651" t="n">
        <v>0</v>
      </c>
      <c r="W84" s="652" t="n">
        <v>5</v>
      </c>
      <c r="X84" s="651" t="n">
        <v>0</v>
      </c>
      <c r="Y84" s="312" t="n">
        <v>5</v>
      </c>
      <c r="Z84" s="313" t="n">
        <v>0</v>
      </c>
      <c r="AA84" s="314" t="n">
        <v>5</v>
      </c>
      <c r="AB84" s="313" t="n">
        <v>0</v>
      </c>
      <c r="AC84" s="314" t="n">
        <v>5</v>
      </c>
      <c r="AE84" s="324" t="n">
        <v>60</v>
      </c>
      <c r="AF84" s="315"/>
      <c r="AG84" s="311" t="n">
        <v>0</v>
      </c>
      <c r="AH84" s="309" t="n">
        <v>0</v>
      </c>
      <c r="AI84" s="310"/>
      <c r="AJ84" s="311" t="s">
        <v>12</v>
      </c>
      <c r="AK84" s="309" t="s">
        <v>12</v>
      </c>
      <c r="AL84" s="311" t="s">
        <v>12</v>
      </c>
      <c r="AM84" s="309" t="s">
        <v>12</v>
      </c>
      <c r="AN84" s="310" t="s">
        <v>12</v>
      </c>
      <c r="AO84" s="309" t="s">
        <v>12</v>
      </c>
      <c r="AP84" s="310"/>
      <c r="AQ84" s="311" t="n">
        <v>106</v>
      </c>
      <c r="AR84" s="309" t="n">
        <v>204</v>
      </c>
      <c r="AS84" s="311" t="n">
        <v>190</v>
      </c>
      <c r="AT84" s="309" t="n">
        <v>120</v>
      </c>
      <c r="AU84" s="310" t="n">
        <v>190</v>
      </c>
      <c r="AV84" s="309" t="n">
        <v>120</v>
      </c>
      <c r="AW84" s="310" t="n">
        <v>190</v>
      </c>
      <c r="AX84" s="309" t="n">
        <v>120</v>
      </c>
      <c r="AY84" s="310" t="n">
        <v>190</v>
      </c>
      <c r="AZ84" s="309" t="n">
        <v>120</v>
      </c>
    </row>
    <row r="85" customFormat="false" ht="12.75" hidden="false" customHeight="false" outlineLevel="0" collapsed="false">
      <c r="A85" s="268"/>
      <c r="B85" s="306" t="s">
        <v>200</v>
      </c>
      <c r="C85" s="305" t="s">
        <v>554</v>
      </c>
      <c r="D85" s="306" t="n">
        <v>310</v>
      </c>
      <c r="E85" s="306" t="n">
        <v>3.75</v>
      </c>
      <c r="F85" s="324" t="s">
        <v>541</v>
      </c>
      <c r="G85" s="307" t="n">
        <v>24</v>
      </c>
      <c r="H85" s="143" t="n">
        <v>240.495867768595</v>
      </c>
      <c r="I85" s="410"/>
      <c r="J85" s="311"/>
      <c r="K85" s="309"/>
      <c r="L85" s="650"/>
      <c r="M85" s="311" t="s">
        <v>12</v>
      </c>
      <c r="N85" s="653" t="s">
        <v>12</v>
      </c>
      <c r="O85" s="311" t="s">
        <v>12</v>
      </c>
      <c r="P85" s="328" t="s">
        <v>12</v>
      </c>
      <c r="Q85" s="310" t="s">
        <v>12</v>
      </c>
      <c r="R85" s="328" t="s">
        <v>12</v>
      </c>
      <c r="S85" s="310"/>
      <c r="T85" s="651" t="n">
        <v>0</v>
      </c>
      <c r="U85" s="652" t="n">
        <v>8.1</v>
      </c>
      <c r="V85" s="651" t="n">
        <v>0</v>
      </c>
      <c r="W85" s="652" t="n">
        <v>4.2</v>
      </c>
      <c r="X85" s="651" t="n">
        <v>0</v>
      </c>
      <c r="Y85" s="312" t="n">
        <v>4.2</v>
      </c>
      <c r="Z85" s="313" t="n">
        <v>0</v>
      </c>
      <c r="AA85" s="314" t="n">
        <v>4.1</v>
      </c>
      <c r="AB85" s="313" t="n">
        <v>0</v>
      </c>
      <c r="AC85" s="314" t="n">
        <v>4.1</v>
      </c>
      <c r="AE85" s="324" t="n">
        <v>70</v>
      </c>
      <c r="AF85" s="315"/>
      <c r="AG85" s="311" t="n">
        <v>0</v>
      </c>
      <c r="AH85" s="309" t="n">
        <v>0</v>
      </c>
      <c r="AI85" s="310"/>
      <c r="AJ85" s="311" t="s">
        <v>12</v>
      </c>
      <c r="AK85" s="309" t="s">
        <v>12</v>
      </c>
      <c r="AL85" s="311" t="s">
        <v>12</v>
      </c>
      <c r="AM85" s="309" t="s">
        <v>12</v>
      </c>
      <c r="AN85" s="311" t="s">
        <v>12</v>
      </c>
      <c r="AO85" s="309" t="s">
        <v>12</v>
      </c>
      <c r="AP85" s="310"/>
      <c r="AQ85" s="311" t="n">
        <v>116</v>
      </c>
      <c r="AR85" s="309" t="n">
        <v>194.4</v>
      </c>
      <c r="AS85" s="311" t="n">
        <v>209</v>
      </c>
      <c r="AT85" s="309" t="n">
        <v>100.8</v>
      </c>
      <c r="AU85" s="311" t="n">
        <v>209</v>
      </c>
      <c r="AV85" s="309" t="n">
        <v>100.8</v>
      </c>
      <c r="AW85" s="310" t="n">
        <v>212</v>
      </c>
      <c r="AX85" s="309" t="n">
        <v>98.4</v>
      </c>
      <c r="AY85" s="311" t="n">
        <v>212</v>
      </c>
      <c r="AZ85" s="309" t="n">
        <v>98.4</v>
      </c>
    </row>
    <row r="86" customFormat="false" ht="12.75" hidden="false" customHeight="false" outlineLevel="0" collapsed="false">
      <c r="A86" s="268"/>
      <c r="B86" s="306" t="s">
        <v>428</v>
      </c>
      <c r="C86" s="305" t="s">
        <v>558</v>
      </c>
      <c r="D86" s="306" t="n">
        <v>208</v>
      </c>
      <c r="E86" s="306" t="n">
        <v>3.75</v>
      </c>
      <c r="F86" s="324" t="s">
        <v>541</v>
      </c>
      <c r="G86" s="144" t="n">
        <v>24</v>
      </c>
      <c r="H86" s="143" t="n">
        <v>187.603305785124</v>
      </c>
      <c r="I86" s="410"/>
      <c r="J86" s="311" t="s">
        <v>12</v>
      </c>
      <c r="K86" s="309" t="s">
        <v>12</v>
      </c>
      <c r="L86" s="650"/>
      <c r="M86" s="651" t="s">
        <v>12</v>
      </c>
      <c r="N86" s="652" t="s">
        <v>12</v>
      </c>
      <c r="O86" s="651" t="s">
        <v>12</v>
      </c>
      <c r="P86" s="312" t="s">
        <v>12</v>
      </c>
      <c r="Q86" s="652" t="s">
        <v>12</v>
      </c>
      <c r="R86" s="312" t="s">
        <v>12</v>
      </c>
      <c r="S86" s="310"/>
      <c r="T86" s="651" t="n">
        <v>0</v>
      </c>
      <c r="U86" s="652" t="n">
        <v>6.7</v>
      </c>
      <c r="V86" s="651" t="n">
        <v>0</v>
      </c>
      <c r="W86" s="652" t="n">
        <v>3.4</v>
      </c>
      <c r="X86" s="651" t="n">
        <v>0</v>
      </c>
      <c r="Y86" s="312" t="n">
        <v>3.4</v>
      </c>
      <c r="Z86" s="313" t="n">
        <v>0</v>
      </c>
      <c r="AA86" s="314" t="n">
        <v>3.3</v>
      </c>
      <c r="AB86" s="313" t="n">
        <v>0</v>
      </c>
      <c r="AC86" s="314" t="n">
        <v>3.3</v>
      </c>
      <c r="AE86" s="324" t="n">
        <v>20</v>
      </c>
      <c r="AF86" s="315"/>
      <c r="AG86" s="311" t="n">
        <v>0</v>
      </c>
      <c r="AH86" s="309" t="n">
        <v>0</v>
      </c>
      <c r="AI86" s="310"/>
      <c r="AJ86" s="311" t="s">
        <v>12</v>
      </c>
      <c r="AK86" s="309" t="s">
        <v>12</v>
      </c>
      <c r="AL86" s="311" t="s">
        <v>12</v>
      </c>
      <c r="AM86" s="309" t="s">
        <v>12</v>
      </c>
      <c r="AN86" s="310" t="s">
        <v>12</v>
      </c>
      <c r="AO86" s="309" t="s">
        <v>12</v>
      </c>
      <c r="AP86" s="310"/>
      <c r="AQ86" s="311" t="n">
        <v>47</v>
      </c>
      <c r="AR86" s="309" t="n">
        <v>160.8</v>
      </c>
      <c r="AS86" s="311" t="n">
        <v>126</v>
      </c>
      <c r="AT86" s="309" t="n">
        <v>81.6</v>
      </c>
      <c r="AU86" s="310" t="n">
        <v>126</v>
      </c>
      <c r="AV86" s="309" t="n">
        <v>81.6</v>
      </c>
      <c r="AW86" s="310" t="n">
        <v>129</v>
      </c>
      <c r="AX86" s="309" t="n">
        <v>79.2</v>
      </c>
      <c r="AY86" s="310" t="n">
        <v>129</v>
      </c>
      <c r="AZ86" s="309" t="n">
        <v>79.2</v>
      </c>
    </row>
    <row r="87" customFormat="false" ht="12.75" hidden="false" customHeight="false" outlineLevel="0" collapsed="false">
      <c r="A87" s="268"/>
      <c r="B87" s="306" t="s">
        <v>428</v>
      </c>
      <c r="C87" s="305" t="s">
        <v>559</v>
      </c>
      <c r="D87" s="306" t="n">
        <v>132</v>
      </c>
      <c r="E87" s="306" t="n">
        <v>3.75</v>
      </c>
      <c r="F87" s="324" t="s">
        <v>541</v>
      </c>
      <c r="G87" s="307" t="n">
        <v>24</v>
      </c>
      <c r="H87" s="143" t="n">
        <v>90.9090909090909</v>
      </c>
      <c r="I87" s="410"/>
      <c r="J87" s="311" t="s">
        <v>12</v>
      </c>
      <c r="K87" s="309" t="s">
        <v>12</v>
      </c>
      <c r="L87" s="650"/>
      <c r="M87" s="651" t="n">
        <v>0</v>
      </c>
      <c r="N87" s="652" t="n">
        <v>1.5</v>
      </c>
      <c r="O87" s="651" t="n">
        <v>0</v>
      </c>
      <c r="P87" s="312" t="n">
        <v>1.1</v>
      </c>
      <c r="Q87" s="652" t="n">
        <v>0</v>
      </c>
      <c r="R87" s="312" t="n">
        <v>0.3</v>
      </c>
      <c r="S87" s="310"/>
      <c r="T87" s="651" t="n">
        <v>0</v>
      </c>
      <c r="U87" s="652" t="n">
        <v>0.9</v>
      </c>
      <c r="V87" s="651" t="n">
        <v>0</v>
      </c>
      <c r="W87" s="652" t="n">
        <v>0.9</v>
      </c>
      <c r="X87" s="651" t="n">
        <v>0</v>
      </c>
      <c r="Y87" s="312" t="n">
        <v>0.9</v>
      </c>
      <c r="Z87" s="313" t="n">
        <v>0</v>
      </c>
      <c r="AA87" s="314" t="n">
        <v>0.8</v>
      </c>
      <c r="AB87" s="313" t="n">
        <v>0</v>
      </c>
      <c r="AC87" s="314" t="n">
        <v>0.8</v>
      </c>
      <c r="AE87" s="324" t="n">
        <v>41</v>
      </c>
      <c r="AF87" s="315"/>
      <c r="AG87" s="311" t="n">
        <v>0</v>
      </c>
      <c r="AH87" s="309" t="n">
        <v>0</v>
      </c>
      <c r="AI87" s="310"/>
      <c r="AJ87" s="311" t="n">
        <v>96</v>
      </c>
      <c r="AK87" s="309" t="n">
        <v>36</v>
      </c>
      <c r="AL87" s="311" t="n">
        <v>106</v>
      </c>
      <c r="AM87" s="309" t="n">
        <v>26.4</v>
      </c>
      <c r="AN87" s="311" t="n">
        <v>125</v>
      </c>
      <c r="AO87" s="309" t="n">
        <v>7.2</v>
      </c>
      <c r="AP87" s="310"/>
      <c r="AQ87" s="311" t="n">
        <v>110</v>
      </c>
      <c r="AR87" s="309" t="n">
        <v>21.6</v>
      </c>
      <c r="AS87" s="311" t="n">
        <v>110</v>
      </c>
      <c r="AT87" s="309" t="n">
        <v>21.6</v>
      </c>
      <c r="AU87" s="311" t="n">
        <v>110</v>
      </c>
      <c r="AV87" s="309" t="n">
        <v>21.6</v>
      </c>
      <c r="AW87" s="311" t="n">
        <v>113</v>
      </c>
      <c r="AX87" s="309" t="n">
        <v>19.2</v>
      </c>
      <c r="AY87" s="311" t="n">
        <v>113</v>
      </c>
      <c r="AZ87" s="309" t="n">
        <v>19.2</v>
      </c>
    </row>
    <row r="88" customFormat="false" ht="12.75" hidden="false" customHeight="false" outlineLevel="0" collapsed="false">
      <c r="A88" s="268"/>
      <c r="B88" s="306" t="s">
        <v>428</v>
      </c>
      <c r="C88" s="305" t="s">
        <v>560</v>
      </c>
      <c r="D88" s="306" t="n">
        <v>115</v>
      </c>
      <c r="E88" s="306" t="n">
        <v>3.75</v>
      </c>
      <c r="F88" s="324" t="s">
        <v>541</v>
      </c>
      <c r="G88" s="144" t="n">
        <v>24</v>
      </c>
      <c r="H88" s="143" t="n">
        <v>105.785123966942</v>
      </c>
      <c r="I88" s="410"/>
      <c r="J88" s="311" t="s">
        <v>12</v>
      </c>
      <c r="K88" s="309" t="s">
        <v>12</v>
      </c>
      <c r="L88" s="650"/>
      <c r="M88" s="651" t="n">
        <v>0</v>
      </c>
      <c r="N88" s="652" t="n">
        <v>4.2</v>
      </c>
      <c r="O88" s="651" t="n">
        <v>0</v>
      </c>
      <c r="P88" s="312" t="n">
        <v>1.7</v>
      </c>
      <c r="Q88" s="652" t="n">
        <v>0</v>
      </c>
      <c r="R88" s="312" t="n">
        <v>0.9</v>
      </c>
      <c r="S88" s="310"/>
      <c r="T88" s="651" t="n">
        <v>0</v>
      </c>
      <c r="U88" s="652" t="n">
        <v>4</v>
      </c>
      <c r="V88" s="651" t="n">
        <v>0</v>
      </c>
      <c r="W88" s="652" t="n">
        <v>0.9</v>
      </c>
      <c r="X88" s="651" t="n">
        <v>0</v>
      </c>
      <c r="Y88" s="312" t="n">
        <v>0.9</v>
      </c>
      <c r="Z88" s="313" t="n">
        <v>0</v>
      </c>
      <c r="AA88" s="314" t="n">
        <v>0.8</v>
      </c>
      <c r="AB88" s="313" t="n">
        <v>0</v>
      </c>
      <c r="AC88" s="314" t="n">
        <v>0.8</v>
      </c>
      <c r="AE88" s="324" t="n">
        <v>9</v>
      </c>
      <c r="AF88" s="315"/>
      <c r="AG88" s="311" t="n">
        <v>0</v>
      </c>
      <c r="AH88" s="309" t="n">
        <v>0</v>
      </c>
      <c r="AI88" s="310"/>
      <c r="AJ88" s="311" t="n">
        <v>14</v>
      </c>
      <c r="AK88" s="309" t="n">
        <v>100.8</v>
      </c>
      <c r="AL88" s="311" t="n">
        <v>74</v>
      </c>
      <c r="AM88" s="309" t="n">
        <v>40.8</v>
      </c>
      <c r="AN88" s="310" t="n">
        <v>93</v>
      </c>
      <c r="AO88" s="309" t="n">
        <v>21.6</v>
      </c>
      <c r="AP88" s="310"/>
      <c r="AQ88" s="311" t="n">
        <v>19</v>
      </c>
      <c r="AR88" s="309" t="n">
        <v>96</v>
      </c>
      <c r="AS88" s="311" t="n">
        <v>93</v>
      </c>
      <c r="AT88" s="309" t="n">
        <v>21.6</v>
      </c>
      <c r="AU88" s="310" t="n">
        <v>93</v>
      </c>
      <c r="AV88" s="309" t="n">
        <v>21.6</v>
      </c>
      <c r="AW88" s="310" t="n">
        <v>96</v>
      </c>
      <c r="AX88" s="309" t="n">
        <v>19.2</v>
      </c>
      <c r="AY88" s="310" t="n">
        <v>96</v>
      </c>
      <c r="AZ88" s="309" t="n">
        <v>19.2</v>
      </c>
    </row>
    <row r="89" customFormat="false" ht="12.75" hidden="false" customHeight="false" outlineLevel="0" collapsed="false">
      <c r="A89" s="268"/>
      <c r="B89" s="306" t="s">
        <v>428</v>
      </c>
      <c r="C89" s="305" t="s">
        <v>561</v>
      </c>
      <c r="D89" s="306" t="n">
        <v>148</v>
      </c>
      <c r="E89" s="306" t="n">
        <v>3.75</v>
      </c>
      <c r="F89" s="324" t="s">
        <v>562</v>
      </c>
      <c r="G89" s="307" t="n">
        <v>24</v>
      </c>
      <c r="H89" s="143" t="n">
        <v>129.752066115703</v>
      </c>
      <c r="I89" s="410"/>
      <c r="J89" s="311" t="s">
        <v>12</v>
      </c>
      <c r="K89" s="309" t="s">
        <v>12</v>
      </c>
      <c r="L89" s="650"/>
      <c r="M89" s="651" t="n">
        <v>19</v>
      </c>
      <c r="N89" s="652" t="n">
        <v>4</v>
      </c>
      <c r="O89" s="651" t="n">
        <v>0</v>
      </c>
      <c r="P89" s="312" t="n">
        <v>2.3</v>
      </c>
      <c r="Q89" s="652" t="n">
        <v>0</v>
      </c>
      <c r="R89" s="312" t="n">
        <v>1.5</v>
      </c>
      <c r="S89" s="310"/>
      <c r="T89" s="651" t="n">
        <v>0</v>
      </c>
      <c r="U89" s="652" t="n">
        <v>4.6</v>
      </c>
      <c r="V89" s="651" t="n">
        <v>0</v>
      </c>
      <c r="W89" s="652" t="n">
        <v>1.7</v>
      </c>
      <c r="X89" s="651" t="n">
        <v>0</v>
      </c>
      <c r="Y89" s="312" t="n">
        <v>1.7</v>
      </c>
      <c r="Z89" s="313" t="n">
        <v>0</v>
      </c>
      <c r="AA89" s="314" t="n">
        <v>1.7</v>
      </c>
      <c r="AB89" s="313" t="n">
        <v>0</v>
      </c>
      <c r="AC89" s="314" t="n">
        <v>1.7</v>
      </c>
      <c r="AE89" s="324" t="n">
        <v>18</v>
      </c>
      <c r="AF89" s="315"/>
      <c r="AG89" s="311" t="n">
        <v>0</v>
      </c>
      <c r="AH89" s="309" t="n">
        <v>0</v>
      </c>
      <c r="AI89" s="310"/>
      <c r="AJ89" s="311" t="n">
        <v>33</v>
      </c>
      <c r="AK89" s="309" t="n">
        <v>96</v>
      </c>
      <c r="AL89" s="311" t="n">
        <v>93</v>
      </c>
      <c r="AM89" s="309" t="n">
        <v>55.2</v>
      </c>
      <c r="AN89" s="311" t="n">
        <v>112</v>
      </c>
      <c r="AO89" s="309" t="n">
        <v>36</v>
      </c>
      <c r="AP89" s="310"/>
      <c r="AQ89" s="311" t="n">
        <v>38</v>
      </c>
      <c r="AR89" s="309" t="n">
        <v>110.4</v>
      </c>
      <c r="AS89" s="311" t="n">
        <v>107</v>
      </c>
      <c r="AT89" s="309" t="n">
        <v>40.8</v>
      </c>
      <c r="AU89" s="311" t="n">
        <v>107</v>
      </c>
      <c r="AV89" s="309" t="n">
        <v>40.8</v>
      </c>
      <c r="AW89" s="311" t="n">
        <v>107</v>
      </c>
      <c r="AX89" s="309" t="n">
        <v>40.8</v>
      </c>
      <c r="AY89" s="311" t="n">
        <v>107</v>
      </c>
      <c r="AZ89" s="309" t="n">
        <v>40.8</v>
      </c>
    </row>
    <row r="90" customFormat="false" ht="12.75" hidden="false" customHeight="false" outlineLevel="0" collapsed="false">
      <c r="A90" s="268"/>
      <c r="B90" s="306" t="s">
        <v>497</v>
      </c>
      <c r="C90" s="305" t="s">
        <v>563</v>
      </c>
      <c r="D90" s="306" t="n">
        <v>208</v>
      </c>
      <c r="E90" s="306" t="n">
        <v>3.75</v>
      </c>
      <c r="F90" s="324" t="s">
        <v>541</v>
      </c>
      <c r="G90" s="144" t="n">
        <v>24</v>
      </c>
      <c r="H90" s="143" t="n">
        <v>171.900826446281</v>
      </c>
      <c r="I90" s="410"/>
      <c r="J90" s="311" t="s">
        <v>12</v>
      </c>
      <c r="K90" s="309" t="s">
        <v>12</v>
      </c>
      <c r="L90" s="650"/>
      <c r="M90" s="651" t="s">
        <v>12</v>
      </c>
      <c r="N90" s="652" t="s">
        <v>12</v>
      </c>
      <c r="O90" s="651" t="s">
        <v>12</v>
      </c>
      <c r="P90" s="312" t="s">
        <v>12</v>
      </c>
      <c r="Q90" s="652" t="s">
        <v>12</v>
      </c>
      <c r="R90" s="312" t="s">
        <v>12</v>
      </c>
      <c r="S90" s="310"/>
      <c r="T90" s="651" t="n">
        <v>0</v>
      </c>
      <c r="U90" s="652" t="n">
        <v>6</v>
      </c>
      <c r="V90" s="651" t="n">
        <v>0</v>
      </c>
      <c r="W90" s="652" t="n">
        <v>2.5</v>
      </c>
      <c r="X90" s="651" t="n">
        <v>0</v>
      </c>
      <c r="Y90" s="312" t="n">
        <v>2.5</v>
      </c>
      <c r="Z90" s="313" t="n">
        <v>0</v>
      </c>
      <c r="AA90" s="314" t="n">
        <v>2.5</v>
      </c>
      <c r="AB90" s="313" t="n">
        <v>0</v>
      </c>
      <c r="AC90" s="314" t="n">
        <v>2.5</v>
      </c>
      <c r="AE90" s="324" t="n">
        <v>36</v>
      </c>
      <c r="AF90" s="315"/>
      <c r="AG90" s="311" t="n">
        <v>0</v>
      </c>
      <c r="AH90" s="309" t="n">
        <v>0</v>
      </c>
      <c r="AI90" s="310"/>
      <c r="AJ90" s="311" t="s">
        <v>12</v>
      </c>
      <c r="AK90" s="309" t="s">
        <v>12</v>
      </c>
      <c r="AL90" s="311" t="s">
        <v>12</v>
      </c>
      <c r="AM90" s="309" t="s">
        <v>12</v>
      </c>
      <c r="AN90" s="310" t="s">
        <v>12</v>
      </c>
      <c r="AO90" s="309" t="s">
        <v>12</v>
      </c>
      <c r="AP90" s="310"/>
      <c r="AQ90" s="311" t="n">
        <v>64</v>
      </c>
      <c r="AR90" s="309" t="n">
        <v>144</v>
      </c>
      <c r="AS90" s="311" t="n">
        <v>148</v>
      </c>
      <c r="AT90" s="309" t="n">
        <v>60</v>
      </c>
      <c r="AU90" s="310" t="n">
        <v>148</v>
      </c>
      <c r="AV90" s="309" t="n">
        <v>60</v>
      </c>
      <c r="AW90" s="310" t="n">
        <v>148</v>
      </c>
      <c r="AX90" s="309" t="n">
        <v>60</v>
      </c>
      <c r="AY90" s="310" t="n">
        <v>148</v>
      </c>
      <c r="AZ90" s="309" t="n">
        <v>60</v>
      </c>
    </row>
    <row r="91" customFormat="false" ht="12.75" hidden="false" customHeight="false" outlineLevel="0" collapsed="false">
      <c r="A91" s="268"/>
      <c r="B91" s="306" t="s">
        <v>497</v>
      </c>
      <c r="C91" s="305" t="s">
        <v>564</v>
      </c>
      <c r="D91" s="306" t="n">
        <v>327</v>
      </c>
      <c r="E91" s="306" t="n">
        <v>3.75</v>
      </c>
      <c r="F91" s="324" t="s">
        <v>541</v>
      </c>
      <c r="G91" s="307" t="n">
        <v>24</v>
      </c>
      <c r="H91" s="143" t="n">
        <v>276.03305785124</v>
      </c>
      <c r="I91" s="410"/>
      <c r="J91" s="311" t="s">
        <v>12</v>
      </c>
      <c r="K91" s="309" t="s">
        <v>12</v>
      </c>
      <c r="L91" s="650"/>
      <c r="M91" s="651" t="s">
        <v>12</v>
      </c>
      <c r="N91" s="652" t="s">
        <v>12</v>
      </c>
      <c r="O91" s="651" t="s">
        <v>12</v>
      </c>
      <c r="P91" s="312" t="s">
        <v>12</v>
      </c>
      <c r="Q91" s="652" t="s">
        <v>12</v>
      </c>
      <c r="R91" s="312" t="s">
        <v>12</v>
      </c>
      <c r="S91" s="310"/>
      <c r="T91" s="651" t="n">
        <v>0</v>
      </c>
      <c r="U91" s="652" t="n">
        <v>8.7</v>
      </c>
      <c r="V91" s="651" t="n">
        <v>0</v>
      </c>
      <c r="W91" s="652" t="n">
        <v>5.8</v>
      </c>
      <c r="X91" s="651" t="n">
        <v>0</v>
      </c>
      <c r="Y91" s="312" t="n">
        <v>5.8</v>
      </c>
      <c r="Z91" s="313" t="n">
        <v>0</v>
      </c>
      <c r="AA91" s="314" t="n">
        <v>5.8</v>
      </c>
      <c r="AB91" s="313" t="n">
        <v>0</v>
      </c>
      <c r="AC91" s="314" t="n">
        <v>5.8</v>
      </c>
      <c r="AE91" s="324" t="n">
        <v>51</v>
      </c>
      <c r="AF91" s="315"/>
      <c r="AG91" s="311" t="n">
        <v>0</v>
      </c>
      <c r="AH91" s="309" t="n">
        <v>0</v>
      </c>
      <c r="AI91" s="310"/>
      <c r="AJ91" s="311" t="s">
        <v>12</v>
      </c>
      <c r="AK91" s="309" t="s">
        <v>12</v>
      </c>
      <c r="AL91" s="311" t="s">
        <v>12</v>
      </c>
      <c r="AM91" s="309" t="s">
        <v>12</v>
      </c>
      <c r="AN91" s="311" t="s">
        <v>12</v>
      </c>
      <c r="AO91" s="309" t="s">
        <v>12</v>
      </c>
      <c r="AP91" s="310"/>
      <c r="AQ91" s="311" t="n">
        <v>118</v>
      </c>
      <c r="AR91" s="309" t="n">
        <v>208.8</v>
      </c>
      <c r="AS91" s="311" t="n">
        <v>188</v>
      </c>
      <c r="AT91" s="309" t="n">
        <v>139.2</v>
      </c>
      <c r="AU91" s="311" t="n">
        <v>188</v>
      </c>
      <c r="AV91" s="309" t="n">
        <v>139.2</v>
      </c>
      <c r="AW91" s="311" t="n">
        <v>188</v>
      </c>
      <c r="AX91" s="309" t="n">
        <v>139.2</v>
      </c>
      <c r="AY91" s="311" t="n">
        <v>188</v>
      </c>
      <c r="AZ91" s="309" t="n">
        <v>139.2</v>
      </c>
    </row>
    <row r="92" customFormat="false" ht="12.75" hidden="false" customHeight="false" outlineLevel="0" collapsed="false">
      <c r="A92" s="268"/>
      <c r="B92" s="306" t="s">
        <v>450</v>
      </c>
      <c r="C92" s="305" t="s">
        <v>566</v>
      </c>
      <c r="D92" s="306" t="n">
        <v>137</v>
      </c>
      <c r="E92" s="306" t="n">
        <v>3.75</v>
      </c>
      <c r="F92" s="324" t="s">
        <v>562</v>
      </c>
      <c r="G92" s="144" t="n">
        <v>24</v>
      </c>
      <c r="H92" s="143" t="n">
        <v>137.190082644628</v>
      </c>
      <c r="I92" s="410"/>
      <c r="J92" s="311" t="s">
        <v>12</v>
      </c>
      <c r="K92" s="309" t="s">
        <v>12</v>
      </c>
      <c r="L92" s="650"/>
      <c r="M92" s="651" t="n">
        <v>19</v>
      </c>
      <c r="N92" s="652" t="n">
        <v>4.4</v>
      </c>
      <c r="O92" s="651" t="n">
        <v>0</v>
      </c>
      <c r="P92" s="312" t="n">
        <v>2.5</v>
      </c>
      <c r="Q92" s="652" t="n">
        <v>0</v>
      </c>
      <c r="R92" s="312" t="n">
        <v>1.7</v>
      </c>
      <c r="S92" s="310"/>
      <c r="T92" s="651" t="n">
        <v>0</v>
      </c>
      <c r="U92" s="652" t="n">
        <v>5</v>
      </c>
      <c r="V92" s="651" t="n">
        <v>0</v>
      </c>
      <c r="W92" s="652" t="n">
        <v>1.7</v>
      </c>
      <c r="X92" s="651" t="n">
        <v>0</v>
      </c>
      <c r="Y92" s="312" t="n">
        <v>1.7</v>
      </c>
      <c r="Z92" s="313" t="n">
        <v>0</v>
      </c>
      <c r="AA92" s="314" t="n">
        <v>1.7</v>
      </c>
      <c r="AB92" s="313" t="n">
        <v>0</v>
      </c>
      <c r="AC92" s="314" t="n">
        <v>1.7</v>
      </c>
      <c r="AE92" s="324" t="n">
        <v>0</v>
      </c>
      <c r="AF92" s="315"/>
      <c r="AG92" s="311" t="n">
        <v>0</v>
      </c>
      <c r="AH92" s="309" t="n">
        <v>0</v>
      </c>
      <c r="AI92" s="310"/>
      <c r="AJ92" s="311" t="n">
        <v>12</v>
      </c>
      <c r="AK92" s="309" t="n">
        <v>105.6</v>
      </c>
      <c r="AL92" s="311" t="n">
        <v>77</v>
      </c>
      <c r="AM92" s="309" t="n">
        <v>60</v>
      </c>
      <c r="AN92" s="310" t="n">
        <v>96</v>
      </c>
      <c r="AO92" s="309" t="n">
        <v>40.8</v>
      </c>
      <c r="AP92" s="310"/>
      <c r="AQ92" s="311" t="n">
        <v>17</v>
      </c>
      <c r="AR92" s="309" t="n">
        <v>120</v>
      </c>
      <c r="AS92" s="311" t="n">
        <v>96</v>
      </c>
      <c r="AT92" s="309" t="n">
        <v>40.8</v>
      </c>
      <c r="AU92" s="310" t="n">
        <v>96</v>
      </c>
      <c r="AV92" s="309" t="n">
        <v>40.8</v>
      </c>
      <c r="AW92" s="310" t="n">
        <v>96</v>
      </c>
      <c r="AX92" s="309" t="n">
        <v>40.8</v>
      </c>
      <c r="AY92" s="310" t="n">
        <v>96</v>
      </c>
      <c r="AZ92" s="309" t="n">
        <v>40.8</v>
      </c>
    </row>
    <row r="93" customFormat="false" ht="12.75" hidden="false" customHeight="false" outlineLevel="0" collapsed="false">
      <c r="A93" s="268"/>
      <c r="B93" s="306" t="s">
        <v>209</v>
      </c>
      <c r="C93" s="305" t="s">
        <v>567</v>
      </c>
      <c r="D93" s="306" t="n">
        <v>304</v>
      </c>
      <c r="E93" s="306" t="n">
        <v>0</v>
      </c>
      <c r="F93" s="324" t="s">
        <v>568</v>
      </c>
      <c r="G93" s="307" t="n">
        <v>24</v>
      </c>
      <c r="H93" s="143" t="n">
        <v>303.305785123967</v>
      </c>
      <c r="I93" s="410"/>
      <c r="J93" s="311" t="s">
        <v>12</v>
      </c>
      <c r="K93" s="309" t="s">
        <v>12</v>
      </c>
      <c r="L93" s="650"/>
      <c r="M93" s="651" t="s">
        <v>12</v>
      </c>
      <c r="N93" s="652" t="s">
        <v>12</v>
      </c>
      <c r="O93" s="651" t="s">
        <v>12</v>
      </c>
      <c r="P93" s="312" t="s">
        <v>12</v>
      </c>
      <c r="Q93" s="652" t="s">
        <v>12</v>
      </c>
      <c r="R93" s="312" t="s">
        <v>12</v>
      </c>
      <c r="S93" s="310"/>
      <c r="T93" s="651" t="n">
        <v>0</v>
      </c>
      <c r="U93" s="652" t="n">
        <v>10</v>
      </c>
      <c r="V93" s="651" t="n">
        <v>0</v>
      </c>
      <c r="W93" s="652" t="n">
        <v>6.2</v>
      </c>
      <c r="X93" s="651" t="n">
        <v>0</v>
      </c>
      <c r="Y93" s="312" t="n">
        <v>5.8</v>
      </c>
      <c r="Z93" s="313" t="n">
        <v>0</v>
      </c>
      <c r="AA93" s="314" t="n">
        <v>5.8</v>
      </c>
      <c r="AB93" s="313" t="n">
        <v>0</v>
      </c>
      <c r="AC93" s="314" t="n">
        <v>5.8</v>
      </c>
      <c r="AE93" s="324" t="n">
        <v>1</v>
      </c>
      <c r="AF93" s="315"/>
      <c r="AG93" s="311" t="n">
        <v>0</v>
      </c>
      <c r="AH93" s="309" t="n">
        <v>0</v>
      </c>
      <c r="AI93" s="310"/>
      <c r="AJ93" s="311" t="s">
        <v>12</v>
      </c>
      <c r="AK93" s="309" t="s">
        <v>12</v>
      </c>
      <c r="AL93" s="311" t="s">
        <v>12</v>
      </c>
      <c r="AM93" s="309" t="s">
        <v>12</v>
      </c>
      <c r="AN93" s="311" t="s">
        <v>12</v>
      </c>
      <c r="AO93" s="309" t="s">
        <v>12</v>
      </c>
      <c r="AP93" s="310"/>
      <c r="AQ93" s="311" t="n">
        <v>64</v>
      </c>
      <c r="AR93" s="309" t="n">
        <v>240</v>
      </c>
      <c r="AS93" s="311" t="n">
        <v>155</v>
      </c>
      <c r="AT93" s="309" t="n">
        <v>148.8</v>
      </c>
      <c r="AU93" s="311" t="n">
        <v>165</v>
      </c>
      <c r="AV93" s="309" t="n">
        <v>139.2</v>
      </c>
      <c r="AW93" s="311" t="n">
        <v>165</v>
      </c>
      <c r="AX93" s="309" t="n">
        <v>139.2</v>
      </c>
      <c r="AY93" s="311" t="n">
        <v>165</v>
      </c>
      <c r="AZ93" s="309" t="n">
        <v>139.2</v>
      </c>
    </row>
    <row r="94" customFormat="false" ht="12.75" hidden="false" customHeight="false" outlineLevel="0" collapsed="false">
      <c r="A94" s="268"/>
      <c r="B94" s="306" t="s">
        <v>209</v>
      </c>
      <c r="C94" s="305" t="s">
        <v>567</v>
      </c>
      <c r="D94" s="306" t="n">
        <v>304</v>
      </c>
      <c r="E94" s="306" t="n">
        <v>0</v>
      </c>
      <c r="F94" s="324" t="s">
        <v>568</v>
      </c>
      <c r="G94" s="144" t="n">
        <v>48</v>
      </c>
      <c r="H94" s="143" t="n">
        <v>303.305785123967</v>
      </c>
      <c r="I94" s="410"/>
      <c r="J94" s="311" t="s">
        <v>12</v>
      </c>
      <c r="K94" s="309" t="s">
        <v>12</v>
      </c>
      <c r="L94" s="650"/>
      <c r="M94" s="651" t="s">
        <v>12</v>
      </c>
      <c r="N94" s="652" t="s">
        <v>12</v>
      </c>
      <c r="O94" s="651" t="s">
        <v>12</v>
      </c>
      <c r="P94" s="312" t="s">
        <v>12</v>
      </c>
      <c r="Q94" s="652" t="s">
        <v>12</v>
      </c>
      <c r="R94" s="312" t="s">
        <v>12</v>
      </c>
      <c r="S94" s="310"/>
      <c r="T94" s="651" t="n">
        <v>0</v>
      </c>
      <c r="U94" s="652" t="n">
        <v>5</v>
      </c>
      <c r="V94" s="651" t="n">
        <v>0</v>
      </c>
      <c r="W94" s="652" t="n">
        <v>3.1</v>
      </c>
      <c r="X94" s="651" t="n">
        <v>0</v>
      </c>
      <c r="Y94" s="312" t="n">
        <v>2.9</v>
      </c>
      <c r="Z94" s="313" t="n">
        <v>0</v>
      </c>
      <c r="AA94" s="314" t="n">
        <v>2.9</v>
      </c>
      <c r="AB94" s="313" t="n">
        <v>0</v>
      </c>
      <c r="AC94" s="314" t="n">
        <v>2.9</v>
      </c>
      <c r="AE94" s="324" t="n">
        <v>1</v>
      </c>
      <c r="AF94" s="315"/>
      <c r="AG94" s="311" t="n">
        <v>0</v>
      </c>
      <c r="AH94" s="309" t="n">
        <v>0</v>
      </c>
      <c r="AI94" s="310"/>
      <c r="AJ94" s="311" t="s">
        <v>12</v>
      </c>
      <c r="AK94" s="309" t="s">
        <v>12</v>
      </c>
      <c r="AL94" s="311" t="s">
        <v>12</v>
      </c>
      <c r="AM94" s="309" t="s">
        <v>12</v>
      </c>
      <c r="AN94" s="310" t="s">
        <v>12</v>
      </c>
      <c r="AO94" s="309" t="s">
        <v>12</v>
      </c>
      <c r="AP94" s="310"/>
      <c r="AQ94" s="311" t="n">
        <v>64</v>
      </c>
      <c r="AR94" s="309" t="n">
        <v>240</v>
      </c>
      <c r="AS94" s="311" t="n">
        <v>155</v>
      </c>
      <c r="AT94" s="309" t="n">
        <v>148.8</v>
      </c>
      <c r="AU94" s="310" t="n">
        <v>165</v>
      </c>
      <c r="AV94" s="309" t="n">
        <v>139.2</v>
      </c>
      <c r="AW94" s="310" t="n">
        <v>165</v>
      </c>
      <c r="AX94" s="309" t="n">
        <v>139.2</v>
      </c>
      <c r="AY94" s="310" t="n">
        <v>165</v>
      </c>
      <c r="AZ94" s="309" t="n">
        <v>139.2</v>
      </c>
    </row>
    <row r="95" customFormat="false" ht="12.75" hidden="false" customHeight="false" outlineLevel="0" collapsed="false">
      <c r="A95" s="268"/>
      <c r="B95" s="306" t="s">
        <v>216</v>
      </c>
      <c r="C95" s="305" t="s">
        <v>570</v>
      </c>
      <c r="D95" s="306" t="n">
        <v>198</v>
      </c>
      <c r="E95" s="306" t="n">
        <v>0</v>
      </c>
      <c r="F95" s="324" t="s">
        <v>568</v>
      </c>
      <c r="G95" s="307" t="n">
        <v>24</v>
      </c>
      <c r="H95" s="143" t="n">
        <v>212.396694214876</v>
      </c>
      <c r="I95" s="410"/>
      <c r="J95" s="311" t="s">
        <v>12</v>
      </c>
      <c r="K95" s="309" t="s">
        <v>12</v>
      </c>
      <c r="L95" s="650"/>
      <c r="M95" s="651" t="s">
        <v>12</v>
      </c>
      <c r="N95" s="652" t="s">
        <v>12</v>
      </c>
      <c r="O95" s="651" t="s">
        <v>12</v>
      </c>
      <c r="P95" s="312" t="s">
        <v>12</v>
      </c>
      <c r="Q95" s="652" t="s">
        <v>12</v>
      </c>
      <c r="R95" s="312" t="s">
        <v>12</v>
      </c>
      <c r="S95" s="310"/>
      <c r="T95" s="651" t="n">
        <v>0</v>
      </c>
      <c r="U95" s="652" t="n">
        <v>7.7</v>
      </c>
      <c r="V95" s="651" t="n">
        <v>0</v>
      </c>
      <c r="W95" s="652" t="n">
        <v>2.1</v>
      </c>
      <c r="X95" s="651" t="n">
        <v>0</v>
      </c>
      <c r="Y95" s="312" t="n">
        <v>2.1</v>
      </c>
      <c r="Z95" s="313" t="n">
        <v>0</v>
      </c>
      <c r="AA95" s="314" t="n">
        <v>3.1</v>
      </c>
      <c r="AB95" s="313" t="n">
        <v>0</v>
      </c>
      <c r="AC95" s="314" t="n">
        <v>3.1</v>
      </c>
      <c r="AE95" s="324" t="n">
        <v>-14</v>
      </c>
      <c r="AF95" s="315"/>
      <c r="AG95" s="311" t="n">
        <v>0</v>
      </c>
      <c r="AH95" s="309" t="n">
        <v>0</v>
      </c>
      <c r="AI95" s="310"/>
      <c r="AJ95" s="311" t="s">
        <v>12</v>
      </c>
      <c r="AK95" s="309" t="s">
        <v>12</v>
      </c>
      <c r="AL95" s="311" t="s">
        <v>12</v>
      </c>
      <c r="AM95" s="309" t="s">
        <v>12</v>
      </c>
      <c r="AN95" s="311" t="s">
        <v>12</v>
      </c>
      <c r="AO95" s="309" t="s">
        <v>12</v>
      </c>
      <c r="AP95" s="310"/>
      <c r="AQ95" s="311" t="n">
        <v>13</v>
      </c>
      <c r="AR95" s="309" t="n">
        <v>184.8</v>
      </c>
      <c r="AS95" s="311" t="n">
        <v>148</v>
      </c>
      <c r="AT95" s="309" t="n">
        <v>50.4</v>
      </c>
      <c r="AU95" s="311" t="n">
        <v>148</v>
      </c>
      <c r="AV95" s="309" t="n">
        <v>50.4</v>
      </c>
      <c r="AW95" s="311" t="n">
        <v>124</v>
      </c>
      <c r="AX95" s="309" t="n">
        <v>74.4</v>
      </c>
      <c r="AY95" s="311" t="n">
        <v>124</v>
      </c>
      <c r="AZ95" s="309" t="n">
        <v>74.4</v>
      </c>
    </row>
    <row r="96" customFormat="false" ht="12.75" hidden="false" customHeight="false" outlineLevel="0" collapsed="false">
      <c r="A96" s="268"/>
      <c r="B96" s="306" t="s">
        <v>216</v>
      </c>
      <c r="C96" s="305" t="s">
        <v>570</v>
      </c>
      <c r="D96" s="306" t="n">
        <v>198</v>
      </c>
      <c r="E96" s="306" t="n">
        <v>0</v>
      </c>
      <c r="F96" s="324" t="s">
        <v>568</v>
      </c>
      <c r="G96" s="144" t="n">
        <v>48</v>
      </c>
      <c r="H96" s="143" t="n">
        <v>212.396694214876</v>
      </c>
      <c r="I96" s="410"/>
      <c r="J96" s="311" t="s">
        <v>12</v>
      </c>
      <c r="K96" s="309" t="s">
        <v>12</v>
      </c>
      <c r="L96" s="650"/>
      <c r="M96" s="651" t="s">
        <v>12</v>
      </c>
      <c r="N96" s="652" t="s">
        <v>12</v>
      </c>
      <c r="O96" s="651" t="s">
        <v>12</v>
      </c>
      <c r="P96" s="312" t="s">
        <v>12</v>
      </c>
      <c r="Q96" s="652" t="s">
        <v>12</v>
      </c>
      <c r="R96" s="312" t="s">
        <v>12</v>
      </c>
      <c r="S96" s="310"/>
      <c r="T96" s="651" t="n">
        <v>0</v>
      </c>
      <c r="U96" s="652" t="n">
        <v>3.9</v>
      </c>
      <c r="V96" s="651" t="n">
        <v>0</v>
      </c>
      <c r="W96" s="652" t="n">
        <v>1.1</v>
      </c>
      <c r="X96" s="651" t="n">
        <v>0</v>
      </c>
      <c r="Y96" s="312" t="n">
        <v>1.1</v>
      </c>
      <c r="Z96" s="313" t="n">
        <v>0</v>
      </c>
      <c r="AA96" s="314" t="n">
        <v>1.6</v>
      </c>
      <c r="AB96" s="313" t="n">
        <v>0</v>
      </c>
      <c r="AC96" s="314" t="n">
        <v>1.6</v>
      </c>
      <c r="AE96" s="324" t="n">
        <v>-14</v>
      </c>
      <c r="AF96" s="315"/>
      <c r="AG96" s="311" t="n">
        <v>0</v>
      </c>
      <c r="AH96" s="309" t="n">
        <v>0</v>
      </c>
      <c r="AI96" s="310"/>
      <c r="AJ96" s="311" t="s">
        <v>12</v>
      </c>
      <c r="AK96" s="309" t="s">
        <v>12</v>
      </c>
      <c r="AL96" s="311" t="s">
        <v>12</v>
      </c>
      <c r="AM96" s="309" t="s">
        <v>12</v>
      </c>
      <c r="AN96" s="310" t="s">
        <v>12</v>
      </c>
      <c r="AO96" s="309" t="s">
        <v>12</v>
      </c>
      <c r="AP96" s="310"/>
      <c r="AQ96" s="311" t="n">
        <v>11</v>
      </c>
      <c r="AR96" s="309" t="n">
        <v>187.2</v>
      </c>
      <c r="AS96" s="311" t="n">
        <v>145</v>
      </c>
      <c r="AT96" s="309" t="n">
        <v>52.8</v>
      </c>
      <c r="AU96" s="310" t="n">
        <v>145</v>
      </c>
      <c r="AV96" s="309" t="n">
        <v>52.8</v>
      </c>
      <c r="AW96" s="310" t="n">
        <v>121</v>
      </c>
      <c r="AX96" s="309" t="n">
        <v>76.8</v>
      </c>
      <c r="AY96" s="310" t="n">
        <v>121</v>
      </c>
      <c r="AZ96" s="309" t="n">
        <v>76.8</v>
      </c>
    </row>
    <row r="97" customFormat="false" ht="12.75" hidden="false" customHeight="false" outlineLevel="0" collapsed="false">
      <c r="A97" s="268"/>
      <c r="B97" s="306" t="s">
        <v>593</v>
      </c>
      <c r="C97" s="305" t="s">
        <v>594</v>
      </c>
      <c r="D97" s="306" t="n">
        <v>204</v>
      </c>
      <c r="E97" s="306" t="n">
        <v>0</v>
      </c>
      <c r="F97" s="324" t="s">
        <v>595</v>
      </c>
      <c r="G97" s="307" t="n">
        <v>24</v>
      </c>
      <c r="H97" s="143" t="n">
        <v>183.471074380165</v>
      </c>
      <c r="I97" s="410"/>
      <c r="J97" s="311" t="s">
        <v>12</v>
      </c>
      <c r="K97" s="309" t="s">
        <v>12</v>
      </c>
      <c r="L97" s="650"/>
      <c r="M97" s="651" t="s">
        <v>12</v>
      </c>
      <c r="N97" s="652" t="s">
        <v>12</v>
      </c>
      <c r="O97" s="651" t="s">
        <v>12</v>
      </c>
      <c r="P97" s="312" t="s">
        <v>12</v>
      </c>
      <c r="Q97" s="652" t="s">
        <v>12</v>
      </c>
      <c r="R97" s="312" t="s">
        <v>12</v>
      </c>
      <c r="S97" s="310"/>
      <c r="T97" s="651" t="n">
        <v>0</v>
      </c>
      <c r="U97" s="652" t="n">
        <v>6.5</v>
      </c>
      <c r="V97" s="651" t="n">
        <v>0</v>
      </c>
      <c r="W97" s="652" t="n">
        <v>4.2</v>
      </c>
      <c r="X97" s="651" t="n">
        <v>0</v>
      </c>
      <c r="Y97" s="312" t="n">
        <v>4.2</v>
      </c>
      <c r="Z97" s="313" t="n">
        <v>0</v>
      </c>
      <c r="AA97" s="314" t="n">
        <v>4.1</v>
      </c>
      <c r="AB97" s="313" t="n">
        <v>0</v>
      </c>
      <c r="AC97" s="314" t="n">
        <v>4.1</v>
      </c>
      <c r="AE97" s="324" t="n">
        <v>21</v>
      </c>
      <c r="AF97" s="315"/>
      <c r="AG97" s="311" t="n">
        <v>0</v>
      </c>
      <c r="AH97" s="309" t="n">
        <v>0</v>
      </c>
      <c r="AI97" s="310"/>
      <c r="AJ97" s="311" t="s">
        <v>12</v>
      </c>
      <c r="AK97" s="309" t="s">
        <v>12</v>
      </c>
      <c r="AL97" s="311" t="s">
        <v>12</v>
      </c>
      <c r="AM97" s="309" t="s">
        <v>12</v>
      </c>
      <c r="AN97" s="311" t="s">
        <v>12</v>
      </c>
      <c r="AO97" s="309" t="s">
        <v>12</v>
      </c>
      <c r="AP97" s="310"/>
      <c r="AQ97" s="311" t="n">
        <v>48</v>
      </c>
      <c r="AR97" s="309" t="n">
        <v>156</v>
      </c>
      <c r="AS97" s="311" t="n">
        <v>103</v>
      </c>
      <c r="AT97" s="309" t="n">
        <v>100.8</v>
      </c>
      <c r="AU97" s="311" t="n">
        <v>103</v>
      </c>
      <c r="AV97" s="309" t="n">
        <v>100.8</v>
      </c>
      <c r="AW97" s="311" t="n">
        <v>106</v>
      </c>
      <c r="AX97" s="309" t="n">
        <v>98.4</v>
      </c>
      <c r="AY97" s="311" t="n">
        <v>106</v>
      </c>
      <c r="AZ97" s="309" t="n">
        <v>98.4</v>
      </c>
    </row>
    <row r="98" customFormat="false" ht="12.75" hidden="false" customHeight="false" outlineLevel="0" collapsed="false">
      <c r="A98" s="268"/>
      <c r="B98" s="306" t="s">
        <v>190</v>
      </c>
      <c r="C98" s="305" t="s">
        <v>596</v>
      </c>
      <c r="D98" s="306" t="n">
        <v>66</v>
      </c>
      <c r="E98" s="306" t="n">
        <v>0</v>
      </c>
      <c r="F98" s="324" t="s">
        <v>595</v>
      </c>
      <c r="G98" s="144" t="n">
        <v>24</v>
      </c>
      <c r="H98" s="143" t="n">
        <v>56.198347107438</v>
      </c>
      <c r="I98" s="410"/>
      <c r="J98" s="311" t="s">
        <v>12</v>
      </c>
      <c r="K98" s="309" t="s">
        <v>12</v>
      </c>
      <c r="L98" s="650"/>
      <c r="M98" s="651" t="n">
        <v>0</v>
      </c>
      <c r="N98" s="652" t="n">
        <v>1.4</v>
      </c>
      <c r="O98" s="651" t="n">
        <v>0</v>
      </c>
      <c r="P98" s="312" t="n">
        <v>1.4</v>
      </c>
      <c r="Q98" s="652" t="n">
        <v>0</v>
      </c>
      <c r="R98" s="312" t="n">
        <v>1.4</v>
      </c>
      <c r="S98" s="310"/>
      <c r="T98" s="651" t="n">
        <v>0</v>
      </c>
      <c r="U98" s="652" t="n">
        <v>0</v>
      </c>
      <c r="V98" s="651" t="n">
        <v>0</v>
      </c>
      <c r="W98" s="652" t="n">
        <v>0</v>
      </c>
      <c r="X98" s="651" t="n">
        <v>0</v>
      </c>
      <c r="Y98" s="312" t="n">
        <v>0</v>
      </c>
      <c r="Z98" s="313" t="n">
        <v>0</v>
      </c>
      <c r="AA98" s="314" t="n">
        <v>0</v>
      </c>
      <c r="AB98" s="313" t="n">
        <v>0</v>
      </c>
      <c r="AC98" s="314" t="n">
        <v>0</v>
      </c>
      <c r="AE98" s="324" t="n">
        <v>10</v>
      </c>
      <c r="AF98" s="315"/>
      <c r="AG98" s="311" t="n">
        <v>0</v>
      </c>
      <c r="AH98" s="309" t="n">
        <v>0</v>
      </c>
      <c r="AI98" s="310"/>
      <c r="AJ98" s="311" t="n">
        <v>32</v>
      </c>
      <c r="AK98" s="309" t="n">
        <v>33.6</v>
      </c>
      <c r="AL98" s="311" t="n">
        <v>32</v>
      </c>
      <c r="AM98" s="309" t="n">
        <v>33.6</v>
      </c>
      <c r="AN98" s="310" t="n">
        <v>32</v>
      </c>
      <c r="AO98" s="309" t="n">
        <v>33.6</v>
      </c>
      <c r="AP98" s="310"/>
      <c r="AQ98" s="311" t="n">
        <v>66</v>
      </c>
      <c r="AR98" s="309" t="n">
        <v>0</v>
      </c>
      <c r="AS98" s="311" t="n">
        <v>66</v>
      </c>
      <c r="AT98" s="309" t="n">
        <v>0</v>
      </c>
      <c r="AU98" s="310" t="n">
        <v>66</v>
      </c>
      <c r="AV98" s="309" t="n">
        <v>0</v>
      </c>
      <c r="AW98" s="310" t="n">
        <v>66</v>
      </c>
      <c r="AX98" s="309" t="n">
        <v>0</v>
      </c>
      <c r="AY98" s="310" t="n">
        <v>66</v>
      </c>
      <c r="AZ98" s="309" t="n">
        <v>0</v>
      </c>
    </row>
    <row r="99" customFormat="false" ht="12.75" hidden="false" customHeight="false" outlineLevel="0" collapsed="false">
      <c r="A99" s="268"/>
      <c r="B99" s="306" t="s">
        <v>190</v>
      </c>
      <c r="C99" s="305" t="s">
        <v>597</v>
      </c>
      <c r="D99" s="306" t="n">
        <v>107</v>
      </c>
      <c r="E99" s="306" t="n">
        <v>0</v>
      </c>
      <c r="F99" s="324" t="s">
        <v>595</v>
      </c>
      <c r="G99" s="307" t="n">
        <v>24</v>
      </c>
      <c r="H99" s="143" t="n">
        <v>93.3884297520661</v>
      </c>
      <c r="I99" s="410"/>
      <c r="J99" s="311" t="s">
        <v>12</v>
      </c>
      <c r="K99" s="309" t="s">
        <v>12</v>
      </c>
      <c r="L99" s="650"/>
      <c r="M99" s="651" t="n">
        <v>0</v>
      </c>
      <c r="N99" s="652" t="n">
        <v>3.6</v>
      </c>
      <c r="O99" s="651" t="n">
        <v>0</v>
      </c>
      <c r="P99" s="312" t="n">
        <v>1.3</v>
      </c>
      <c r="Q99" s="652" t="n">
        <v>0</v>
      </c>
      <c r="R99" s="312" t="n">
        <v>0.5</v>
      </c>
      <c r="S99" s="310"/>
      <c r="T99" s="651" t="n">
        <v>0</v>
      </c>
      <c r="U99" s="652" t="n">
        <v>1.3</v>
      </c>
      <c r="V99" s="651" t="n">
        <v>0</v>
      </c>
      <c r="W99" s="652" t="n">
        <v>0.9</v>
      </c>
      <c r="X99" s="651" t="n">
        <v>0</v>
      </c>
      <c r="Y99" s="312" t="n">
        <v>0.9</v>
      </c>
      <c r="Z99" s="313" t="n">
        <v>0</v>
      </c>
      <c r="AA99" s="314" t="n">
        <v>0.8</v>
      </c>
      <c r="AB99" s="313" t="n">
        <v>0</v>
      </c>
      <c r="AC99" s="314" t="n">
        <v>0.8</v>
      </c>
      <c r="AE99" s="324" t="n">
        <v>14</v>
      </c>
      <c r="AF99" s="315"/>
      <c r="AG99" s="311" t="n">
        <v>0</v>
      </c>
      <c r="AH99" s="309" t="n">
        <v>0</v>
      </c>
      <c r="AI99" s="310"/>
      <c r="AJ99" s="311" t="n">
        <v>21</v>
      </c>
      <c r="AK99" s="309" t="n">
        <v>86.4</v>
      </c>
      <c r="AL99" s="311" t="n">
        <v>76</v>
      </c>
      <c r="AM99" s="309" t="n">
        <v>31.2</v>
      </c>
      <c r="AN99" s="311" t="n">
        <v>95</v>
      </c>
      <c r="AO99" s="309" t="n">
        <v>12</v>
      </c>
      <c r="AP99" s="310"/>
      <c r="AQ99" s="311" t="n">
        <v>76</v>
      </c>
      <c r="AR99" s="309" t="n">
        <v>31.2</v>
      </c>
      <c r="AS99" s="311" t="n">
        <v>85</v>
      </c>
      <c r="AT99" s="309" t="n">
        <v>21.6</v>
      </c>
      <c r="AU99" s="311" t="n">
        <v>85</v>
      </c>
      <c r="AV99" s="309" t="n">
        <v>21.6</v>
      </c>
      <c r="AW99" s="311" t="n">
        <v>88</v>
      </c>
      <c r="AX99" s="309" t="n">
        <v>19.2</v>
      </c>
      <c r="AY99" s="311" t="n">
        <v>88</v>
      </c>
      <c r="AZ99" s="309" t="n">
        <v>19.2</v>
      </c>
    </row>
    <row r="100" customFormat="false" ht="12.75" hidden="false" customHeight="false" outlineLevel="0" collapsed="false">
      <c r="A100" s="268"/>
      <c r="B100" s="306" t="s">
        <v>260</v>
      </c>
      <c r="C100" s="327" t="s">
        <v>598</v>
      </c>
      <c r="D100" s="306" t="n">
        <v>129</v>
      </c>
      <c r="E100" s="306" t="n">
        <v>0</v>
      </c>
      <c r="F100" s="324" t="s">
        <v>595</v>
      </c>
      <c r="G100" s="144" t="n">
        <v>24</v>
      </c>
      <c r="H100" s="143" t="n">
        <v>128.925619834711</v>
      </c>
      <c r="I100" s="410"/>
      <c r="J100" s="311" t="s">
        <v>12</v>
      </c>
      <c r="K100" s="309" t="s">
        <v>12</v>
      </c>
      <c r="L100" s="650"/>
      <c r="M100" s="651" t="n">
        <v>19</v>
      </c>
      <c r="N100" s="652" t="n">
        <v>4</v>
      </c>
      <c r="O100" s="651" t="n">
        <v>0</v>
      </c>
      <c r="P100" s="312" t="n">
        <v>2.3</v>
      </c>
      <c r="Q100" s="652" t="n">
        <v>0</v>
      </c>
      <c r="R100" s="312" t="n">
        <v>1.5</v>
      </c>
      <c r="S100" s="310"/>
      <c r="T100" s="651" t="n">
        <v>0</v>
      </c>
      <c r="U100" s="652" t="n">
        <v>4.6</v>
      </c>
      <c r="V100" s="651" t="n">
        <v>0</v>
      </c>
      <c r="W100" s="652" t="n">
        <v>1.7</v>
      </c>
      <c r="X100" s="651" t="n">
        <v>0</v>
      </c>
      <c r="Y100" s="312" t="n">
        <v>1.7</v>
      </c>
      <c r="Z100" s="313" t="n">
        <v>0</v>
      </c>
      <c r="AA100" s="314" t="n">
        <v>1.7</v>
      </c>
      <c r="AB100" s="313" t="n">
        <v>0</v>
      </c>
      <c r="AC100" s="314" t="n">
        <v>1.7</v>
      </c>
      <c r="AE100" s="324" t="n">
        <v>0</v>
      </c>
      <c r="AF100" s="315"/>
      <c r="AG100" s="311" t="n">
        <v>0</v>
      </c>
      <c r="AH100" s="309" t="n">
        <v>0</v>
      </c>
      <c r="AI100" s="310"/>
      <c r="AJ100" s="311" t="n">
        <v>14</v>
      </c>
      <c r="AK100" s="309" t="n">
        <v>96</v>
      </c>
      <c r="AL100" s="311" t="n">
        <v>74</v>
      </c>
      <c r="AM100" s="309" t="n">
        <v>55.2</v>
      </c>
      <c r="AN100" s="310" t="n">
        <v>93</v>
      </c>
      <c r="AO100" s="309" t="n">
        <v>36</v>
      </c>
      <c r="AP100" s="310"/>
      <c r="AQ100" s="311" t="n">
        <v>19</v>
      </c>
      <c r="AR100" s="309" t="n">
        <v>110.4</v>
      </c>
      <c r="AS100" s="311" t="n">
        <v>88</v>
      </c>
      <c r="AT100" s="309" t="n">
        <v>40.8</v>
      </c>
      <c r="AU100" s="310" t="n">
        <v>88</v>
      </c>
      <c r="AV100" s="309" t="n">
        <v>40.8</v>
      </c>
      <c r="AW100" s="310" t="n">
        <v>88</v>
      </c>
      <c r="AX100" s="309" t="n">
        <v>40.8</v>
      </c>
      <c r="AY100" s="310" t="n">
        <v>88</v>
      </c>
      <c r="AZ100" s="309" t="n">
        <v>40.8</v>
      </c>
    </row>
    <row r="101" customFormat="false" ht="12.75" hidden="false" customHeight="false" outlineLevel="0" collapsed="false">
      <c r="A101" s="268"/>
      <c r="B101" s="306" t="s">
        <v>190</v>
      </c>
      <c r="C101" s="327" t="s">
        <v>599</v>
      </c>
      <c r="D101" s="306" t="n">
        <v>248</v>
      </c>
      <c r="E101" s="306" t="n">
        <v>0</v>
      </c>
      <c r="F101" s="324" t="s">
        <v>595</v>
      </c>
      <c r="G101" s="307" t="n">
        <v>24</v>
      </c>
      <c r="H101" s="143" t="n">
        <v>219.00826446281</v>
      </c>
      <c r="I101" s="410"/>
      <c r="J101" s="311" t="s">
        <v>12</v>
      </c>
      <c r="K101" s="309" t="s">
        <v>12</v>
      </c>
      <c r="L101" s="650"/>
      <c r="M101" s="651" t="s">
        <v>12</v>
      </c>
      <c r="N101" s="652" t="s">
        <v>12</v>
      </c>
      <c r="O101" s="651" t="s">
        <v>12</v>
      </c>
      <c r="P101" s="312" t="s">
        <v>12</v>
      </c>
      <c r="Q101" s="652" t="s">
        <v>12</v>
      </c>
      <c r="R101" s="312" t="s">
        <v>12</v>
      </c>
      <c r="S101" s="310"/>
      <c r="T101" s="651" t="n">
        <v>0</v>
      </c>
      <c r="U101" s="652" t="n">
        <v>7.9</v>
      </c>
      <c r="V101" s="651" t="n">
        <v>0</v>
      </c>
      <c r="W101" s="652" t="n">
        <v>5</v>
      </c>
      <c r="X101" s="651" t="n">
        <v>0</v>
      </c>
      <c r="Y101" s="312" t="n">
        <v>5</v>
      </c>
      <c r="Z101" s="313" t="n">
        <v>0</v>
      </c>
      <c r="AA101" s="314" t="n">
        <v>5</v>
      </c>
      <c r="AB101" s="313" t="n">
        <v>0</v>
      </c>
      <c r="AC101" s="314" t="n">
        <v>5</v>
      </c>
      <c r="AE101" s="324" t="n">
        <v>29</v>
      </c>
      <c r="AF101" s="315"/>
      <c r="AG101" s="311" t="n">
        <v>0</v>
      </c>
      <c r="AH101" s="309" t="n">
        <v>0</v>
      </c>
      <c r="AI101" s="310"/>
      <c r="AJ101" s="311" t="s">
        <v>12</v>
      </c>
      <c r="AK101" s="309" t="s">
        <v>12</v>
      </c>
      <c r="AL101" s="311" t="s">
        <v>12</v>
      </c>
      <c r="AM101" s="309" t="s">
        <v>12</v>
      </c>
      <c r="AN101" s="311" t="s">
        <v>12</v>
      </c>
      <c r="AO101" s="309" t="s">
        <v>12</v>
      </c>
      <c r="AP101" s="310"/>
      <c r="AQ101" s="311" t="n">
        <v>58</v>
      </c>
      <c r="AR101" s="309" t="n">
        <v>189.6</v>
      </c>
      <c r="AS101" s="311" t="n">
        <v>128</v>
      </c>
      <c r="AT101" s="309" t="n">
        <v>120</v>
      </c>
      <c r="AU101" s="311" t="n">
        <v>128</v>
      </c>
      <c r="AV101" s="309" t="n">
        <v>120</v>
      </c>
      <c r="AW101" s="311" t="n">
        <v>128</v>
      </c>
      <c r="AX101" s="309" t="n">
        <v>120</v>
      </c>
      <c r="AY101" s="311" t="n">
        <v>128</v>
      </c>
      <c r="AZ101" s="309" t="n">
        <v>120</v>
      </c>
    </row>
    <row r="102" customFormat="false" ht="12.75" hidden="false" customHeight="false" outlineLevel="0" collapsed="false">
      <c r="A102" s="268"/>
      <c r="B102" s="306" t="s">
        <v>190</v>
      </c>
      <c r="C102" s="327" t="s">
        <v>600</v>
      </c>
      <c r="D102" s="306" t="n">
        <v>166</v>
      </c>
      <c r="E102" s="306" t="n">
        <v>0</v>
      </c>
      <c r="F102" s="324" t="s">
        <v>595</v>
      </c>
      <c r="G102" s="144" t="n">
        <v>24</v>
      </c>
      <c r="H102" s="143" t="n">
        <v>165.289256198347</v>
      </c>
      <c r="I102" s="410"/>
      <c r="J102" s="311" t="s">
        <v>12</v>
      </c>
      <c r="K102" s="309" t="s">
        <v>12</v>
      </c>
      <c r="L102" s="650"/>
      <c r="M102" s="651" t="s">
        <v>12</v>
      </c>
      <c r="N102" s="652" t="s">
        <v>12</v>
      </c>
      <c r="O102" s="651" t="s">
        <v>12</v>
      </c>
      <c r="P102" s="312" t="s">
        <v>12</v>
      </c>
      <c r="Q102" s="652" t="s">
        <v>12</v>
      </c>
      <c r="R102" s="312" t="s">
        <v>12</v>
      </c>
      <c r="S102" s="310"/>
      <c r="T102" s="651" t="n">
        <v>0</v>
      </c>
      <c r="U102" s="652" t="n">
        <v>5.6</v>
      </c>
      <c r="V102" s="651" t="n">
        <v>0</v>
      </c>
      <c r="W102" s="652" t="n">
        <v>3.4</v>
      </c>
      <c r="X102" s="651" t="n">
        <v>0</v>
      </c>
      <c r="Y102" s="312" t="n">
        <v>3.4</v>
      </c>
      <c r="Z102" s="313" t="n">
        <v>0</v>
      </c>
      <c r="AA102" s="314" t="n">
        <v>3.3</v>
      </c>
      <c r="AB102" s="313" t="n">
        <v>0</v>
      </c>
      <c r="AC102" s="314" t="n">
        <v>3.3</v>
      </c>
      <c r="AE102" s="324" t="n">
        <v>1</v>
      </c>
      <c r="AF102" s="315"/>
      <c r="AG102" s="311" t="n">
        <v>0</v>
      </c>
      <c r="AH102" s="309" t="n">
        <v>0</v>
      </c>
      <c r="AI102" s="310"/>
      <c r="AJ102" s="311" t="s">
        <v>12</v>
      </c>
      <c r="AK102" s="309" t="s">
        <v>12</v>
      </c>
      <c r="AL102" s="311" t="s">
        <v>12</v>
      </c>
      <c r="AM102" s="309" t="s">
        <v>12</v>
      </c>
      <c r="AN102" s="310" t="s">
        <v>12</v>
      </c>
      <c r="AO102" s="309" t="s">
        <v>12</v>
      </c>
      <c r="AP102" s="310"/>
      <c r="AQ102" s="311" t="n">
        <v>32</v>
      </c>
      <c r="AR102" s="309" t="n">
        <v>134.4</v>
      </c>
      <c r="AS102" s="311" t="n">
        <v>84</v>
      </c>
      <c r="AT102" s="309" t="n">
        <v>81.6</v>
      </c>
      <c r="AU102" s="310" t="n">
        <v>84</v>
      </c>
      <c r="AV102" s="309" t="n">
        <v>81.6</v>
      </c>
      <c r="AW102" s="310" t="n">
        <v>87</v>
      </c>
      <c r="AX102" s="309" t="n">
        <v>79.2</v>
      </c>
      <c r="AY102" s="310" t="n">
        <v>87</v>
      </c>
      <c r="AZ102" s="309" t="n">
        <v>79.2</v>
      </c>
    </row>
    <row r="103" customFormat="false" ht="12.75" hidden="false" customHeight="false" outlineLevel="0" collapsed="false">
      <c r="A103" s="268"/>
      <c r="B103" s="306" t="s">
        <v>260</v>
      </c>
      <c r="C103" s="327" t="s">
        <v>601</v>
      </c>
      <c r="D103" s="306" t="n">
        <v>277</v>
      </c>
      <c r="E103" s="306" t="n">
        <v>0</v>
      </c>
      <c r="F103" s="324" t="s">
        <v>595</v>
      </c>
      <c r="G103" s="307" t="n">
        <v>24</v>
      </c>
      <c r="H103" s="143" t="n">
        <v>276.859504132231</v>
      </c>
      <c r="I103" s="410"/>
      <c r="J103" s="311" t="s">
        <v>12</v>
      </c>
      <c r="K103" s="309" t="s">
        <v>12</v>
      </c>
      <c r="L103" s="650"/>
      <c r="M103" s="651" t="s">
        <v>12</v>
      </c>
      <c r="N103" s="652" t="s">
        <v>12</v>
      </c>
      <c r="O103" s="651" t="s">
        <v>12</v>
      </c>
      <c r="P103" s="312" t="s">
        <v>12</v>
      </c>
      <c r="Q103" s="652" t="s">
        <v>12</v>
      </c>
      <c r="R103" s="312" t="s">
        <v>12</v>
      </c>
      <c r="S103" s="310"/>
      <c r="T103" s="651" t="n">
        <v>0</v>
      </c>
      <c r="U103" s="652" t="n">
        <v>8.7</v>
      </c>
      <c r="V103" s="651" t="n">
        <v>0</v>
      </c>
      <c r="W103" s="652" t="n">
        <v>5.8</v>
      </c>
      <c r="X103" s="651" t="n">
        <v>0</v>
      </c>
      <c r="Y103" s="312" t="n">
        <v>5.8</v>
      </c>
      <c r="Z103" s="313" t="n">
        <v>0</v>
      </c>
      <c r="AA103" s="314" t="n">
        <v>5.8</v>
      </c>
      <c r="AB103" s="313" t="n">
        <v>0</v>
      </c>
      <c r="AC103" s="314" t="n">
        <v>5.8</v>
      </c>
      <c r="AE103" s="324" t="n">
        <v>0</v>
      </c>
      <c r="AF103" s="315"/>
      <c r="AG103" s="311" t="n">
        <v>0</v>
      </c>
      <c r="AH103" s="309" t="n">
        <v>0</v>
      </c>
      <c r="AI103" s="310"/>
      <c r="AJ103" s="311" t="s">
        <v>12</v>
      </c>
      <c r="AK103" s="309" t="s">
        <v>12</v>
      </c>
      <c r="AL103" s="311" t="s">
        <v>12</v>
      </c>
      <c r="AM103" s="309" t="s">
        <v>12</v>
      </c>
      <c r="AN103" s="311" t="s">
        <v>12</v>
      </c>
      <c r="AO103" s="309" t="s">
        <v>12</v>
      </c>
      <c r="AP103" s="310"/>
      <c r="AQ103" s="311" t="n">
        <v>68</v>
      </c>
      <c r="AR103" s="309" t="n">
        <v>208.8</v>
      </c>
      <c r="AS103" s="311" t="n">
        <v>138</v>
      </c>
      <c r="AT103" s="309" t="n">
        <v>139.2</v>
      </c>
      <c r="AU103" s="311" t="n">
        <v>138</v>
      </c>
      <c r="AV103" s="309" t="n">
        <v>139.2</v>
      </c>
      <c r="AW103" s="311" t="n">
        <v>138</v>
      </c>
      <c r="AX103" s="309" t="n">
        <v>139.2</v>
      </c>
      <c r="AY103" s="311" t="n">
        <v>138</v>
      </c>
      <c r="AZ103" s="309" t="n">
        <v>139.2</v>
      </c>
    </row>
    <row r="104" customFormat="false" ht="12.75" hidden="false" customHeight="false" outlineLevel="0" collapsed="false">
      <c r="A104" s="268"/>
      <c r="B104" s="306" t="s">
        <v>260</v>
      </c>
      <c r="C104" s="327" t="s">
        <v>601</v>
      </c>
      <c r="D104" s="306" t="n">
        <v>277</v>
      </c>
      <c r="E104" s="306" t="n">
        <v>0</v>
      </c>
      <c r="F104" s="324" t="s">
        <v>595</v>
      </c>
      <c r="G104" s="144" t="n">
        <v>48</v>
      </c>
      <c r="H104" s="143" t="n">
        <v>276.859504132231</v>
      </c>
      <c r="I104" s="410"/>
      <c r="J104" s="311" t="s">
        <v>12</v>
      </c>
      <c r="K104" s="309" t="s">
        <v>12</v>
      </c>
      <c r="L104" s="650"/>
      <c r="M104" s="651" t="s">
        <v>12</v>
      </c>
      <c r="N104" s="652" t="s">
        <v>12</v>
      </c>
      <c r="O104" s="651" t="s">
        <v>12</v>
      </c>
      <c r="P104" s="312" t="s">
        <v>12</v>
      </c>
      <c r="Q104" s="652" t="s">
        <v>12</v>
      </c>
      <c r="R104" s="312" t="s">
        <v>12</v>
      </c>
      <c r="S104" s="310"/>
      <c r="T104" s="651" t="n">
        <v>0</v>
      </c>
      <c r="U104" s="652" t="n">
        <v>4.4</v>
      </c>
      <c r="V104" s="651" t="n">
        <v>0</v>
      </c>
      <c r="W104" s="652" t="n">
        <v>2.9</v>
      </c>
      <c r="X104" s="651" t="n">
        <v>0</v>
      </c>
      <c r="Y104" s="312" t="n">
        <v>2.9</v>
      </c>
      <c r="Z104" s="313" t="n">
        <v>0</v>
      </c>
      <c r="AA104" s="314" t="n">
        <v>2.9</v>
      </c>
      <c r="AB104" s="313" t="n">
        <v>0</v>
      </c>
      <c r="AC104" s="314" t="n">
        <v>2.9</v>
      </c>
      <c r="AE104" s="324" t="n">
        <v>0</v>
      </c>
      <c r="AF104" s="315"/>
      <c r="AG104" s="311" t="n">
        <v>0</v>
      </c>
      <c r="AH104" s="309" t="n">
        <v>0</v>
      </c>
      <c r="AI104" s="310"/>
      <c r="AJ104" s="311" t="s">
        <v>12</v>
      </c>
      <c r="AK104" s="309" t="s">
        <v>12</v>
      </c>
      <c r="AL104" s="311" t="s">
        <v>12</v>
      </c>
      <c r="AM104" s="309" t="s">
        <v>12</v>
      </c>
      <c r="AN104" s="310" t="s">
        <v>12</v>
      </c>
      <c r="AO104" s="309" t="s">
        <v>12</v>
      </c>
      <c r="AP104" s="310"/>
      <c r="AQ104" s="311" t="n">
        <v>66</v>
      </c>
      <c r="AR104" s="309" t="n">
        <v>211.2</v>
      </c>
      <c r="AS104" s="311" t="n">
        <v>138</v>
      </c>
      <c r="AT104" s="309" t="n">
        <v>139.2</v>
      </c>
      <c r="AU104" s="310" t="n">
        <v>138</v>
      </c>
      <c r="AV104" s="309" t="n">
        <v>139.2</v>
      </c>
      <c r="AW104" s="310" t="n">
        <v>138</v>
      </c>
      <c r="AX104" s="309" t="n">
        <v>139.2</v>
      </c>
      <c r="AY104" s="310" t="n">
        <v>138</v>
      </c>
      <c r="AZ104" s="309" t="n">
        <v>139.2</v>
      </c>
    </row>
    <row r="105" customFormat="false" ht="12.75" hidden="false" customHeight="false" outlineLevel="0" collapsed="false">
      <c r="A105" s="268"/>
      <c r="B105" s="306" t="s">
        <v>424</v>
      </c>
      <c r="C105" s="305" t="s">
        <v>602</v>
      </c>
      <c r="D105" s="306" t="n">
        <v>71</v>
      </c>
      <c r="E105" s="306" t="n">
        <v>0</v>
      </c>
      <c r="F105" s="324" t="s">
        <v>603</v>
      </c>
      <c r="G105" s="307" t="n">
        <v>24</v>
      </c>
      <c r="H105" s="143" t="n">
        <v>53.7190082644628</v>
      </c>
      <c r="I105" s="410"/>
      <c r="J105" s="311" t="s">
        <v>12</v>
      </c>
      <c r="K105" s="309" t="s">
        <v>12</v>
      </c>
      <c r="L105" s="650"/>
      <c r="M105" s="651" t="n">
        <v>0</v>
      </c>
      <c r="N105" s="652" t="n">
        <v>1.3</v>
      </c>
      <c r="O105" s="651" t="n">
        <v>0</v>
      </c>
      <c r="P105" s="312" t="n">
        <v>1.3</v>
      </c>
      <c r="Q105" s="652" t="n">
        <v>0</v>
      </c>
      <c r="R105" s="312" t="n">
        <v>1.3</v>
      </c>
      <c r="S105" s="310"/>
      <c r="T105" s="651" t="n">
        <v>0</v>
      </c>
      <c r="U105" s="652" t="n">
        <v>0.9</v>
      </c>
      <c r="V105" s="651" t="n">
        <v>0</v>
      </c>
      <c r="W105" s="652" t="n">
        <v>0.9</v>
      </c>
      <c r="X105" s="651" t="n">
        <v>0</v>
      </c>
      <c r="Y105" s="312" t="n">
        <v>0</v>
      </c>
      <c r="Z105" s="313" t="n">
        <v>0</v>
      </c>
      <c r="AA105" s="314" t="n">
        <v>0</v>
      </c>
      <c r="AB105" s="313" t="n">
        <v>0</v>
      </c>
      <c r="AC105" s="314" t="n">
        <v>0</v>
      </c>
      <c r="AE105" s="324" t="n">
        <v>17</v>
      </c>
      <c r="AF105" s="315"/>
      <c r="AG105" s="311" t="n">
        <v>0</v>
      </c>
      <c r="AH105" s="309" t="n">
        <v>0</v>
      </c>
      <c r="AI105" s="310"/>
      <c r="AJ105" s="311" t="n">
        <v>40</v>
      </c>
      <c r="AK105" s="309" t="n">
        <v>31.2</v>
      </c>
      <c r="AL105" s="311" t="n">
        <v>40</v>
      </c>
      <c r="AM105" s="309" t="n">
        <v>31.2</v>
      </c>
      <c r="AN105" s="311" t="n">
        <v>40</v>
      </c>
      <c r="AO105" s="309" t="n">
        <v>31.2</v>
      </c>
      <c r="AP105" s="310"/>
      <c r="AQ105" s="311" t="n">
        <v>49</v>
      </c>
      <c r="AR105" s="309" t="n">
        <v>21.6</v>
      </c>
      <c r="AS105" s="311" t="n">
        <v>49</v>
      </c>
      <c r="AT105" s="309" t="n">
        <v>21.6</v>
      </c>
      <c r="AU105" s="311" t="n">
        <v>71</v>
      </c>
      <c r="AV105" s="309" t="n">
        <v>0</v>
      </c>
      <c r="AW105" s="311" t="n">
        <v>71</v>
      </c>
      <c r="AX105" s="309" t="n">
        <v>0</v>
      </c>
      <c r="AY105" s="311" t="n">
        <v>71</v>
      </c>
      <c r="AZ105" s="309" t="n">
        <v>0</v>
      </c>
    </row>
    <row r="106" customFormat="false" ht="12.75" hidden="false" customHeight="false" outlineLevel="0" collapsed="false">
      <c r="A106" s="268"/>
      <c r="B106" s="306" t="s">
        <v>424</v>
      </c>
      <c r="C106" s="305" t="s">
        <v>604</v>
      </c>
      <c r="D106" s="306" t="n">
        <v>68</v>
      </c>
      <c r="E106" s="306" t="n">
        <v>0</v>
      </c>
      <c r="F106" s="324" t="s">
        <v>603</v>
      </c>
      <c r="G106" s="144" t="n">
        <v>24</v>
      </c>
      <c r="H106" s="143" t="n">
        <v>67.7685950413223</v>
      </c>
      <c r="I106" s="410"/>
      <c r="J106" s="311" t="s">
        <v>12</v>
      </c>
      <c r="K106" s="309" t="s">
        <v>12</v>
      </c>
      <c r="L106" s="650"/>
      <c r="M106" s="651" t="n">
        <v>0</v>
      </c>
      <c r="N106" s="652" t="n">
        <v>1.8</v>
      </c>
      <c r="O106" s="651" t="n">
        <v>0</v>
      </c>
      <c r="P106" s="312" t="n">
        <v>1.8</v>
      </c>
      <c r="Q106" s="652" t="n">
        <v>0</v>
      </c>
      <c r="R106" s="312" t="n">
        <v>1.8</v>
      </c>
      <c r="S106" s="310"/>
      <c r="T106" s="651" t="n">
        <v>0</v>
      </c>
      <c r="U106" s="652" t="n">
        <v>0.9</v>
      </c>
      <c r="V106" s="651" t="n">
        <v>0</v>
      </c>
      <c r="W106" s="652" t="n">
        <v>0.9</v>
      </c>
      <c r="X106" s="651" t="n">
        <v>0</v>
      </c>
      <c r="Y106" s="312" t="n">
        <v>0</v>
      </c>
      <c r="Z106" s="313" t="n">
        <v>0</v>
      </c>
      <c r="AA106" s="314" t="n">
        <v>0</v>
      </c>
      <c r="AB106" s="313" t="n">
        <v>0</v>
      </c>
      <c r="AC106" s="314" t="n">
        <v>0</v>
      </c>
      <c r="AE106" s="324" t="n">
        <v>0</v>
      </c>
      <c r="AF106" s="315"/>
      <c r="AG106" s="311" t="n">
        <v>0</v>
      </c>
      <c r="AH106" s="309" t="n">
        <v>0</v>
      </c>
      <c r="AI106" s="310"/>
      <c r="AJ106" s="311" t="n">
        <v>25</v>
      </c>
      <c r="AK106" s="309" t="n">
        <v>43.2</v>
      </c>
      <c r="AL106" s="311" t="n">
        <v>25</v>
      </c>
      <c r="AM106" s="309" t="n">
        <v>43.2</v>
      </c>
      <c r="AN106" s="310" t="n">
        <v>25</v>
      </c>
      <c r="AO106" s="309" t="n">
        <v>43.2</v>
      </c>
      <c r="AP106" s="310"/>
      <c r="AQ106" s="311" t="n">
        <v>46</v>
      </c>
      <c r="AR106" s="309" t="n">
        <v>21.6</v>
      </c>
      <c r="AS106" s="311" t="n">
        <v>46</v>
      </c>
      <c r="AT106" s="309" t="n">
        <v>21.6</v>
      </c>
      <c r="AU106" s="310" t="n">
        <v>68</v>
      </c>
      <c r="AV106" s="309" t="n">
        <v>0</v>
      </c>
      <c r="AW106" s="310" t="n">
        <v>68</v>
      </c>
      <c r="AX106" s="309" t="n">
        <v>0</v>
      </c>
      <c r="AY106" s="310" t="n">
        <v>68</v>
      </c>
      <c r="AZ106" s="309" t="n">
        <v>0</v>
      </c>
    </row>
    <row r="107" customFormat="false" ht="12.75" hidden="false" customHeight="false" outlineLevel="0" collapsed="false">
      <c r="A107" s="268"/>
      <c r="B107" s="306" t="s">
        <v>424</v>
      </c>
      <c r="C107" s="305" t="s">
        <v>605</v>
      </c>
      <c r="D107" s="306" t="n">
        <v>49</v>
      </c>
      <c r="E107" s="306" t="n">
        <v>0</v>
      </c>
      <c r="F107" s="324" t="s">
        <v>603</v>
      </c>
      <c r="G107" s="307" t="n">
        <v>24</v>
      </c>
      <c r="H107" s="143" t="n">
        <v>35.5371900826446</v>
      </c>
      <c r="I107" s="410"/>
      <c r="J107" s="311" t="s">
        <v>12</v>
      </c>
      <c r="K107" s="309" t="s">
        <v>12</v>
      </c>
      <c r="L107" s="650"/>
      <c r="M107" s="651" t="s">
        <v>12</v>
      </c>
      <c r="N107" s="652" t="s">
        <v>12</v>
      </c>
      <c r="O107" s="651" t="s">
        <v>12</v>
      </c>
      <c r="P107" s="312" t="s">
        <v>12</v>
      </c>
      <c r="Q107" s="652" t="s">
        <v>12</v>
      </c>
      <c r="R107" s="312" t="s">
        <v>12</v>
      </c>
      <c r="S107" s="310"/>
      <c r="T107" s="651" t="n">
        <v>0</v>
      </c>
      <c r="U107" s="652" t="n">
        <v>0</v>
      </c>
      <c r="V107" s="651" t="n">
        <v>0</v>
      </c>
      <c r="W107" s="652" t="n">
        <v>0</v>
      </c>
      <c r="X107" s="651" t="n">
        <v>0</v>
      </c>
      <c r="Y107" s="312" t="n">
        <v>0</v>
      </c>
      <c r="Z107" s="313" t="n">
        <v>0</v>
      </c>
      <c r="AA107" s="314" t="n">
        <v>0</v>
      </c>
      <c r="AB107" s="313" t="n">
        <v>0</v>
      </c>
      <c r="AC107" s="314" t="n">
        <v>0</v>
      </c>
      <c r="AE107" s="324" t="n">
        <v>13</v>
      </c>
      <c r="AF107" s="315"/>
      <c r="AG107" s="311" t="n">
        <v>0</v>
      </c>
      <c r="AH107" s="309" t="n">
        <v>0</v>
      </c>
      <c r="AI107" s="310"/>
      <c r="AJ107" s="311" t="s">
        <v>12</v>
      </c>
      <c r="AK107" s="309" t="s">
        <v>12</v>
      </c>
      <c r="AL107" s="311" t="s">
        <v>12</v>
      </c>
      <c r="AM107" s="309" t="s">
        <v>12</v>
      </c>
      <c r="AN107" s="311" t="s">
        <v>12</v>
      </c>
      <c r="AO107" s="309" t="s">
        <v>12</v>
      </c>
      <c r="AP107" s="310"/>
      <c r="AQ107" s="311" t="n">
        <v>49</v>
      </c>
      <c r="AR107" s="309" t="n">
        <v>0</v>
      </c>
      <c r="AS107" s="311" t="n">
        <v>49</v>
      </c>
      <c r="AT107" s="309" t="n">
        <v>0</v>
      </c>
      <c r="AU107" s="311" t="n">
        <v>49</v>
      </c>
      <c r="AV107" s="309" t="n">
        <v>0</v>
      </c>
      <c r="AW107" s="311" t="n">
        <v>49</v>
      </c>
      <c r="AX107" s="309" t="n">
        <v>0</v>
      </c>
      <c r="AY107" s="311" t="n">
        <v>49</v>
      </c>
      <c r="AZ107" s="309" t="n">
        <v>0</v>
      </c>
    </row>
    <row r="108" customFormat="false" ht="12.75" hidden="false" customHeight="false" outlineLevel="0" collapsed="false">
      <c r="A108" s="268"/>
      <c r="B108" s="306" t="s">
        <v>112</v>
      </c>
      <c r="C108" s="305" t="s">
        <v>606</v>
      </c>
      <c r="D108" s="306" t="n">
        <v>137</v>
      </c>
      <c r="E108" s="306" t="n">
        <v>0</v>
      </c>
      <c r="F108" s="324" t="s">
        <v>603</v>
      </c>
      <c r="G108" s="144" t="n">
        <v>24</v>
      </c>
      <c r="H108" s="143" t="n">
        <v>136.363636363636</v>
      </c>
      <c r="I108" s="410"/>
      <c r="J108" s="311" t="s">
        <v>12</v>
      </c>
      <c r="K108" s="309" t="s">
        <v>12</v>
      </c>
      <c r="L108" s="650"/>
      <c r="M108" s="651" t="n">
        <v>19</v>
      </c>
      <c r="N108" s="652" t="n">
        <v>4.4</v>
      </c>
      <c r="O108" s="651" t="n">
        <v>0</v>
      </c>
      <c r="P108" s="312" t="n">
        <v>2.5</v>
      </c>
      <c r="Q108" s="652" t="n">
        <v>0</v>
      </c>
      <c r="R108" s="312" t="n">
        <v>1.7</v>
      </c>
      <c r="S108" s="310"/>
      <c r="T108" s="651" t="n">
        <v>0</v>
      </c>
      <c r="U108" s="652" t="n">
        <v>5</v>
      </c>
      <c r="V108" s="651" t="n">
        <v>0</v>
      </c>
      <c r="W108" s="652" t="n">
        <v>2.1</v>
      </c>
      <c r="X108" s="651" t="n">
        <v>0</v>
      </c>
      <c r="Y108" s="312" t="n">
        <v>2.1</v>
      </c>
      <c r="Z108" s="313" t="n">
        <v>0</v>
      </c>
      <c r="AA108" s="314" t="n">
        <v>2.1</v>
      </c>
      <c r="AB108" s="313" t="n">
        <v>0</v>
      </c>
      <c r="AC108" s="314" t="n">
        <v>2.1</v>
      </c>
      <c r="AE108" s="324" t="n">
        <v>1</v>
      </c>
      <c r="AF108" s="315"/>
      <c r="AG108" s="311" t="n">
        <v>0</v>
      </c>
      <c r="AH108" s="309" t="n">
        <v>0</v>
      </c>
      <c r="AI108" s="310"/>
      <c r="AJ108" s="311" t="n">
        <v>12</v>
      </c>
      <c r="AK108" s="309" t="n">
        <v>105.6</v>
      </c>
      <c r="AL108" s="311" t="n">
        <v>77</v>
      </c>
      <c r="AM108" s="309" t="n">
        <v>60</v>
      </c>
      <c r="AN108" s="310" t="n">
        <v>96</v>
      </c>
      <c r="AO108" s="309" t="n">
        <v>40.8</v>
      </c>
      <c r="AP108" s="310"/>
      <c r="AQ108" s="311" t="n">
        <v>17</v>
      </c>
      <c r="AR108" s="309" t="n">
        <v>120</v>
      </c>
      <c r="AS108" s="311" t="n">
        <v>87</v>
      </c>
      <c r="AT108" s="309" t="n">
        <v>50.4</v>
      </c>
      <c r="AU108" s="310" t="n">
        <v>87</v>
      </c>
      <c r="AV108" s="309" t="n">
        <v>50.4</v>
      </c>
      <c r="AW108" s="310" t="n">
        <v>87</v>
      </c>
      <c r="AX108" s="309" t="n">
        <v>50.4</v>
      </c>
      <c r="AY108" s="310" t="n">
        <v>87</v>
      </c>
      <c r="AZ108" s="309" t="n">
        <v>50.4</v>
      </c>
    </row>
    <row r="109" customFormat="false" ht="12.75" hidden="false" customHeight="false" outlineLevel="0" collapsed="false">
      <c r="A109" s="268"/>
      <c r="B109" s="306" t="s">
        <v>112</v>
      </c>
      <c r="C109" s="305" t="s">
        <v>606</v>
      </c>
      <c r="D109" s="306" t="n">
        <v>137</v>
      </c>
      <c r="E109" s="306" t="n">
        <v>0</v>
      </c>
      <c r="F109" s="324" t="s">
        <v>603</v>
      </c>
      <c r="G109" s="307" t="n">
        <v>48</v>
      </c>
      <c r="H109" s="143" t="n">
        <v>136.363636363636</v>
      </c>
      <c r="I109" s="410"/>
      <c r="J109" s="311" t="s">
        <v>12</v>
      </c>
      <c r="K109" s="309" t="s">
        <v>12</v>
      </c>
      <c r="L109" s="650"/>
      <c r="M109" s="651" t="n">
        <v>19</v>
      </c>
      <c r="N109" s="652" t="n">
        <v>2.2</v>
      </c>
      <c r="O109" s="651" t="n">
        <v>0</v>
      </c>
      <c r="P109" s="312" t="n">
        <v>1.3</v>
      </c>
      <c r="Q109" s="652" t="n">
        <v>0</v>
      </c>
      <c r="R109" s="312" t="n">
        <v>0.9</v>
      </c>
      <c r="S109" s="310"/>
      <c r="T109" s="651" t="n">
        <v>0</v>
      </c>
      <c r="U109" s="652" t="n">
        <v>2.5</v>
      </c>
      <c r="V109" s="651" t="n">
        <v>0</v>
      </c>
      <c r="W109" s="652" t="n">
        <v>1.1</v>
      </c>
      <c r="X109" s="651" t="n">
        <v>0</v>
      </c>
      <c r="Y109" s="312" t="n">
        <v>1.1</v>
      </c>
      <c r="Z109" s="313" t="n">
        <v>0</v>
      </c>
      <c r="AA109" s="314" t="n">
        <v>1.1</v>
      </c>
      <c r="AB109" s="313" t="n">
        <v>0</v>
      </c>
      <c r="AC109" s="314" t="n">
        <v>1.1</v>
      </c>
      <c r="AE109" s="324" t="n">
        <v>1</v>
      </c>
      <c r="AF109" s="315"/>
      <c r="AG109" s="311" t="n">
        <v>0</v>
      </c>
      <c r="AH109" s="309" t="n">
        <v>0</v>
      </c>
      <c r="AI109" s="310"/>
      <c r="AJ109" s="311" t="n">
        <v>12</v>
      </c>
      <c r="AK109" s="309" t="n">
        <v>105.6</v>
      </c>
      <c r="AL109" s="311" t="n">
        <v>75</v>
      </c>
      <c r="AM109" s="309" t="n">
        <v>62.4</v>
      </c>
      <c r="AN109" s="311" t="n">
        <v>94</v>
      </c>
      <c r="AO109" s="309" t="n">
        <v>43.2</v>
      </c>
      <c r="AP109" s="310"/>
      <c r="AQ109" s="311" t="n">
        <v>17</v>
      </c>
      <c r="AR109" s="309" t="n">
        <v>120</v>
      </c>
      <c r="AS109" s="311" t="n">
        <v>84</v>
      </c>
      <c r="AT109" s="309" t="n">
        <v>52.8</v>
      </c>
      <c r="AU109" s="311" t="n">
        <v>84</v>
      </c>
      <c r="AV109" s="309" t="n">
        <v>52.8</v>
      </c>
      <c r="AW109" s="311" t="n">
        <v>84</v>
      </c>
      <c r="AX109" s="309" t="n">
        <v>52.8</v>
      </c>
      <c r="AY109" s="311" t="n">
        <v>84</v>
      </c>
      <c r="AZ109" s="309" t="n">
        <v>52.8</v>
      </c>
    </row>
    <row r="110" customFormat="false" ht="12.75" hidden="false" customHeight="false" outlineLevel="0" collapsed="false">
      <c r="A110" s="268"/>
      <c r="B110" s="306" t="s">
        <v>112</v>
      </c>
      <c r="C110" s="305" t="s">
        <v>607</v>
      </c>
      <c r="D110" s="306" t="n">
        <v>184</v>
      </c>
      <c r="E110" s="306" t="n">
        <v>0</v>
      </c>
      <c r="F110" s="324" t="s">
        <v>603</v>
      </c>
      <c r="G110" s="144" t="n">
        <v>24</v>
      </c>
      <c r="H110" s="143" t="n">
        <v>183.471074380165</v>
      </c>
      <c r="I110" s="410"/>
      <c r="J110" s="311" t="s">
        <v>12</v>
      </c>
      <c r="K110" s="309" t="s">
        <v>12</v>
      </c>
      <c r="L110" s="650"/>
      <c r="M110" s="651" t="s">
        <v>12</v>
      </c>
      <c r="N110" s="652" t="s">
        <v>12</v>
      </c>
      <c r="O110" s="651" t="s">
        <v>12</v>
      </c>
      <c r="P110" s="312" t="s">
        <v>12</v>
      </c>
      <c r="Q110" s="652" t="s">
        <v>12</v>
      </c>
      <c r="R110" s="312" t="s">
        <v>12</v>
      </c>
      <c r="S110" s="310"/>
      <c r="T110" s="651" t="n">
        <v>0</v>
      </c>
      <c r="U110" s="652" t="n">
        <v>6.5</v>
      </c>
      <c r="V110" s="651" t="n">
        <v>0</v>
      </c>
      <c r="W110" s="652" t="n">
        <v>4.2</v>
      </c>
      <c r="X110" s="651" t="n">
        <v>0</v>
      </c>
      <c r="Y110" s="312" t="n">
        <v>4.2</v>
      </c>
      <c r="Z110" s="313" t="n">
        <v>0</v>
      </c>
      <c r="AA110" s="314" t="n">
        <v>4.1</v>
      </c>
      <c r="AB110" s="313" t="n">
        <v>0</v>
      </c>
      <c r="AC110" s="314" t="n">
        <v>4.1</v>
      </c>
      <c r="AE110" s="324" t="n">
        <v>1</v>
      </c>
      <c r="AF110" s="315"/>
      <c r="AG110" s="311" t="n">
        <v>0</v>
      </c>
      <c r="AH110" s="309" t="n">
        <v>0</v>
      </c>
      <c r="AI110" s="310"/>
      <c r="AJ110" s="311" t="s">
        <v>12</v>
      </c>
      <c r="AK110" s="309" t="s">
        <v>12</v>
      </c>
      <c r="AL110" s="311" t="s">
        <v>12</v>
      </c>
      <c r="AM110" s="309" t="s">
        <v>12</v>
      </c>
      <c r="AN110" s="310" t="s">
        <v>12</v>
      </c>
      <c r="AO110" s="309" t="s">
        <v>12</v>
      </c>
      <c r="AP110" s="310"/>
      <c r="AQ110" s="311" t="n">
        <v>28</v>
      </c>
      <c r="AR110" s="309" t="n">
        <v>156</v>
      </c>
      <c r="AS110" s="311" t="n">
        <v>83</v>
      </c>
      <c r="AT110" s="309" t="n">
        <v>100.8</v>
      </c>
      <c r="AU110" s="310" t="n">
        <v>83</v>
      </c>
      <c r="AV110" s="309" t="n">
        <v>100.8</v>
      </c>
      <c r="AW110" s="310" t="n">
        <v>86</v>
      </c>
      <c r="AX110" s="309" t="n">
        <v>98.4</v>
      </c>
      <c r="AY110" s="310" t="n">
        <v>86</v>
      </c>
      <c r="AZ110" s="309" t="n">
        <v>98.4</v>
      </c>
    </row>
    <row r="111" customFormat="false" ht="12.75" hidden="false" customHeight="false" outlineLevel="0" collapsed="false">
      <c r="A111" s="268"/>
      <c r="B111" s="306" t="s">
        <v>112</v>
      </c>
      <c r="C111" s="305" t="s">
        <v>607</v>
      </c>
      <c r="D111" s="306" t="n">
        <v>184</v>
      </c>
      <c r="E111" s="306" t="n">
        <v>0</v>
      </c>
      <c r="F111" s="324" t="s">
        <v>603</v>
      </c>
      <c r="G111" s="307" t="n">
        <v>48</v>
      </c>
      <c r="H111" s="143" t="n">
        <v>183.471074380165</v>
      </c>
      <c r="I111" s="410"/>
      <c r="J111" s="311" t="s">
        <v>12</v>
      </c>
      <c r="K111" s="309" t="s">
        <v>12</v>
      </c>
      <c r="L111" s="650"/>
      <c r="M111" s="651" t="s">
        <v>12</v>
      </c>
      <c r="N111" s="652" t="s">
        <v>12</v>
      </c>
      <c r="O111" s="651" t="s">
        <v>12</v>
      </c>
      <c r="P111" s="312" t="s">
        <v>12</v>
      </c>
      <c r="Q111" s="652" t="s">
        <v>12</v>
      </c>
      <c r="R111" s="312" t="s">
        <v>12</v>
      </c>
      <c r="S111" s="310"/>
      <c r="T111" s="651" t="n">
        <v>0</v>
      </c>
      <c r="U111" s="652" t="n">
        <v>3.3</v>
      </c>
      <c r="V111" s="651" t="n">
        <v>0</v>
      </c>
      <c r="W111" s="652" t="n">
        <v>2.1</v>
      </c>
      <c r="X111" s="651" t="n">
        <v>0</v>
      </c>
      <c r="Y111" s="312" t="n">
        <v>2.1</v>
      </c>
      <c r="Z111" s="313" t="n">
        <v>0</v>
      </c>
      <c r="AA111" s="314" t="n">
        <v>2.1</v>
      </c>
      <c r="AB111" s="313" t="n">
        <v>0</v>
      </c>
      <c r="AC111" s="314" t="n">
        <v>2.1</v>
      </c>
      <c r="AE111" s="324" t="n">
        <v>1</v>
      </c>
      <c r="AF111" s="315"/>
      <c r="AG111" s="311" t="n">
        <v>0</v>
      </c>
      <c r="AH111" s="309" t="n">
        <v>0</v>
      </c>
      <c r="AI111" s="310"/>
      <c r="AJ111" s="311" t="s">
        <v>12</v>
      </c>
      <c r="AK111" s="309" t="s">
        <v>12</v>
      </c>
      <c r="AL111" s="311" t="s">
        <v>12</v>
      </c>
      <c r="AM111" s="309" t="s">
        <v>12</v>
      </c>
      <c r="AN111" s="311" t="s">
        <v>12</v>
      </c>
      <c r="AO111" s="309" t="s">
        <v>12</v>
      </c>
      <c r="AP111" s="310"/>
      <c r="AQ111" s="311" t="n">
        <v>26</v>
      </c>
      <c r="AR111" s="309" t="n">
        <v>158.4</v>
      </c>
      <c r="AS111" s="311" t="n">
        <v>83</v>
      </c>
      <c r="AT111" s="309" t="n">
        <v>100.8</v>
      </c>
      <c r="AU111" s="311" t="n">
        <v>83</v>
      </c>
      <c r="AV111" s="309" t="n">
        <v>100.8</v>
      </c>
      <c r="AW111" s="311" t="n">
        <v>83</v>
      </c>
      <c r="AX111" s="309" t="n">
        <v>100.8</v>
      </c>
      <c r="AY111" s="311" t="n">
        <v>83</v>
      </c>
      <c r="AZ111" s="309" t="n">
        <v>100.8</v>
      </c>
    </row>
    <row r="112" customFormat="false" ht="12.75" hidden="false" customHeight="false" outlineLevel="0" collapsed="false">
      <c r="A112" s="268"/>
      <c r="B112" s="306" t="s">
        <v>112</v>
      </c>
      <c r="C112" s="305" t="s">
        <v>608</v>
      </c>
      <c r="D112" s="306" t="n">
        <v>279</v>
      </c>
      <c r="E112" s="306" t="n">
        <v>0</v>
      </c>
      <c r="F112" s="324" t="s">
        <v>603</v>
      </c>
      <c r="G112" s="144" t="n">
        <v>24</v>
      </c>
      <c r="H112" s="143" t="n">
        <v>277.685950413223</v>
      </c>
      <c r="I112" s="410"/>
      <c r="J112" s="311" t="s">
        <v>12</v>
      </c>
      <c r="K112" s="309" t="s">
        <v>12</v>
      </c>
      <c r="L112" s="650"/>
      <c r="M112" s="651" t="s">
        <v>12</v>
      </c>
      <c r="N112" s="652" t="s">
        <v>12</v>
      </c>
      <c r="O112" s="651" t="s">
        <v>12</v>
      </c>
      <c r="P112" s="312" t="s">
        <v>12</v>
      </c>
      <c r="Q112" s="652" t="s">
        <v>12</v>
      </c>
      <c r="R112" s="312" t="s">
        <v>12</v>
      </c>
      <c r="S112" s="310"/>
      <c r="T112" s="651" t="n">
        <v>0</v>
      </c>
      <c r="U112" s="652" t="n">
        <v>8.9</v>
      </c>
      <c r="V112" s="651" t="n">
        <v>0</v>
      </c>
      <c r="W112" s="652" t="n">
        <v>6.2</v>
      </c>
      <c r="X112" s="651" t="n">
        <v>0</v>
      </c>
      <c r="Y112" s="312" t="n">
        <v>6.2</v>
      </c>
      <c r="Z112" s="313" t="n">
        <v>0</v>
      </c>
      <c r="AA112" s="314" t="n">
        <v>6.2</v>
      </c>
      <c r="AB112" s="313" t="n">
        <v>0</v>
      </c>
      <c r="AC112" s="314" t="n">
        <v>6.2</v>
      </c>
      <c r="AE112" s="324" t="n">
        <v>1</v>
      </c>
      <c r="AF112" s="315"/>
      <c r="AG112" s="311" t="n">
        <v>0</v>
      </c>
      <c r="AH112" s="309" t="n">
        <v>0</v>
      </c>
      <c r="AI112" s="310"/>
      <c r="AJ112" s="311" t="s">
        <v>12</v>
      </c>
      <c r="AK112" s="309" t="s">
        <v>12</v>
      </c>
      <c r="AL112" s="311" t="s">
        <v>12</v>
      </c>
      <c r="AM112" s="309" t="s">
        <v>12</v>
      </c>
      <c r="AN112" s="310" t="s">
        <v>12</v>
      </c>
      <c r="AO112" s="309" t="s">
        <v>12</v>
      </c>
      <c r="AP112" s="310"/>
      <c r="AQ112" s="311" t="n">
        <v>65</v>
      </c>
      <c r="AR112" s="309" t="n">
        <v>213.6</v>
      </c>
      <c r="AS112" s="311" t="n">
        <v>130</v>
      </c>
      <c r="AT112" s="309" t="n">
        <v>148.8</v>
      </c>
      <c r="AU112" s="310" t="n">
        <v>130</v>
      </c>
      <c r="AV112" s="309" t="n">
        <v>148.8</v>
      </c>
      <c r="AW112" s="310" t="n">
        <v>130</v>
      </c>
      <c r="AX112" s="309" t="n">
        <v>148.8</v>
      </c>
      <c r="AY112" s="310" t="n">
        <v>130</v>
      </c>
      <c r="AZ112" s="309" t="n">
        <v>148.8</v>
      </c>
    </row>
    <row r="113" customFormat="false" ht="12.75" hidden="false" customHeight="false" outlineLevel="0" collapsed="false">
      <c r="A113" s="268"/>
      <c r="B113" s="306" t="s">
        <v>112</v>
      </c>
      <c r="C113" s="305" t="s">
        <v>608</v>
      </c>
      <c r="D113" s="306" t="n">
        <v>279</v>
      </c>
      <c r="E113" s="306" t="n">
        <v>0</v>
      </c>
      <c r="F113" s="324" t="s">
        <v>603</v>
      </c>
      <c r="G113" s="307" t="n">
        <v>48</v>
      </c>
      <c r="H113" s="143" t="n">
        <v>277.685950413223</v>
      </c>
      <c r="I113" s="410"/>
      <c r="J113" s="311" t="s">
        <v>12</v>
      </c>
      <c r="K113" s="309" t="s">
        <v>12</v>
      </c>
      <c r="L113" s="650"/>
      <c r="M113" s="651" t="s">
        <v>12</v>
      </c>
      <c r="N113" s="652" t="s">
        <v>12</v>
      </c>
      <c r="O113" s="651" t="s">
        <v>12</v>
      </c>
      <c r="P113" s="312" t="s">
        <v>12</v>
      </c>
      <c r="Q113" s="652" t="s">
        <v>12</v>
      </c>
      <c r="R113" s="312" t="s">
        <v>12</v>
      </c>
      <c r="S113" s="310"/>
      <c r="T113" s="651" t="n">
        <v>0</v>
      </c>
      <c r="U113" s="652" t="n">
        <v>4.5</v>
      </c>
      <c r="V113" s="651" t="n">
        <v>0</v>
      </c>
      <c r="W113" s="652" t="n">
        <v>3.1</v>
      </c>
      <c r="X113" s="651" t="n">
        <v>0</v>
      </c>
      <c r="Y113" s="312" t="n">
        <v>3.1</v>
      </c>
      <c r="Z113" s="313" t="n">
        <v>0</v>
      </c>
      <c r="AA113" s="314" t="n">
        <v>3.1</v>
      </c>
      <c r="AB113" s="313" t="n">
        <v>0</v>
      </c>
      <c r="AC113" s="314" t="n">
        <v>3.1</v>
      </c>
      <c r="AE113" s="324" t="n">
        <v>1</v>
      </c>
      <c r="AF113" s="315"/>
      <c r="AG113" s="311" t="n">
        <v>0</v>
      </c>
      <c r="AH113" s="309" t="n">
        <v>0</v>
      </c>
      <c r="AI113" s="310"/>
      <c r="AJ113" s="311" t="s">
        <v>12</v>
      </c>
      <c r="AK113" s="309" t="s">
        <v>12</v>
      </c>
      <c r="AL113" s="311" t="s">
        <v>12</v>
      </c>
      <c r="AM113" s="309" t="s">
        <v>12</v>
      </c>
      <c r="AN113" s="311" t="s">
        <v>12</v>
      </c>
      <c r="AO113" s="309" t="s">
        <v>12</v>
      </c>
      <c r="AP113" s="310"/>
      <c r="AQ113" s="311" t="n">
        <v>63</v>
      </c>
      <c r="AR113" s="309" t="n">
        <v>216</v>
      </c>
      <c r="AS113" s="311" t="n">
        <v>130</v>
      </c>
      <c r="AT113" s="309" t="n">
        <v>148.8</v>
      </c>
      <c r="AU113" s="311" t="n">
        <v>130</v>
      </c>
      <c r="AV113" s="309" t="n">
        <v>148.8</v>
      </c>
      <c r="AW113" s="311" t="n">
        <v>130</v>
      </c>
      <c r="AX113" s="309" t="n">
        <v>148.8</v>
      </c>
      <c r="AY113" s="311" t="n">
        <v>130</v>
      </c>
      <c r="AZ113" s="309" t="n">
        <v>148.8</v>
      </c>
    </row>
    <row r="114" customFormat="false" ht="12.75" hidden="false" customHeight="false" outlineLevel="0" collapsed="false">
      <c r="A114" s="268"/>
      <c r="B114" s="306" t="s">
        <v>593</v>
      </c>
      <c r="C114" s="305" t="s">
        <v>609</v>
      </c>
      <c r="D114" s="306" t="n">
        <v>168</v>
      </c>
      <c r="E114" s="306" t="n">
        <v>0</v>
      </c>
      <c r="F114" s="324" t="s">
        <v>603</v>
      </c>
      <c r="G114" s="144" t="n">
        <v>24</v>
      </c>
      <c r="H114" s="143" t="n">
        <v>157.851239669422</v>
      </c>
      <c r="I114" s="410"/>
      <c r="J114" s="311" t="s">
        <v>12</v>
      </c>
      <c r="K114" s="309" t="s">
        <v>12</v>
      </c>
      <c r="L114" s="650"/>
      <c r="M114" s="651" t="n">
        <v>29</v>
      </c>
      <c r="N114" s="652" t="n">
        <v>4.4</v>
      </c>
      <c r="O114" s="651" t="n">
        <v>0</v>
      </c>
      <c r="P114" s="312" t="n">
        <v>2.9</v>
      </c>
      <c r="Q114" s="652" t="n">
        <v>0</v>
      </c>
      <c r="R114" s="312" t="n">
        <v>2.1</v>
      </c>
      <c r="S114" s="310"/>
      <c r="T114" s="651" t="n">
        <v>0</v>
      </c>
      <c r="U114" s="652" t="n">
        <v>3.4</v>
      </c>
      <c r="V114" s="651" t="n">
        <v>0</v>
      </c>
      <c r="W114" s="652" t="n">
        <v>2.5</v>
      </c>
      <c r="X114" s="651" t="n">
        <v>0</v>
      </c>
      <c r="Y114" s="312" t="n">
        <v>2.5</v>
      </c>
      <c r="Z114" s="313" t="n">
        <v>0</v>
      </c>
      <c r="AA114" s="314" t="n">
        <v>2.5</v>
      </c>
      <c r="AB114" s="313" t="n">
        <v>0</v>
      </c>
      <c r="AC114" s="314" t="n">
        <v>2.5</v>
      </c>
      <c r="AE114" s="324" t="n">
        <v>10</v>
      </c>
      <c r="AF114" s="315"/>
      <c r="AG114" s="311" t="n">
        <v>0</v>
      </c>
      <c r="AH114" s="309" t="n">
        <v>0</v>
      </c>
      <c r="AI114" s="310"/>
      <c r="AJ114" s="311" t="n">
        <v>33</v>
      </c>
      <c r="AK114" s="309" t="n">
        <v>105.6</v>
      </c>
      <c r="AL114" s="311" t="n">
        <v>98</v>
      </c>
      <c r="AM114" s="309" t="n">
        <v>69.6</v>
      </c>
      <c r="AN114" s="310" t="n">
        <v>118</v>
      </c>
      <c r="AO114" s="309" t="n">
        <v>50.4</v>
      </c>
      <c r="AP114" s="310"/>
      <c r="AQ114" s="311" t="n">
        <v>86</v>
      </c>
      <c r="AR114" s="309" t="n">
        <v>81.6</v>
      </c>
      <c r="AS114" s="311" t="n">
        <v>108</v>
      </c>
      <c r="AT114" s="309" t="n">
        <v>60</v>
      </c>
      <c r="AU114" s="310" t="n">
        <v>108</v>
      </c>
      <c r="AV114" s="309" t="n">
        <v>60</v>
      </c>
      <c r="AW114" s="310" t="n">
        <v>108</v>
      </c>
      <c r="AX114" s="309" t="n">
        <v>60</v>
      </c>
      <c r="AY114" s="310" t="n">
        <v>108</v>
      </c>
      <c r="AZ114" s="309" t="n">
        <v>60</v>
      </c>
    </row>
    <row r="115" customFormat="false" ht="12.75" hidden="false" customHeight="false" outlineLevel="0" collapsed="false">
      <c r="A115" s="268"/>
      <c r="B115" s="306" t="s">
        <v>124</v>
      </c>
      <c r="C115" s="305" t="s">
        <v>610</v>
      </c>
      <c r="D115" s="306" t="n">
        <v>204</v>
      </c>
      <c r="E115" s="306" t="n">
        <v>0</v>
      </c>
      <c r="F115" s="324" t="s">
        <v>603</v>
      </c>
      <c r="G115" s="307" t="n">
        <v>24</v>
      </c>
      <c r="H115" s="143" t="n">
        <v>195.04132231405</v>
      </c>
      <c r="I115" s="410"/>
      <c r="J115" s="311" t="s">
        <v>12</v>
      </c>
      <c r="K115" s="309" t="s">
        <v>12</v>
      </c>
      <c r="L115" s="650"/>
      <c r="M115" s="651" t="s">
        <v>12</v>
      </c>
      <c r="N115" s="652" t="s">
        <v>12</v>
      </c>
      <c r="O115" s="651" t="s">
        <v>12</v>
      </c>
      <c r="P115" s="312" t="s">
        <v>12</v>
      </c>
      <c r="Q115" s="652" t="s">
        <v>12</v>
      </c>
      <c r="R115" s="312" t="s">
        <v>12</v>
      </c>
      <c r="S115" s="310"/>
      <c r="T115" s="651" t="n">
        <v>0</v>
      </c>
      <c r="U115" s="652" t="n">
        <v>6.9</v>
      </c>
      <c r="V115" s="651" t="n">
        <v>0</v>
      </c>
      <c r="W115" s="652" t="n">
        <v>4.2</v>
      </c>
      <c r="X115" s="651" t="n">
        <v>0</v>
      </c>
      <c r="Y115" s="312" t="n">
        <v>4.2</v>
      </c>
      <c r="Z115" s="313" t="n">
        <v>0</v>
      </c>
      <c r="AA115" s="314" t="n">
        <v>4.1</v>
      </c>
      <c r="AB115" s="313" t="n">
        <v>0</v>
      </c>
      <c r="AC115" s="314" t="n">
        <v>4.1</v>
      </c>
      <c r="AE115" s="324" t="n">
        <v>9</v>
      </c>
      <c r="AF115" s="315"/>
      <c r="AG115" s="311" t="n">
        <v>0</v>
      </c>
      <c r="AH115" s="309" t="n">
        <v>0</v>
      </c>
      <c r="AI115" s="310"/>
      <c r="AJ115" s="311" t="s">
        <v>12</v>
      </c>
      <c r="AK115" s="309" t="s">
        <v>12</v>
      </c>
      <c r="AL115" s="311" t="s">
        <v>12</v>
      </c>
      <c r="AM115" s="309" t="s">
        <v>12</v>
      </c>
      <c r="AN115" s="311" t="s">
        <v>12</v>
      </c>
      <c r="AO115" s="309" t="s">
        <v>12</v>
      </c>
      <c r="AP115" s="310"/>
      <c r="AQ115" s="311" t="n">
        <v>38</v>
      </c>
      <c r="AR115" s="309" t="n">
        <v>165.6</v>
      </c>
      <c r="AS115" s="311" t="n">
        <v>103</v>
      </c>
      <c r="AT115" s="309" t="n">
        <v>100.8</v>
      </c>
      <c r="AU115" s="311" t="n">
        <v>103</v>
      </c>
      <c r="AV115" s="309" t="n">
        <v>100.8</v>
      </c>
      <c r="AW115" s="311" t="n">
        <v>106</v>
      </c>
      <c r="AX115" s="309" t="n">
        <v>98.4</v>
      </c>
      <c r="AY115" s="311" t="n">
        <v>106</v>
      </c>
      <c r="AZ115" s="309" t="n">
        <v>98.4</v>
      </c>
    </row>
    <row r="116" customFormat="false" ht="12.75" hidden="false" customHeight="false" outlineLevel="0" collapsed="false">
      <c r="A116" s="268"/>
      <c r="B116" s="306" t="s">
        <v>450</v>
      </c>
      <c r="C116" s="305" t="s">
        <v>611</v>
      </c>
      <c r="D116" s="306" t="n">
        <v>47</v>
      </c>
      <c r="E116" s="306" t="n">
        <v>0</v>
      </c>
      <c r="F116" s="324" t="s">
        <v>603</v>
      </c>
      <c r="G116" s="144" t="n">
        <v>24</v>
      </c>
      <c r="H116" s="143" t="n">
        <v>46.2809917355372</v>
      </c>
      <c r="I116" s="410"/>
      <c r="J116" s="311" t="s">
        <v>12</v>
      </c>
      <c r="K116" s="309" t="s">
        <v>12</v>
      </c>
      <c r="L116" s="650"/>
      <c r="M116" s="651" t="n">
        <v>0</v>
      </c>
      <c r="N116" s="652" t="n">
        <v>0</v>
      </c>
      <c r="O116" s="651" t="n">
        <v>0</v>
      </c>
      <c r="P116" s="312" t="n">
        <v>0</v>
      </c>
      <c r="Q116" s="652" t="n">
        <v>0</v>
      </c>
      <c r="R116" s="312" t="n">
        <v>0</v>
      </c>
      <c r="S116" s="310"/>
      <c r="T116" s="651" t="n">
        <v>0</v>
      </c>
      <c r="U116" s="652" t="n">
        <v>0.5</v>
      </c>
      <c r="V116" s="651" t="n">
        <v>0</v>
      </c>
      <c r="W116" s="652" t="n">
        <v>0.5</v>
      </c>
      <c r="X116" s="651" t="n">
        <v>0</v>
      </c>
      <c r="Y116" s="312" t="n">
        <v>0.5</v>
      </c>
      <c r="Z116" s="313" t="n">
        <v>0</v>
      </c>
      <c r="AA116" s="314" t="n">
        <v>0.4</v>
      </c>
      <c r="AB116" s="313" t="n">
        <v>0</v>
      </c>
      <c r="AC116" s="314" t="n">
        <v>0.4</v>
      </c>
      <c r="AE116" s="324" t="n">
        <v>1</v>
      </c>
      <c r="AF116" s="315"/>
      <c r="AG116" s="311" t="n">
        <v>0</v>
      </c>
      <c r="AH116" s="309" t="n">
        <v>0</v>
      </c>
      <c r="AI116" s="310"/>
      <c r="AJ116" s="311" t="n">
        <v>47</v>
      </c>
      <c r="AK116" s="309" t="n">
        <v>0</v>
      </c>
      <c r="AL116" s="311" t="n">
        <v>47</v>
      </c>
      <c r="AM116" s="309" t="n">
        <v>0</v>
      </c>
      <c r="AN116" s="310" t="n">
        <v>47</v>
      </c>
      <c r="AO116" s="309" t="n">
        <v>0</v>
      </c>
      <c r="AP116" s="310"/>
      <c r="AQ116" s="311" t="n">
        <v>35</v>
      </c>
      <c r="AR116" s="309" t="n">
        <v>12</v>
      </c>
      <c r="AS116" s="311" t="n">
        <v>35</v>
      </c>
      <c r="AT116" s="309" t="n">
        <v>12</v>
      </c>
      <c r="AU116" s="310" t="n">
        <v>35</v>
      </c>
      <c r="AV116" s="309" t="n">
        <v>12</v>
      </c>
      <c r="AW116" s="310" t="n">
        <v>37</v>
      </c>
      <c r="AX116" s="309" t="n">
        <v>9.6</v>
      </c>
      <c r="AY116" s="310" t="n">
        <v>37</v>
      </c>
      <c r="AZ116" s="309" t="n">
        <v>9.6</v>
      </c>
    </row>
    <row r="117" customFormat="false" ht="12.75" hidden="false" customHeight="false" outlineLevel="0" collapsed="false">
      <c r="A117" s="268"/>
      <c r="B117" s="306" t="s">
        <v>130</v>
      </c>
      <c r="C117" s="305" t="s">
        <v>612</v>
      </c>
      <c r="D117" s="306" t="n">
        <v>94</v>
      </c>
      <c r="E117" s="306" t="n">
        <v>0</v>
      </c>
      <c r="F117" s="324" t="s">
        <v>603</v>
      </c>
      <c r="G117" s="307" t="n">
        <v>24</v>
      </c>
      <c r="H117" s="143" t="n">
        <v>73.5537190082645</v>
      </c>
      <c r="I117" s="410"/>
      <c r="J117" s="311" t="s">
        <v>12</v>
      </c>
      <c r="K117" s="309" t="s">
        <v>12</v>
      </c>
      <c r="L117" s="650"/>
      <c r="M117" s="651" t="n">
        <v>0</v>
      </c>
      <c r="N117" s="652" t="n">
        <v>2</v>
      </c>
      <c r="O117" s="651" t="n">
        <v>0</v>
      </c>
      <c r="P117" s="312" t="n">
        <v>2</v>
      </c>
      <c r="Q117" s="652" t="n">
        <v>0</v>
      </c>
      <c r="R117" s="312" t="n">
        <v>2</v>
      </c>
      <c r="S117" s="310"/>
      <c r="T117" s="651" t="n">
        <v>0</v>
      </c>
      <c r="U117" s="652" t="n">
        <v>0.9</v>
      </c>
      <c r="V117" s="651" t="n">
        <v>0</v>
      </c>
      <c r="W117" s="652" t="n">
        <v>0.9</v>
      </c>
      <c r="X117" s="651" t="n">
        <v>0</v>
      </c>
      <c r="Y117" s="312" t="n">
        <v>0.9</v>
      </c>
      <c r="Z117" s="313" t="n">
        <v>0</v>
      </c>
      <c r="AA117" s="314" t="n">
        <v>0.8</v>
      </c>
      <c r="AB117" s="313" t="n">
        <v>0</v>
      </c>
      <c r="AC117" s="314" t="n">
        <v>0.8</v>
      </c>
      <c r="AE117" s="324" t="n">
        <v>20</v>
      </c>
      <c r="AF117" s="315"/>
      <c r="AG117" s="311" t="n">
        <v>0</v>
      </c>
      <c r="AH117" s="309" t="n">
        <v>0</v>
      </c>
      <c r="AI117" s="310"/>
      <c r="AJ117" s="311" t="n">
        <v>46</v>
      </c>
      <c r="AK117" s="309" t="n">
        <v>48</v>
      </c>
      <c r="AL117" s="311" t="n">
        <v>46</v>
      </c>
      <c r="AM117" s="309" t="n">
        <v>48</v>
      </c>
      <c r="AN117" s="311" t="n">
        <v>46</v>
      </c>
      <c r="AO117" s="309" t="n">
        <v>48</v>
      </c>
      <c r="AP117" s="310"/>
      <c r="AQ117" s="311" t="n">
        <v>72</v>
      </c>
      <c r="AR117" s="309" t="n">
        <v>21.6</v>
      </c>
      <c r="AS117" s="311" t="n">
        <v>72</v>
      </c>
      <c r="AT117" s="309" t="n">
        <v>21.6</v>
      </c>
      <c r="AU117" s="311" t="n">
        <v>72</v>
      </c>
      <c r="AV117" s="309" t="n">
        <v>21.6</v>
      </c>
      <c r="AW117" s="311" t="n">
        <v>75</v>
      </c>
      <c r="AX117" s="309" t="n">
        <v>19.2</v>
      </c>
      <c r="AY117" s="311" t="n">
        <v>75</v>
      </c>
      <c r="AZ117" s="309" t="n">
        <v>19.2</v>
      </c>
    </row>
    <row r="118" customFormat="false" ht="12.75" hidden="false" customHeight="false" outlineLevel="0" collapsed="false">
      <c r="A118" s="268"/>
      <c r="B118" s="306" t="s">
        <v>130</v>
      </c>
      <c r="C118" s="305" t="s">
        <v>613</v>
      </c>
      <c r="D118" s="306" t="n">
        <v>200</v>
      </c>
      <c r="E118" s="306" t="n">
        <v>0</v>
      </c>
      <c r="F118" s="324" t="s">
        <v>603</v>
      </c>
      <c r="G118" s="144" t="n">
        <v>24</v>
      </c>
      <c r="H118" s="143" t="n">
        <v>108.264462809917</v>
      </c>
      <c r="I118" s="410"/>
      <c r="J118" s="311" t="s">
        <v>12</v>
      </c>
      <c r="K118" s="309" t="s">
        <v>12</v>
      </c>
      <c r="L118" s="650"/>
      <c r="M118" s="651" t="n">
        <v>19</v>
      </c>
      <c r="N118" s="652" t="n">
        <v>4</v>
      </c>
      <c r="O118" s="651" t="n">
        <v>0</v>
      </c>
      <c r="P118" s="312" t="n">
        <v>2.3</v>
      </c>
      <c r="Q118" s="652" t="n">
        <v>0</v>
      </c>
      <c r="R118" s="312" t="n">
        <v>1.5</v>
      </c>
      <c r="S118" s="310"/>
      <c r="T118" s="651" t="n">
        <v>0</v>
      </c>
      <c r="U118" s="652" t="n">
        <v>2.1</v>
      </c>
      <c r="V118" s="651" t="n">
        <v>0</v>
      </c>
      <c r="W118" s="652" t="n">
        <v>1.7</v>
      </c>
      <c r="X118" s="651" t="n">
        <v>0</v>
      </c>
      <c r="Y118" s="312" t="n">
        <v>1.7</v>
      </c>
      <c r="Z118" s="313" t="n">
        <v>0</v>
      </c>
      <c r="AA118" s="314" t="n">
        <v>1.7</v>
      </c>
      <c r="AB118" s="313" t="n">
        <v>0</v>
      </c>
      <c r="AC118" s="314" t="n">
        <v>1.7</v>
      </c>
      <c r="AE118" s="324" t="n">
        <v>92</v>
      </c>
      <c r="AF118" s="315"/>
      <c r="AG118" s="311" t="n">
        <v>0</v>
      </c>
      <c r="AH118" s="309" t="n">
        <v>0</v>
      </c>
      <c r="AI118" s="310"/>
      <c r="AJ118" s="311" t="n">
        <v>85</v>
      </c>
      <c r="AK118" s="309" t="n">
        <v>96</v>
      </c>
      <c r="AL118" s="311" t="n">
        <v>145</v>
      </c>
      <c r="AM118" s="309" t="n">
        <v>55.2</v>
      </c>
      <c r="AN118" s="310" t="n">
        <v>164</v>
      </c>
      <c r="AO118" s="309" t="n">
        <v>36</v>
      </c>
      <c r="AP118" s="310"/>
      <c r="AQ118" s="311" t="n">
        <v>150</v>
      </c>
      <c r="AR118" s="309" t="n">
        <v>50.4</v>
      </c>
      <c r="AS118" s="311" t="n">
        <v>159</v>
      </c>
      <c r="AT118" s="309" t="n">
        <v>40.8</v>
      </c>
      <c r="AU118" s="310" t="n">
        <v>159</v>
      </c>
      <c r="AV118" s="309" t="n">
        <v>40.8</v>
      </c>
      <c r="AW118" s="310" t="n">
        <v>159</v>
      </c>
      <c r="AX118" s="309" t="n">
        <v>40.8</v>
      </c>
      <c r="AY118" s="310" t="n">
        <v>159</v>
      </c>
      <c r="AZ118" s="309" t="n">
        <v>40.8</v>
      </c>
    </row>
    <row r="119" customFormat="false" ht="12.75" hidden="false" customHeight="false" outlineLevel="0" collapsed="false">
      <c r="A119" s="268"/>
      <c r="B119" s="306" t="s">
        <v>130</v>
      </c>
      <c r="C119" s="305" t="s">
        <v>614</v>
      </c>
      <c r="D119" s="306" t="n">
        <v>41</v>
      </c>
      <c r="E119" s="306" t="n">
        <v>0</v>
      </c>
      <c r="F119" s="324" t="s">
        <v>603</v>
      </c>
      <c r="G119" s="307" t="n">
        <v>24</v>
      </c>
      <c r="H119" s="143" t="n">
        <v>38.8429752066116</v>
      </c>
      <c r="I119" s="410"/>
      <c r="J119" s="311" t="s">
        <v>12</v>
      </c>
      <c r="K119" s="309" t="s">
        <v>12</v>
      </c>
      <c r="L119" s="650"/>
      <c r="M119" s="651" t="n">
        <v>0</v>
      </c>
      <c r="N119" s="652" t="n">
        <v>0</v>
      </c>
      <c r="O119" s="651" t="n">
        <v>0</v>
      </c>
      <c r="P119" s="312" t="n">
        <v>0</v>
      </c>
      <c r="Q119" s="652" t="n">
        <v>0</v>
      </c>
      <c r="R119" s="312" t="n">
        <v>0</v>
      </c>
      <c r="S119" s="310"/>
      <c r="T119" s="651" t="n">
        <v>0</v>
      </c>
      <c r="U119" s="652" t="n">
        <v>0</v>
      </c>
      <c r="V119" s="651" t="n">
        <v>0</v>
      </c>
      <c r="W119" s="652" t="n">
        <v>0</v>
      </c>
      <c r="X119" s="651" t="n">
        <v>0</v>
      </c>
      <c r="Y119" s="312" t="n">
        <v>0</v>
      </c>
      <c r="Z119" s="313" t="n">
        <v>0</v>
      </c>
      <c r="AA119" s="314" t="n">
        <v>0</v>
      </c>
      <c r="AB119" s="313" t="n">
        <v>0</v>
      </c>
      <c r="AC119" s="314" t="n">
        <v>0</v>
      </c>
      <c r="AE119" s="324" t="n">
        <v>2</v>
      </c>
      <c r="AF119" s="315"/>
      <c r="AG119" s="311" t="n">
        <v>0</v>
      </c>
      <c r="AH119" s="309" t="n">
        <v>0</v>
      </c>
      <c r="AI119" s="310"/>
      <c r="AJ119" s="311" t="n">
        <v>41</v>
      </c>
      <c r="AK119" s="309" t="n">
        <v>0</v>
      </c>
      <c r="AL119" s="311" t="n">
        <v>41</v>
      </c>
      <c r="AM119" s="309" t="n">
        <v>0</v>
      </c>
      <c r="AN119" s="311" t="n">
        <v>41</v>
      </c>
      <c r="AO119" s="309" t="n">
        <v>0</v>
      </c>
      <c r="AP119" s="310"/>
      <c r="AQ119" s="311" t="n">
        <v>41</v>
      </c>
      <c r="AR119" s="309" t="n">
        <v>0</v>
      </c>
      <c r="AS119" s="311" t="n">
        <v>41</v>
      </c>
      <c r="AT119" s="309" t="n">
        <v>0</v>
      </c>
      <c r="AU119" s="311" t="n">
        <v>41</v>
      </c>
      <c r="AV119" s="309" t="n">
        <v>0</v>
      </c>
      <c r="AW119" s="311" t="n">
        <v>41</v>
      </c>
      <c r="AX119" s="309" t="n">
        <v>0</v>
      </c>
      <c r="AY119" s="311" t="n">
        <v>41</v>
      </c>
      <c r="AZ119" s="309" t="n">
        <v>0</v>
      </c>
    </row>
    <row r="120" customFormat="false" ht="12.75" hidden="false" customHeight="false" outlineLevel="0" collapsed="false">
      <c r="A120" s="268"/>
      <c r="B120" s="306" t="s">
        <v>211</v>
      </c>
      <c r="C120" s="305" t="s">
        <v>615</v>
      </c>
      <c r="D120" s="306" t="n">
        <v>65</v>
      </c>
      <c r="E120" s="306" t="n">
        <v>0</v>
      </c>
      <c r="F120" s="324" t="s">
        <v>603</v>
      </c>
      <c r="G120" s="144" t="n">
        <v>24</v>
      </c>
      <c r="H120" s="143" t="n">
        <v>42.9752066115703</v>
      </c>
      <c r="I120" s="410"/>
      <c r="J120" s="311" t="s">
        <v>12</v>
      </c>
      <c r="K120" s="309" t="s">
        <v>12</v>
      </c>
      <c r="L120" s="650"/>
      <c r="M120" s="651" t="n">
        <v>0</v>
      </c>
      <c r="N120" s="652" t="n">
        <v>1</v>
      </c>
      <c r="O120" s="651" t="n">
        <v>0</v>
      </c>
      <c r="P120" s="312" t="n">
        <v>1</v>
      </c>
      <c r="Q120" s="652" t="n">
        <v>0</v>
      </c>
      <c r="R120" s="312" t="n">
        <v>1</v>
      </c>
      <c r="S120" s="310"/>
      <c r="T120" s="651" t="n">
        <v>0</v>
      </c>
      <c r="U120" s="652" t="n">
        <v>0</v>
      </c>
      <c r="V120" s="651" t="n">
        <v>0</v>
      </c>
      <c r="W120" s="652" t="n">
        <v>0</v>
      </c>
      <c r="X120" s="651" t="n">
        <v>0</v>
      </c>
      <c r="Y120" s="312" t="n">
        <v>0</v>
      </c>
      <c r="Z120" s="313" t="n">
        <v>0</v>
      </c>
      <c r="AA120" s="314" t="n">
        <v>0</v>
      </c>
      <c r="AB120" s="313" t="n">
        <v>0</v>
      </c>
      <c r="AC120" s="314" t="n">
        <v>0</v>
      </c>
      <c r="AE120" s="324" t="n">
        <v>22</v>
      </c>
      <c r="AF120" s="315"/>
      <c r="AG120" s="311" t="n">
        <v>0</v>
      </c>
      <c r="AH120" s="309" t="n">
        <v>0</v>
      </c>
      <c r="AI120" s="310"/>
      <c r="AJ120" s="311" t="n">
        <v>41</v>
      </c>
      <c r="AK120" s="309" t="n">
        <v>24</v>
      </c>
      <c r="AL120" s="311" t="n">
        <v>41</v>
      </c>
      <c r="AM120" s="309" t="n">
        <v>24</v>
      </c>
      <c r="AN120" s="310" t="n">
        <v>41</v>
      </c>
      <c r="AO120" s="309" t="n">
        <v>24</v>
      </c>
      <c r="AP120" s="310"/>
      <c r="AQ120" s="311" t="n">
        <v>65</v>
      </c>
      <c r="AR120" s="309" t="n">
        <v>0</v>
      </c>
      <c r="AS120" s="311" t="n">
        <v>65</v>
      </c>
      <c r="AT120" s="309" t="n">
        <v>0</v>
      </c>
      <c r="AU120" s="310" t="n">
        <v>65</v>
      </c>
      <c r="AV120" s="309" t="n">
        <v>0</v>
      </c>
      <c r="AW120" s="310" t="n">
        <v>65</v>
      </c>
      <c r="AX120" s="309" t="n">
        <v>0</v>
      </c>
      <c r="AY120" s="310" t="n">
        <v>65</v>
      </c>
      <c r="AZ120" s="309" t="n">
        <v>0</v>
      </c>
    </row>
    <row r="121" customFormat="false" ht="12.75" hidden="false" customHeight="false" outlineLevel="0" collapsed="false">
      <c r="A121" s="268"/>
      <c r="B121" s="306" t="s">
        <v>465</v>
      </c>
      <c r="C121" s="305" t="s">
        <v>616</v>
      </c>
      <c r="D121" s="306" t="n">
        <v>53</v>
      </c>
      <c r="E121" s="306" t="n">
        <v>0</v>
      </c>
      <c r="F121" s="324" t="s">
        <v>603</v>
      </c>
      <c r="G121" s="307" t="n">
        <v>24</v>
      </c>
      <c r="H121" s="143" t="n">
        <v>35.5371900826446</v>
      </c>
      <c r="I121" s="410"/>
      <c r="J121" s="311" t="s">
        <v>12</v>
      </c>
      <c r="K121" s="309" t="s">
        <v>12</v>
      </c>
      <c r="L121" s="650"/>
      <c r="M121" s="651" t="n">
        <v>0</v>
      </c>
      <c r="N121" s="652" t="n">
        <v>0</v>
      </c>
      <c r="O121" s="651" t="n">
        <v>0</v>
      </c>
      <c r="P121" s="312" t="n">
        <v>0</v>
      </c>
      <c r="Q121" s="652" t="n">
        <v>0</v>
      </c>
      <c r="R121" s="312" t="n">
        <v>0</v>
      </c>
      <c r="S121" s="310"/>
      <c r="T121" s="651" t="n">
        <v>0</v>
      </c>
      <c r="U121" s="652" t="n">
        <v>0</v>
      </c>
      <c r="V121" s="651" t="n">
        <v>0</v>
      </c>
      <c r="W121" s="652" t="n">
        <v>0</v>
      </c>
      <c r="X121" s="651" t="n">
        <v>0</v>
      </c>
      <c r="Y121" s="312" t="n">
        <v>0</v>
      </c>
      <c r="Z121" s="313" t="n">
        <v>0</v>
      </c>
      <c r="AA121" s="314" t="n">
        <v>0</v>
      </c>
      <c r="AB121" s="313" t="n">
        <v>0</v>
      </c>
      <c r="AC121" s="314" t="n">
        <v>0</v>
      </c>
      <c r="AE121" s="324" t="n">
        <v>17</v>
      </c>
      <c r="AF121" s="315"/>
      <c r="AG121" s="311" t="n">
        <v>0</v>
      </c>
      <c r="AH121" s="309" t="n">
        <v>0</v>
      </c>
      <c r="AI121" s="310"/>
      <c r="AJ121" s="311" t="n">
        <v>53</v>
      </c>
      <c r="AK121" s="309" t="n">
        <v>0</v>
      </c>
      <c r="AL121" s="311" t="n">
        <v>53</v>
      </c>
      <c r="AM121" s="309" t="n">
        <v>0</v>
      </c>
      <c r="AN121" s="311" t="n">
        <v>53</v>
      </c>
      <c r="AO121" s="309" t="n">
        <v>0</v>
      </c>
      <c r="AP121" s="310"/>
      <c r="AQ121" s="311" t="n">
        <v>53</v>
      </c>
      <c r="AR121" s="309" t="n">
        <v>0</v>
      </c>
      <c r="AS121" s="311" t="n">
        <v>53</v>
      </c>
      <c r="AT121" s="309" t="n">
        <v>0</v>
      </c>
      <c r="AU121" s="311" t="n">
        <v>53</v>
      </c>
      <c r="AV121" s="309" t="n">
        <v>0</v>
      </c>
      <c r="AW121" s="311" t="n">
        <v>53</v>
      </c>
      <c r="AX121" s="309" t="n">
        <v>0</v>
      </c>
      <c r="AY121" s="311" t="n">
        <v>53</v>
      </c>
      <c r="AZ121" s="309" t="n">
        <v>0</v>
      </c>
    </row>
    <row r="122" customFormat="false" ht="12.75" hidden="false" customHeight="false" outlineLevel="0" collapsed="false">
      <c r="A122" s="268"/>
      <c r="B122" s="306" t="s">
        <v>200</v>
      </c>
      <c r="C122" s="305" t="s">
        <v>617</v>
      </c>
      <c r="D122" s="306" t="n">
        <v>172</v>
      </c>
      <c r="E122" s="306" t="n">
        <v>0</v>
      </c>
      <c r="F122" s="324" t="s">
        <v>603</v>
      </c>
      <c r="G122" s="144" t="n">
        <v>24</v>
      </c>
      <c r="H122" s="143" t="n">
        <v>130.578512396694</v>
      </c>
      <c r="I122" s="410"/>
      <c r="J122" s="311" t="s">
        <v>12</v>
      </c>
      <c r="K122" s="309" t="s">
        <v>12</v>
      </c>
      <c r="L122" s="650"/>
      <c r="M122" s="651" t="n">
        <v>19</v>
      </c>
      <c r="N122" s="652" t="n">
        <v>4.2</v>
      </c>
      <c r="O122" s="651" t="n">
        <v>0</v>
      </c>
      <c r="P122" s="312" t="n">
        <v>2.3</v>
      </c>
      <c r="Q122" s="652" t="n">
        <v>0</v>
      </c>
      <c r="R122" s="312" t="n">
        <v>1.5</v>
      </c>
      <c r="S122" s="310"/>
      <c r="T122" s="651" t="n">
        <v>0</v>
      </c>
      <c r="U122" s="652" t="n">
        <v>4.6</v>
      </c>
      <c r="V122" s="651" t="n">
        <v>0</v>
      </c>
      <c r="W122" s="652" t="n">
        <v>1.7</v>
      </c>
      <c r="X122" s="651" t="n">
        <v>0</v>
      </c>
      <c r="Y122" s="312" t="n">
        <v>1.7</v>
      </c>
      <c r="Z122" s="313" t="n">
        <v>0</v>
      </c>
      <c r="AA122" s="314" t="n">
        <v>1.7</v>
      </c>
      <c r="AB122" s="313" t="n">
        <v>0</v>
      </c>
      <c r="AC122" s="314" t="n">
        <v>1.7</v>
      </c>
      <c r="AE122" s="324" t="n">
        <v>41</v>
      </c>
      <c r="AF122" s="315"/>
      <c r="AG122" s="311" t="n">
        <v>0</v>
      </c>
      <c r="AH122" s="309" t="n">
        <v>0</v>
      </c>
      <c r="AI122" s="310"/>
      <c r="AJ122" s="311" t="n">
        <v>52</v>
      </c>
      <c r="AK122" s="309" t="n">
        <v>100.8</v>
      </c>
      <c r="AL122" s="311" t="n">
        <v>117</v>
      </c>
      <c r="AM122" s="309" t="n">
        <v>55.2</v>
      </c>
      <c r="AN122" s="310" t="n">
        <v>136</v>
      </c>
      <c r="AO122" s="309" t="n">
        <v>36</v>
      </c>
      <c r="AP122" s="310"/>
      <c r="AQ122" s="311" t="n">
        <v>62</v>
      </c>
      <c r="AR122" s="309" t="n">
        <v>110.4</v>
      </c>
      <c r="AS122" s="311" t="n">
        <v>131</v>
      </c>
      <c r="AT122" s="309" t="n">
        <v>40.8</v>
      </c>
      <c r="AU122" s="310" t="n">
        <v>131</v>
      </c>
      <c r="AV122" s="309" t="n">
        <v>40.8</v>
      </c>
      <c r="AW122" s="310" t="n">
        <v>131</v>
      </c>
      <c r="AX122" s="309" t="n">
        <v>40.8</v>
      </c>
      <c r="AY122" s="310" t="n">
        <v>131</v>
      </c>
      <c r="AZ122" s="309" t="n">
        <v>40.8</v>
      </c>
    </row>
    <row r="123" customFormat="false" ht="12.75" hidden="false" customHeight="false" outlineLevel="0" collapsed="false">
      <c r="A123" s="268"/>
      <c r="B123" s="306" t="s">
        <v>200</v>
      </c>
      <c r="C123" s="305" t="s">
        <v>618</v>
      </c>
      <c r="D123" s="306" t="n">
        <v>240</v>
      </c>
      <c r="E123" s="306" t="n">
        <v>0</v>
      </c>
      <c r="F123" s="324" t="s">
        <v>603</v>
      </c>
      <c r="G123" s="307" t="n">
        <v>24</v>
      </c>
      <c r="H123" s="143" t="n">
        <v>187.603305785124</v>
      </c>
      <c r="I123" s="410"/>
      <c r="J123" s="311" t="s">
        <v>12</v>
      </c>
      <c r="K123" s="309" t="s">
        <v>12</v>
      </c>
      <c r="L123" s="650"/>
      <c r="M123" s="651" t="s">
        <v>12</v>
      </c>
      <c r="N123" s="652" t="s">
        <v>12</v>
      </c>
      <c r="O123" s="651" t="s">
        <v>12</v>
      </c>
      <c r="P123" s="312" t="s">
        <v>12</v>
      </c>
      <c r="Q123" s="652" t="s">
        <v>12</v>
      </c>
      <c r="R123" s="312" t="s">
        <v>12</v>
      </c>
      <c r="S123" s="310"/>
      <c r="T123" s="651" t="n">
        <v>0</v>
      </c>
      <c r="U123" s="652" t="n">
        <v>6.7</v>
      </c>
      <c r="V123" s="651" t="n">
        <v>0</v>
      </c>
      <c r="W123" s="652" t="n">
        <v>4.2</v>
      </c>
      <c r="X123" s="651" t="n">
        <v>0</v>
      </c>
      <c r="Y123" s="312" t="n">
        <v>4.2</v>
      </c>
      <c r="Z123" s="313" t="n">
        <v>0</v>
      </c>
      <c r="AA123" s="314" t="n">
        <v>4.1</v>
      </c>
      <c r="AB123" s="313" t="n">
        <v>0</v>
      </c>
      <c r="AC123" s="314" t="n">
        <v>4.1</v>
      </c>
      <c r="AE123" s="324" t="n">
        <v>52</v>
      </c>
      <c r="AF123" s="315"/>
      <c r="AG123" s="311" t="n">
        <v>0</v>
      </c>
      <c r="AH123" s="309" t="n">
        <v>0</v>
      </c>
      <c r="AI123" s="310"/>
      <c r="AJ123" s="311" t="s">
        <v>12</v>
      </c>
      <c r="AK123" s="309" t="s">
        <v>12</v>
      </c>
      <c r="AL123" s="311" t="s">
        <v>12</v>
      </c>
      <c r="AM123" s="309" t="s">
        <v>12</v>
      </c>
      <c r="AN123" s="311" t="s">
        <v>12</v>
      </c>
      <c r="AO123" s="309" t="s">
        <v>12</v>
      </c>
      <c r="AP123" s="310"/>
      <c r="AQ123" s="311" t="n">
        <v>79</v>
      </c>
      <c r="AR123" s="309" t="n">
        <v>160.8</v>
      </c>
      <c r="AS123" s="311" t="n">
        <v>139</v>
      </c>
      <c r="AT123" s="309" t="n">
        <v>100.8</v>
      </c>
      <c r="AU123" s="311" t="n">
        <v>139</v>
      </c>
      <c r="AV123" s="309" t="n">
        <v>100.8</v>
      </c>
      <c r="AW123" s="311" t="n">
        <v>142</v>
      </c>
      <c r="AX123" s="309" t="n">
        <v>98.4</v>
      </c>
      <c r="AY123" s="311" t="n">
        <v>142</v>
      </c>
      <c r="AZ123" s="309" t="n">
        <v>98.4</v>
      </c>
      <c r="BA123" s="2"/>
      <c r="BB123" s="2"/>
      <c r="BC123" s="2"/>
      <c r="BD123" s="2"/>
      <c r="BE123" s="2"/>
      <c r="BF123" s="2"/>
      <c r="BG123" s="2"/>
      <c r="BH123" s="2"/>
      <c r="BI123" s="2"/>
    </row>
    <row r="124" customFormat="false" ht="12.75" hidden="false" customHeight="false" outlineLevel="0" collapsed="false">
      <c r="A124" s="268"/>
      <c r="B124" s="306" t="s">
        <v>200</v>
      </c>
      <c r="C124" s="305" t="s">
        <v>619</v>
      </c>
      <c r="D124" s="306" t="n">
        <v>99</v>
      </c>
      <c r="E124" s="306" t="n">
        <v>0</v>
      </c>
      <c r="F124" s="324" t="s">
        <v>603</v>
      </c>
      <c r="G124" s="144" t="n">
        <v>24</v>
      </c>
      <c r="H124" s="143" t="n">
        <v>80.1652892561983</v>
      </c>
      <c r="I124" s="410"/>
      <c r="J124" s="311" t="s">
        <v>12</v>
      </c>
      <c r="K124" s="309" t="s">
        <v>12</v>
      </c>
      <c r="L124" s="650"/>
      <c r="M124" s="651" t="n">
        <v>0</v>
      </c>
      <c r="N124" s="652" t="n">
        <v>3.1</v>
      </c>
      <c r="O124" s="651" t="n">
        <v>0</v>
      </c>
      <c r="P124" s="312" t="n">
        <v>0.7</v>
      </c>
      <c r="Q124" s="652" t="n">
        <v>0</v>
      </c>
      <c r="R124" s="312" t="n">
        <v>0.3</v>
      </c>
      <c r="S124" s="310"/>
      <c r="T124" s="651" t="n">
        <v>0</v>
      </c>
      <c r="U124" s="652" t="n">
        <v>0.9</v>
      </c>
      <c r="V124" s="651" t="n">
        <v>0</v>
      </c>
      <c r="W124" s="652" t="n">
        <v>1.3</v>
      </c>
      <c r="X124" s="651" t="n">
        <v>0</v>
      </c>
      <c r="Y124" s="312" t="n">
        <v>1.3</v>
      </c>
      <c r="Z124" s="313" t="n">
        <v>0</v>
      </c>
      <c r="AA124" s="314" t="n">
        <v>1.2</v>
      </c>
      <c r="AB124" s="313" t="n">
        <v>0</v>
      </c>
      <c r="AC124" s="314" t="n">
        <v>1.2</v>
      </c>
      <c r="AE124" s="324" t="n">
        <v>19</v>
      </c>
      <c r="AF124" s="315"/>
      <c r="AG124" s="311" t="n">
        <v>0</v>
      </c>
      <c r="AH124" s="309" t="n">
        <v>0</v>
      </c>
      <c r="AI124" s="310"/>
      <c r="AJ124" s="311" t="n">
        <v>25</v>
      </c>
      <c r="AK124" s="309" t="n">
        <v>74.4</v>
      </c>
      <c r="AL124" s="311" t="n">
        <v>82</v>
      </c>
      <c r="AM124" s="309" t="n">
        <v>16.8</v>
      </c>
      <c r="AN124" s="310" t="n">
        <v>92</v>
      </c>
      <c r="AO124" s="309" t="n">
        <v>7.2</v>
      </c>
      <c r="AP124" s="310"/>
      <c r="AQ124" s="311" t="n">
        <v>77</v>
      </c>
      <c r="AR124" s="309" t="n">
        <v>21.6</v>
      </c>
      <c r="AS124" s="311" t="n">
        <v>68</v>
      </c>
      <c r="AT124" s="309" t="n">
        <v>31.2</v>
      </c>
      <c r="AU124" s="310" t="n">
        <v>68</v>
      </c>
      <c r="AV124" s="309" t="n">
        <v>31.2</v>
      </c>
      <c r="AW124" s="310" t="n">
        <v>70</v>
      </c>
      <c r="AX124" s="309" t="n">
        <v>28.8</v>
      </c>
      <c r="AY124" s="310" t="n">
        <v>70</v>
      </c>
      <c r="AZ124" s="309" t="n">
        <v>28.8</v>
      </c>
      <c r="BA124" s="2"/>
      <c r="BB124" s="2"/>
      <c r="BC124" s="2"/>
      <c r="BD124" s="2"/>
      <c r="BE124" s="2"/>
      <c r="BF124" s="2"/>
      <c r="BG124" s="2"/>
      <c r="BH124" s="2"/>
      <c r="BI124" s="2"/>
    </row>
    <row r="125" customFormat="false" ht="12.75" hidden="false" customHeight="false" outlineLevel="0" collapsed="false">
      <c r="A125" s="268"/>
      <c r="B125" s="306" t="s">
        <v>428</v>
      </c>
      <c r="C125" s="305" t="s">
        <v>620</v>
      </c>
      <c r="D125" s="306" t="n">
        <v>39</v>
      </c>
      <c r="E125" s="306" t="n">
        <v>0</v>
      </c>
      <c r="F125" s="324" t="s">
        <v>603</v>
      </c>
      <c r="G125" s="307" t="n">
        <v>24</v>
      </c>
      <c r="H125" s="143" t="n">
        <v>38.0165289256198</v>
      </c>
      <c r="I125" s="410"/>
      <c r="J125" s="311" t="s">
        <v>12</v>
      </c>
      <c r="K125" s="309" t="s">
        <v>12</v>
      </c>
      <c r="L125" s="650"/>
      <c r="M125" s="651" t="n">
        <v>0</v>
      </c>
      <c r="N125" s="652" t="n">
        <v>0</v>
      </c>
      <c r="O125" s="651" t="n">
        <v>0</v>
      </c>
      <c r="P125" s="312" t="n">
        <v>0</v>
      </c>
      <c r="Q125" s="652" t="n">
        <v>0</v>
      </c>
      <c r="R125" s="312" t="n">
        <v>0</v>
      </c>
      <c r="S125" s="310"/>
      <c r="T125" s="651" t="n">
        <v>0</v>
      </c>
      <c r="U125" s="652" t="n">
        <v>0</v>
      </c>
      <c r="V125" s="651" t="n">
        <v>0</v>
      </c>
      <c r="W125" s="652" t="n">
        <v>0</v>
      </c>
      <c r="X125" s="651" t="n">
        <v>0</v>
      </c>
      <c r="Y125" s="312" t="n">
        <v>0</v>
      </c>
      <c r="Z125" s="313" t="n">
        <v>0</v>
      </c>
      <c r="AA125" s="314" t="n">
        <v>0</v>
      </c>
      <c r="AB125" s="313" t="n">
        <v>0</v>
      </c>
      <c r="AC125" s="314" t="n">
        <v>0</v>
      </c>
      <c r="AE125" s="324" t="n">
        <v>1</v>
      </c>
      <c r="AF125" s="315"/>
      <c r="AG125" s="311" t="n">
        <v>0</v>
      </c>
      <c r="AH125" s="309" t="n">
        <v>0</v>
      </c>
      <c r="AI125" s="310"/>
      <c r="AJ125" s="311" t="n">
        <v>39</v>
      </c>
      <c r="AK125" s="309" t="n">
        <v>0</v>
      </c>
      <c r="AL125" s="311" t="n">
        <v>39</v>
      </c>
      <c r="AM125" s="309" t="n">
        <v>0</v>
      </c>
      <c r="AN125" s="311" t="n">
        <v>39</v>
      </c>
      <c r="AO125" s="309" t="n">
        <v>0</v>
      </c>
      <c r="AP125" s="310"/>
      <c r="AQ125" s="311" t="n">
        <v>39</v>
      </c>
      <c r="AR125" s="309" t="n">
        <v>0</v>
      </c>
      <c r="AS125" s="311" t="n">
        <v>39</v>
      </c>
      <c r="AT125" s="309" t="n">
        <v>0</v>
      </c>
      <c r="AU125" s="311" t="n">
        <v>39</v>
      </c>
      <c r="AV125" s="309" t="n">
        <v>0</v>
      </c>
      <c r="AW125" s="311" t="n">
        <v>39</v>
      </c>
      <c r="AX125" s="309" t="n">
        <v>0</v>
      </c>
      <c r="AY125" s="311" t="n">
        <v>39</v>
      </c>
      <c r="AZ125" s="309" t="n">
        <v>0</v>
      </c>
      <c r="BA125" s="2"/>
      <c r="BB125" s="2"/>
      <c r="BC125" s="2"/>
      <c r="BD125" s="2"/>
      <c r="BE125" s="2"/>
      <c r="BF125" s="2"/>
      <c r="BG125" s="2"/>
      <c r="BH125" s="2"/>
      <c r="BI125" s="2"/>
    </row>
    <row r="126" customFormat="false" ht="12.75" hidden="false" customHeight="false" outlineLevel="0" collapsed="false">
      <c r="A126" s="268"/>
      <c r="B126" s="306" t="s">
        <v>428</v>
      </c>
      <c r="C126" s="305" t="s">
        <v>621</v>
      </c>
      <c r="D126" s="306" t="n">
        <v>46</v>
      </c>
      <c r="E126" s="306" t="n">
        <v>0</v>
      </c>
      <c r="F126" s="324" t="s">
        <v>603</v>
      </c>
      <c r="G126" s="144" t="n">
        <v>24</v>
      </c>
      <c r="H126" s="143" t="n">
        <v>42.9752066115703</v>
      </c>
      <c r="I126" s="410"/>
      <c r="J126" s="311" t="s">
        <v>12</v>
      </c>
      <c r="K126" s="309" t="s">
        <v>12</v>
      </c>
      <c r="L126" s="650"/>
      <c r="M126" s="651" t="n">
        <v>0</v>
      </c>
      <c r="N126" s="652" t="n">
        <v>0</v>
      </c>
      <c r="O126" s="651" t="n">
        <v>0</v>
      </c>
      <c r="P126" s="312" t="n">
        <v>0</v>
      </c>
      <c r="Q126" s="652" t="n">
        <v>0</v>
      </c>
      <c r="R126" s="312" t="n">
        <v>0</v>
      </c>
      <c r="S126" s="310"/>
      <c r="T126" s="651" t="n">
        <v>0</v>
      </c>
      <c r="U126" s="652" t="n">
        <v>0</v>
      </c>
      <c r="V126" s="651" t="n">
        <v>0</v>
      </c>
      <c r="W126" s="652" t="n">
        <v>0</v>
      </c>
      <c r="X126" s="651" t="n">
        <v>0</v>
      </c>
      <c r="Y126" s="312" t="n">
        <v>0</v>
      </c>
      <c r="Z126" s="313" t="n">
        <v>0</v>
      </c>
      <c r="AA126" s="314" t="n">
        <v>0</v>
      </c>
      <c r="AB126" s="313" t="n">
        <v>0</v>
      </c>
      <c r="AC126" s="314" t="n">
        <v>0</v>
      </c>
      <c r="AE126" s="324" t="n">
        <v>3</v>
      </c>
      <c r="AF126" s="315"/>
      <c r="AG126" s="311" t="n">
        <v>0</v>
      </c>
      <c r="AH126" s="309" t="n">
        <v>0</v>
      </c>
      <c r="AI126" s="310"/>
      <c r="AJ126" s="311" t="n">
        <v>46</v>
      </c>
      <c r="AK126" s="309" t="n">
        <v>0</v>
      </c>
      <c r="AL126" s="311" t="n">
        <v>46</v>
      </c>
      <c r="AM126" s="309" t="n">
        <v>0</v>
      </c>
      <c r="AN126" s="310" t="n">
        <v>46</v>
      </c>
      <c r="AO126" s="309" t="n">
        <v>0</v>
      </c>
      <c r="AP126" s="310"/>
      <c r="AQ126" s="311" t="n">
        <v>46</v>
      </c>
      <c r="AR126" s="309" t="n">
        <v>0</v>
      </c>
      <c r="AS126" s="311" t="n">
        <v>46</v>
      </c>
      <c r="AT126" s="309" t="n">
        <v>0</v>
      </c>
      <c r="AU126" s="310" t="n">
        <v>46</v>
      </c>
      <c r="AV126" s="309" t="n">
        <v>0</v>
      </c>
      <c r="AW126" s="310" t="n">
        <v>46</v>
      </c>
      <c r="AX126" s="309" t="n">
        <v>0</v>
      </c>
      <c r="AY126" s="310" t="n">
        <v>46</v>
      </c>
      <c r="AZ126" s="309" t="n">
        <v>0</v>
      </c>
      <c r="BA126" s="2"/>
      <c r="BB126" s="2"/>
      <c r="BC126" s="2"/>
      <c r="BD126" s="2"/>
      <c r="BE126" s="2"/>
      <c r="BF126" s="2"/>
      <c r="BG126" s="2"/>
      <c r="BH126" s="2"/>
      <c r="BI126" s="2"/>
    </row>
    <row r="127" customFormat="false" ht="12.75" hidden="false" customHeight="false" outlineLevel="0" collapsed="false">
      <c r="A127" s="268"/>
      <c r="B127" s="306" t="s">
        <v>497</v>
      </c>
      <c r="C127" s="305" t="s">
        <v>622</v>
      </c>
      <c r="D127" s="306" t="n">
        <v>93</v>
      </c>
      <c r="E127" s="306" t="n">
        <v>0</v>
      </c>
      <c r="F127" s="324" t="s">
        <v>603</v>
      </c>
      <c r="G127" s="307" t="n">
        <v>24</v>
      </c>
      <c r="H127" s="143" t="n">
        <v>77.6859504132231</v>
      </c>
      <c r="I127" s="410"/>
      <c r="J127" s="311" t="s">
        <v>12</v>
      </c>
      <c r="K127" s="309" t="s">
        <v>12</v>
      </c>
      <c r="L127" s="650"/>
      <c r="M127" s="651" t="n">
        <v>0</v>
      </c>
      <c r="N127" s="652" t="n">
        <v>2.2</v>
      </c>
      <c r="O127" s="651" t="n">
        <v>0</v>
      </c>
      <c r="P127" s="312" t="n">
        <v>2.2</v>
      </c>
      <c r="Q127" s="652" t="n">
        <v>0</v>
      </c>
      <c r="R127" s="312" t="n">
        <v>2.2</v>
      </c>
      <c r="S127" s="310"/>
      <c r="T127" s="651" t="n">
        <v>0</v>
      </c>
      <c r="U127" s="652" t="n">
        <v>0.9</v>
      </c>
      <c r="V127" s="651" t="n">
        <v>0</v>
      </c>
      <c r="W127" s="652" t="n">
        <v>0.9</v>
      </c>
      <c r="X127" s="651" t="n">
        <v>0</v>
      </c>
      <c r="Y127" s="312" t="n">
        <v>0.9</v>
      </c>
      <c r="Z127" s="313" t="n">
        <v>0</v>
      </c>
      <c r="AA127" s="314" t="n">
        <v>0.8</v>
      </c>
      <c r="AB127" s="313" t="n">
        <v>0</v>
      </c>
      <c r="AC127" s="314" t="n">
        <v>0.8</v>
      </c>
      <c r="AE127" s="324" t="n">
        <v>15</v>
      </c>
      <c r="AF127" s="315"/>
      <c r="AG127" s="311" t="n">
        <v>0</v>
      </c>
      <c r="AH127" s="309" t="n">
        <v>0</v>
      </c>
      <c r="AI127" s="310"/>
      <c r="AJ127" s="311" t="n">
        <v>40</v>
      </c>
      <c r="AK127" s="309" t="n">
        <v>52.8</v>
      </c>
      <c r="AL127" s="311" t="n">
        <v>40</v>
      </c>
      <c r="AM127" s="309" t="n">
        <v>52.8</v>
      </c>
      <c r="AN127" s="311" t="n">
        <v>40</v>
      </c>
      <c r="AO127" s="309" t="n">
        <v>52.8</v>
      </c>
      <c r="AP127" s="310"/>
      <c r="AQ127" s="311" t="n">
        <v>71</v>
      </c>
      <c r="AR127" s="309" t="n">
        <v>21.6</v>
      </c>
      <c r="AS127" s="311" t="n">
        <v>71</v>
      </c>
      <c r="AT127" s="309" t="n">
        <v>21.6</v>
      </c>
      <c r="AU127" s="311" t="n">
        <v>71</v>
      </c>
      <c r="AV127" s="309" t="n">
        <v>21.6</v>
      </c>
      <c r="AW127" s="311" t="n">
        <v>74</v>
      </c>
      <c r="AX127" s="309" t="n">
        <v>19.2</v>
      </c>
      <c r="AY127" s="311" t="n">
        <v>74</v>
      </c>
      <c r="AZ127" s="309" t="n">
        <v>19.2</v>
      </c>
      <c r="BA127" s="2"/>
      <c r="BB127" s="2"/>
      <c r="BC127" s="2"/>
      <c r="BD127" s="2"/>
      <c r="BE127" s="2"/>
      <c r="BF127" s="2"/>
      <c r="BG127" s="2"/>
      <c r="BH127" s="2"/>
      <c r="BI127" s="2"/>
    </row>
    <row r="128" customFormat="false" ht="12.75" hidden="false" customHeight="false" outlineLevel="0" collapsed="false">
      <c r="A128" s="268"/>
      <c r="B128" s="306" t="s">
        <v>497</v>
      </c>
      <c r="C128" s="305" t="s">
        <v>623</v>
      </c>
      <c r="D128" s="306" t="n">
        <v>32</v>
      </c>
      <c r="E128" s="306" t="n">
        <v>0</v>
      </c>
      <c r="F128" s="324" t="s">
        <v>603</v>
      </c>
      <c r="G128" s="144" t="n">
        <v>24</v>
      </c>
      <c r="H128" s="143" t="n">
        <v>31.404958677686</v>
      </c>
      <c r="I128" s="410"/>
      <c r="J128" s="311" t="s">
        <v>12</v>
      </c>
      <c r="K128" s="309" t="s">
        <v>12</v>
      </c>
      <c r="L128" s="650"/>
      <c r="M128" s="651" t="n">
        <v>0</v>
      </c>
      <c r="N128" s="652" t="n">
        <v>0</v>
      </c>
      <c r="O128" s="651" t="n">
        <v>0</v>
      </c>
      <c r="P128" s="312" t="n">
        <v>0</v>
      </c>
      <c r="Q128" s="652" t="n">
        <v>0</v>
      </c>
      <c r="R128" s="312" t="n">
        <v>0</v>
      </c>
      <c r="S128" s="310"/>
      <c r="T128" s="651" t="n">
        <v>0</v>
      </c>
      <c r="U128" s="652" t="n">
        <v>0.5</v>
      </c>
      <c r="V128" s="651" t="n">
        <v>0</v>
      </c>
      <c r="W128" s="652" t="n">
        <v>0</v>
      </c>
      <c r="X128" s="651" t="n">
        <v>0</v>
      </c>
      <c r="Y128" s="312" t="n">
        <v>0</v>
      </c>
      <c r="Z128" s="313" t="n">
        <v>0</v>
      </c>
      <c r="AA128" s="314" t="n">
        <v>0</v>
      </c>
      <c r="AB128" s="313" t="n">
        <v>0</v>
      </c>
      <c r="AC128" s="314" t="n">
        <v>0</v>
      </c>
      <c r="AE128" s="324" t="n">
        <v>1</v>
      </c>
      <c r="AF128" s="315"/>
      <c r="AG128" s="311" t="n">
        <v>0</v>
      </c>
      <c r="AH128" s="309" t="n">
        <v>0</v>
      </c>
      <c r="AI128" s="310"/>
      <c r="AJ128" s="311" t="n">
        <v>32</v>
      </c>
      <c r="AK128" s="309" t="n">
        <v>0</v>
      </c>
      <c r="AL128" s="311" t="n">
        <v>32</v>
      </c>
      <c r="AM128" s="309" t="n">
        <v>0</v>
      </c>
      <c r="AN128" s="310" t="n">
        <v>32</v>
      </c>
      <c r="AO128" s="309" t="n">
        <v>0</v>
      </c>
      <c r="AP128" s="310"/>
      <c r="AQ128" s="311" t="n">
        <v>20</v>
      </c>
      <c r="AR128" s="309" t="n">
        <v>12</v>
      </c>
      <c r="AS128" s="311" t="n">
        <v>32</v>
      </c>
      <c r="AT128" s="309" t="n">
        <v>0</v>
      </c>
      <c r="AU128" s="310" t="n">
        <v>32</v>
      </c>
      <c r="AV128" s="309" t="n">
        <v>0</v>
      </c>
      <c r="AW128" s="310" t="n">
        <v>32</v>
      </c>
      <c r="AX128" s="309" t="n">
        <v>0</v>
      </c>
      <c r="AY128" s="310" t="n">
        <v>32</v>
      </c>
      <c r="AZ128" s="309" t="n">
        <v>0</v>
      </c>
      <c r="BA128" s="2"/>
      <c r="BB128" s="2"/>
      <c r="BC128" s="2"/>
      <c r="BD128" s="2"/>
      <c r="BE128" s="2"/>
      <c r="BF128" s="2"/>
      <c r="BG128" s="2"/>
      <c r="BH128" s="2"/>
      <c r="BI128" s="2"/>
    </row>
    <row r="129" customFormat="false" ht="12.75" hidden="false" customHeight="false" outlineLevel="0" collapsed="false">
      <c r="A129" s="268"/>
      <c r="B129" s="306" t="s">
        <v>497</v>
      </c>
      <c r="C129" s="305" t="s">
        <v>624</v>
      </c>
      <c r="D129" s="306" t="n">
        <v>85</v>
      </c>
      <c r="E129" s="306" t="n">
        <v>0</v>
      </c>
      <c r="F129" s="324" t="s">
        <v>603</v>
      </c>
      <c r="G129" s="307" t="n">
        <v>24</v>
      </c>
      <c r="H129" s="143" t="n">
        <v>84.297520661157</v>
      </c>
      <c r="I129" s="410"/>
      <c r="J129" s="311" t="s">
        <v>12</v>
      </c>
      <c r="K129" s="309" t="s">
        <v>12</v>
      </c>
      <c r="L129" s="650"/>
      <c r="M129" s="651" t="n">
        <v>0</v>
      </c>
      <c r="N129" s="652" t="n">
        <v>3.1</v>
      </c>
      <c r="O129" s="651" t="n">
        <v>0</v>
      </c>
      <c r="P129" s="312" t="n">
        <v>0.9</v>
      </c>
      <c r="Q129" s="652" t="n">
        <v>0</v>
      </c>
      <c r="R129" s="312" t="n">
        <v>0.3</v>
      </c>
      <c r="S129" s="310"/>
      <c r="T129" s="651" t="n">
        <v>0</v>
      </c>
      <c r="U129" s="652" t="n">
        <v>0.9</v>
      </c>
      <c r="V129" s="651" t="n">
        <v>0</v>
      </c>
      <c r="W129" s="652" t="n">
        <v>0.9</v>
      </c>
      <c r="X129" s="651" t="n">
        <v>0</v>
      </c>
      <c r="Y129" s="312" t="n">
        <v>0.9</v>
      </c>
      <c r="Z129" s="313" t="n">
        <v>0</v>
      </c>
      <c r="AA129" s="314" t="n">
        <v>0.8</v>
      </c>
      <c r="AB129" s="313" t="n">
        <v>0</v>
      </c>
      <c r="AC129" s="314" t="n">
        <v>0.8</v>
      </c>
      <c r="AE129" s="324" t="n">
        <v>1</v>
      </c>
      <c r="AF129" s="315"/>
      <c r="AG129" s="311" t="n">
        <v>0</v>
      </c>
      <c r="AH129" s="309" t="n">
        <v>0</v>
      </c>
      <c r="AI129" s="310"/>
      <c r="AJ129" s="311" t="n">
        <v>11</v>
      </c>
      <c r="AK129" s="309" t="n">
        <v>74.4</v>
      </c>
      <c r="AL129" s="311" t="n">
        <v>63</v>
      </c>
      <c r="AM129" s="309" t="n">
        <v>21.6</v>
      </c>
      <c r="AN129" s="311" t="n">
        <v>78</v>
      </c>
      <c r="AO129" s="309" t="n">
        <v>7.2</v>
      </c>
      <c r="AP129" s="310"/>
      <c r="AQ129" s="311" t="n">
        <v>63</v>
      </c>
      <c r="AR129" s="309" t="n">
        <v>21.6</v>
      </c>
      <c r="AS129" s="311" t="n">
        <v>63</v>
      </c>
      <c r="AT129" s="309" t="n">
        <v>21.6</v>
      </c>
      <c r="AU129" s="311" t="n">
        <v>63</v>
      </c>
      <c r="AV129" s="309" t="n">
        <v>21.6</v>
      </c>
      <c r="AW129" s="311" t="n">
        <v>66</v>
      </c>
      <c r="AX129" s="309" t="n">
        <v>19.2</v>
      </c>
      <c r="AY129" s="311" t="n">
        <v>66</v>
      </c>
      <c r="AZ129" s="309" t="n">
        <v>19.2</v>
      </c>
      <c r="BA129" s="2"/>
      <c r="BB129" s="2"/>
      <c r="BC129" s="2"/>
      <c r="BD129" s="2"/>
      <c r="BE129" s="2"/>
      <c r="BF129" s="2"/>
      <c r="BG129" s="2"/>
      <c r="BH129" s="2"/>
      <c r="BI129" s="2"/>
    </row>
    <row r="130" customFormat="false" ht="12.75" hidden="false" customHeight="false" outlineLevel="0" collapsed="false">
      <c r="A130" s="268"/>
      <c r="B130" s="306" t="s">
        <v>510</v>
      </c>
      <c r="C130" s="305" t="s">
        <v>625</v>
      </c>
      <c r="D130" s="306" t="n">
        <v>38</v>
      </c>
      <c r="E130" s="306" t="n">
        <v>0</v>
      </c>
      <c r="F130" s="324" t="s">
        <v>603</v>
      </c>
      <c r="G130" s="144" t="n">
        <v>24</v>
      </c>
      <c r="H130" s="143" t="n">
        <v>37.1900826446281</v>
      </c>
      <c r="I130" s="410"/>
      <c r="J130" s="311" t="s">
        <v>12</v>
      </c>
      <c r="K130" s="309" t="s">
        <v>12</v>
      </c>
      <c r="L130" s="650"/>
      <c r="M130" s="651" t="n">
        <v>0</v>
      </c>
      <c r="N130" s="652" t="n">
        <v>0</v>
      </c>
      <c r="O130" s="651" t="n">
        <v>0</v>
      </c>
      <c r="P130" s="312" t="n">
        <v>0</v>
      </c>
      <c r="Q130" s="652" t="n">
        <v>0</v>
      </c>
      <c r="R130" s="312" t="n">
        <v>0</v>
      </c>
      <c r="S130" s="310"/>
      <c r="T130" s="651" t="n">
        <v>0</v>
      </c>
      <c r="U130" s="652" t="n">
        <v>0</v>
      </c>
      <c r="V130" s="651" t="n">
        <v>0</v>
      </c>
      <c r="W130" s="652" t="n">
        <v>0</v>
      </c>
      <c r="X130" s="651" t="n">
        <v>0</v>
      </c>
      <c r="Y130" s="312" t="n">
        <v>0</v>
      </c>
      <c r="Z130" s="313" t="n">
        <v>0</v>
      </c>
      <c r="AA130" s="314" t="n">
        <v>0</v>
      </c>
      <c r="AB130" s="313" t="n">
        <v>0</v>
      </c>
      <c r="AC130" s="314" t="n">
        <v>0</v>
      </c>
      <c r="AE130" s="324" t="n">
        <v>1</v>
      </c>
      <c r="AF130" s="315"/>
      <c r="AG130" s="311" t="n">
        <v>0</v>
      </c>
      <c r="AH130" s="309" t="n">
        <v>0</v>
      </c>
      <c r="AI130" s="310"/>
      <c r="AJ130" s="311" t="n">
        <v>38</v>
      </c>
      <c r="AK130" s="309" t="n">
        <v>0</v>
      </c>
      <c r="AL130" s="311" t="n">
        <v>38</v>
      </c>
      <c r="AM130" s="309" t="n">
        <v>0</v>
      </c>
      <c r="AN130" s="310" t="n">
        <v>38</v>
      </c>
      <c r="AO130" s="309" t="n">
        <v>0</v>
      </c>
      <c r="AP130" s="310"/>
      <c r="AQ130" s="311" t="n">
        <v>38</v>
      </c>
      <c r="AR130" s="309" t="n">
        <v>0</v>
      </c>
      <c r="AS130" s="311" t="n">
        <v>38</v>
      </c>
      <c r="AT130" s="309" t="n">
        <v>0</v>
      </c>
      <c r="AU130" s="310" t="n">
        <v>38</v>
      </c>
      <c r="AV130" s="309" t="n">
        <v>0</v>
      </c>
      <c r="AW130" s="310" t="n">
        <v>38</v>
      </c>
      <c r="AX130" s="309" t="n">
        <v>0</v>
      </c>
      <c r="AY130" s="310" t="n">
        <v>38</v>
      </c>
      <c r="AZ130" s="309" t="n">
        <v>0</v>
      </c>
    </row>
    <row r="131" customFormat="false" ht="12.75" hidden="false" customHeight="false" outlineLevel="0" collapsed="false">
      <c r="A131" s="268"/>
      <c r="B131" s="306" t="s">
        <v>260</v>
      </c>
      <c r="C131" s="327" t="s">
        <v>626</v>
      </c>
      <c r="D131" s="306" t="n">
        <v>199</v>
      </c>
      <c r="E131" s="306" t="n">
        <v>0</v>
      </c>
      <c r="F131" s="324" t="s">
        <v>603</v>
      </c>
      <c r="G131" s="307" t="n">
        <v>24</v>
      </c>
      <c r="H131" s="143" t="n">
        <v>198.347107438017</v>
      </c>
      <c r="I131" s="410"/>
      <c r="J131" s="311" t="s">
        <v>12</v>
      </c>
      <c r="K131" s="309" t="s">
        <v>12</v>
      </c>
      <c r="L131" s="650"/>
      <c r="M131" s="651" t="s">
        <v>12</v>
      </c>
      <c r="N131" s="652" t="s">
        <v>12</v>
      </c>
      <c r="O131" s="651" t="s">
        <v>12</v>
      </c>
      <c r="P131" s="312" t="s">
        <v>12</v>
      </c>
      <c r="Q131" s="652" t="s">
        <v>12</v>
      </c>
      <c r="R131" s="312" t="s">
        <v>12</v>
      </c>
      <c r="S131" s="310"/>
      <c r="T131" s="651" t="n">
        <v>0</v>
      </c>
      <c r="U131" s="652" t="n">
        <v>7.1</v>
      </c>
      <c r="V131" s="651" t="n">
        <v>0</v>
      </c>
      <c r="W131" s="652" t="n">
        <v>4.2</v>
      </c>
      <c r="X131" s="651" t="n">
        <v>0</v>
      </c>
      <c r="Y131" s="312" t="n">
        <v>4.2</v>
      </c>
      <c r="Z131" s="313" t="n">
        <v>0</v>
      </c>
      <c r="AA131" s="314" t="n">
        <v>4.1</v>
      </c>
      <c r="AB131" s="313" t="n">
        <v>0</v>
      </c>
      <c r="AC131" s="314" t="n">
        <v>4.1</v>
      </c>
      <c r="AE131" s="324" t="n">
        <v>1</v>
      </c>
      <c r="AF131" s="315"/>
      <c r="AG131" s="311" t="n">
        <v>0</v>
      </c>
      <c r="AH131" s="309" t="n">
        <v>0</v>
      </c>
      <c r="AI131" s="310"/>
      <c r="AJ131" s="311" t="s">
        <v>12</v>
      </c>
      <c r="AK131" s="309" t="s">
        <v>12</v>
      </c>
      <c r="AL131" s="311" t="s">
        <v>12</v>
      </c>
      <c r="AM131" s="309" t="s">
        <v>12</v>
      </c>
      <c r="AN131" s="311" t="s">
        <v>12</v>
      </c>
      <c r="AO131" s="309" t="s">
        <v>12</v>
      </c>
      <c r="AP131" s="310"/>
      <c r="AQ131" s="311" t="n">
        <v>29</v>
      </c>
      <c r="AR131" s="309" t="n">
        <v>170.4</v>
      </c>
      <c r="AS131" s="311" t="n">
        <v>98</v>
      </c>
      <c r="AT131" s="309" t="n">
        <v>100.8</v>
      </c>
      <c r="AU131" s="311" t="n">
        <v>98</v>
      </c>
      <c r="AV131" s="309" t="n">
        <v>100.8</v>
      </c>
      <c r="AW131" s="311" t="n">
        <v>101</v>
      </c>
      <c r="AX131" s="309" t="n">
        <v>98.4</v>
      </c>
      <c r="AY131" s="311" t="n">
        <v>101</v>
      </c>
      <c r="AZ131" s="309" t="n">
        <v>98.4</v>
      </c>
    </row>
    <row r="132" customFormat="false" ht="12.75" hidden="false" customHeight="false" outlineLevel="0" collapsed="false">
      <c r="A132" s="268"/>
      <c r="B132" s="306" t="s">
        <v>465</v>
      </c>
      <c r="C132" s="327" t="s">
        <v>627</v>
      </c>
      <c r="D132" s="306" t="n">
        <v>53</v>
      </c>
      <c r="E132" s="306" t="n">
        <v>0</v>
      </c>
      <c r="F132" s="324" t="s">
        <v>603</v>
      </c>
      <c r="G132" s="144" t="n">
        <v>24</v>
      </c>
      <c r="H132" s="143" t="n">
        <v>35.5371900826446</v>
      </c>
      <c r="I132" s="410"/>
      <c r="J132" s="311" t="s">
        <v>12</v>
      </c>
      <c r="K132" s="309" t="s">
        <v>12</v>
      </c>
      <c r="L132" s="650"/>
      <c r="M132" s="651" t="n">
        <v>0</v>
      </c>
      <c r="N132" s="652" t="n">
        <v>0.7</v>
      </c>
      <c r="O132" s="651" t="n">
        <v>0</v>
      </c>
      <c r="P132" s="312" t="n">
        <v>0.7</v>
      </c>
      <c r="Q132" s="652" t="n">
        <v>0</v>
      </c>
      <c r="R132" s="312" t="n">
        <v>0.7</v>
      </c>
      <c r="S132" s="310"/>
      <c r="T132" s="651" t="n">
        <v>0</v>
      </c>
      <c r="U132" s="652" t="n">
        <v>0.7</v>
      </c>
      <c r="V132" s="651" t="n">
        <v>0</v>
      </c>
      <c r="W132" s="652" t="n">
        <v>0</v>
      </c>
      <c r="X132" s="651" t="n">
        <v>0</v>
      </c>
      <c r="Y132" s="312" t="n">
        <v>0</v>
      </c>
      <c r="Z132" s="313" t="n">
        <v>0</v>
      </c>
      <c r="AA132" s="314" t="n">
        <v>0</v>
      </c>
      <c r="AB132" s="313" t="n">
        <v>0</v>
      </c>
      <c r="AC132" s="314" t="n">
        <v>0</v>
      </c>
      <c r="AE132" s="324" t="n">
        <v>17</v>
      </c>
      <c r="AF132" s="315"/>
      <c r="AG132" s="311" t="n">
        <v>0</v>
      </c>
      <c r="AH132" s="309" t="n">
        <v>0</v>
      </c>
      <c r="AI132" s="310"/>
      <c r="AJ132" s="311" t="n">
        <v>36</v>
      </c>
      <c r="AK132" s="309" t="n">
        <v>16.8</v>
      </c>
      <c r="AL132" s="311" t="n">
        <v>36</v>
      </c>
      <c r="AM132" s="309" t="n">
        <v>16.8</v>
      </c>
      <c r="AN132" s="310" t="n">
        <v>36</v>
      </c>
      <c r="AO132" s="309" t="n">
        <v>16.8</v>
      </c>
      <c r="AP132" s="310"/>
      <c r="AQ132" s="311" t="n">
        <v>36</v>
      </c>
      <c r="AR132" s="309" t="n">
        <v>16.8</v>
      </c>
      <c r="AS132" s="311" t="n">
        <v>53</v>
      </c>
      <c r="AT132" s="309" t="n">
        <v>0</v>
      </c>
      <c r="AU132" s="310" t="n">
        <v>53</v>
      </c>
      <c r="AV132" s="309" t="n">
        <v>0</v>
      </c>
      <c r="AW132" s="310" t="n">
        <v>53</v>
      </c>
      <c r="AX132" s="309" t="n">
        <v>0</v>
      </c>
      <c r="AY132" s="310" t="n">
        <v>53</v>
      </c>
      <c r="AZ132" s="309" t="n">
        <v>0</v>
      </c>
      <c r="BA132" s="2"/>
      <c r="BB132" s="2"/>
      <c r="BC132" s="2"/>
      <c r="BD132" s="2"/>
      <c r="BE132" s="2"/>
    </row>
    <row r="133" customFormat="false" ht="12.75" hidden="false" customHeight="false" outlineLevel="0" collapsed="false">
      <c r="A133" s="268"/>
      <c r="B133" s="306" t="s">
        <v>130</v>
      </c>
      <c r="C133" s="327" t="s">
        <v>628</v>
      </c>
      <c r="D133" s="306" t="n">
        <v>97</v>
      </c>
      <c r="E133" s="306" t="n">
        <v>0</v>
      </c>
      <c r="F133" s="324" t="s">
        <v>603</v>
      </c>
      <c r="G133" s="307" t="n">
        <v>24</v>
      </c>
      <c r="H133" s="143" t="n">
        <v>84.297520661157</v>
      </c>
      <c r="I133" s="410"/>
      <c r="J133" s="311" t="s">
        <v>12</v>
      </c>
      <c r="K133" s="309" t="s">
        <v>12</v>
      </c>
      <c r="L133" s="650"/>
      <c r="M133" s="651" t="n">
        <v>0</v>
      </c>
      <c r="N133" s="652" t="n">
        <v>3.1</v>
      </c>
      <c r="O133" s="651" t="n">
        <v>0</v>
      </c>
      <c r="P133" s="312" t="n">
        <v>0.9</v>
      </c>
      <c r="Q133" s="652" t="n">
        <v>0</v>
      </c>
      <c r="R133" s="312" t="n">
        <v>0.3</v>
      </c>
      <c r="S133" s="310"/>
      <c r="T133" s="651" t="n">
        <v>0</v>
      </c>
      <c r="U133" s="652" t="n">
        <v>3.1</v>
      </c>
      <c r="V133" s="651" t="n">
        <v>0</v>
      </c>
      <c r="W133" s="652" t="n">
        <v>1.3</v>
      </c>
      <c r="X133" s="651" t="n">
        <v>0</v>
      </c>
      <c r="Y133" s="312" t="n">
        <v>1.3</v>
      </c>
      <c r="Z133" s="313" t="n">
        <v>0</v>
      </c>
      <c r="AA133" s="314" t="n">
        <v>1.2</v>
      </c>
      <c r="AB133" s="313" t="n">
        <v>0</v>
      </c>
      <c r="AC133" s="314" t="n">
        <v>1.2</v>
      </c>
      <c r="AE133" s="324" t="n">
        <v>13</v>
      </c>
      <c r="AF133" s="315"/>
      <c r="AG133" s="311" t="n">
        <v>0</v>
      </c>
      <c r="AH133" s="309" t="n">
        <v>0</v>
      </c>
      <c r="AI133" s="310"/>
      <c r="AJ133" s="311" t="n">
        <v>23</v>
      </c>
      <c r="AK133" s="309" t="n">
        <v>74.4</v>
      </c>
      <c r="AL133" s="311" t="n">
        <v>75</v>
      </c>
      <c r="AM133" s="309" t="n">
        <v>21.6</v>
      </c>
      <c r="AN133" s="311" t="n">
        <v>90</v>
      </c>
      <c r="AO133" s="309" t="n">
        <v>7.2</v>
      </c>
      <c r="AP133" s="310"/>
      <c r="AQ133" s="311" t="n">
        <v>23</v>
      </c>
      <c r="AR133" s="309" t="n">
        <v>74.4</v>
      </c>
      <c r="AS133" s="311" t="n">
        <v>66</v>
      </c>
      <c r="AT133" s="309" t="n">
        <v>31.2</v>
      </c>
      <c r="AU133" s="311" t="n">
        <v>66</v>
      </c>
      <c r="AV133" s="309" t="n">
        <v>31.2</v>
      </c>
      <c r="AW133" s="311" t="n">
        <v>68</v>
      </c>
      <c r="AX133" s="309" t="n">
        <v>28.8</v>
      </c>
      <c r="AY133" s="311" t="n">
        <v>68</v>
      </c>
      <c r="AZ133" s="309" t="n">
        <v>28.8</v>
      </c>
      <c r="BA133" s="2"/>
      <c r="BB133" s="2"/>
      <c r="BC133" s="2"/>
      <c r="BD133" s="2"/>
      <c r="BE133" s="2"/>
    </row>
    <row r="134" customFormat="false" ht="12.75" hidden="false" customHeight="false" outlineLevel="0" collapsed="false">
      <c r="A134" s="268"/>
      <c r="B134" s="306" t="s">
        <v>190</v>
      </c>
      <c r="C134" s="305" t="s">
        <v>629</v>
      </c>
      <c r="D134" s="306" t="n">
        <v>165</v>
      </c>
      <c r="E134" s="306" t="n">
        <v>0</v>
      </c>
      <c r="F134" s="324" t="s">
        <v>630</v>
      </c>
      <c r="G134" s="144" t="n">
        <v>24</v>
      </c>
      <c r="H134" s="143" t="n">
        <v>157.02479338843</v>
      </c>
      <c r="I134" s="410"/>
      <c r="J134" s="311" t="s">
        <v>12</v>
      </c>
      <c r="K134" s="309" t="s">
        <v>12</v>
      </c>
      <c r="L134" s="650"/>
      <c r="M134" s="651" t="n">
        <v>29</v>
      </c>
      <c r="N134" s="652" t="n">
        <v>4.4</v>
      </c>
      <c r="O134" s="651" t="n">
        <v>0</v>
      </c>
      <c r="P134" s="312" t="n">
        <v>2.9</v>
      </c>
      <c r="Q134" s="652" t="n">
        <v>0</v>
      </c>
      <c r="R134" s="312" t="n">
        <v>2.1</v>
      </c>
      <c r="S134" s="310"/>
      <c r="T134" s="651" t="n">
        <v>0</v>
      </c>
      <c r="U134" s="652" t="n">
        <v>5.4</v>
      </c>
      <c r="V134" s="651" t="n">
        <v>0</v>
      </c>
      <c r="W134" s="652" t="n">
        <v>2.5</v>
      </c>
      <c r="X134" s="651" t="n">
        <v>0</v>
      </c>
      <c r="Y134" s="312" t="n">
        <v>2.5</v>
      </c>
      <c r="Z134" s="313" t="n">
        <v>0</v>
      </c>
      <c r="AA134" s="314" t="n">
        <v>2.5</v>
      </c>
      <c r="AB134" s="313" t="n">
        <v>0</v>
      </c>
      <c r="AC134" s="314" t="n">
        <v>2.5</v>
      </c>
      <c r="AE134" s="324" t="n">
        <v>8</v>
      </c>
      <c r="AF134" s="315"/>
      <c r="AG134" s="311" t="n">
        <v>0</v>
      </c>
      <c r="AH134" s="309" t="n">
        <v>0</v>
      </c>
      <c r="AI134" s="310"/>
      <c r="AJ134" s="311" t="n">
        <v>30</v>
      </c>
      <c r="AK134" s="309" t="n">
        <v>105.6</v>
      </c>
      <c r="AL134" s="311" t="n">
        <v>95</v>
      </c>
      <c r="AM134" s="309" t="n">
        <v>69.6</v>
      </c>
      <c r="AN134" s="310" t="n">
        <v>115</v>
      </c>
      <c r="AO134" s="309" t="n">
        <v>50.4</v>
      </c>
      <c r="AP134" s="310"/>
      <c r="AQ134" s="311" t="n">
        <v>35</v>
      </c>
      <c r="AR134" s="309" t="n">
        <v>129.6</v>
      </c>
      <c r="AS134" s="311" t="n">
        <v>105</v>
      </c>
      <c r="AT134" s="309" t="n">
        <v>60</v>
      </c>
      <c r="AU134" s="310" t="n">
        <v>105</v>
      </c>
      <c r="AV134" s="309" t="n">
        <v>60</v>
      </c>
      <c r="AW134" s="310" t="n">
        <v>105</v>
      </c>
      <c r="AX134" s="309" t="n">
        <v>60</v>
      </c>
      <c r="AY134" s="310" t="n">
        <v>105</v>
      </c>
      <c r="AZ134" s="309" t="n">
        <v>60</v>
      </c>
      <c r="BA134" s="2"/>
      <c r="BB134" s="2"/>
      <c r="BC134" s="2"/>
      <c r="BD134" s="2"/>
      <c r="BE134" s="2"/>
    </row>
    <row r="135" customFormat="false" ht="12.75" hidden="false" customHeight="false" outlineLevel="0" collapsed="false">
      <c r="A135" s="268"/>
      <c r="B135" s="306" t="s">
        <v>190</v>
      </c>
      <c r="C135" s="305" t="s">
        <v>631</v>
      </c>
      <c r="D135" s="306" t="n">
        <v>248</v>
      </c>
      <c r="E135" s="306" t="n">
        <v>0</v>
      </c>
      <c r="F135" s="324" t="s">
        <v>630</v>
      </c>
      <c r="G135" s="307" t="n">
        <v>24</v>
      </c>
      <c r="H135" s="143" t="n">
        <v>243.801652892562</v>
      </c>
      <c r="I135" s="410"/>
      <c r="J135" s="311" t="s">
        <v>12</v>
      </c>
      <c r="K135" s="309" t="s">
        <v>12</v>
      </c>
      <c r="L135" s="650"/>
      <c r="M135" s="651" t="s">
        <v>12</v>
      </c>
      <c r="N135" s="652" t="s">
        <v>12</v>
      </c>
      <c r="O135" s="651" t="s">
        <v>12</v>
      </c>
      <c r="P135" s="312" t="s">
        <v>12</v>
      </c>
      <c r="Q135" s="652" t="s">
        <v>12</v>
      </c>
      <c r="R135" s="312" t="s">
        <v>12</v>
      </c>
      <c r="S135" s="310"/>
      <c r="T135" s="651" t="n">
        <v>0</v>
      </c>
      <c r="U135" s="652" t="n">
        <v>8.3</v>
      </c>
      <c r="V135" s="651" t="n">
        <v>0</v>
      </c>
      <c r="W135" s="652" t="n">
        <v>5</v>
      </c>
      <c r="X135" s="651" t="n">
        <v>0</v>
      </c>
      <c r="Y135" s="312" t="n">
        <v>5</v>
      </c>
      <c r="Z135" s="313" t="n">
        <v>0</v>
      </c>
      <c r="AA135" s="314" t="n">
        <v>5</v>
      </c>
      <c r="AB135" s="313" t="n">
        <v>0</v>
      </c>
      <c r="AC135" s="314" t="n">
        <v>5</v>
      </c>
      <c r="AE135" s="324" t="n">
        <v>4</v>
      </c>
      <c r="AF135" s="315"/>
      <c r="AG135" s="311" t="n">
        <v>0</v>
      </c>
      <c r="AH135" s="309" t="n">
        <v>0</v>
      </c>
      <c r="AI135" s="310"/>
      <c r="AJ135" s="311" t="s">
        <v>12</v>
      </c>
      <c r="AK135" s="309" t="s">
        <v>12</v>
      </c>
      <c r="AL135" s="311" t="s">
        <v>12</v>
      </c>
      <c r="AM135" s="309" t="s">
        <v>12</v>
      </c>
      <c r="AN135" s="311" t="s">
        <v>12</v>
      </c>
      <c r="AO135" s="309" t="s">
        <v>12</v>
      </c>
      <c r="AP135" s="310"/>
      <c r="AQ135" s="311" t="n">
        <v>49</v>
      </c>
      <c r="AR135" s="309" t="n">
        <v>199.2</v>
      </c>
      <c r="AS135" s="311" t="n">
        <v>128</v>
      </c>
      <c r="AT135" s="309" t="n">
        <v>120</v>
      </c>
      <c r="AU135" s="311" t="n">
        <v>128</v>
      </c>
      <c r="AV135" s="309" t="n">
        <v>120</v>
      </c>
      <c r="AW135" s="311" t="n">
        <v>128</v>
      </c>
      <c r="AX135" s="309" t="n">
        <v>120</v>
      </c>
      <c r="AY135" s="311" t="n">
        <v>128</v>
      </c>
      <c r="AZ135" s="309" t="n">
        <v>120</v>
      </c>
      <c r="BA135" s="2"/>
      <c r="BB135" s="2"/>
      <c r="BC135" s="2"/>
      <c r="BD135" s="2"/>
      <c r="BE135" s="2"/>
    </row>
    <row r="136" customFormat="false" ht="12.75" hidden="false" customHeight="false" outlineLevel="0" collapsed="false">
      <c r="A136" s="268"/>
      <c r="B136" s="306" t="s">
        <v>200</v>
      </c>
      <c r="C136" s="305" t="s">
        <v>632</v>
      </c>
      <c r="D136" s="306" t="n">
        <v>190</v>
      </c>
      <c r="E136" s="306" t="n">
        <v>0</v>
      </c>
      <c r="F136" s="324" t="s">
        <v>630</v>
      </c>
      <c r="G136" s="144" t="n">
        <v>24</v>
      </c>
      <c r="H136" s="143" t="n">
        <v>114.876033057851</v>
      </c>
      <c r="I136" s="410"/>
      <c r="J136" s="311" t="s">
        <v>12</v>
      </c>
      <c r="K136" s="309" t="s">
        <v>12</v>
      </c>
      <c r="L136" s="650"/>
      <c r="M136" s="651" t="n">
        <v>0</v>
      </c>
      <c r="N136" s="652" t="n">
        <v>4.6</v>
      </c>
      <c r="O136" s="651" t="n">
        <v>0</v>
      </c>
      <c r="P136" s="312" t="n">
        <v>2.1</v>
      </c>
      <c r="Q136" s="652" t="n">
        <v>0</v>
      </c>
      <c r="R136" s="312" t="n">
        <v>1.3</v>
      </c>
      <c r="S136" s="310"/>
      <c r="T136" s="651" t="n">
        <v>0</v>
      </c>
      <c r="U136" s="652" t="n">
        <v>4.4</v>
      </c>
      <c r="V136" s="651" t="n">
        <v>0</v>
      </c>
      <c r="W136" s="652" t="n">
        <v>1.7</v>
      </c>
      <c r="X136" s="651" t="n">
        <v>0</v>
      </c>
      <c r="Y136" s="312" t="n">
        <v>1.7</v>
      </c>
      <c r="Z136" s="313" t="n">
        <v>0</v>
      </c>
      <c r="AA136" s="314" t="n">
        <v>1.7</v>
      </c>
      <c r="AB136" s="313" t="n">
        <v>0</v>
      </c>
      <c r="AC136" s="314" t="n">
        <v>1.7</v>
      </c>
      <c r="AE136" s="324" t="n">
        <v>75</v>
      </c>
      <c r="AF136" s="315"/>
      <c r="AG136" s="311" t="n">
        <v>0</v>
      </c>
      <c r="AH136" s="309" t="n">
        <v>0</v>
      </c>
      <c r="AI136" s="310"/>
      <c r="AJ136" s="311" t="n">
        <v>80</v>
      </c>
      <c r="AK136" s="309" t="n">
        <v>110.4</v>
      </c>
      <c r="AL136" s="311" t="n">
        <v>140</v>
      </c>
      <c r="AM136" s="309" t="n">
        <v>50.4</v>
      </c>
      <c r="AN136" s="310" t="n">
        <v>159</v>
      </c>
      <c r="AO136" s="309" t="n">
        <v>31.2</v>
      </c>
      <c r="AP136" s="310"/>
      <c r="AQ136" s="311" t="n">
        <v>84</v>
      </c>
      <c r="AR136" s="309" t="n">
        <v>105.6</v>
      </c>
      <c r="AS136" s="311" t="n">
        <v>149</v>
      </c>
      <c r="AT136" s="309" t="n">
        <v>40.8</v>
      </c>
      <c r="AU136" s="310" t="n">
        <v>149</v>
      </c>
      <c r="AV136" s="309" t="n">
        <v>40.8</v>
      </c>
      <c r="AW136" s="310" t="n">
        <v>149</v>
      </c>
      <c r="AX136" s="309" t="n">
        <v>40.8</v>
      </c>
      <c r="AY136" s="310" t="n">
        <v>149</v>
      </c>
      <c r="AZ136" s="309" t="n">
        <v>40.8</v>
      </c>
      <c r="BA136" s="2"/>
      <c r="BB136" s="2"/>
      <c r="BC136" s="2"/>
      <c r="BD136" s="2"/>
      <c r="BE136" s="2"/>
    </row>
    <row r="137" customFormat="false" ht="12.75" hidden="false" customHeight="false" outlineLevel="0" collapsed="false">
      <c r="A137" s="268"/>
      <c r="B137" s="306" t="s">
        <v>108</v>
      </c>
      <c r="C137" s="305" t="s">
        <v>633</v>
      </c>
      <c r="D137" s="306" t="n">
        <v>75</v>
      </c>
      <c r="E137" s="306" t="n">
        <v>0</v>
      </c>
      <c r="F137" s="324" t="s">
        <v>630</v>
      </c>
      <c r="G137" s="307" t="n">
        <v>24</v>
      </c>
      <c r="H137" s="143" t="n">
        <v>90.0826446280992</v>
      </c>
      <c r="I137" s="410"/>
      <c r="J137" s="311" t="s">
        <v>12</v>
      </c>
      <c r="K137" s="309" t="s">
        <v>12</v>
      </c>
      <c r="L137" s="650"/>
      <c r="M137" s="651" t="n">
        <v>0</v>
      </c>
      <c r="N137" s="652" t="n">
        <v>3.6</v>
      </c>
      <c r="O137" s="651" t="n">
        <v>0</v>
      </c>
      <c r="P137" s="312" t="n">
        <v>1.1</v>
      </c>
      <c r="Q137" s="652" t="n">
        <v>0</v>
      </c>
      <c r="R137" s="312" t="n">
        <v>0.3</v>
      </c>
      <c r="S137" s="310"/>
      <c r="T137" s="651" t="n">
        <v>0</v>
      </c>
      <c r="U137" s="652" t="n">
        <v>1.7</v>
      </c>
      <c r="V137" s="651" t="n">
        <v>0</v>
      </c>
      <c r="W137" s="652" t="n">
        <v>0.9</v>
      </c>
      <c r="X137" s="651" t="n">
        <v>0</v>
      </c>
      <c r="Y137" s="312" t="n">
        <v>0.9</v>
      </c>
      <c r="Z137" s="313" t="n">
        <v>0</v>
      </c>
      <c r="AA137" s="314" t="n">
        <v>0.8</v>
      </c>
      <c r="AB137" s="313" t="n">
        <v>0</v>
      </c>
      <c r="AC137" s="314" t="n">
        <v>0.8</v>
      </c>
      <c r="AE137" s="324" t="n">
        <v>-15</v>
      </c>
      <c r="AF137" s="315"/>
      <c r="AG137" s="311" t="n">
        <v>0</v>
      </c>
      <c r="AH137" s="309" t="n">
        <v>0</v>
      </c>
      <c r="AI137" s="310"/>
      <c r="AJ137" s="311" t="n">
        <v>-11</v>
      </c>
      <c r="AK137" s="309" t="n">
        <v>86.4</v>
      </c>
      <c r="AL137" s="311" t="n">
        <v>49</v>
      </c>
      <c r="AM137" s="309" t="n">
        <v>26.4</v>
      </c>
      <c r="AN137" s="311" t="n">
        <v>68</v>
      </c>
      <c r="AO137" s="309" t="n">
        <v>7.2</v>
      </c>
      <c r="AP137" s="310"/>
      <c r="AQ137" s="311" t="n">
        <v>34</v>
      </c>
      <c r="AR137" s="309" t="n">
        <v>40.8</v>
      </c>
      <c r="AS137" s="311" t="n">
        <v>53</v>
      </c>
      <c r="AT137" s="309" t="n">
        <v>21.6</v>
      </c>
      <c r="AU137" s="311" t="n">
        <v>53</v>
      </c>
      <c r="AV137" s="309" t="n">
        <v>21.6</v>
      </c>
      <c r="AW137" s="311" t="n">
        <v>56</v>
      </c>
      <c r="AX137" s="309" t="n">
        <v>19.2</v>
      </c>
      <c r="AY137" s="311" t="n">
        <v>56</v>
      </c>
      <c r="AZ137" s="309" t="n">
        <v>19.2</v>
      </c>
      <c r="BA137" s="2"/>
      <c r="BB137" s="2"/>
      <c r="BC137" s="2"/>
      <c r="BD137" s="2"/>
      <c r="BE137" s="2"/>
    </row>
    <row r="138" customFormat="false" ht="12.75" hidden="false" customHeight="false" outlineLevel="0" collapsed="false">
      <c r="A138" s="268"/>
      <c r="B138" s="306" t="s">
        <v>428</v>
      </c>
      <c r="C138" s="305" t="s">
        <v>634</v>
      </c>
      <c r="D138" s="306" t="n">
        <v>165</v>
      </c>
      <c r="E138" s="306" t="n">
        <v>0</v>
      </c>
      <c r="F138" s="324" t="s">
        <v>630</v>
      </c>
      <c r="G138" s="144" t="n">
        <v>24</v>
      </c>
      <c r="H138" s="143" t="n">
        <v>133.057851239669</v>
      </c>
      <c r="I138" s="410"/>
      <c r="J138" s="311" t="s">
        <v>12</v>
      </c>
      <c r="K138" s="309" t="s">
        <v>12</v>
      </c>
      <c r="L138" s="650"/>
      <c r="M138" s="651" t="n">
        <v>19</v>
      </c>
      <c r="N138" s="652" t="n">
        <v>4.2</v>
      </c>
      <c r="O138" s="651" t="n">
        <v>0</v>
      </c>
      <c r="P138" s="312" t="n">
        <v>2.5</v>
      </c>
      <c r="Q138" s="652" t="n">
        <v>0</v>
      </c>
      <c r="R138" s="312" t="n">
        <v>1.7</v>
      </c>
      <c r="S138" s="310"/>
      <c r="T138" s="651" t="n">
        <v>0</v>
      </c>
      <c r="U138" s="652" t="n">
        <v>4.8</v>
      </c>
      <c r="V138" s="651" t="n">
        <v>0</v>
      </c>
      <c r="W138" s="652" t="n">
        <v>1.7</v>
      </c>
      <c r="X138" s="651" t="n">
        <v>0</v>
      </c>
      <c r="Y138" s="312" t="n">
        <v>1.7</v>
      </c>
      <c r="Z138" s="313" t="n">
        <v>0</v>
      </c>
      <c r="AA138" s="314" t="n">
        <v>1.7</v>
      </c>
      <c r="AB138" s="313" t="n">
        <v>0</v>
      </c>
      <c r="AC138" s="314" t="n">
        <v>1.7</v>
      </c>
      <c r="AE138" s="324" t="n">
        <v>32</v>
      </c>
      <c r="AF138" s="315"/>
      <c r="AG138" s="311" t="n">
        <v>0</v>
      </c>
      <c r="AH138" s="309" t="n">
        <v>0</v>
      </c>
      <c r="AI138" s="310"/>
      <c r="AJ138" s="311" t="n">
        <v>45</v>
      </c>
      <c r="AK138" s="309" t="n">
        <v>100.8</v>
      </c>
      <c r="AL138" s="311" t="n">
        <v>105</v>
      </c>
      <c r="AM138" s="309" t="n">
        <v>60</v>
      </c>
      <c r="AN138" s="310" t="n">
        <v>124</v>
      </c>
      <c r="AO138" s="309" t="n">
        <v>40.8</v>
      </c>
      <c r="AP138" s="310"/>
      <c r="AQ138" s="311" t="n">
        <v>50</v>
      </c>
      <c r="AR138" s="309" t="n">
        <v>115.2</v>
      </c>
      <c r="AS138" s="311" t="n">
        <v>124</v>
      </c>
      <c r="AT138" s="309" t="n">
        <v>40.8</v>
      </c>
      <c r="AU138" s="310" t="n">
        <v>124</v>
      </c>
      <c r="AV138" s="309" t="n">
        <v>40.8</v>
      </c>
      <c r="AW138" s="310" t="n">
        <v>124</v>
      </c>
      <c r="AX138" s="309" t="n">
        <v>40.8</v>
      </c>
      <c r="AY138" s="310" t="n">
        <v>124</v>
      </c>
      <c r="AZ138" s="309" t="n">
        <v>40.8</v>
      </c>
    </row>
    <row r="139" customFormat="false" ht="12.75" hidden="false" customHeight="false" outlineLevel="0" collapsed="false">
      <c r="A139" s="268"/>
      <c r="B139" s="306" t="s">
        <v>260</v>
      </c>
      <c r="C139" s="327" t="s">
        <v>635</v>
      </c>
      <c r="D139" s="306" t="n">
        <v>101</v>
      </c>
      <c r="E139" s="306" t="n">
        <v>0</v>
      </c>
      <c r="F139" s="324" t="s">
        <v>630</v>
      </c>
      <c r="G139" s="307" t="n">
        <v>24</v>
      </c>
      <c r="H139" s="143" t="n">
        <v>100.826446280992</v>
      </c>
      <c r="I139" s="410"/>
      <c r="J139" s="311" t="s">
        <v>12</v>
      </c>
      <c r="K139" s="309" t="s">
        <v>12</v>
      </c>
      <c r="L139" s="650"/>
      <c r="M139" s="651" t="n">
        <v>0</v>
      </c>
      <c r="N139" s="652" t="n">
        <v>4</v>
      </c>
      <c r="O139" s="651" t="n">
        <v>0</v>
      </c>
      <c r="P139" s="312" t="n">
        <v>1.5</v>
      </c>
      <c r="Q139" s="652" t="n">
        <v>0</v>
      </c>
      <c r="R139" s="312" t="n">
        <v>0.7</v>
      </c>
      <c r="S139" s="310"/>
      <c r="T139" s="651" t="n">
        <v>0</v>
      </c>
      <c r="U139" s="652" t="n">
        <v>3.8</v>
      </c>
      <c r="V139" s="651" t="n">
        <v>0</v>
      </c>
      <c r="W139" s="652" t="n">
        <v>1.3</v>
      </c>
      <c r="X139" s="651" t="n">
        <v>0</v>
      </c>
      <c r="Y139" s="312" t="n">
        <v>1.3</v>
      </c>
      <c r="Z139" s="313" t="n">
        <v>0</v>
      </c>
      <c r="AA139" s="314" t="n">
        <v>1.2</v>
      </c>
      <c r="AB139" s="313" t="n">
        <v>0</v>
      </c>
      <c r="AC139" s="314" t="n">
        <v>1.2</v>
      </c>
      <c r="AE139" s="324" t="n">
        <v>0</v>
      </c>
      <c r="AF139" s="315"/>
      <c r="AG139" s="311" t="n">
        <v>0</v>
      </c>
      <c r="AH139" s="309" t="n">
        <v>0</v>
      </c>
      <c r="AI139" s="310"/>
      <c r="AJ139" s="311" t="n">
        <v>5</v>
      </c>
      <c r="AK139" s="309" t="n">
        <v>96</v>
      </c>
      <c r="AL139" s="311" t="n">
        <v>65</v>
      </c>
      <c r="AM139" s="309" t="n">
        <v>36</v>
      </c>
      <c r="AN139" s="311" t="n">
        <v>84</v>
      </c>
      <c r="AO139" s="309" t="n">
        <v>16.8</v>
      </c>
      <c r="AP139" s="310"/>
      <c r="AQ139" s="311" t="n">
        <v>10</v>
      </c>
      <c r="AR139" s="309" t="n">
        <v>91.2</v>
      </c>
      <c r="AS139" s="311" t="n">
        <v>70</v>
      </c>
      <c r="AT139" s="309" t="n">
        <v>31.2</v>
      </c>
      <c r="AU139" s="311" t="n">
        <v>70</v>
      </c>
      <c r="AV139" s="309" t="n">
        <v>31.2</v>
      </c>
      <c r="AW139" s="311" t="n">
        <v>72</v>
      </c>
      <c r="AX139" s="309" t="n">
        <v>28.8</v>
      </c>
      <c r="AY139" s="311" t="n">
        <v>72</v>
      </c>
      <c r="AZ139" s="309" t="n">
        <v>28.8</v>
      </c>
    </row>
    <row r="140" customFormat="false" ht="12.75" hidden="false" customHeight="false" outlineLevel="0" collapsed="false">
      <c r="A140" s="268"/>
      <c r="B140" s="306" t="s">
        <v>312</v>
      </c>
      <c r="C140" s="305" t="s">
        <v>647</v>
      </c>
      <c r="D140" s="306" t="n">
        <v>41</v>
      </c>
      <c r="E140" s="306" t="n">
        <v>0</v>
      </c>
      <c r="F140" s="324" t="s">
        <v>648</v>
      </c>
      <c r="G140" s="144" t="n">
        <v>24</v>
      </c>
      <c r="H140" s="143" t="n">
        <v>40.495867768595</v>
      </c>
      <c r="I140" s="410"/>
      <c r="J140" s="311" t="s">
        <v>12</v>
      </c>
      <c r="K140" s="309" t="s">
        <v>12</v>
      </c>
      <c r="L140" s="650"/>
      <c r="M140" s="651" t="n">
        <v>0</v>
      </c>
      <c r="N140" s="652" t="n">
        <v>0.9</v>
      </c>
      <c r="O140" s="651" t="n">
        <v>0</v>
      </c>
      <c r="P140" s="312" t="n">
        <v>0.9</v>
      </c>
      <c r="Q140" s="652" t="n">
        <v>0</v>
      </c>
      <c r="R140" s="312" t="n">
        <v>0.9</v>
      </c>
      <c r="S140" s="310"/>
      <c r="T140" s="651" t="n">
        <v>0</v>
      </c>
      <c r="U140" s="652" t="n">
        <v>0.5</v>
      </c>
      <c r="V140" s="651" t="n">
        <v>0</v>
      </c>
      <c r="W140" s="652" t="n">
        <v>0.5</v>
      </c>
      <c r="X140" s="651" t="n">
        <v>0</v>
      </c>
      <c r="Y140" s="312" t="n">
        <v>0.5</v>
      </c>
      <c r="Z140" s="313" t="n">
        <v>0</v>
      </c>
      <c r="AA140" s="314" t="n">
        <v>0.4</v>
      </c>
      <c r="AB140" s="313" t="n">
        <v>0</v>
      </c>
      <c r="AC140" s="314" t="n">
        <v>0.4</v>
      </c>
      <c r="AE140" s="324" t="n">
        <v>1</v>
      </c>
      <c r="AF140" s="315"/>
      <c r="AG140" s="311" t="n">
        <v>0</v>
      </c>
      <c r="AH140" s="309" t="n">
        <v>0</v>
      </c>
      <c r="AI140" s="310"/>
      <c r="AJ140" s="311" t="n">
        <v>19</v>
      </c>
      <c r="AK140" s="309" t="n">
        <v>21.6</v>
      </c>
      <c r="AL140" s="311" t="n">
        <v>19</v>
      </c>
      <c r="AM140" s="309" t="n">
        <v>21.6</v>
      </c>
      <c r="AN140" s="310" t="n">
        <v>19</v>
      </c>
      <c r="AO140" s="309" t="n">
        <v>21.6</v>
      </c>
      <c r="AP140" s="310"/>
      <c r="AQ140" s="311" t="n">
        <v>29</v>
      </c>
      <c r="AR140" s="309" t="n">
        <v>12</v>
      </c>
      <c r="AS140" s="311" t="n">
        <v>29</v>
      </c>
      <c r="AT140" s="309" t="n">
        <v>12</v>
      </c>
      <c r="AU140" s="310" t="n">
        <v>29</v>
      </c>
      <c r="AV140" s="309" t="n">
        <v>12</v>
      </c>
      <c r="AW140" s="310" t="n">
        <v>31</v>
      </c>
      <c r="AX140" s="309" t="n">
        <v>9.6</v>
      </c>
      <c r="AY140" s="310" t="n">
        <v>31</v>
      </c>
      <c r="AZ140" s="309" t="n">
        <v>9.6</v>
      </c>
    </row>
    <row r="141" customFormat="false" ht="12.75" hidden="false" customHeight="false" outlineLevel="0" collapsed="false">
      <c r="A141" s="268"/>
      <c r="B141" s="306" t="s">
        <v>312</v>
      </c>
      <c r="C141" s="305" t="s">
        <v>649</v>
      </c>
      <c r="D141" s="306" t="n">
        <v>38</v>
      </c>
      <c r="E141" s="306" t="n">
        <v>0</v>
      </c>
      <c r="F141" s="324" t="s">
        <v>648</v>
      </c>
      <c r="G141" s="307" t="n">
        <v>24</v>
      </c>
      <c r="H141" s="143" t="n">
        <v>37.1900826446281</v>
      </c>
      <c r="I141" s="410"/>
      <c r="J141" s="311" t="s">
        <v>12</v>
      </c>
      <c r="K141" s="309" t="s">
        <v>12</v>
      </c>
      <c r="L141" s="650"/>
      <c r="M141" s="651" t="n">
        <v>0</v>
      </c>
      <c r="N141" s="652" t="n">
        <v>0.8</v>
      </c>
      <c r="O141" s="651" t="n">
        <v>0</v>
      </c>
      <c r="P141" s="312" t="n">
        <v>0.8</v>
      </c>
      <c r="Q141" s="652" t="n">
        <v>0</v>
      </c>
      <c r="R141" s="312" t="n">
        <v>0.8</v>
      </c>
      <c r="S141" s="310"/>
      <c r="T141" s="651" t="n">
        <v>0</v>
      </c>
      <c r="U141" s="652" t="n">
        <v>0</v>
      </c>
      <c r="V141" s="651" t="n">
        <v>0</v>
      </c>
      <c r="W141" s="652" t="n">
        <v>0</v>
      </c>
      <c r="X141" s="651" t="n">
        <v>0</v>
      </c>
      <c r="Y141" s="312" t="n">
        <v>0</v>
      </c>
      <c r="Z141" s="313" t="n">
        <v>0</v>
      </c>
      <c r="AA141" s="314" t="n">
        <v>0</v>
      </c>
      <c r="AB141" s="313" t="n">
        <v>0</v>
      </c>
      <c r="AC141" s="314" t="n">
        <v>0</v>
      </c>
      <c r="AE141" s="324" t="n">
        <v>1</v>
      </c>
      <c r="AF141" s="315"/>
      <c r="AG141" s="311" t="n">
        <v>0</v>
      </c>
      <c r="AH141" s="309" t="n">
        <v>0</v>
      </c>
      <c r="AI141" s="310"/>
      <c r="AJ141" s="311" t="n">
        <v>19</v>
      </c>
      <c r="AK141" s="309" t="n">
        <v>19.2</v>
      </c>
      <c r="AL141" s="311" t="n">
        <v>19</v>
      </c>
      <c r="AM141" s="309" t="n">
        <v>19.2</v>
      </c>
      <c r="AN141" s="311" t="n">
        <v>19</v>
      </c>
      <c r="AO141" s="309" t="n">
        <v>19.2</v>
      </c>
      <c r="AP141" s="310"/>
      <c r="AQ141" s="311" t="n">
        <v>38</v>
      </c>
      <c r="AR141" s="309" t="n">
        <v>0</v>
      </c>
      <c r="AS141" s="311" t="n">
        <v>38</v>
      </c>
      <c r="AT141" s="309" t="n">
        <v>0</v>
      </c>
      <c r="AU141" s="311" t="n">
        <v>38</v>
      </c>
      <c r="AV141" s="309" t="n">
        <v>0</v>
      </c>
      <c r="AW141" s="310" t="n">
        <v>38</v>
      </c>
      <c r="AX141" s="309" t="n">
        <v>0</v>
      </c>
      <c r="AY141" s="311" t="n">
        <v>38</v>
      </c>
      <c r="AZ141" s="309" t="n">
        <v>0</v>
      </c>
    </row>
    <row r="142" customFormat="false" ht="12.75" hidden="false" customHeight="false" outlineLevel="0" collapsed="false">
      <c r="A142" s="268"/>
      <c r="B142" s="306" t="s">
        <v>312</v>
      </c>
      <c r="C142" s="305" t="s">
        <v>650</v>
      </c>
      <c r="D142" s="306" t="n">
        <v>36</v>
      </c>
      <c r="E142" s="306" t="n">
        <v>0</v>
      </c>
      <c r="F142" s="324" t="s">
        <v>648</v>
      </c>
      <c r="G142" s="144" t="n">
        <v>24</v>
      </c>
      <c r="H142" s="143" t="n">
        <v>35.5371900826446</v>
      </c>
      <c r="I142" s="410"/>
      <c r="J142" s="311" t="s">
        <v>12</v>
      </c>
      <c r="K142" s="309" t="s">
        <v>12</v>
      </c>
      <c r="L142" s="650"/>
      <c r="M142" s="651" t="n">
        <v>0</v>
      </c>
      <c r="N142" s="652" t="n">
        <v>0.7</v>
      </c>
      <c r="O142" s="651" t="n">
        <v>0</v>
      </c>
      <c r="P142" s="312" t="n">
        <v>0.7</v>
      </c>
      <c r="Q142" s="652" t="n">
        <v>0</v>
      </c>
      <c r="R142" s="312" t="n">
        <v>0.7</v>
      </c>
      <c r="S142" s="310"/>
      <c r="T142" s="651" t="n">
        <v>0</v>
      </c>
      <c r="U142" s="652" t="n">
        <v>0</v>
      </c>
      <c r="V142" s="651" t="n">
        <v>0</v>
      </c>
      <c r="W142" s="652" t="n">
        <v>0</v>
      </c>
      <c r="X142" s="651" t="n">
        <v>0</v>
      </c>
      <c r="Y142" s="312" t="n">
        <v>0</v>
      </c>
      <c r="Z142" s="313" t="n">
        <v>0</v>
      </c>
      <c r="AA142" s="314" t="n">
        <v>0</v>
      </c>
      <c r="AB142" s="313" t="n">
        <v>0</v>
      </c>
      <c r="AC142" s="314" t="n">
        <v>0</v>
      </c>
      <c r="AE142" s="324" t="n">
        <v>0</v>
      </c>
      <c r="AF142" s="315"/>
      <c r="AG142" s="311" t="n">
        <v>0</v>
      </c>
      <c r="AH142" s="309" t="n">
        <v>0</v>
      </c>
      <c r="AI142" s="310"/>
      <c r="AJ142" s="311" t="n">
        <v>19</v>
      </c>
      <c r="AK142" s="309" t="n">
        <v>16.8</v>
      </c>
      <c r="AL142" s="311" t="n">
        <v>19</v>
      </c>
      <c r="AM142" s="309" t="n">
        <v>16.8</v>
      </c>
      <c r="AN142" s="310" t="n">
        <v>19</v>
      </c>
      <c r="AO142" s="309" t="n">
        <v>16.8</v>
      </c>
      <c r="AP142" s="310"/>
      <c r="AQ142" s="311" t="n">
        <v>36</v>
      </c>
      <c r="AR142" s="309" t="n">
        <v>0</v>
      </c>
      <c r="AS142" s="311" t="n">
        <v>36</v>
      </c>
      <c r="AT142" s="309" t="n">
        <v>0</v>
      </c>
      <c r="AU142" s="310" t="n">
        <v>36</v>
      </c>
      <c r="AV142" s="309" t="n">
        <v>0</v>
      </c>
      <c r="AW142" s="310" t="n">
        <v>36</v>
      </c>
      <c r="AX142" s="309" t="n">
        <v>0</v>
      </c>
      <c r="AY142" s="310" t="n">
        <v>36</v>
      </c>
      <c r="AZ142" s="309" t="n">
        <v>0</v>
      </c>
    </row>
    <row r="143" customFormat="false" ht="12.75" hidden="false" customHeight="false" outlineLevel="0" collapsed="false">
      <c r="A143" s="268"/>
      <c r="B143" s="306" t="s">
        <v>312</v>
      </c>
      <c r="C143" s="305" t="s">
        <v>651</v>
      </c>
      <c r="D143" s="306" t="n">
        <v>33</v>
      </c>
      <c r="E143" s="306" t="n">
        <v>0</v>
      </c>
      <c r="F143" s="324" t="s">
        <v>648</v>
      </c>
      <c r="G143" s="307" t="n">
        <v>24</v>
      </c>
      <c r="H143" s="143" t="n">
        <v>32.2314049586777</v>
      </c>
      <c r="I143" s="410"/>
      <c r="J143" s="311" t="s">
        <v>12</v>
      </c>
      <c r="K143" s="309" t="s">
        <v>12</v>
      </c>
      <c r="L143" s="650"/>
      <c r="M143" s="651" t="n">
        <v>0</v>
      </c>
      <c r="N143" s="652" t="n">
        <v>0.6</v>
      </c>
      <c r="O143" s="651" t="n">
        <v>0</v>
      </c>
      <c r="P143" s="312" t="n">
        <v>0.6</v>
      </c>
      <c r="Q143" s="652" t="n">
        <v>0</v>
      </c>
      <c r="R143" s="312" t="n">
        <v>0.6</v>
      </c>
      <c r="S143" s="310"/>
      <c r="T143" s="651" t="n">
        <v>0</v>
      </c>
      <c r="U143" s="652" t="n">
        <v>0</v>
      </c>
      <c r="V143" s="651" t="n">
        <v>0</v>
      </c>
      <c r="W143" s="652" t="n">
        <v>0</v>
      </c>
      <c r="X143" s="651" t="n">
        <v>0</v>
      </c>
      <c r="Y143" s="312" t="n">
        <v>0</v>
      </c>
      <c r="Z143" s="313" t="n">
        <v>0</v>
      </c>
      <c r="AA143" s="314" t="n">
        <v>0</v>
      </c>
      <c r="AB143" s="313" t="n">
        <v>0</v>
      </c>
      <c r="AC143" s="314" t="n">
        <v>0</v>
      </c>
      <c r="AE143" s="324" t="n">
        <v>1</v>
      </c>
      <c r="AF143" s="315"/>
      <c r="AG143" s="311" t="n">
        <v>0</v>
      </c>
      <c r="AH143" s="309" t="n">
        <v>0</v>
      </c>
      <c r="AI143" s="310"/>
      <c r="AJ143" s="311" t="n">
        <v>19</v>
      </c>
      <c r="AK143" s="309" t="n">
        <v>14.4</v>
      </c>
      <c r="AL143" s="311" t="n">
        <v>19</v>
      </c>
      <c r="AM143" s="309" t="n">
        <v>14.4</v>
      </c>
      <c r="AN143" s="311" t="n">
        <v>19</v>
      </c>
      <c r="AO143" s="309" t="n">
        <v>14.4</v>
      </c>
      <c r="AP143" s="310"/>
      <c r="AQ143" s="311" t="n">
        <v>33</v>
      </c>
      <c r="AR143" s="309" t="n">
        <v>0</v>
      </c>
      <c r="AS143" s="311" t="n">
        <v>33</v>
      </c>
      <c r="AT143" s="309" t="n">
        <v>0</v>
      </c>
      <c r="AU143" s="311" t="n">
        <v>33</v>
      </c>
      <c r="AV143" s="309" t="n">
        <v>0</v>
      </c>
      <c r="AW143" s="310" t="n">
        <v>33</v>
      </c>
      <c r="AX143" s="309" t="n">
        <v>0</v>
      </c>
      <c r="AY143" s="311" t="n">
        <v>33</v>
      </c>
      <c r="AZ143" s="309" t="n">
        <v>0</v>
      </c>
    </row>
    <row r="144" customFormat="false" ht="12.75" hidden="false" customHeight="false" outlineLevel="0" collapsed="false">
      <c r="A144" s="268"/>
      <c r="B144" s="306" t="s">
        <v>652</v>
      </c>
      <c r="C144" s="305" t="s">
        <v>653</v>
      </c>
      <c r="D144" s="306" t="n">
        <v>47</v>
      </c>
      <c r="E144" s="306" t="n">
        <v>0</v>
      </c>
      <c r="F144" s="324" t="s">
        <v>648</v>
      </c>
      <c r="G144" s="144" t="n">
        <v>24</v>
      </c>
      <c r="H144" s="143" t="n">
        <v>35.5371900826446</v>
      </c>
      <c r="I144" s="410"/>
      <c r="J144" s="311" t="s">
        <v>12</v>
      </c>
      <c r="K144" s="309" t="s">
        <v>12</v>
      </c>
      <c r="L144" s="650"/>
      <c r="M144" s="651" t="n">
        <v>0</v>
      </c>
      <c r="N144" s="652" t="n">
        <v>0.7</v>
      </c>
      <c r="O144" s="651" t="n">
        <v>0</v>
      </c>
      <c r="P144" s="312" t="n">
        <v>0.7</v>
      </c>
      <c r="Q144" s="652" t="n">
        <v>0</v>
      </c>
      <c r="R144" s="312" t="n">
        <v>0.7</v>
      </c>
      <c r="S144" s="310"/>
      <c r="T144" s="651" t="n">
        <v>0</v>
      </c>
      <c r="U144" s="652" t="n">
        <v>0</v>
      </c>
      <c r="V144" s="651" t="n">
        <v>0</v>
      </c>
      <c r="W144" s="652" t="n">
        <v>0</v>
      </c>
      <c r="X144" s="651" t="n">
        <v>0</v>
      </c>
      <c r="Y144" s="312" t="n">
        <v>0</v>
      </c>
      <c r="Z144" s="313" t="n">
        <v>0</v>
      </c>
      <c r="AA144" s="314" t="n">
        <v>0</v>
      </c>
      <c r="AB144" s="313" t="n">
        <v>0</v>
      </c>
      <c r="AC144" s="314" t="n">
        <v>0</v>
      </c>
      <c r="AE144" s="324" t="n">
        <v>11</v>
      </c>
      <c r="AF144" s="315"/>
      <c r="AG144" s="311" t="n">
        <v>0</v>
      </c>
      <c r="AH144" s="309" t="n">
        <v>0</v>
      </c>
      <c r="AI144" s="310"/>
      <c r="AJ144" s="311" t="n">
        <v>30</v>
      </c>
      <c r="AK144" s="309" t="n">
        <v>16.8</v>
      </c>
      <c r="AL144" s="311" t="n">
        <v>30</v>
      </c>
      <c r="AM144" s="309" t="n">
        <v>16.8</v>
      </c>
      <c r="AN144" s="310" t="n">
        <v>30</v>
      </c>
      <c r="AO144" s="309" t="n">
        <v>16.8</v>
      </c>
      <c r="AP144" s="310"/>
      <c r="AQ144" s="311" t="n">
        <v>47</v>
      </c>
      <c r="AR144" s="309" t="n">
        <v>0</v>
      </c>
      <c r="AS144" s="311" t="n">
        <v>47</v>
      </c>
      <c r="AT144" s="309" t="n">
        <v>0</v>
      </c>
      <c r="AU144" s="310" t="n">
        <v>47</v>
      </c>
      <c r="AV144" s="309" t="n">
        <v>0</v>
      </c>
      <c r="AW144" s="310" t="n">
        <v>47</v>
      </c>
      <c r="AX144" s="309" t="n">
        <v>0</v>
      </c>
      <c r="AY144" s="310" t="n">
        <v>47</v>
      </c>
      <c r="AZ144" s="309" t="n">
        <v>0</v>
      </c>
    </row>
    <row r="145" customFormat="false" ht="12.75" hidden="false" customHeight="false" outlineLevel="0" collapsed="false">
      <c r="A145" s="268"/>
      <c r="B145" s="306" t="s">
        <v>652</v>
      </c>
      <c r="C145" s="305" t="s">
        <v>654</v>
      </c>
      <c r="D145" s="306" t="n">
        <v>33</v>
      </c>
      <c r="E145" s="306" t="n">
        <v>0</v>
      </c>
      <c r="F145" s="324" t="s">
        <v>648</v>
      </c>
      <c r="G145" s="307" t="n">
        <v>24</v>
      </c>
      <c r="H145" s="143" t="n">
        <v>40.495867768595</v>
      </c>
      <c r="I145" s="410"/>
      <c r="J145" s="311" t="s">
        <v>12</v>
      </c>
      <c r="K145" s="309" t="s">
        <v>12</v>
      </c>
      <c r="L145" s="650"/>
      <c r="M145" s="651" t="n">
        <v>0</v>
      </c>
      <c r="N145" s="652" t="n">
        <v>0.9</v>
      </c>
      <c r="O145" s="651" t="n">
        <v>0</v>
      </c>
      <c r="P145" s="312" t="n">
        <v>0.9</v>
      </c>
      <c r="Q145" s="652" t="n">
        <v>0</v>
      </c>
      <c r="R145" s="312" t="n">
        <v>0.9</v>
      </c>
      <c r="S145" s="310"/>
      <c r="T145" s="651" t="n">
        <v>0</v>
      </c>
      <c r="U145" s="652" t="n">
        <v>0</v>
      </c>
      <c r="V145" s="651" t="n">
        <v>0</v>
      </c>
      <c r="W145" s="652" t="n">
        <v>0</v>
      </c>
      <c r="X145" s="651" t="n">
        <v>0</v>
      </c>
      <c r="Y145" s="312" t="n">
        <v>0</v>
      </c>
      <c r="Z145" s="313" t="n">
        <v>0</v>
      </c>
      <c r="AA145" s="314" t="n">
        <v>0</v>
      </c>
      <c r="AB145" s="313" t="n">
        <v>0</v>
      </c>
      <c r="AC145" s="314" t="n">
        <v>0</v>
      </c>
      <c r="AE145" s="324" t="n">
        <v>-7</v>
      </c>
      <c r="AF145" s="315"/>
      <c r="AG145" s="311" t="n">
        <v>0</v>
      </c>
      <c r="AH145" s="309" t="n">
        <v>0</v>
      </c>
      <c r="AI145" s="310"/>
      <c r="AJ145" s="311" t="n">
        <v>11</v>
      </c>
      <c r="AK145" s="309" t="n">
        <v>21.6</v>
      </c>
      <c r="AL145" s="311" t="n">
        <v>11</v>
      </c>
      <c r="AM145" s="309" t="n">
        <v>21.6</v>
      </c>
      <c r="AN145" s="311" t="n">
        <v>11</v>
      </c>
      <c r="AO145" s="309" t="n">
        <v>21.6</v>
      </c>
      <c r="AP145" s="310"/>
      <c r="AQ145" s="311" t="n">
        <v>33</v>
      </c>
      <c r="AR145" s="309" t="n">
        <v>0</v>
      </c>
      <c r="AS145" s="311" t="n">
        <v>33</v>
      </c>
      <c r="AT145" s="309" t="n">
        <v>0</v>
      </c>
      <c r="AU145" s="311" t="n">
        <v>33</v>
      </c>
      <c r="AV145" s="309" t="n">
        <v>0</v>
      </c>
      <c r="AW145" s="310" t="n">
        <v>33</v>
      </c>
      <c r="AX145" s="309" t="n">
        <v>0</v>
      </c>
      <c r="AY145" s="311" t="n">
        <v>33</v>
      </c>
      <c r="AZ145" s="309" t="n">
        <v>0</v>
      </c>
    </row>
    <row r="146" customFormat="false" ht="12.75" hidden="false" customHeight="false" outlineLevel="0" collapsed="false">
      <c r="A146" s="268"/>
      <c r="B146" s="306" t="s">
        <v>655</v>
      </c>
      <c r="C146" s="305" t="s">
        <v>656</v>
      </c>
      <c r="D146" s="306" t="n">
        <v>176</v>
      </c>
      <c r="E146" s="306" t="n">
        <v>0</v>
      </c>
      <c r="F146" s="324" t="s">
        <v>648</v>
      </c>
      <c r="G146" s="144" t="n">
        <v>24</v>
      </c>
      <c r="H146" s="143" t="n">
        <v>154.545454545455</v>
      </c>
      <c r="I146" s="410"/>
      <c r="J146" s="311" t="s">
        <v>12</v>
      </c>
      <c r="K146" s="309" t="s">
        <v>12</v>
      </c>
      <c r="L146" s="650"/>
      <c r="M146" s="651" t="n">
        <v>29</v>
      </c>
      <c r="N146" s="652" t="n">
        <v>4.4</v>
      </c>
      <c r="O146" s="651" t="n">
        <v>0</v>
      </c>
      <c r="P146" s="312" t="n">
        <v>2.9</v>
      </c>
      <c r="Q146" s="652" t="n">
        <v>0</v>
      </c>
      <c r="R146" s="312" t="n">
        <v>2.1</v>
      </c>
      <c r="S146" s="310"/>
      <c r="T146" s="651" t="n">
        <v>0</v>
      </c>
      <c r="U146" s="652" t="n">
        <v>5.2</v>
      </c>
      <c r="V146" s="651" t="n">
        <v>0</v>
      </c>
      <c r="W146" s="652" t="n">
        <v>2.5</v>
      </c>
      <c r="X146" s="651" t="n">
        <v>0</v>
      </c>
      <c r="Y146" s="312" t="n">
        <v>2.5</v>
      </c>
      <c r="Z146" s="313" t="n">
        <v>0</v>
      </c>
      <c r="AA146" s="314" t="n">
        <v>2.5</v>
      </c>
      <c r="AB146" s="313" t="n">
        <v>0</v>
      </c>
      <c r="AC146" s="314" t="n">
        <v>2.5</v>
      </c>
      <c r="AE146" s="324" t="n">
        <v>21</v>
      </c>
      <c r="AF146" s="315"/>
      <c r="AG146" s="311" t="n">
        <v>0</v>
      </c>
      <c r="AH146" s="309" t="n">
        <v>0</v>
      </c>
      <c r="AI146" s="310"/>
      <c r="AJ146" s="311" t="n">
        <v>41</v>
      </c>
      <c r="AK146" s="309" t="n">
        <v>105.6</v>
      </c>
      <c r="AL146" s="311" t="n">
        <v>106</v>
      </c>
      <c r="AM146" s="309" t="n">
        <v>69.6</v>
      </c>
      <c r="AN146" s="310" t="n">
        <v>126</v>
      </c>
      <c r="AO146" s="309" t="n">
        <v>50.4</v>
      </c>
      <c r="AP146" s="310"/>
      <c r="AQ146" s="311" t="n">
        <v>51</v>
      </c>
      <c r="AR146" s="309" t="n">
        <v>124.8</v>
      </c>
      <c r="AS146" s="311" t="n">
        <v>116</v>
      </c>
      <c r="AT146" s="309" t="n">
        <v>60</v>
      </c>
      <c r="AU146" s="310" t="n">
        <v>116</v>
      </c>
      <c r="AV146" s="309" t="n">
        <v>60</v>
      </c>
      <c r="AW146" s="310" t="n">
        <v>116</v>
      </c>
      <c r="AX146" s="309" t="n">
        <v>60</v>
      </c>
      <c r="AY146" s="310" t="n">
        <v>116</v>
      </c>
      <c r="AZ146" s="309" t="n">
        <v>60</v>
      </c>
    </row>
    <row r="147" customFormat="false" ht="12.75" hidden="false" customHeight="false" outlineLevel="0" collapsed="false">
      <c r="A147" s="268"/>
      <c r="B147" s="306" t="s">
        <v>277</v>
      </c>
      <c r="C147" s="305" t="s">
        <v>657</v>
      </c>
      <c r="D147" s="306" t="n">
        <v>82</v>
      </c>
      <c r="E147" s="306" t="n">
        <v>0</v>
      </c>
      <c r="F147" s="324" t="s">
        <v>648</v>
      </c>
      <c r="G147" s="307" t="n">
        <v>24</v>
      </c>
      <c r="H147" s="143" t="n">
        <v>95.0413223140496</v>
      </c>
      <c r="I147" s="410"/>
      <c r="J147" s="311" t="s">
        <v>12</v>
      </c>
      <c r="K147" s="309" t="s">
        <v>12</v>
      </c>
      <c r="L147" s="650"/>
      <c r="M147" s="651" t="n">
        <v>0</v>
      </c>
      <c r="N147" s="652" t="n">
        <v>3.4</v>
      </c>
      <c r="O147" s="651" t="n">
        <v>0</v>
      </c>
      <c r="P147" s="312" t="n">
        <v>3.4</v>
      </c>
      <c r="Q147" s="652" t="n">
        <v>0</v>
      </c>
      <c r="R147" s="312" t="n">
        <v>3.4</v>
      </c>
      <c r="S147" s="310"/>
      <c r="T147" s="651" t="n">
        <v>0</v>
      </c>
      <c r="U147" s="652" t="n">
        <v>3.4</v>
      </c>
      <c r="V147" s="651" t="n">
        <v>0</v>
      </c>
      <c r="W147" s="652" t="n">
        <v>3.4</v>
      </c>
      <c r="X147" s="651" t="n">
        <v>0</v>
      </c>
      <c r="Y147" s="312" t="n">
        <v>3.4</v>
      </c>
      <c r="Z147" s="313" t="n">
        <v>0</v>
      </c>
      <c r="AA147" s="314" t="n">
        <v>3.3</v>
      </c>
      <c r="AB147" s="313" t="n">
        <v>0</v>
      </c>
      <c r="AC147" s="314" t="n">
        <v>3.3</v>
      </c>
      <c r="AE147" s="324" t="n">
        <v>-13</v>
      </c>
      <c r="AF147" s="315"/>
      <c r="AG147" s="311" t="n">
        <v>0</v>
      </c>
      <c r="AH147" s="309" t="n">
        <v>0</v>
      </c>
      <c r="AI147" s="310"/>
      <c r="AJ147" s="311" t="n">
        <v>0</v>
      </c>
      <c r="AK147" s="309" t="n">
        <v>81.6</v>
      </c>
      <c r="AL147" s="311" t="n">
        <v>0</v>
      </c>
      <c r="AM147" s="309" t="n">
        <v>81.6</v>
      </c>
      <c r="AN147" s="311" t="n">
        <v>0</v>
      </c>
      <c r="AO147" s="309" t="n">
        <v>81.6</v>
      </c>
      <c r="AP147" s="310"/>
      <c r="AQ147" s="311" t="n">
        <v>0</v>
      </c>
      <c r="AR147" s="309" t="n">
        <v>81.6</v>
      </c>
      <c r="AS147" s="311" t="n">
        <v>0</v>
      </c>
      <c r="AT147" s="309" t="n">
        <v>81.6</v>
      </c>
      <c r="AU147" s="311" t="n">
        <v>0</v>
      </c>
      <c r="AV147" s="309" t="n">
        <v>81.6</v>
      </c>
      <c r="AW147" s="310" t="n">
        <v>3</v>
      </c>
      <c r="AX147" s="309" t="n">
        <v>79.2</v>
      </c>
      <c r="AY147" s="311" t="n">
        <v>3</v>
      </c>
      <c r="AZ147" s="309" t="n">
        <v>79.2</v>
      </c>
    </row>
    <row r="148" customFormat="false" ht="12.75" hidden="false" customHeight="false" outlineLevel="0" collapsed="false">
      <c r="A148" s="268"/>
      <c r="B148" s="306" t="s">
        <v>277</v>
      </c>
      <c r="C148" s="305" t="s">
        <v>658</v>
      </c>
      <c r="D148" s="306" t="n">
        <v>100</v>
      </c>
      <c r="E148" s="306" t="n">
        <v>0</v>
      </c>
      <c r="F148" s="324" t="s">
        <v>648</v>
      </c>
      <c r="G148" s="144" t="n">
        <v>24</v>
      </c>
      <c r="H148" s="143" t="n">
        <v>104.95867768595</v>
      </c>
      <c r="I148" s="410"/>
      <c r="J148" s="311" t="s">
        <v>12</v>
      </c>
      <c r="K148" s="309" t="s">
        <v>12</v>
      </c>
      <c r="L148" s="650"/>
      <c r="M148" s="651" t="n">
        <v>0</v>
      </c>
      <c r="N148" s="652" t="n">
        <v>3.8</v>
      </c>
      <c r="O148" s="651" t="n">
        <v>0</v>
      </c>
      <c r="P148" s="312" t="n">
        <v>3.8</v>
      </c>
      <c r="Q148" s="652" t="n">
        <v>0</v>
      </c>
      <c r="R148" s="312" t="n">
        <v>3.8</v>
      </c>
      <c r="S148" s="310"/>
      <c r="T148" s="651" t="n">
        <v>0</v>
      </c>
      <c r="U148" s="652" t="n">
        <v>3.8</v>
      </c>
      <c r="V148" s="651" t="n">
        <v>0</v>
      </c>
      <c r="W148" s="652" t="n">
        <v>3.8</v>
      </c>
      <c r="X148" s="651" t="n">
        <v>0</v>
      </c>
      <c r="Y148" s="312" t="n">
        <v>3.8</v>
      </c>
      <c r="Z148" s="313" t="n">
        <v>0</v>
      </c>
      <c r="AA148" s="314" t="n">
        <v>3.7</v>
      </c>
      <c r="AB148" s="313" t="n">
        <v>0</v>
      </c>
      <c r="AC148" s="314" t="n">
        <v>3.7</v>
      </c>
      <c r="AE148" s="324" t="n">
        <v>-5</v>
      </c>
      <c r="AF148" s="315"/>
      <c r="AG148" s="311" t="n">
        <v>0</v>
      </c>
      <c r="AH148" s="309" t="n">
        <v>0</v>
      </c>
      <c r="AI148" s="310"/>
      <c r="AJ148" s="311" t="n">
        <v>9</v>
      </c>
      <c r="AK148" s="309" t="n">
        <v>91.2</v>
      </c>
      <c r="AL148" s="311" t="n">
        <v>9</v>
      </c>
      <c r="AM148" s="309" t="n">
        <v>91.2</v>
      </c>
      <c r="AN148" s="310" t="n">
        <v>9</v>
      </c>
      <c r="AO148" s="309" t="n">
        <v>91.2</v>
      </c>
      <c r="AP148" s="310"/>
      <c r="AQ148" s="311" t="n">
        <v>9</v>
      </c>
      <c r="AR148" s="309" t="n">
        <v>91.2</v>
      </c>
      <c r="AS148" s="311" t="n">
        <v>9</v>
      </c>
      <c r="AT148" s="309" t="n">
        <v>91.2</v>
      </c>
      <c r="AU148" s="310" t="n">
        <v>9</v>
      </c>
      <c r="AV148" s="309" t="n">
        <v>91.2</v>
      </c>
      <c r="AW148" s="310" t="n">
        <v>11</v>
      </c>
      <c r="AX148" s="309" t="n">
        <v>88.8</v>
      </c>
      <c r="AY148" s="310" t="n">
        <v>11</v>
      </c>
      <c r="AZ148" s="309" t="n">
        <v>88.8</v>
      </c>
    </row>
    <row r="149" customFormat="false" ht="12.75" hidden="false" customHeight="false" outlineLevel="0" collapsed="false">
      <c r="A149" s="268"/>
      <c r="B149" s="306" t="s">
        <v>277</v>
      </c>
      <c r="C149" s="305" t="s">
        <v>659</v>
      </c>
      <c r="D149" s="306" t="n">
        <v>41</v>
      </c>
      <c r="E149" s="306" t="n">
        <v>0</v>
      </c>
      <c r="F149" s="324" t="s">
        <v>648</v>
      </c>
      <c r="G149" s="307" t="n">
        <v>24</v>
      </c>
      <c r="H149" s="143" t="n">
        <v>62.8099173553719</v>
      </c>
      <c r="I149" s="410"/>
      <c r="J149" s="311" t="s">
        <v>12</v>
      </c>
      <c r="K149" s="309" t="s">
        <v>12</v>
      </c>
      <c r="L149" s="650"/>
      <c r="M149" s="651" t="n">
        <v>0</v>
      </c>
      <c r="N149" s="652" t="n">
        <v>1.7</v>
      </c>
      <c r="O149" s="651" t="n">
        <v>0</v>
      </c>
      <c r="P149" s="312" t="n">
        <v>1.7</v>
      </c>
      <c r="Q149" s="652" t="n">
        <v>0</v>
      </c>
      <c r="R149" s="312" t="n">
        <v>1.7</v>
      </c>
      <c r="S149" s="310"/>
      <c r="T149" s="651" t="n">
        <v>0</v>
      </c>
      <c r="U149" s="652" t="n">
        <v>1.7</v>
      </c>
      <c r="V149" s="651" t="n">
        <v>0</v>
      </c>
      <c r="W149" s="652" t="n">
        <v>1.7</v>
      </c>
      <c r="X149" s="651" t="n">
        <v>0</v>
      </c>
      <c r="Y149" s="312" t="n">
        <v>1.7</v>
      </c>
      <c r="Z149" s="313" t="n">
        <v>0</v>
      </c>
      <c r="AA149" s="314" t="n">
        <v>1.7</v>
      </c>
      <c r="AB149" s="313" t="n">
        <v>0</v>
      </c>
      <c r="AC149" s="314" t="n">
        <v>1.7</v>
      </c>
      <c r="AE149" s="324" t="n">
        <v>-22</v>
      </c>
      <c r="AF149" s="315"/>
      <c r="AG149" s="311" t="n">
        <v>0</v>
      </c>
      <c r="AH149" s="309" t="n">
        <v>0</v>
      </c>
      <c r="AI149" s="310"/>
      <c r="AJ149" s="311" t="n">
        <v>0</v>
      </c>
      <c r="AK149" s="309" t="n">
        <v>40.8</v>
      </c>
      <c r="AL149" s="311" t="n">
        <v>0</v>
      </c>
      <c r="AM149" s="309" t="n">
        <v>40.8</v>
      </c>
      <c r="AN149" s="311" t="n">
        <v>0</v>
      </c>
      <c r="AO149" s="309" t="n">
        <v>40.8</v>
      </c>
      <c r="AP149" s="310"/>
      <c r="AQ149" s="311" t="n">
        <v>0</v>
      </c>
      <c r="AR149" s="309" t="n">
        <v>40.8</v>
      </c>
      <c r="AS149" s="311" t="n">
        <v>0</v>
      </c>
      <c r="AT149" s="309" t="n">
        <v>40.8</v>
      </c>
      <c r="AU149" s="311" t="n">
        <v>0</v>
      </c>
      <c r="AV149" s="309" t="n">
        <v>40.8</v>
      </c>
      <c r="AW149" s="310" t="n">
        <v>0</v>
      </c>
      <c r="AX149" s="309" t="n">
        <v>40.8</v>
      </c>
      <c r="AY149" s="311" t="n">
        <v>0</v>
      </c>
      <c r="AZ149" s="309" t="n">
        <v>40.8</v>
      </c>
    </row>
    <row r="150" customFormat="false" ht="12.75" hidden="false" customHeight="false" outlineLevel="0" collapsed="false">
      <c r="A150" s="268"/>
      <c r="B150" s="306" t="s">
        <v>277</v>
      </c>
      <c r="C150" s="305" t="s">
        <v>660</v>
      </c>
      <c r="D150" s="306" t="n">
        <v>48</v>
      </c>
      <c r="E150" s="306" t="n">
        <v>0</v>
      </c>
      <c r="F150" s="324" t="s">
        <v>648</v>
      </c>
      <c r="G150" s="144" t="n">
        <v>24</v>
      </c>
      <c r="H150" s="143" t="n">
        <v>90.0826446280992</v>
      </c>
      <c r="I150" s="410"/>
      <c r="J150" s="311" t="s">
        <v>12</v>
      </c>
      <c r="K150" s="309" t="s">
        <v>12</v>
      </c>
      <c r="L150" s="650"/>
      <c r="M150" s="651" t="n">
        <v>0</v>
      </c>
      <c r="N150" s="652" t="n">
        <v>2.5</v>
      </c>
      <c r="O150" s="651" t="n">
        <v>0</v>
      </c>
      <c r="P150" s="312" t="n">
        <v>2.5</v>
      </c>
      <c r="Q150" s="652" t="n">
        <v>0</v>
      </c>
      <c r="R150" s="312" t="n">
        <v>2.5</v>
      </c>
      <c r="S150" s="310"/>
      <c r="T150" s="651" t="n">
        <v>0</v>
      </c>
      <c r="U150" s="652" t="n">
        <v>2.5</v>
      </c>
      <c r="V150" s="651" t="n">
        <v>0</v>
      </c>
      <c r="W150" s="652" t="n">
        <v>2.5</v>
      </c>
      <c r="X150" s="651" t="n">
        <v>0</v>
      </c>
      <c r="Y150" s="312" t="n">
        <v>2.5</v>
      </c>
      <c r="Z150" s="313" t="n">
        <v>0</v>
      </c>
      <c r="AA150" s="314" t="n">
        <v>2.5</v>
      </c>
      <c r="AB150" s="313" t="n">
        <v>0</v>
      </c>
      <c r="AC150" s="314" t="n">
        <v>2.5</v>
      </c>
      <c r="AE150" s="324" t="n">
        <v>-42</v>
      </c>
      <c r="AF150" s="315"/>
      <c r="AG150" s="311" t="n">
        <v>0</v>
      </c>
      <c r="AH150" s="309" t="n">
        <v>0</v>
      </c>
      <c r="AI150" s="310"/>
      <c r="AJ150" s="311" t="n">
        <v>-12</v>
      </c>
      <c r="AK150" s="309" t="n">
        <v>60</v>
      </c>
      <c r="AL150" s="311" t="n">
        <v>-12</v>
      </c>
      <c r="AM150" s="309" t="n">
        <v>60</v>
      </c>
      <c r="AN150" s="310" t="n">
        <v>-12</v>
      </c>
      <c r="AO150" s="309" t="n">
        <v>60</v>
      </c>
      <c r="AP150" s="310"/>
      <c r="AQ150" s="311" t="n">
        <v>-12</v>
      </c>
      <c r="AR150" s="309" t="n">
        <v>60</v>
      </c>
      <c r="AS150" s="311" t="n">
        <v>-12</v>
      </c>
      <c r="AT150" s="309" t="n">
        <v>60</v>
      </c>
      <c r="AU150" s="310" t="n">
        <v>-12</v>
      </c>
      <c r="AV150" s="309" t="n">
        <v>60</v>
      </c>
      <c r="AW150" s="310" t="n">
        <v>-12</v>
      </c>
      <c r="AX150" s="309" t="n">
        <v>60</v>
      </c>
      <c r="AY150" s="310" t="n">
        <v>-12</v>
      </c>
      <c r="AZ150" s="309" t="n">
        <v>60</v>
      </c>
    </row>
    <row r="151" customFormat="false" ht="12.75" hidden="false" customHeight="false" outlineLevel="0" collapsed="false">
      <c r="A151" s="268"/>
      <c r="B151" s="306" t="s">
        <v>497</v>
      </c>
      <c r="C151" s="305" t="s">
        <v>661</v>
      </c>
      <c r="D151" s="306" t="n">
        <v>60</v>
      </c>
      <c r="E151" s="306" t="n">
        <v>0</v>
      </c>
      <c r="F151" s="324" t="s">
        <v>662</v>
      </c>
      <c r="G151" s="307" t="n">
        <v>24</v>
      </c>
      <c r="H151" s="143" t="n">
        <v>55.3719008264463</v>
      </c>
      <c r="I151" s="410"/>
      <c r="J151" s="311" t="s">
        <v>12</v>
      </c>
      <c r="K151" s="309" t="s">
        <v>12</v>
      </c>
      <c r="L151" s="650"/>
      <c r="M151" s="651" t="n">
        <v>0</v>
      </c>
      <c r="N151" s="652" t="n">
        <v>0.5</v>
      </c>
      <c r="O151" s="651" t="n">
        <v>0</v>
      </c>
      <c r="P151" s="312" t="n">
        <v>0.5</v>
      </c>
      <c r="Q151" s="652" t="n">
        <v>0</v>
      </c>
      <c r="R151" s="312" t="n">
        <v>0.5</v>
      </c>
      <c r="S151" s="310"/>
      <c r="T151" s="651" t="n">
        <v>0</v>
      </c>
      <c r="U151" s="652" t="n">
        <v>0</v>
      </c>
      <c r="V151" s="651" t="n">
        <v>0</v>
      </c>
      <c r="W151" s="652" t="n">
        <v>0</v>
      </c>
      <c r="X151" s="651" t="n">
        <v>0</v>
      </c>
      <c r="Y151" s="312" t="n">
        <v>0</v>
      </c>
      <c r="Z151" s="313" t="n">
        <v>0</v>
      </c>
      <c r="AA151" s="314" t="n">
        <v>0</v>
      </c>
      <c r="AB151" s="313" t="n">
        <v>0</v>
      </c>
      <c r="AC151" s="314" t="n">
        <v>0</v>
      </c>
      <c r="AE151" s="324" t="n">
        <v>5</v>
      </c>
      <c r="AF151" s="315"/>
      <c r="AG151" s="311" t="n">
        <v>0</v>
      </c>
      <c r="AH151" s="309" t="n">
        <v>0</v>
      </c>
      <c r="AI151" s="310"/>
      <c r="AJ151" s="311" t="n">
        <v>48</v>
      </c>
      <c r="AK151" s="309" t="n">
        <v>12</v>
      </c>
      <c r="AL151" s="311" t="n">
        <v>48</v>
      </c>
      <c r="AM151" s="309" t="n">
        <v>12</v>
      </c>
      <c r="AN151" s="311" t="n">
        <v>48</v>
      </c>
      <c r="AO151" s="309" t="n">
        <v>12</v>
      </c>
      <c r="AP151" s="310"/>
      <c r="AQ151" s="311" t="n">
        <v>60</v>
      </c>
      <c r="AR151" s="309" t="n">
        <v>0</v>
      </c>
      <c r="AS151" s="311" t="n">
        <v>60</v>
      </c>
      <c r="AT151" s="309" t="n">
        <v>0</v>
      </c>
      <c r="AU151" s="311" t="n">
        <v>60</v>
      </c>
      <c r="AV151" s="309" t="n">
        <v>0</v>
      </c>
      <c r="AW151" s="310" t="n">
        <v>60</v>
      </c>
      <c r="AX151" s="309" t="n">
        <v>0</v>
      </c>
      <c r="AY151" s="311" t="n">
        <v>60</v>
      </c>
      <c r="AZ151" s="309" t="n">
        <v>0</v>
      </c>
    </row>
    <row r="152" customFormat="false" ht="12.75" hidden="false" customHeight="false" outlineLevel="0" collapsed="false">
      <c r="A152" s="268"/>
      <c r="B152" s="306" t="s">
        <v>510</v>
      </c>
      <c r="C152" s="305" t="s">
        <v>663</v>
      </c>
      <c r="D152" s="306" t="n">
        <v>58</v>
      </c>
      <c r="E152" s="306" t="n">
        <v>0</v>
      </c>
      <c r="F152" s="324" t="s">
        <v>662</v>
      </c>
      <c r="G152" s="144" t="n">
        <v>24</v>
      </c>
      <c r="H152" s="143" t="n">
        <v>55.3719008264463</v>
      </c>
      <c r="I152" s="410"/>
      <c r="J152" s="311" t="s">
        <v>12</v>
      </c>
      <c r="K152" s="309" t="s">
        <v>12</v>
      </c>
      <c r="L152" s="650"/>
      <c r="M152" s="651" t="n">
        <v>0</v>
      </c>
      <c r="N152" s="652" t="n">
        <v>1.4</v>
      </c>
      <c r="O152" s="651" t="n">
        <v>0</v>
      </c>
      <c r="P152" s="312" t="n">
        <v>1.4</v>
      </c>
      <c r="Q152" s="652" t="n">
        <v>0</v>
      </c>
      <c r="R152" s="312" t="n">
        <v>1.4</v>
      </c>
      <c r="S152" s="310"/>
      <c r="T152" s="651" t="n">
        <v>0</v>
      </c>
      <c r="U152" s="652" t="n">
        <v>0</v>
      </c>
      <c r="V152" s="651" t="n">
        <v>0</v>
      </c>
      <c r="W152" s="652" t="n">
        <v>0</v>
      </c>
      <c r="X152" s="651" t="n">
        <v>0</v>
      </c>
      <c r="Y152" s="312" t="n">
        <v>0</v>
      </c>
      <c r="Z152" s="313" t="n">
        <v>0</v>
      </c>
      <c r="AA152" s="314" t="n">
        <v>0</v>
      </c>
      <c r="AB152" s="313" t="n">
        <v>0</v>
      </c>
      <c r="AC152" s="314" t="n">
        <v>0</v>
      </c>
      <c r="AE152" s="324" t="n">
        <v>3</v>
      </c>
      <c r="AF152" s="315"/>
      <c r="AG152" s="311" t="n">
        <v>0</v>
      </c>
      <c r="AH152" s="309" t="n">
        <v>0</v>
      </c>
      <c r="AI152" s="310"/>
      <c r="AJ152" s="311" t="n">
        <v>24</v>
      </c>
      <c r="AK152" s="309" t="n">
        <v>33.6</v>
      </c>
      <c r="AL152" s="311" t="n">
        <v>24</v>
      </c>
      <c r="AM152" s="309" t="n">
        <v>33.6</v>
      </c>
      <c r="AN152" s="310" t="n">
        <v>24</v>
      </c>
      <c r="AO152" s="309" t="n">
        <v>33.6</v>
      </c>
      <c r="AP152" s="310"/>
      <c r="AQ152" s="311" t="n">
        <v>58</v>
      </c>
      <c r="AR152" s="309" t="n">
        <v>0</v>
      </c>
      <c r="AS152" s="311" t="n">
        <v>58</v>
      </c>
      <c r="AT152" s="309" t="n">
        <v>0</v>
      </c>
      <c r="AU152" s="310" t="n">
        <v>58</v>
      </c>
      <c r="AV152" s="309" t="n">
        <v>0</v>
      </c>
      <c r="AW152" s="310" t="n">
        <v>58</v>
      </c>
      <c r="AX152" s="309" t="n">
        <v>0</v>
      </c>
      <c r="AY152" s="310" t="n">
        <v>58</v>
      </c>
      <c r="AZ152" s="309" t="n">
        <v>0</v>
      </c>
    </row>
    <row r="153" customFormat="false" ht="12.75" hidden="false" customHeight="false" outlineLevel="0" collapsed="false">
      <c r="A153" s="268"/>
      <c r="B153" s="306" t="s">
        <v>664</v>
      </c>
      <c r="C153" s="305" t="s">
        <v>665</v>
      </c>
      <c r="D153" s="306" t="n">
        <v>48</v>
      </c>
      <c r="E153" s="306" t="n">
        <v>0</v>
      </c>
      <c r="F153" s="324" t="s">
        <v>643</v>
      </c>
      <c r="G153" s="307" t="n">
        <v>24</v>
      </c>
      <c r="H153" s="143" t="n">
        <v>41.3223140495868</v>
      </c>
      <c r="I153" s="410"/>
      <c r="J153" s="311" t="s">
        <v>12</v>
      </c>
      <c r="K153" s="309" t="s">
        <v>12</v>
      </c>
      <c r="L153" s="650"/>
      <c r="M153" s="651" t="n">
        <v>0</v>
      </c>
      <c r="N153" s="652" t="n">
        <v>0.5</v>
      </c>
      <c r="O153" s="651" t="n">
        <v>0</v>
      </c>
      <c r="P153" s="312" t="n">
        <v>0.5</v>
      </c>
      <c r="Q153" s="652" t="n">
        <v>0</v>
      </c>
      <c r="R153" s="312" t="n">
        <v>0.5</v>
      </c>
      <c r="S153" s="310"/>
      <c r="T153" s="651" t="n">
        <v>0</v>
      </c>
      <c r="U153" s="652" t="n">
        <v>0</v>
      </c>
      <c r="V153" s="651" t="n">
        <v>0</v>
      </c>
      <c r="W153" s="652" t="n">
        <v>0</v>
      </c>
      <c r="X153" s="651" t="n">
        <v>0</v>
      </c>
      <c r="Y153" s="312" t="n">
        <v>0</v>
      </c>
      <c r="Z153" s="313" t="n">
        <v>0</v>
      </c>
      <c r="AA153" s="314" t="n">
        <v>0</v>
      </c>
      <c r="AB153" s="313" t="n">
        <v>0</v>
      </c>
      <c r="AC153" s="314" t="n">
        <v>0</v>
      </c>
      <c r="AE153" s="324" t="n">
        <v>7</v>
      </c>
      <c r="AF153" s="315"/>
      <c r="AG153" s="311" t="n">
        <v>0</v>
      </c>
      <c r="AH153" s="309" t="n">
        <v>0</v>
      </c>
      <c r="AI153" s="310"/>
      <c r="AJ153" s="311" t="n">
        <v>36</v>
      </c>
      <c r="AK153" s="309" t="n">
        <v>12</v>
      </c>
      <c r="AL153" s="311" t="n">
        <v>36</v>
      </c>
      <c r="AM153" s="309" t="n">
        <v>12</v>
      </c>
      <c r="AN153" s="311" t="n">
        <v>36</v>
      </c>
      <c r="AO153" s="309" t="n">
        <v>12</v>
      </c>
      <c r="AP153" s="310"/>
      <c r="AQ153" s="311" t="n">
        <v>48</v>
      </c>
      <c r="AR153" s="309" t="n">
        <v>0</v>
      </c>
      <c r="AS153" s="311" t="n">
        <v>48</v>
      </c>
      <c r="AT153" s="309" t="n">
        <v>0</v>
      </c>
      <c r="AU153" s="311" t="n">
        <v>48</v>
      </c>
      <c r="AV153" s="309" t="n">
        <v>0</v>
      </c>
      <c r="AW153" s="310" t="n">
        <v>48</v>
      </c>
      <c r="AX153" s="309" t="n">
        <v>0</v>
      </c>
      <c r="AY153" s="311" t="n">
        <v>48</v>
      </c>
      <c r="AZ153" s="309" t="n">
        <v>0</v>
      </c>
    </row>
    <row r="154" customFormat="false" ht="12.75" hidden="false" customHeight="false" outlineLevel="0" collapsed="false">
      <c r="A154" s="268"/>
      <c r="B154" s="306" t="s">
        <v>664</v>
      </c>
      <c r="C154" s="305" t="s">
        <v>666</v>
      </c>
      <c r="D154" s="306" t="n">
        <v>46</v>
      </c>
      <c r="E154" s="306" t="n">
        <v>0</v>
      </c>
      <c r="F154" s="324" t="s">
        <v>643</v>
      </c>
      <c r="G154" s="144" t="n">
        <v>24</v>
      </c>
      <c r="H154" s="143" t="n">
        <v>41.3223140495868</v>
      </c>
      <c r="I154" s="410"/>
      <c r="J154" s="311" t="s">
        <v>12</v>
      </c>
      <c r="K154" s="309" t="s">
        <v>12</v>
      </c>
      <c r="L154" s="650"/>
      <c r="M154" s="651" t="n">
        <v>0</v>
      </c>
      <c r="N154" s="652" t="n">
        <v>0.5</v>
      </c>
      <c r="O154" s="651" t="n">
        <v>0</v>
      </c>
      <c r="P154" s="312" t="n">
        <v>0.5</v>
      </c>
      <c r="Q154" s="652" t="n">
        <v>0</v>
      </c>
      <c r="R154" s="312" t="n">
        <v>0.5</v>
      </c>
      <c r="S154" s="310"/>
      <c r="T154" s="651" t="n">
        <v>0</v>
      </c>
      <c r="U154" s="652" t="n">
        <v>0</v>
      </c>
      <c r="V154" s="651" t="n">
        <v>0</v>
      </c>
      <c r="W154" s="652" t="n">
        <v>0</v>
      </c>
      <c r="X154" s="651" t="n">
        <v>0</v>
      </c>
      <c r="Y154" s="312" t="n">
        <v>0</v>
      </c>
      <c r="Z154" s="313" t="n">
        <v>0</v>
      </c>
      <c r="AA154" s="314" t="n">
        <v>0</v>
      </c>
      <c r="AB154" s="313" t="n">
        <v>0</v>
      </c>
      <c r="AC154" s="314" t="n">
        <v>0</v>
      </c>
      <c r="AE154" s="324" t="n">
        <v>5</v>
      </c>
      <c r="AF154" s="315"/>
      <c r="AG154" s="311" t="n">
        <v>0</v>
      </c>
      <c r="AH154" s="309" t="n">
        <v>0</v>
      </c>
      <c r="AI154" s="310"/>
      <c r="AJ154" s="311" t="n">
        <v>34</v>
      </c>
      <c r="AK154" s="309" t="n">
        <v>12</v>
      </c>
      <c r="AL154" s="311" t="n">
        <v>34</v>
      </c>
      <c r="AM154" s="309" t="n">
        <v>12</v>
      </c>
      <c r="AN154" s="310" t="n">
        <v>34</v>
      </c>
      <c r="AO154" s="309" t="n">
        <v>12</v>
      </c>
      <c r="AP154" s="310"/>
      <c r="AQ154" s="311" t="n">
        <v>46</v>
      </c>
      <c r="AR154" s="309" t="n">
        <v>0</v>
      </c>
      <c r="AS154" s="311" t="n">
        <v>46</v>
      </c>
      <c r="AT154" s="309" t="n">
        <v>0</v>
      </c>
      <c r="AU154" s="310" t="n">
        <v>46</v>
      </c>
      <c r="AV154" s="309" t="n">
        <v>0</v>
      </c>
      <c r="AW154" s="310" t="n">
        <v>46</v>
      </c>
      <c r="AX154" s="309" t="n">
        <v>0</v>
      </c>
      <c r="AY154" s="310" t="n">
        <v>46</v>
      </c>
      <c r="AZ154" s="309" t="n">
        <v>0</v>
      </c>
    </row>
    <row r="155" customFormat="false" ht="12.75" hidden="false" customHeight="false" outlineLevel="0" collapsed="false">
      <c r="A155" s="268"/>
      <c r="B155" s="306" t="s">
        <v>277</v>
      </c>
      <c r="C155" s="305" t="s">
        <v>667</v>
      </c>
      <c r="D155" s="306" t="n">
        <v>59</v>
      </c>
      <c r="E155" s="306" t="n">
        <v>0</v>
      </c>
      <c r="F155" s="324" t="s">
        <v>643</v>
      </c>
      <c r="G155" s="307" t="n">
        <v>24</v>
      </c>
      <c r="H155" s="143" t="n">
        <v>58.6776859504132</v>
      </c>
      <c r="I155" s="410"/>
      <c r="J155" s="311" t="s">
        <v>12</v>
      </c>
      <c r="K155" s="309" t="s">
        <v>12</v>
      </c>
      <c r="L155" s="650"/>
      <c r="M155" s="651" t="n">
        <v>0</v>
      </c>
      <c r="N155" s="652" t="n">
        <v>0.9</v>
      </c>
      <c r="O155" s="651" t="n">
        <v>0</v>
      </c>
      <c r="P155" s="312" t="n">
        <v>0.9</v>
      </c>
      <c r="Q155" s="652" t="n">
        <v>0</v>
      </c>
      <c r="R155" s="312" t="n">
        <v>0.9</v>
      </c>
      <c r="S155" s="310"/>
      <c r="T155" s="651" t="n">
        <v>0</v>
      </c>
      <c r="U155" s="652" t="n">
        <v>0.9</v>
      </c>
      <c r="V155" s="651" t="n">
        <v>0</v>
      </c>
      <c r="W155" s="652" t="n">
        <v>0.9</v>
      </c>
      <c r="X155" s="651" t="n">
        <v>0</v>
      </c>
      <c r="Y155" s="312" t="n">
        <v>0.9</v>
      </c>
      <c r="Z155" s="313" t="n">
        <v>0</v>
      </c>
      <c r="AA155" s="314" t="n">
        <v>0.8</v>
      </c>
      <c r="AB155" s="313" t="n">
        <v>0</v>
      </c>
      <c r="AC155" s="314" t="n">
        <v>0.8</v>
      </c>
      <c r="AE155" s="324" t="n">
        <v>0</v>
      </c>
      <c r="AF155" s="315"/>
      <c r="AG155" s="311" t="n">
        <v>0</v>
      </c>
      <c r="AH155" s="309" t="n">
        <v>0</v>
      </c>
      <c r="AI155" s="310"/>
      <c r="AJ155" s="311" t="n">
        <v>37</v>
      </c>
      <c r="AK155" s="309" t="n">
        <v>21.6</v>
      </c>
      <c r="AL155" s="311" t="n">
        <v>37</v>
      </c>
      <c r="AM155" s="309" t="n">
        <v>21.6</v>
      </c>
      <c r="AN155" s="311" t="n">
        <v>37</v>
      </c>
      <c r="AO155" s="309" t="n">
        <v>21.6</v>
      </c>
      <c r="AP155" s="310"/>
      <c r="AQ155" s="311" t="n">
        <v>37</v>
      </c>
      <c r="AR155" s="309" t="n">
        <v>21.6</v>
      </c>
      <c r="AS155" s="311" t="n">
        <v>37</v>
      </c>
      <c r="AT155" s="309" t="n">
        <v>21.6</v>
      </c>
      <c r="AU155" s="311" t="n">
        <v>37</v>
      </c>
      <c r="AV155" s="309" t="n">
        <v>21.6</v>
      </c>
      <c r="AW155" s="310" t="n">
        <v>40</v>
      </c>
      <c r="AX155" s="309" t="n">
        <v>19.2</v>
      </c>
      <c r="AY155" s="311" t="n">
        <v>40</v>
      </c>
      <c r="AZ155" s="309" t="n">
        <v>19.2</v>
      </c>
    </row>
    <row r="156" customFormat="false" ht="12.75" hidden="false" customHeight="false" outlineLevel="0" collapsed="false">
      <c r="A156" s="268"/>
      <c r="B156" s="306" t="s">
        <v>679</v>
      </c>
      <c r="C156" s="305" t="s">
        <v>680</v>
      </c>
      <c r="D156" s="306" t="n">
        <v>72</v>
      </c>
      <c r="E156" s="306" t="n">
        <v>0</v>
      </c>
      <c r="F156" s="324" t="s">
        <v>670</v>
      </c>
      <c r="G156" s="144" t="n">
        <v>24</v>
      </c>
      <c r="H156" s="143" t="n">
        <v>82.6446280991736</v>
      </c>
      <c r="I156" s="410"/>
      <c r="J156" s="311" t="s">
        <v>12</v>
      </c>
      <c r="K156" s="309" t="s">
        <v>12</v>
      </c>
      <c r="L156" s="650"/>
      <c r="M156" s="651" t="n">
        <v>0</v>
      </c>
      <c r="N156" s="652" t="n">
        <v>2.5</v>
      </c>
      <c r="O156" s="651" t="n">
        <v>0</v>
      </c>
      <c r="P156" s="312" t="n">
        <v>2.5</v>
      </c>
      <c r="Q156" s="652" t="n">
        <v>0</v>
      </c>
      <c r="R156" s="312" t="n">
        <v>2.5</v>
      </c>
      <c r="S156" s="310"/>
      <c r="T156" s="651" t="n">
        <v>0</v>
      </c>
      <c r="U156" s="652" t="n">
        <v>2.5</v>
      </c>
      <c r="V156" s="651" t="n">
        <v>0</v>
      </c>
      <c r="W156" s="652" t="n">
        <v>2.5</v>
      </c>
      <c r="X156" s="651" t="n">
        <v>0</v>
      </c>
      <c r="Y156" s="312" t="n">
        <v>2.5</v>
      </c>
      <c r="Z156" s="313" t="n">
        <v>0</v>
      </c>
      <c r="AA156" s="314" t="n">
        <v>2.5</v>
      </c>
      <c r="AB156" s="313" t="n">
        <v>0</v>
      </c>
      <c r="AC156" s="314" t="n">
        <v>2.5</v>
      </c>
      <c r="AE156" s="324" t="n">
        <v>-11</v>
      </c>
      <c r="AF156" s="315"/>
      <c r="AG156" s="311" t="n">
        <v>0</v>
      </c>
      <c r="AH156" s="309" t="n">
        <v>0</v>
      </c>
      <c r="AI156" s="310"/>
      <c r="AJ156" s="311" t="n">
        <v>12</v>
      </c>
      <c r="AK156" s="309" t="n">
        <v>60</v>
      </c>
      <c r="AL156" s="311" t="n">
        <v>12</v>
      </c>
      <c r="AM156" s="309" t="n">
        <v>60</v>
      </c>
      <c r="AN156" s="310" t="n">
        <v>12</v>
      </c>
      <c r="AO156" s="309" t="n">
        <v>60</v>
      </c>
      <c r="AP156" s="310"/>
      <c r="AQ156" s="311" t="n">
        <v>12</v>
      </c>
      <c r="AR156" s="309" t="n">
        <v>60</v>
      </c>
      <c r="AS156" s="311" t="n">
        <v>12</v>
      </c>
      <c r="AT156" s="309" t="n">
        <v>60</v>
      </c>
      <c r="AU156" s="310" t="n">
        <v>12</v>
      </c>
      <c r="AV156" s="309" t="n">
        <v>60</v>
      </c>
      <c r="AW156" s="310" t="n">
        <v>12</v>
      </c>
      <c r="AX156" s="309" t="n">
        <v>60</v>
      </c>
      <c r="AY156" s="310" t="n">
        <v>12</v>
      </c>
      <c r="AZ156" s="309" t="n">
        <v>60</v>
      </c>
      <c r="BA156" s="2"/>
      <c r="BB156" s="2"/>
      <c r="BC156" s="2"/>
      <c r="BD156" s="2"/>
      <c r="BE156" s="2"/>
    </row>
    <row r="157" customFormat="false" ht="12.75" hidden="false" customHeight="false" outlineLevel="0" collapsed="false">
      <c r="A157" s="268"/>
      <c r="B157" s="306" t="s">
        <v>679</v>
      </c>
      <c r="C157" s="305" t="s">
        <v>681</v>
      </c>
      <c r="D157" s="306" t="n">
        <v>83</v>
      </c>
      <c r="E157" s="306" t="n">
        <v>0</v>
      </c>
      <c r="F157" s="324" t="s">
        <v>670</v>
      </c>
      <c r="G157" s="307" t="n">
        <v>24</v>
      </c>
      <c r="H157" s="143" t="n">
        <v>90.9090909090909</v>
      </c>
      <c r="I157" s="410"/>
      <c r="J157" s="311" t="s">
        <v>12</v>
      </c>
      <c r="K157" s="309" t="s">
        <v>12</v>
      </c>
      <c r="L157" s="650"/>
      <c r="M157" s="651" t="n">
        <v>0</v>
      </c>
      <c r="N157" s="652" t="n">
        <v>3.4</v>
      </c>
      <c r="O157" s="651" t="n">
        <v>0</v>
      </c>
      <c r="P157" s="312" t="n">
        <v>3.4</v>
      </c>
      <c r="Q157" s="652" t="n">
        <v>0</v>
      </c>
      <c r="R157" s="312" t="n">
        <v>3.4</v>
      </c>
      <c r="S157" s="310"/>
      <c r="T157" s="651" t="n">
        <v>0</v>
      </c>
      <c r="U157" s="652" t="n">
        <v>3.4</v>
      </c>
      <c r="V157" s="651" t="n">
        <v>0</v>
      </c>
      <c r="W157" s="652" t="n">
        <v>3.4</v>
      </c>
      <c r="X157" s="651" t="n">
        <v>0</v>
      </c>
      <c r="Y157" s="312" t="n">
        <v>3.4</v>
      </c>
      <c r="Z157" s="313" t="n">
        <v>0</v>
      </c>
      <c r="AA157" s="314" t="n">
        <v>3.3</v>
      </c>
      <c r="AB157" s="313" t="n">
        <v>0</v>
      </c>
      <c r="AC157" s="314" t="n">
        <v>3.3</v>
      </c>
      <c r="AE157" s="324" t="n">
        <v>-8</v>
      </c>
      <c r="AF157" s="315"/>
      <c r="AG157" s="311" t="n">
        <v>0</v>
      </c>
      <c r="AH157" s="309" t="n">
        <v>0</v>
      </c>
      <c r="AI157" s="310"/>
      <c r="AJ157" s="311" t="n">
        <v>1</v>
      </c>
      <c r="AK157" s="309" t="n">
        <v>81.6</v>
      </c>
      <c r="AL157" s="311" t="n">
        <v>1</v>
      </c>
      <c r="AM157" s="309" t="n">
        <v>81.6</v>
      </c>
      <c r="AN157" s="311" t="n">
        <v>1</v>
      </c>
      <c r="AO157" s="309" t="n">
        <v>81.6</v>
      </c>
      <c r="AP157" s="310"/>
      <c r="AQ157" s="311" t="n">
        <v>1</v>
      </c>
      <c r="AR157" s="309" t="n">
        <v>81.6</v>
      </c>
      <c r="AS157" s="311" t="n">
        <v>1</v>
      </c>
      <c r="AT157" s="309" t="n">
        <v>81.6</v>
      </c>
      <c r="AU157" s="311" t="n">
        <v>1</v>
      </c>
      <c r="AV157" s="309" t="n">
        <v>81.6</v>
      </c>
      <c r="AW157" s="310" t="n">
        <v>4</v>
      </c>
      <c r="AX157" s="309" t="n">
        <v>79.2</v>
      </c>
      <c r="AY157" s="311" t="n">
        <v>4</v>
      </c>
      <c r="AZ157" s="309" t="n">
        <v>79.2</v>
      </c>
      <c r="BA157" s="2"/>
      <c r="BB157" s="2"/>
      <c r="BC157" s="2"/>
      <c r="BD157" s="2"/>
      <c r="BE157" s="2"/>
    </row>
    <row r="158" customFormat="false" ht="12.75" hidden="false" customHeight="false" outlineLevel="0" collapsed="false">
      <c r="A158" s="268"/>
      <c r="B158" s="306" t="s">
        <v>683</v>
      </c>
      <c r="C158" s="305" t="s">
        <v>685</v>
      </c>
      <c r="D158" s="306" t="n">
        <v>148</v>
      </c>
      <c r="E158" s="306" t="n">
        <v>0</v>
      </c>
      <c r="F158" s="324" t="s">
        <v>670</v>
      </c>
      <c r="G158" s="144" t="n">
        <v>24</v>
      </c>
      <c r="H158" s="143" t="n">
        <v>91.7355371900826</v>
      </c>
      <c r="I158" s="410"/>
      <c r="J158" s="311" t="s">
        <v>12</v>
      </c>
      <c r="K158" s="309" t="s">
        <v>12</v>
      </c>
      <c r="L158" s="650"/>
      <c r="M158" s="651" t="n">
        <v>0</v>
      </c>
      <c r="N158" s="652" t="n">
        <v>3.6</v>
      </c>
      <c r="O158" s="651" t="n">
        <v>0</v>
      </c>
      <c r="P158" s="312" t="n">
        <v>1.1</v>
      </c>
      <c r="Q158" s="652" t="n">
        <v>0</v>
      </c>
      <c r="R158" s="312" t="n">
        <v>0.3</v>
      </c>
      <c r="S158" s="310"/>
      <c r="T158" s="651" t="n">
        <v>0</v>
      </c>
      <c r="U158" s="652" t="n">
        <v>3.6</v>
      </c>
      <c r="V158" s="651" t="n">
        <v>0</v>
      </c>
      <c r="W158" s="652" t="n">
        <v>0.9</v>
      </c>
      <c r="X158" s="651" t="n">
        <v>0</v>
      </c>
      <c r="Y158" s="312" t="n">
        <v>0.9</v>
      </c>
      <c r="Z158" s="313" t="n">
        <v>0</v>
      </c>
      <c r="AA158" s="314" t="n">
        <v>0.8</v>
      </c>
      <c r="AB158" s="313" t="n">
        <v>0</v>
      </c>
      <c r="AC158" s="314" t="n">
        <v>0.8</v>
      </c>
      <c r="AE158" s="324" t="n">
        <v>56</v>
      </c>
      <c r="AF158" s="315"/>
      <c r="AG158" s="311" t="n">
        <v>0</v>
      </c>
      <c r="AH158" s="309" t="n">
        <v>0</v>
      </c>
      <c r="AI158" s="310"/>
      <c r="AJ158" s="311" t="n">
        <v>62</v>
      </c>
      <c r="AK158" s="309" t="n">
        <v>86.4</v>
      </c>
      <c r="AL158" s="311" t="n">
        <v>122</v>
      </c>
      <c r="AM158" s="309" t="n">
        <v>26.4</v>
      </c>
      <c r="AN158" s="310" t="n">
        <v>141</v>
      </c>
      <c r="AO158" s="309" t="n">
        <v>7.2</v>
      </c>
      <c r="AP158" s="310"/>
      <c r="AQ158" s="311" t="n">
        <v>62</v>
      </c>
      <c r="AR158" s="309" t="n">
        <v>86.4</v>
      </c>
      <c r="AS158" s="311" t="n">
        <v>126</v>
      </c>
      <c r="AT158" s="309" t="n">
        <v>21.6</v>
      </c>
      <c r="AU158" s="310" t="n">
        <v>126</v>
      </c>
      <c r="AV158" s="309" t="n">
        <v>21.6</v>
      </c>
      <c r="AW158" s="310" t="n">
        <v>129</v>
      </c>
      <c r="AX158" s="309" t="n">
        <v>19.2</v>
      </c>
      <c r="AY158" s="310" t="n">
        <v>129</v>
      </c>
      <c r="AZ158" s="309" t="n">
        <v>19.2</v>
      </c>
    </row>
    <row r="159" customFormat="false" ht="12.75" hidden="false" customHeight="false" outlineLevel="0" collapsed="false">
      <c r="A159" s="268"/>
      <c r="B159" s="306" t="s">
        <v>683</v>
      </c>
      <c r="C159" s="305" t="s">
        <v>685</v>
      </c>
      <c r="D159" s="306" t="n">
        <v>148</v>
      </c>
      <c r="E159" s="306" t="n">
        <v>0</v>
      </c>
      <c r="F159" s="324" t="s">
        <v>670</v>
      </c>
      <c r="G159" s="307" t="n">
        <v>48</v>
      </c>
      <c r="H159" s="143" t="n">
        <v>91.7355371900826</v>
      </c>
      <c r="I159" s="410"/>
      <c r="J159" s="311" t="s">
        <v>12</v>
      </c>
      <c r="K159" s="309" t="s">
        <v>12</v>
      </c>
      <c r="L159" s="650"/>
      <c r="M159" s="651" t="n">
        <v>0</v>
      </c>
      <c r="N159" s="652" t="n">
        <v>1.8</v>
      </c>
      <c r="O159" s="651" t="n">
        <v>0</v>
      </c>
      <c r="P159" s="312" t="n">
        <v>0.6</v>
      </c>
      <c r="Q159" s="652" t="n">
        <v>0</v>
      </c>
      <c r="R159" s="312" t="n">
        <v>0.2</v>
      </c>
      <c r="S159" s="310"/>
      <c r="T159" s="651" t="n">
        <v>0</v>
      </c>
      <c r="U159" s="652" t="n">
        <v>1.8</v>
      </c>
      <c r="V159" s="651" t="n">
        <v>0</v>
      </c>
      <c r="W159" s="652" t="n">
        <v>0.5</v>
      </c>
      <c r="X159" s="651" t="n">
        <v>0</v>
      </c>
      <c r="Y159" s="312" t="n">
        <v>0.5</v>
      </c>
      <c r="Z159" s="313" t="n">
        <v>0</v>
      </c>
      <c r="AA159" s="314" t="n">
        <v>0.4</v>
      </c>
      <c r="AB159" s="313" t="n">
        <v>0</v>
      </c>
      <c r="AC159" s="314" t="n">
        <v>0.4</v>
      </c>
      <c r="AE159" s="324" t="n">
        <v>56</v>
      </c>
      <c r="AF159" s="315"/>
      <c r="AG159" s="311" t="n">
        <v>0</v>
      </c>
      <c r="AH159" s="309" t="n">
        <v>0</v>
      </c>
      <c r="AI159" s="310"/>
      <c r="AJ159" s="311" t="n">
        <v>62</v>
      </c>
      <c r="AK159" s="309" t="n">
        <v>86.4</v>
      </c>
      <c r="AL159" s="311" t="n">
        <v>119</v>
      </c>
      <c r="AM159" s="309" t="n">
        <v>28.8</v>
      </c>
      <c r="AN159" s="311" t="n">
        <v>138</v>
      </c>
      <c r="AO159" s="309" t="n">
        <v>9.6</v>
      </c>
      <c r="AP159" s="310"/>
      <c r="AQ159" s="311" t="n">
        <v>62</v>
      </c>
      <c r="AR159" s="309" t="n">
        <v>86.4</v>
      </c>
      <c r="AS159" s="311" t="n">
        <v>124</v>
      </c>
      <c r="AT159" s="309" t="n">
        <v>24</v>
      </c>
      <c r="AU159" s="311" t="n">
        <v>124</v>
      </c>
      <c r="AV159" s="309" t="n">
        <v>24</v>
      </c>
      <c r="AW159" s="310" t="n">
        <v>129</v>
      </c>
      <c r="AX159" s="309" t="n">
        <v>19.2</v>
      </c>
      <c r="AY159" s="311" t="n">
        <v>129</v>
      </c>
      <c r="AZ159" s="309" t="n">
        <v>19.2</v>
      </c>
    </row>
    <row r="160" customFormat="false" ht="12.75" hidden="false" customHeight="false" outlineLevel="0" collapsed="false">
      <c r="A160" s="268"/>
      <c r="B160" s="306" t="s">
        <v>497</v>
      </c>
      <c r="C160" s="305" t="s">
        <v>688</v>
      </c>
      <c r="D160" s="306" t="n">
        <v>116</v>
      </c>
      <c r="E160" s="306" t="n">
        <v>0</v>
      </c>
      <c r="F160" s="324" t="s">
        <v>670</v>
      </c>
      <c r="G160" s="144" t="n">
        <v>24</v>
      </c>
      <c r="H160" s="143" t="n">
        <v>85.1239669421488</v>
      </c>
      <c r="I160" s="410"/>
      <c r="J160" s="311" t="s">
        <v>12</v>
      </c>
      <c r="K160" s="309" t="s">
        <v>12</v>
      </c>
      <c r="L160" s="650"/>
      <c r="M160" s="651" t="n">
        <v>0</v>
      </c>
      <c r="N160" s="652" t="n">
        <v>1</v>
      </c>
      <c r="O160" s="651" t="n">
        <v>0</v>
      </c>
      <c r="P160" s="312" t="n">
        <v>1</v>
      </c>
      <c r="Q160" s="652" t="n">
        <v>0</v>
      </c>
      <c r="R160" s="312" t="n">
        <v>0</v>
      </c>
      <c r="S160" s="310"/>
      <c r="T160" s="651" t="n">
        <v>0</v>
      </c>
      <c r="U160" s="652" t="n">
        <v>0.9</v>
      </c>
      <c r="V160" s="651" t="n">
        <v>0</v>
      </c>
      <c r="W160" s="652" t="n">
        <v>0.9</v>
      </c>
      <c r="X160" s="651" t="n">
        <v>0</v>
      </c>
      <c r="Y160" s="312" t="n">
        <v>0.9</v>
      </c>
      <c r="Z160" s="313" t="n">
        <v>0</v>
      </c>
      <c r="AA160" s="314" t="n">
        <v>0.8</v>
      </c>
      <c r="AB160" s="313" t="n">
        <v>0</v>
      </c>
      <c r="AC160" s="314" t="n">
        <v>0.8</v>
      </c>
      <c r="AE160" s="324" t="n">
        <v>31</v>
      </c>
      <c r="AF160" s="315"/>
      <c r="AG160" s="311" t="n">
        <v>0</v>
      </c>
      <c r="AH160" s="309" t="n">
        <v>0</v>
      </c>
      <c r="AI160" s="310"/>
      <c r="AJ160" s="311" t="n">
        <v>92</v>
      </c>
      <c r="AK160" s="309" t="n">
        <v>24</v>
      </c>
      <c r="AL160" s="311" t="n">
        <v>92</v>
      </c>
      <c r="AM160" s="309" t="n">
        <v>24</v>
      </c>
      <c r="AN160" s="310" t="n">
        <v>116</v>
      </c>
      <c r="AO160" s="309" t="n">
        <v>0</v>
      </c>
      <c r="AP160" s="310"/>
      <c r="AQ160" s="311" t="n">
        <v>94</v>
      </c>
      <c r="AR160" s="309" t="n">
        <v>21.6</v>
      </c>
      <c r="AS160" s="311" t="n">
        <v>94</v>
      </c>
      <c r="AT160" s="309" t="n">
        <v>21.6</v>
      </c>
      <c r="AU160" s="310" t="n">
        <v>94</v>
      </c>
      <c r="AV160" s="309" t="n">
        <v>21.6</v>
      </c>
      <c r="AW160" s="310" t="n">
        <v>97</v>
      </c>
      <c r="AX160" s="309" t="n">
        <v>19.2</v>
      </c>
      <c r="AY160" s="310" t="n">
        <v>97</v>
      </c>
      <c r="AZ160" s="309" t="n">
        <v>19.2</v>
      </c>
    </row>
    <row r="161" customFormat="false" ht="12.75" hidden="false" customHeight="false" outlineLevel="0" collapsed="false">
      <c r="A161" s="268"/>
      <c r="B161" s="306" t="s">
        <v>200</v>
      </c>
      <c r="C161" s="305" t="s">
        <v>689</v>
      </c>
      <c r="D161" s="306" t="n">
        <v>215</v>
      </c>
      <c r="E161" s="306" t="n">
        <v>0</v>
      </c>
      <c r="F161" s="324" t="s">
        <v>670</v>
      </c>
      <c r="G161" s="307" t="n">
        <v>24</v>
      </c>
      <c r="H161" s="143" t="n">
        <v>214.04958677686</v>
      </c>
      <c r="I161" s="410"/>
      <c r="J161" s="311" t="s">
        <v>12</v>
      </c>
      <c r="K161" s="309" t="s">
        <v>12</v>
      </c>
      <c r="L161" s="650"/>
      <c r="M161" s="651" t="s">
        <v>12</v>
      </c>
      <c r="N161" s="652" t="s">
        <v>12</v>
      </c>
      <c r="O161" s="651" t="s">
        <v>12</v>
      </c>
      <c r="P161" s="312" t="s">
        <v>12</v>
      </c>
      <c r="Q161" s="652" t="s">
        <v>12</v>
      </c>
      <c r="R161" s="312" t="s">
        <v>12</v>
      </c>
      <c r="S161" s="310"/>
      <c r="T161" s="651" t="n">
        <v>0</v>
      </c>
      <c r="U161" s="652" t="n">
        <v>7.7</v>
      </c>
      <c r="V161" s="651" t="n">
        <v>0</v>
      </c>
      <c r="W161" s="652" t="n">
        <v>4.2</v>
      </c>
      <c r="X161" s="651" t="n">
        <v>0</v>
      </c>
      <c r="Y161" s="312" t="n">
        <v>4.2</v>
      </c>
      <c r="Z161" s="313" t="n">
        <v>0</v>
      </c>
      <c r="AA161" s="314" t="n">
        <v>5</v>
      </c>
      <c r="AB161" s="313" t="n">
        <v>0</v>
      </c>
      <c r="AC161" s="314" t="n">
        <v>5</v>
      </c>
      <c r="AE161" s="324" t="n">
        <v>1</v>
      </c>
      <c r="AF161" s="315"/>
      <c r="AG161" s="311" t="n">
        <v>0</v>
      </c>
      <c r="AH161" s="309" t="n">
        <v>0</v>
      </c>
      <c r="AI161" s="310"/>
      <c r="AJ161" s="311" t="s">
        <v>12</v>
      </c>
      <c r="AK161" s="309" t="s">
        <v>12</v>
      </c>
      <c r="AL161" s="311" t="s">
        <v>12</v>
      </c>
      <c r="AM161" s="309" t="s">
        <v>12</v>
      </c>
      <c r="AN161" s="311" t="s">
        <v>12</v>
      </c>
      <c r="AO161" s="309" t="s">
        <v>12</v>
      </c>
      <c r="AP161" s="310"/>
      <c r="AQ161" s="311" t="n">
        <v>30</v>
      </c>
      <c r="AR161" s="309" t="n">
        <v>184.8</v>
      </c>
      <c r="AS161" s="311" t="n">
        <v>114</v>
      </c>
      <c r="AT161" s="309" t="n">
        <v>100.8</v>
      </c>
      <c r="AU161" s="311" t="n">
        <v>114</v>
      </c>
      <c r="AV161" s="309" t="n">
        <v>100.8</v>
      </c>
      <c r="AW161" s="310" t="n">
        <v>95</v>
      </c>
      <c r="AX161" s="309" t="n">
        <v>120</v>
      </c>
      <c r="AY161" s="311" t="n">
        <v>95</v>
      </c>
      <c r="AZ161" s="309" t="n">
        <v>120</v>
      </c>
    </row>
    <row r="162" customFormat="false" ht="12.75" hidden="false" customHeight="false" outlineLevel="0" collapsed="false">
      <c r="A162" s="268"/>
      <c r="B162" s="306" t="s">
        <v>200</v>
      </c>
      <c r="C162" s="305" t="s">
        <v>689</v>
      </c>
      <c r="D162" s="306" t="n">
        <v>215</v>
      </c>
      <c r="E162" s="306" t="n">
        <v>0</v>
      </c>
      <c r="F162" s="324" t="s">
        <v>670</v>
      </c>
      <c r="G162" s="144" t="n">
        <v>48</v>
      </c>
      <c r="H162" s="143" t="n">
        <v>214.04958677686</v>
      </c>
      <c r="I162" s="410"/>
      <c r="J162" s="311" t="s">
        <v>12</v>
      </c>
      <c r="K162" s="309" t="s">
        <v>12</v>
      </c>
      <c r="L162" s="650"/>
      <c r="M162" s="651" t="s">
        <v>12</v>
      </c>
      <c r="N162" s="652" t="s">
        <v>12</v>
      </c>
      <c r="O162" s="651" t="s">
        <v>12</v>
      </c>
      <c r="P162" s="312" t="s">
        <v>12</v>
      </c>
      <c r="Q162" s="652" t="s">
        <v>12</v>
      </c>
      <c r="R162" s="312" t="s">
        <v>12</v>
      </c>
      <c r="S162" s="310"/>
      <c r="T162" s="651" t="n">
        <v>0</v>
      </c>
      <c r="U162" s="652" t="n">
        <v>3.9</v>
      </c>
      <c r="V162" s="651" t="n">
        <v>0</v>
      </c>
      <c r="W162" s="652" t="n">
        <v>2.1</v>
      </c>
      <c r="X162" s="651" t="n">
        <v>0</v>
      </c>
      <c r="Y162" s="312" t="n">
        <v>2.1</v>
      </c>
      <c r="Z162" s="313" t="n">
        <v>0</v>
      </c>
      <c r="AA162" s="314" t="n">
        <v>2.5</v>
      </c>
      <c r="AB162" s="313" t="n">
        <v>0</v>
      </c>
      <c r="AC162" s="314" t="n">
        <v>2.5</v>
      </c>
      <c r="AE162" s="324" t="n">
        <v>1</v>
      </c>
      <c r="AF162" s="315"/>
      <c r="AG162" s="311" t="n">
        <v>0</v>
      </c>
      <c r="AH162" s="309" t="n">
        <v>0</v>
      </c>
      <c r="AI162" s="310"/>
      <c r="AJ162" s="311" t="s">
        <v>12</v>
      </c>
      <c r="AK162" s="309" t="s">
        <v>12</v>
      </c>
      <c r="AL162" s="311" t="s">
        <v>12</v>
      </c>
      <c r="AM162" s="309" t="s">
        <v>12</v>
      </c>
      <c r="AN162" s="310" t="s">
        <v>12</v>
      </c>
      <c r="AO162" s="309" t="s">
        <v>12</v>
      </c>
      <c r="AP162" s="310"/>
      <c r="AQ162" s="311" t="n">
        <v>28</v>
      </c>
      <c r="AR162" s="309" t="n">
        <v>187.2</v>
      </c>
      <c r="AS162" s="311" t="n">
        <v>114</v>
      </c>
      <c r="AT162" s="309" t="n">
        <v>100.8</v>
      </c>
      <c r="AU162" s="310" t="n">
        <v>114</v>
      </c>
      <c r="AV162" s="309" t="n">
        <v>100.8</v>
      </c>
      <c r="AW162" s="310" t="n">
        <v>95</v>
      </c>
      <c r="AX162" s="309" t="n">
        <v>120</v>
      </c>
      <c r="AY162" s="310" t="n">
        <v>95</v>
      </c>
      <c r="AZ162" s="309" t="n">
        <v>120</v>
      </c>
    </row>
    <row r="163" customFormat="false" ht="12.75" hidden="false" customHeight="false" outlineLevel="0" collapsed="false">
      <c r="A163" s="268"/>
      <c r="B163" s="306" t="s">
        <v>497</v>
      </c>
      <c r="C163" s="305" t="s">
        <v>690</v>
      </c>
      <c r="D163" s="306" t="n">
        <v>188</v>
      </c>
      <c r="E163" s="306" t="n">
        <v>0</v>
      </c>
      <c r="F163" s="324" t="s">
        <v>670</v>
      </c>
      <c r="G163" s="307" t="n">
        <v>24</v>
      </c>
      <c r="H163" s="143" t="n">
        <v>172.727272727273</v>
      </c>
      <c r="I163" s="410"/>
      <c r="J163" s="311"/>
      <c r="K163" s="309"/>
      <c r="L163" s="650"/>
      <c r="M163" s="311" t="s">
        <v>12</v>
      </c>
      <c r="N163" s="653" t="s">
        <v>12</v>
      </c>
      <c r="O163" s="311" t="s">
        <v>12</v>
      </c>
      <c r="P163" s="328" t="s">
        <v>12</v>
      </c>
      <c r="Q163" s="310" t="s">
        <v>12</v>
      </c>
      <c r="R163" s="328" t="s">
        <v>12</v>
      </c>
      <c r="S163" s="310"/>
      <c r="T163" s="651" t="n">
        <v>0</v>
      </c>
      <c r="U163" s="652" t="n">
        <v>6</v>
      </c>
      <c r="V163" s="651" t="n">
        <v>0</v>
      </c>
      <c r="W163" s="652" t="n">
        <v>3.4</v>
      </c>
      <c r="X163" s="651" t="n">
        <v>0</v>
      </c>
      <c r="Y163" s="312" t="n">
        <v>3.4</v>
      </c>
      <c r="Z163" s="313" t="n">
        <v>0</v>
      </c>
      <c r="AA163" s="314" t="n">
        <v>3.3</v>
      </c>
      <c r="AB163" s="313" t="n">
        <v>0</v>
      </c>
      <c r="AC163" s="314" t="n">
        <v>3.3</v>
      </c>
      <c r="AE163" s="324" t="n">
        <v>15</v>
      </c>
      <c r="AF163" s="315"/>
      <c r="AG163" s="311"/>
      <c r="AH163" s="309"/>
      <c r="AI163" s="310"/>
      <c r="AJ163" s="311" t="s">
        <v>12</v>
      </c>
      <c r="AK163" s="309" t="s">
        <v>12</v>
      </c>
      <c r="AL163" s="311" t="s">
        <v>12</v>
      </c>
      <c r="AM163" s="309" t="s">
        <v>12</v>
      </c>
      <c r="AN163" s="311" t="s">
        <v>12</v>
      </c>
      <c r="AO163" s="309" t="s">
        <v>12</v>
      </c>
      <c r="AP163" s="310"/>
      <c r="AQ163" s="311" t="n">
        <v>44</v>
      </c>
      <c r="AR163" s="309" t="n">
        <v>144</v>
      </c>
      <c r="AS163" s="311" t="n">
        <v>106</v>
      </c>
      <c r="AT163" s="309" t="n">
        <v>81.6</v>
      </c>
      <c r="AU163" s="311" t="n">
        <v>106</v>
      </c>
      <c r="AV163" s="309" t="n">
        <v>81.6</v>
      </c>
      <c r="AW163" s="310" t="n">
        <v>109</v>
      </c>
      <c r="AX163" s="309" t="n">
        <v>79.2</v>
      </c>
      <c r="AY163" s="311" t="n">
        <v>109</v>
      </c>
      <c r="AZ163" s="309" t="n">
        <v>79.2</v>
      </c>
    </row>
    <row r="164" customFormat="false" ht="12.75" hidden="false" customHeight="false" outlineLevel="0" collapsed="false">
      <c r="A164" s="268"/>
      <c r="B164" s="306" t="s">
        <v>497</v>
      </c>
      <c r="C164" s="305" t="s">
        <v>690</v>
      </c>
      <c r="D164" s="306" t="n">
        <v>188</v>
      </c>
      <c r="E164" s="306" t="n">
        <v>0</v>
      </c>
      <c r="F164" s="324" t="s">
        <v>670</v>
      </c>
      <c r="G164" s="144" t="n">
        <v>48</v>
      </c>
      <c r="H164" s="143" t="n">
        <v>172.727272727273</v>
      </c>
      <c r="I164" s="410"/>
      <c r="J164" s="311"/>
      <c r="K164" s="309"/>
      <c r="L164" s="650"/>
      <c r="M164" s="311" t="s">
        <v>12</v>
      </c>
      <c r="N164" s="653" t="s">
        <v>12</v>
      </c>
      <c r="O164" s="311" t="s">
        <v>12</v>
      </c>
      <c r="P164" s="328" t="s">
        <v>12</v>
      </c>
      <c r="Q164" s="310" t="s">
        <v>12</v>
      </c>
      <c r="R164" s="328" t="s">
        <v>12</v>
      </c>
      <c r="S164" s="310"/>
      <c r="T164" s="651" t="n">
        <v>0</v>
      </c>
      <c r="U164" s="652" t="n">
        <v>3</v>
      </c>
      <c r="V164" s="651" t="n">
        <v>0</v>
      </c>
      <c r="W164" s="652" t="n">
        <v>1.7</v>
      </c>
      <c r="X164" s="651" t="n">
        <v>0</v>
      </c>
      <c r="Y164" s="312" t="n">
        <v>1.7</v>
      </c>
      <c r="Z164" s="313" t="n">
        <v>0</v>
      </c>
      <c r="AA164" s="314" t="n">
        <v>1.7</v>
      </c>
      <c r="AB164" s="313" t="n">
        <v>0</v>
      </c>
      <c r="AC164" s="314" t="n">
        <v>1.7</v>
      </c>
      <c r="AE164" s="324" t="n">
        <v>15</v>
      </c>
      <c r="AF164" s="315"/>
      <c r="AG164" s="311"/>
      <c r="AH164" s="309"/>
      <c r="AI164" s="310"/>
      <c r="AJ164" s="311" t="s">
        <v>12</v>
      </c>
      <c r="AK164" s="309" t="s">
        <v>12</v>
      </c>
      <c r="AL164" s="311" t="s">
        <v>12</v>
      </c>
      <c r="AM164" s="309" t="s">
        <v>12</v>
      </c>
      <c r="AN164" s="310" t="s">
        <v>12</v>
      </c>
      <c r="AO164" s="309" t="s">
        <v>12</v>
      </c>
      <c r="AP164" s="310"/>
      <c r="AQ164" s="311" t="n">
        <v>44</v>
      </c>
      <c r="AR164" s="309" t="n">
        <v>144</v>
      </c>
      <c r="AS164" s="311" t="n">
        <v>106</v>
      </c>
      <c r="AT164" s="309" t="n">
        <v>81.6</v>
      </c>
      <c r="AU164" s="310" t="n">
        <v>106</v>
      </c>
      <c r="AV164" s="309" t="n">
        <v>81.6</v>
      </c>
      <c r="AW164" s="310" t="n">
        <v>106</v>
      </c>
      <c r="AX164" s="309" t="n">
        <v>81.6</v>
      </c>
      <c r="AY164" s="310" t="n">
        <v>106</v>
      </c>
      <c r="AZ164" s="309" t="n">
        <v>81.6</v>
      </c>
    </row>
    <row r="165" customFormat="false" ht="12.75" hidden="false" customHeight="false" outlineLevel="0" collapsed="false">
      <c r="A165" s="268"/>
      <c r="B165" s="306" t="s">
        <v>692</v>
      </c>
      <c r="C165" s="327" t="s">
        <v>693</v>
      </c>
      <c r="D165" s="306" t="n">
        <v>324</v>
      </c>
      <c r="E165" s="306" t="n">
        <v>0</v>
      </c>
      <c r="F165" s="324" t="s">
        <v>670</v>
      </c>
      <c r="G165" s="307" t="n">
        <v>24</v>
      </c>
      <c r="H165" s="143" t="n">
        <v>298.347107438017</v>
      </c>
      <c r="I165" s="410"/>
      <c r="J165" s="311" t="s">
        <v>12</v>
      </c>
      <c r="K165" s="309" t="s">
        <v>12</v>
      </c>
      <c r="L165" s="650"/>
      <c r="M165" s="651" t="s">
        <v>12</v>
      </c>
      <c r="N165" s="652" t="s">
        <v>12</v>
      </c>
      <c r="O165" s="651" t="s">
        <v>12</v>
      </c>
      <c r="P165" s="312" t="s">
        <v>12</v>
      </c>
      <c r="Q165" s="652" t="s">
        <v>12</v>
      </c>
      <c r="R165" s="312" t="s">
        <v>12</v>
      </c>
      <c r="S165" s="310"/>
      <c r="T165" s="651" t="n">
        <v>0</v>
      </c>
      <c r="U165" s="652" t="n">
        <v>9.8</v>
      </c>
      <c r="V165" s="651" t="n">
        <v>0</v>
      </c>
      <c r="W165" s="652" t="n">
        <v>7.5</v>
      </c>
      <c r="X165" s="651" t="n">
        <v>0</v>
      </c>
      <c r="Y165" s="312" t="n">
        <v>7.5</v>
      </c>
      <c r="Z165" s="313" t="n">
        <v>0</v>
      </c>
      <c r="AA165" s="314" t="n">
        <v>7.4</v>
      </c>
      <c r="AB165" s="313" t="n">
        <v>0</v>
      </c>
      <c r="AC165" s="314" t="n">
        <v>7.4</v>
      </c>
      <c r="AE165" s="324" t="n">
        <v>26</v>
      </c>
      <c r="AF165" s="315"/>
      <c r="AG165" s="311" t="n">
        <v>0</v>
      </c>
      <c r="AH165" s="309" t="n">
        <v>0</v>
      </c>
      <c r="AI165" s="310"/>
      <c r="AJ165" s="311" t="s">
        <v>12</v>
      </c>
      <c r="AK165" s="309" t="s">
        <v>12</v>
      </c>
      <c r="AL165" s="311" t="s">
        <v>12</v>
      </c>
      <c r="AM165" s="309" t="s">
        <v>12</v>
      </c>
      <c r="AN165" s="311" t="s">
        <v>12</v>
      </c>
      <c r="AO165" s="309" t="s">
        <v>12</v>
      </c>
      <c r="AP165" s="310"/>
      <c r="AQ165" s="311" t="n">
        <v>89</v>
      </c>
      <c r="AR165" s="309" t="n">
        <v>235.2</v>
      </c>
      <c r="AS165" s="311" t="n">
        <v>144</v>
      </c>
      <c r="AT165" s="309" t="n">
        <v>180</v>
      </c>
      <c r="AU165" s="311" t="n">
        <v>144</v>
      </c>
      <c r="AV165" s="309" t="n">
        <v>180</v>
      </c>
      <c r="AW165" s="310" t="n">
        <v>146</v>
      </c>
      <c r="AX165" s="309" t="n">
        <v>177.6</v>
      </c>
      <c r="AY165" s="311" t="n">
        <v>146</v>
      </c>
      <c r="AZ165" s="309" t="n">
        <v>177.6</v>
      </c>
    </row>
    <row r="166" customFormat="false" ht="12.75" hidden="false" customHeight="false" outlineLevel="0" collapsed="false">
      <c r="A166" s="268"/>
      <c r="B166" s="306" t="s">
        <v>692</v>
      </c>
      <c r="C166" s="327" t="s">
        <v>693</v>
      </c>
      <c r="D166" s="306" t="n">
        <v>324</v>
      </c>
      <c r="E166" s="306" t="n">
        <v>0</v>
      </c>
      <c r="F166" s="324" t="s">
        <v>670</v>
      </c>
      <c r="G166" s="144" t="n">
        <v>48</v>
      </c>
      <c r="H166" s="143" t="n">
        <v>298.347107438017</v>
      </c>
      <c r="I166" s="410"/>
      <c r="J166" s="311" t="s">
        <v>12</v>
      </c>
      <c r="K166" s="309" t="s">
        <v>12</v>
      </c>
      <c r="L166" s="650"/>
      <c r="M166" s="651" t="s">
        <v>12</v>
      </c>
      <c r="N166" s="652" t="s">
        <v>12</v>
      </c>
      <c r="O166" s="651" t="s">
        <v>12</v>
      </c>
      <c r="P166" s="312" t="s">
        <v>12</v>
      </c>
      <c r="Q166" s="652" t="s">
        <v>12</v>
      </c>
      <c r="R166" s="312" t="s">
        <v>12</v>
      </c>
      <c r="S166" s="310"/>
      <c r="T166" s="651" t="n">
        <v>0</v>
      </c>
      <c r="U166" s="652" t="n">
        <v>4.9</v>
      </c>
      <c r="V166" s="651" t="n">
        <v>0</v>
      </c>
      <c r="W166" s="652" t="n">
        <v>3.8</v>
      </c>
      <c r="X166" s="651" t="n">
        <v>0</v>
      </c>
      <c r="Y166" s="312" t="n">
        <v>3.8</v>
      </c>
      <c r="Z166" s="313" t="n">
        <v>0</v>
      </c>
      <c r="AA166" s="314" t="n">
        <v>3.7</v>
      </c>
      <c r="AB166" s="313" t="n">
        <v>0</v>
      </c>
      <c r="AC166" s="314" t="n">
        <v>3.7</v>
      </c>
      <c r="AE166" s="324" t="n">
        <v>26</v>
      </c>
      <c r="AF166" s="315"/>
      <c r="AG166" s="311" t="n">
        <v>0</v>
      </c>
      <c r="AH166" s="309" t="n">
        <v>0</v>
      </c>
      <c r="AI166" s="310"/>
      <c r="AJ166" s="311" t="s">
        <v>12</v>
      </c>
      <c r="AK166" s="309" t="s">
        <v>12</v>
      </c>
      <c r="AL166" s="311" t="s">
        <v>12</v>
      </c>
      <c r="AM166" s="309" t="s">
        <v>12</v>
      </c>
      <c r="AN166" s="310" t="s">
        <v>12</v>
      </c>
      <c r="AO166" s="309" t="s">
        <v>12</v>
      </c>
      <c r="AP166" s="310"/>
      <c r="AQ166" s="311" t="n">
        <v>89</v>
      </c>
      <c r="AR166" s="309" t="n">
        <v>235.2</v>
      </c>
      <c r="AS166" s="311" t="n">
        <v>142</v>
      </c>
      <c r="AT166" s="309" t="n">
        <v>182.4</v>
      </c>
      <c r="AU166" s="310" t="n">
        <v>142</v>
      </c>
      <c r="AV166" s="309" t="n">
        <v>182.4</v>
      </c>
      <c r="AW166" s="310" t="n">
        <v>146</v>
      </c>
      <c r="AX166" s="309" t="n">
        <v>177.6</v>
      </c>
      <c r="AY166" s="310" t="n">
        <v>146</v>
      </c>
      <c r="AZ166" s="309" t="n">
        <v>177.6</v>
      </c>
    </row>
    <row r="167" customFormat="false" ht="12.75" hidden="false" customHeight="false" outlineLevel="0" collapsed="false">
      <c r="A167" s="268"/>
      <c r="B167" s="306" t="s">
        <v>694</v>
      </c>
      <c r="C167" s="305" t="s">
        <v>695</v>
      </c>
      <c r="D167" s="306" t="n">
        <v>53</v>
      </c>
      <c r="E167" s="306" t="n">
        <v>5.25</v>
      </c>
      <c r="F167" s="324" t="s">
        <v>696</v>
      </c>
      <c r="G167" s="307" t="n">
        <v>24</v>
      </c>
      <c r="H167" s="143" t="n">
        <v>52.8925619834711</v>
      </c>
      <c r="I167" s="410"/>
      <c r="J167" s="311" t="s">
        <v>12</v>
      </c>
      <c r="K167" s="309" t="s">
        <v>12</v>
      </c>
      <c r="L167" s="650"/>
      <c r="M167" s="651" t="n">
        <v>0</v>
      </c>
      <c r="N167" s="652" t="n">
        <v>0</v>
      </c>
      <c r="O167" s="651" t="n">
        <v>0</v>
      </c>
      <c r="P167" s="312" t="n">
        <v>0</v>
      </c>
      <c r="Q167" s="652" t="n">
        <v>0</v>
      </c>
      <c r="R167" s="312" t="n">
        <v>0</v>
      </c>
      <c r="S167" s="310"/>
      <c r="T167" s="651" t="n">
        <v>0</v>
      </c>
      <c r="U167" s="652" t="n">
        <v>0</v>
      </c>
      <c r="V167" s="651" t="n">
        <v>0</v>
      </c>
      <c r="W167" s="652" t="n">
        <v>0</v>
      </c>
      <c r="X167" s="651" t="n">
        <v>0</v>
      </c>
      <c r="Y167" s="312" t="n">
        <v>0</v>
      </c>
      <c r="Z167" s="313" t="n">
        <v>0</v>
      </c>
      <c r="AA167" s="314" t="n">
        <v>0</v>
      </c>
      <c r="AB167" s="313" t="n">
        <v>0</v>
      </c>
      <c r="AC167" s="314" t="n">
        <v>0</v>
      </c>
      <c r="AE167" s="324" t="n">
        <v>0</v>
      </c>
      <c r="AF167" s="315"/>
      <c r="AG167" s="311" t="n">
        <v>0</v>
      </c>
      <c r="AH167" s="309" t="n">
        <v>0</v>
      </c>
      <c r="AI167" s="310"/>
      <c r="AJ167" s="311" t="n">
        <v>53</v>
      </c>
      <c r="AK167" s="309" t="n">
        <v>0</v>
      </c>
      <c r="AL167" s="311" t="n">
        <v>53</v>
      </c>
      <c r="AM167" s="309" t="n">
        <v>0</v>
      </c>
      <c r="AN167" s="311" t="n">
        <v>53</v>
      </c>
      <c r="AO167" s="309" t="n">
        <v>0</v>
      </c>
      <c r="AP167" s="310"/>
      <c r="AQ167" s="311" t="n">
        <v>53</v>
      </c>
      <c r="AR167" s="309" t="n">
        <v>0</v>
      </c>
      <c r="AS167" s="311" t="n">
        <v>53</v>
      </c>
      <c r="AT167" s="309" t="n">
        <v>0</v>
      </c>
      <c r="AU167" s="311" t="n">
        <v>53</v>
      </c>
      <c r="AV167" s="309" t="n">
        <v>0</v>
      </c>
      <c r="AW167" s="310" t="n">
        <v>53</v>
      </c>
      <c r="AX167" s="309" t="n">
        <v>0</v>
      </c>
      <c r="AY167" s="311" t="n">
        <v>53</v>
      </c>
      <c r="AZ167" s="309" t="n">
        <v>0</v>
      </c>
    </row>
    <row r="168" customFormat="false" ht="12.75" hidden="false" customHeight="false" outlineLevel="0" collapsed="false">
      <c r="A168" s="268"/>
      <c r="B168" s="306" t="s">
        <v>694</v>
      </c>
      <c r="C168" s="305" t="s">
        <v>697</v>
      </c>
      <c r="D168" s="306" t="n">
        <v>191</v>
      </c>
      <c r="E168" s="306" t="n">
        <v>5.25</v>
      </c>
      <c r="F168" s="324" t="s">
        <v>696</v>
      </c>
      <c r="G168" s="144" t="n">
        <v>24</v>
      </c>
      <c r="H168" s="143" t="n">
        <v>182.644628099174</v>
      </c>
      <c r="I168" s="410"/>
      <c r="J168" s="311" t="s">
        <v>12</v>
      </c>
      <c r="K168" s="309" t="s">
        <v>12</v>
      </c>
      <c r="L168" s="650"/>
      <c r="M168" s="651" t="s">
        <v>12</v>
      </c>
      <c r="N168" s="652" t="s">
        <v>12</v>
      </c>
      <c r="O168" s="651" t="s">
        <v>12</v>
      </c>
      <c r="P168" s="312" t="s">
        <v>12</v>
      </c>
      <c r="Q168" s="652" t="s">
        <v>12</v>
      </c>
      <c r="R168" s="312" t="s">
        <v>12</v>
      </c>
      <c r="S168" s="310"/>
      <c r="T168" s="651" t="n">
        <v>0</v>
      </c>
      <c r="U168" s="652" t="n">
        <v>6.5</v>
      </c>
      <c r="V168" s="651" t="n">
        <v>0</v>
      </c>
      <c r="W168" s="652" t="n">
        <v>4.2</v>
      </c>
      <c r="X168" s="651" t="n">
        <v>0</v>
      </c>
      <c r="Y168" s="312" t="n">
        <v>4.2</v>
      </c>
      <c r="Z168" s="313" t="n">
        <v>0</v>
      </c>
      <c r="AA168" s="314" t="n">
        <v>4.1</v>
      </c>
      <c r="AB168" s="313" t="n">
        <v>0</v>
      </c>
      <c r="AC168" s="314" t="n">
        <v>4.1</v>
      </c>
      <c r="AE168" s="324" t="n">
        <v>8</v>
      </c>
      <c r="AF168" s="315"/>
      <c r="AG168" s="311" t="n">
        <v>0</v>
      </c>
      <c r="AH168" s="309" t="n">
        <v>0</v>
      </c>
      <c r="AI168" s="310"/>
      <c r="AJ168" s="311" t="s">
        <v>12</v>
      </c>
      <c r="AK168" s="309" t="s">
        <v>12</v>
      </c>
      <c r="AL168" s="311" t="s">
        <v>12</v>
      </c>
      <c r="AM168" s="309" t="s">
        <v>12</v>
      </c>
      <c r="AN168" s="310" t="s">
        <v>12</v>
      </c>
      <c r="AO168" s="309" t="s">
        <v>12</v>
      </c>
      <c r="AP168" s="310"/>
      <c r="AQ168" s="311" t="n">
        <v>35</v>
      </c>
      <c r="AR168" s="309" t="n">
        <v>156</v>
      </c>
      <c r="AS168" s="311" t="n">
        <v>90</v>
      </c>
      <c r="AT168" s="309" t="n">
        <v>100.8</v>
      </c>
      <c r="AU168" s="310" t="n">
        <v>90</v>
      </c>
      <c r="AV168" s="309" t="n">
        <v>100.8</v>
      </c>
      <c r="AW168" s="310" t="n">
        <v>93</v>
      </c>
      <c r="AX168" s="309" t="n">
        <v>98.4</v>
      </c>
      <c r="AY168" s="310" t="n">
        <v>93</v>
      </c>
      <c r="AZ168" s="309" t="n">
        <v>98.4</v>
      </c>
    </row>
    <row r="169" customFormat="false" ht="12.75" hidden="false" customHeight="false" outlineLevel="0" collapsed="false">
      <c r="A169" s="268"/>
      <c r="B169" s="306" t="s">
        <v>694</v>
      </c>
      <c r="C169" s="305" t="s">
        <v>698</v>
      </c>
      <c r="D169" s="306" t="n">
        <v>51</v>
      </c>
      <c r="E169" s="306" t="n">
        <v>5.25</v>
      </c>
      <c r="F169" s="324" t="s">
        <v>696</v>
      </c>
      <c r="G169" s="307" t="n">
        <v>24</v>
      </c>
      <c r="H169" s="143" t="n">
        <v>57.0247933884298</v>
      </c>
      <c r="I169" s="410"/>
      <c r="J169" s="311" t="s">
        <v>12</v>
      </c>
      <c r="K169" s="309" t="s">
        <v>12</v>
      </c>
      <c r="L169" s="650"/>
      <c r="M169" s="651" t="n">
        <v>0</v>
      </c>
      <c r="N169" s="652" t="n">
        <v>1.4</v>
      </c>
      <c r="O169" s="651" t="n">
        <v>0</v>
      </c>
      <c r="P169" s="312" t="n">
        <v>1.4</v>
      </c>
      <c r="Q169" s="652" t="n">
        <v>0</v>
      </c>
      <c r="R169" s="312" t="n">
        <v>1.4</v>
      </c>
      <c r="S169" s="310"/>
      <c r="T169" s="651" t="n">
        <v>0</v>
      </c>
      <c r="U169" s="652" t="n">
        <v>0.9</v>
      </c>
      <c r="V169" s="651" t="n">
        <v>0</v>
      </c>
      <c r="W169" s="652" t="n">
        <v>0</v>
      </c>
      <c r="X169" s="651" t="n">
        <v>0</v>
      </c>
      <c r="Y169" s="312" t="n">
        <v>0</v>
      </c>
      <c r="Z169" s="313" t="n">
        <v>0</v>
      </c>
      <c r="AA169" s="314" t="n">
        <v>0</v>
      </c>
      <c r="AB169" s="313" t="n">
        <v>0</v>
      </c>
      <c r="AC169" s="314" t="n">
        <v>0</v>
      </c>
      <c r="AE169" s="324" t="n">
        <v>-6</v>
      </c>
      <c r="AF169" s="315"/>
      <c r="AG169" s="311" t="n">
        <v>0</v>
      </c>
      <c r="AH169" s="309" t="n">
        <v>0</v>
      </c>
      <c r="AI169" s="310"/>
      <c r="AJ169" s="311" t="n">
        <v>17</v>
      </c>
      <c r="AK169" s="309" t="n">
        <v>33.6</v>
      </c>
      <c r="AL169" s="311" t="n">
        <v>17</v>
      </c>
      <c r="AM169" s="309" t="n">
        <v>33.6</v>
      </c>
      <c r="AN169" s="311" t="n">
        <v>17</v>
      </c>
      <c r="AO169" s="309" t="n">
        <v>33.6</v>
      </c>
      <c r="AP169" s="310"/>
      <c r="AQ169" s="311" t="n">
        <v>29</v>
      </c>
      <c r="AR169" s="309" t="n">
        <v>21.6</v>
      </c>
      <c r="AS169" s="311" t="n">
        <v>51</v>
      </c>
      <c r="AT169" s="309" t="n">
        <v>0</v>
      </c>
      <c r="AU169" s="311" t="n">
        <v>51</v>
      </c>
      <c r="AV169" s="309" t="n">
        <v>0</v>
      </c>
      <c r="AW169" s="310" t="n">
        <v>51</v>
      </c>
      <c r="AX169" s="309" t="n">
        <v>0</v>
      </c>
      <c r="AY169" s="311" t="n">
        <v>51</v>
      </c>
      <c r="AZ169" s="309" t="n">
        <v>0</v>
      </c>
    </row>
    <row r="170" customFormat="false" ht="12.75" hidden="false" customHeight="false" outlineLevel="0" collapsed="false">
      <c r="A170" s="268"/>
      <c r="B170" s="306" t="s">
        <v>184</v>
      </c>
      <c r="C170" s="305" t="s">
        <v>699</v>
      </c>
      <c r="D170" s="306" t="n">
        <v>140</v>
      </c>
      <c r="E170" s="306" t="n">
        <v>0</v>
      </c>
      <c r="F170" s="324" t="s">
        <v>696</v>
      </c>
      <c r="G170" s="144" t="n">
        <v>24</v>
      </c>
      <c r="H170" s="143" t="n">
        <v>139.669421487603</v>
      </c>
      <c r="I170" s="410"/>
      <c r="J170" s="311" t="s">
        <v>12</v>
      </c>
      <c r="K170" s="309" t="s">
        <v>12</v>
      </c>
      <c r="L170" s="650"/>
      <c r="M170" s="651" t="n">
        <v>29</v>
      </c>
      <c r="N170" s="652" t="n">
        <v>4.2</v>
      </c>
      <c r="O170" s="651" t="n">
        <v>0</v>
      </c>
      <c r="P170" s="312" t="n">
        <v>2.7</v>
      </c>
      <c r="Q170" s="652" t="n">
        <v>0</v>
      </c>
      <c r="R170" s="312" t="n">
        <v>1.9</v>
      </c>
      <c r="S170" s="310"/>
      <c r="T170" s="651" t="n">
        <v>0</v>
      </c>
      <c r="U170" s="652" t="n">
        <v>5</v>
      </c>
      <c r="V170" s="651" t="n">
        <v>0</v>
      </c>
      <c r="W170" s="652" t="n">
        <v>1.7</v>
      </c>
      <c r="X170" s="651" t="n">
        <v>0</v>
      </c>
      <c r="Y170" s="312" t="n">
        <v>1.7</v>
      </c>
      <c r="Z170" s="313" t="n">
        <v>0</v>
      </c>
      <c r="AA170" s="314" t="n">
        <v>1.7</v>
      </c>
      <c r="AB170" s="313" t="n">
        <v>0</v>
      </c>
      <c r="AC170" s="314" t="n">
        <v>1.7</v>
      </c>
      <c r="AE170" s="324" t="n">
        <v>0</v>
      </c>
      <c r="AF170" s="315"/>
      <c r="AG170" s="311" t="n">
        <v>0</v>
      </c>
      <c r="AH170" s="309" t="n">
        <v>0</v>
      </c>
      <c r="AI170" s="310"/>
      <c r="AJ170" s="311" t="n">
        <v>10</v>
      </c>
      <c r="AK170" s="309" t="n">
        <v>100.8</v>
      </c>
      <c r="AL170" s="311" t="n">
        <v>75</v>
      </c>
      <c r="AM170" s="309" t="n">
        <v>64.8</v>
      </c>
      <c r="AN170" s="310" t="n">
        <v>94</v>
      </c>
      <c r="AO170" s="309" t="n">
        <v>45.6</v>
      </c>
      <c r="AP170" s="310"/>
      <c r="AQ170" s="311" t="n">
        <v>20</v>
      </c>
      <c r="AR170" s="309" t="n">
        <v>120</v>
      </c>
      <c r="AS170" s="311" t="n">
        <v>99</v>
      </c>
      <c r="AT170" s="309" t="n">
        <v>40.8</v>
      </c>
      <c r="AU170" s="310" t="n">
        <v>99</v>
      </c>
      <c r="AV170" s="309" t="n">
        <v>40.8</v>
      </c>
      <c r="AW170" s="310" t="n">
        <v>99</v>
      </c>
      <c r="AX170" s="309" t="n">
        <v>40.8</v>
      </c>
      <c r="AY170" s="310" t="n">
        <v>99</v>
      </c>
      <c r="AZ170" s="309" t="n">
        <v>40.8</v>
      </c>
    </row>
    <row r="171" customFormat="false" ht="12.75" hidden="false" customHeight="false" outlineLevel="0" collapsed="false">
      <c r="A171" s="268"/>
      <c r="B171" s="306" t="s">
        <v>497</v>
      </c>
      <c r="C171" s="305" t="s">
        <v>700</v>
      </c>
      <c r="D171" s="306" t="n">
        <v>40</v>
      </c>
      <c r="E171" s="306" t="n">
        <v>0</v>
      </c>
      <c r="F171" s="324" t="s">
        <v>678</v>
      </c>
      <c r="G171" s="307" t="n">
        <v>24</v>
      </c>
      <c r="H171" s="143" t="n">
        <v>39.6694214876033</v>
      </c>
      <c r="I171" s="410"/>
      <c r="J171" s="311" t="s">
        <v>12</v>
      </c>
      <c r="K171" s="309" t="s">
        <v>12</v>
      </c>
      <c r="L171" s="650"/>
      <c r="M171" s="651" t="n">
        <v>0</v>
      </c>
      <c r="N171" s="652" t="n">
        <v>0.9</v>
      </c>
      <c r="O171" s="651" t="n">
        <v>0</v>
      </c>
      <c r="P171" s="312" t="n">
        <v>0.9</v>
      </c>
      <c r="Q171" s="652" t="n">
        <v>0</v>
      </c>
      <c r="R171" s="312" t="n">
        <v>0.9</v>
      </c>
      <c r="S171" s="310"/>
      <c r="T171" s="651" t="n">
        <v>0</v>
      </c>
      <c r="U171" s="652" t="n">
        <v>0</v>
      </c>
      <c r="V171" s="651" t="n">
        <v>0</v>
      </c>
      <c r="W171" s="652" t="n">
        <v>0</v>
      </c>
      <c r="X171" s="651" t="n">
        <v>0</v>
      </c>
      <c r="Y171" s="312" t="n">
        <v>0</v>
      </c>
      <c r="Z171" s="313" t="n">
        <v>0</v>
      </c>
      <c r="AA171" s="314" t="n">
        <v>0</v>
      </c>
      <c r="AB171" s="313" t="n">
        <v>0</v>
      </c>
      <c r="AC171" s="314" t="n">
        <v>0</v>
      </c>
      <c r="AE171" s="324" t="n">
        <v>0</v>
      </c>
      <c r="AF171" s="315"/>
      <c r="AG171" s="311" t="n">
        <v>0</v>
      </c>
      <c r="AH171" s="309" t="n">
        <v>0</v>
      </c>
      <c r="AI171" s="310"/>
      <c r="AJ171" s="311" t="n">
        <v>18</v>
      </c>
      <c r="AK171" s="309" t="n">
        <v>21.6</v>
      </c>
      <c r="AL171" s="311" t="n">
        <v>18</v>
      </c>
      <c r="AM171" s="309" t="n">
        <v>21.6</v>
      </c>
      <c r="AN171" s="311" t="n">
        <v>18</v>
      </c>
      <c r="AO171" s="309" t="n">
        <v>21.6</v>
      </c>
      <c r="AP171" s="310"/>
      <c r="AQ171" s="311" t="n">
        <v>40</v>
      </c>
      <c r="AR171" s="309" t="n">
        <v>0</v>
      </c>
      <c r="AS171" s="311" t="n">
        <v>40</v>
      </c>
      <c r="AT171" s="309" t="n">
        <v>0</v>
      </c>
      <c r="AU171" s="311" t="n">
        <v>40</v>
      </c>
      <c r="AV171" s="309" t="n">
        <v>0</v>
      </c>
      <c r="AW171" s="310" t="n">
        <v>40</v>
      </c>
      <c r="AX171" s="309" t="n">
        <v>0</v>
      </c>
      <c r="AY171" s="311" t="n">
        <v>40</v>
      </c>
      <c r="AZ171" s="309" t="n">
        <v>0</v>
      </c>
    </row>
    <row r="172" customFormat="false" ht="12.75" hidden="false" customHeight="false" outlineLevel="0" collapsed="false">
      <c r="A172" s="268"/>
      <c r="B172" s="306" t="s">
        <v>655</v>
      </c>
      <c r="C172" s="327" t="s">
        <v>701</v>
      </c>
      <c r="D172" s="306" t="n">
        <v>249</v>
      </c>
      <c r="E172" s="306" t="n">
        <v>0</v>
      </c>
      <c r="F172" s="324" t="s">
        <v>678</v>
      </c>
      <c r="G172" s="144" t="n">
        <v>24</v>
      </c>
      <c r="H172" s="143" t="n">
        <v>219.834710743802</v>
      </c>
      <c r="I172" s="410"/>
      <c r="J172" s="311" t="s">
        <v>12</v>
      </c>
      <c r="K172" s="309" t="s">
        <v>12</v>
      </c>
      <c r="L172" s="650"/>
      <c r="M172" s="651" t="s">
        <v>12</v>
      </c>
      <c r="N172" s="652" t="s">
        <v>12</v>
      </c>
      <c r="O172" s="651" t="s">
        <v>12</v>
      </c>
      <c r="P172" s="312" t="s">
        <v>12</v>
      </c>
      <c r="Q172" s="652" t="s">
        <v>12</v>
      </c>
      <c r="R172" s="312" t="s">
        <v>12</v>
      </c>
      <c r="S172" s="310"/>
      <c r="T172" s="651" t="n">
        <v>0</v>
      </c>
      <c r="U172" s="652" t="n">
        <v>7.9</v>
      </c>
      <c r="V172" s="651" t="n">
        <v>0</v>
      </c>
      <c r="W172" s="652" t="n">
        <v>7.1</v>
      </c>
      <c r="X172" s="651" t="n">
        <v>0</v>
      </c>
      <c r="Y172" s="312" t="n">
        <v>7.1</v>
      </c>
      <c r="Z172" s="313" t="n">
        <v>0</v>
      </c>
      <c r="AA172" s="314" t="n">
        <v>5.8</v>
      </c>
      <c r="AB172" s="313" t="n">
        <v>0</v>
      </c>
      <c r="AC172" s="314" t="n">
        <v>5.8</v>
      </c>
      <c r="AE172" s="324" t="n">
        <v>29</v>
      </c>
      <c r="AF172" s="315"/>
      <c r="AG172" s="311" t="n">
        <v>0</v>
      </c>
      <c r="AH172" s="309" t="n">
        <v>0</v>
      </c>
      <c r="AI172" s="310"/>
      <c r="AJ172" s="311" t="s">
        <v>12</v>
      </c>
      <c r="AK172" s="309" t="s">
        <v>12</v>
      </c>
      <c r="AL172" s="311" t="s">
        <v>12</v>
      </c>
      <c r="AM172" s="309" t="s">
        <v>12</v>
      </c>
      <c r="AN172" s="310" t="s">
        <v>12</v>
      </c>
      <c r="AO172" s="309" t="s">
        <v>12</v>
      </c>
      <c r="AP172" s="310"/>
      <c r="AQ172" s="311" t="n">
        <v>59</v>
      </c>
      <c r="AR172" s="309" t="n">
        <v>189.6</v>
      </c>
      <c r="AS172" s="311" t="n">
        <v>79</v>
      </c>
      <c r="AT172" s="309" t="n">
        <v>170.4</v>
      </c>
      <c r="AU172" s="310" t="n">
        <v>79</v>
      </c>
      <c r="AV172" s="309" t="n">
        <v>170.4</v>
      </c>
      <c r="AW172" s="310" t="n">
        <v>110</v>
      </c>
      <c r="AX172" s="309" t="n">
        <v>139.2</v>
      </c>
      <c r="AY172" s="310" t="n">
        <v>110</v>
      </c>
      <c r="AZ172" s="309" t="n">
        <v>139.2</v>
      </c>
    </row>
    <row r="173" customFormat="false" ht="12.75" hidden="false" customHeight="false" outlineLevel="0" collapsed="false">
      <c r="A173" s="268"/>
      <c r="B173" s="306" t="s">
        <v>655</v>
      </c>
      <c r="C173" s="327" t="s">
        <v>701</v>
      </c>
      <c r="D173" s="306" t="n">
        <v>249</v>
      </c>
      <c r="E173" s="306" t="n">
        <v>0</v>
      </c>
      <c r="F173" s="324" t="s">
        <v>678</v>
      </c>
      <c r="G173" s="307" t="n">
        <v>48</v>
      </c>
      <c r="H173" s="143" t="n">
        <v>219.834710743802</v>
      </c>
      <c r="I173" s="410"/>
      <c r="J173" s="311" t="s">
        <v>12</v>
      </c>
      <c r="K173" s="309" t="s">
        <v>12</v>
      </c>
      <c r="L173" s="650"/>
      <c r="M173" s="651" t="s">
        <v>12</v>
      </c>
      <c r="N173" s="652" t="s">
        <v>12</v>
      </c>
      <c r="O173" s="651" t="s">
        <v>12</v>
      </c>
      <c r="P173" s="312" t="s">
        <v>12</v>
      </c>
      <c r="Q173" s="652" t="s">
        <v>12</v>
      </c>
      <c r="R173" s="312" t="s">
        <v>12</v>
      </c>
      <c r="S173" s="310"/>
      <c r="T173" s="651" t="n">
        <v>0</v>
      </c>
      <c r="U173" s="652" t="n">
        <v>4</v>
      </c>
      <c r="V173" s="651" t="n">
        <v>0</v>
      </c>
      <c r="W173" s="652" t="n">
        <v>3.6</v>
      </c>
      <c r="X173" s="651" t="n">
        <v>0</v>
      </c>
      <c r="Y173" s="312" t="n">
        <v>3.6</v>
      </c>
      <c r="Z173" s="313" t="n">
        <v>0</v>
      </c>
      <c r="AA173" s="314" t="n">
        <v>2.9</v>
      </c>
      <c r="AB173" s="313" t="n">
        <v>0</v>
      </c>
      <c r="AC173" s="314" t="n">
        <v>2.9</v>
      </c>
      <c r="AE173" s="324" t="n">
        <v>29</v>
      </c>
      <c r="AF173" s="315"/>
      <c r="AG173" s="311" t="n">
        <v>0</v>
      </c>
      <c r="AH173" s="309" t="n">
        <v>0</v>
      </c>
      <c r="AI173" s="310"/>
      <c r="AJ173" s="311" t="s">
        <v>12</v>
      </c>
      <c r="AK173" s="309" t="s">
        <v>12</v>
      </c>
      <c r="AL173" s="311" t="s">
        <v>12</v>
      </c>
      <c r="AM173" s="309" t="s">
        <v>12</v>
      </c>
      <c r="AN173" s="311" t="s">
        <v>12</v>
      </c>
      <c r="AO173" s="309" t="s">
        <v>12</v>
      </c>
      <c r="AP173" s="310"/>
      <c r="AQ173" s="311" t="n">
        <v>57</v>
      </c>
      <c r="AR173" s="309" t="n">
        <v>192</v>
      </c>
      <c r="AS173" s="311" t="n">
        <v>76</v>
      </c>
      <c r="AT173" s="309" t="n">
        <v>172.8</v>
      </c>
      <c r="AU173" s="311" t="n">
        <v>76</v>
      </c>
      <c r="AV173" s="309" t="n">
        <v>172.8</v>
      </c>
      <c r="AW173" s="310" t="n">
        <v>110</v>
      </c>
      <c r="AX173" s="309" t="n">
        <v>139.2</v>
      </c>
      <c r="AY173" s="311" t="n">
        <v>110</v>
      </c>
      <c r="AZ173" s="309" t="n">
        <v>139.2</v>
      </c>
    </row>
    <row r="174" customFormat="false" ht="12.75" hidden="false" customHeight="false" outlineLevel="0" collapsed="false">
      <c r="A174" s="268"/>
      <c r="B174" s="306" t="s">
        <v>655</v>
      </c>
      <c r="C174" s="327" t="s">
        <v>703</v>
      </c>
      <c r="D174" s="306" t="n">
        <v>362</v>
      </c>
      <c r="E174" s="306" t="n">
        <v>0</v>
      </c>
      <c r="F174" s="324" t="s">
        <v>678</v>
      </c>
      <c r="G174" s="144" t="n">
        <v>24</v>
      </c>
      <c r="H174" s="143" t="n">
        <v>289.256198347107</v>
      </c>
      <c r="I174" s="410"/>
      <c r="J174" s="311" t="s">
        <v>12</v>
      </c>
      <c r="K174" s="309" t="s">
        <v>12</v>
      </c>
      <c r="L174" s="650"/>
      <c r="M174" s="651" t="s">
        <v>12</v>
      </c>
      <c r="N174" s="652" t="s">
        <v>12</v>
      </c>
      <c r="O174" s="651" t="s">
        <v>12</v>
      </c>
      <c r="P174" s="312" t="s">
        <v>12</v>
      </c>
      <c r="Q174" s="652" t="s">
        <v>12</v>
      </c>
      <c r="R174" s="312" t="s">
        <v>12</v>
      </c>
      <c r="S174" s="310"/>
      <c r="T174" s="651" t="n">
        <v>0</v>
      </c>
      <c r="U174" s="652" t="n">
        <v>9.3</v>
      </c>
      <c r="V174" s="651" t="n">
        <v>0</v>
      </c>
      <c r="W174" s="652" t="n">
        <v>6.7</v>
      </c>
      <c r="X174" s="651" t="n">
        <v>0</v>
      </c>
      <c r="Y174" s="312" t="n">
        <v>6.7</v>
      </c>
      <c r="Z174" s="313" t="n">
        <v>0</v>
      </c>
      <c r="AA174" s="314" t="n">
        <v>6.7</v>
      </c>
      <c r="AB174" s="313" t="n">
        <v>0</v>
      </c>
      <c r="AC174" s="314" t="n">
        <v>6.7</v>
      </c>
      <c r="AE174" s="324" t="n">
        <v>73</v>
      </c>
      <c r="AF174" s="315"/>
      <c r="AG174" s="311" t="n">
        <v>0</v>
      </c>
      <c r="AH174" s="309" t="n">
        <v>0</v>
      </c>
      <c r="AI174" s="310"/>
      <c r="AJ174" s="311" t="s">
        <v>12</v>
      </c>
      <c r="AK174" s="309" t="s">
        <v>12</v>
      </c>
      <c r="AL174" s="311" t="s">
        <v>12</v>
      </c>
      <c r="AM174" s="309" t="s">
        <v>12</v>
      </c>
      <c r="AN174" s="310" t="s">
        <v>12</v>
      </c>
      <c r="AO174" s="309" t="s">
        <v>12</v>
      </c>
      <c r="AP174" s="310"/>
      <c r="AQ174" s="311" t="n">
        <v>139</v>
      </c>
      <c r="AR174" s="309" t="n">
        <v>223.2</v>
      </c>
      <c r="AS174" s="311" t="n">
        <v>201</v>
      </c>
      <c r="AT174" s="309" t="n">
        <v>160.8</v>
      </c>
      <c r="AU174" s="310" t="n">
        <v>201</v>
      </c>
      <c r="AV174" s="309" t="n">
        <v>160.8</v>
      </c>
      <c r="AW174" s="310" t="n">
        <v>201</v>
      </c>
      <c r="AX174" s="309" t="n">
        <v>160.8</v>
      </c>
      <c r="AY174" s="310" t="n">
        <v>201</v>
      </c>
      <c r="AZ174" s="309" t="n">
        <v>160.8</v>
      </c>
    </row>
    <row r="175" customFormat="false" ht="12.75" hidden="false" customHeight="false" outlineLevel="0" collapsed="false">
      <c r="A175" s="268"/>
      <c r="B175" s="306" t="s">
        <v>655</v>
      </c>
      <c r="C175" s="327" t="s">
        <v>703</v>
      </c>
      <c r="D175" s="306" t="n">
        <v>362</v>
      </c>
      <c r="E175" s="306" t="n">
        <v>0</v>
      </c>
      <c r="F175" s="324" t="s">
        <v>678</v>
      </c>
      <c r="G175" s="307" t="n">
        <v>48</v>
      </c>
      <c r="H175" s="143" t="n">
        <v>289.256198347107</v>
      </c>
      <c r="I175" s="410"/>
      <c r="J175" s="311" t="s">
        <v>12</v>
      </c>
      <c r="K175" s="309" t="s">
        <v>12</v>
      </c>
      <c r="L175" s="650"/>
      <c r="M175" s="651" t="s">
        <v>12</v>
      </c>
      <c r="N175" s="652" t="s">
        <v>12</v>
      </c>
      <c r="O175" s="651" t="s">
        <v>12</v>
      </c>
      <c r="P175" s="312" t="s">
        <v>12</v>
      </c>
      <c r="Q175" s="652" t="s">
        <v>12</v>
      </c>
      <c r="R175" s="312" t="s">
        <v>12</v>
      </c>
      <c r="S175" s="310"/>
      <c r="T175" s="651" t="n">
        <v>0</v>
      </c>
      <c r="U175" s="652" t="n">
        <v>4.7</v>
      </c>
      <c r="V175" s="651" t="n">
        <v>0</v>
      </c>
      <c r="W175" s="652" t="n">
        <v>3.4</v>
      </c>
      <c r="X175" s="651" t="n">
        <v>0</v>
      </c>
      <c r="Y175" s="312" t="n">
        <v>3.4</v>
      </c>
      <c r="Z175" s="313" t="n">
        <v>0</v>
      </c>
      <c r="AA175" s="314" t="n">
        <v>3.4</v>
      </c>
      <c r="AB175" s="313" t="n">
        <v>0</v>
      </c>
      <c r="AC175" s="314" t="n">
        <v>3.4</v>
      </c>
      <c r="AE175" s="324" t="n">
        <v>73</v>
      </c>
      <c r="AF175" s="315"/>
      <c r="AG175" s="311" t="n">
        <v>0</v>
      </c>
      <c r="AH175" s="309" t="n">
        <v>0</v>
      </c>
      <c r="AI175" s="310"/>
      <c r="AJ175" s="311" t="s">
        <v>12</v>
      </c>
      <c r="AK175" s="309" t="s">
        <v>12</v>
      </c>
      <c r="AL175" s="311" t="s">
        <v>12</v>
      </c>
      <c r="AM175" s="309" t="s">
        <v>12</v>
      </c>
      <c r="AN175" s="311" t="s">
        <v>12</v>
      </c>
      <c r="AO175" s="309" t="s">
        <v>12</v>
      </c>
      <c r="AP175" s="310"/>
      <c r="AQ175" s="311" t="n">
        <v>136</v>
      </c>
      <c r="AR175" s="309" t="n">
        <v>225.6</v>
      </c>
      <c r="AS175" s="311" t="n">
        <v>199</v>
      </c>
      <c r="AT175" s="309" t="n">
        <v>163.2</v>
      </c>
      <c r="AU175" s="311" t="n">
        <v>199</v>
      </c>
      <c r="AV175" s="309" t="n">
        <v>163.2</v>
      </c>
      <c r="AW175" s="310" t="n">
        <v>199</v>
      </c>
      <c r="AX175" s="309" t="n">
        <v>163.2</v>
      </c>
      <c r="AY175" s="311" t="n">
        <v>199</v>
      </c>
      <c r="AZ175" s="309" t="n">
        <v>163.2</v>
      </c>
    </row>
    <row r="176" customFormat="false" ht="12.75" hidden="false" customHeight="false" outlineLevel="0" collapsed="false">
      <c r="A176" s="268"/>
      <c r="B176" s="306" t="s">
        <v>450</v>
      </c>
      <c r="C176" s="305" t="s">
        <v>704</v>
      </c>
      <c r="D176" s="306" t="n">
        <v>62</v>
      </c>
      <c r="E176" s="306" t="n">
        <v>0</v>
      </c>
      <c r="F176" s="324" t="s">
        <v>705</v>
      </c>
      <c r="G176" s="144" t="n">
        <v>24</v>
      </c>
      <c r="H176" s="143" t="n">
        <v>45.4545454545455</v>
      </c>
      <c r="I176" s="410"/>
      <c r="J176" s="311" t="s">
        <v>12</v>
      </c>
      <c r="K176" s="309" t="s">
        <v>12</v>
      </c>
      <c r="L176" s="650"/>
      <c r="M176" s="651" t="n">
        <v>0</v>
      </c>
      <c r="N176" s="652" t="n">
        <v>1.1</v>
      </c>
      <c r="O176" s="651" t="n">
        <v>0</v>
      </c>
      <c r="P176" s="312" t="n">
        <v>1.1</v>
      </c>
      <c r="Q176" s="652" t="n">
        <v>0</v>
      </c>
      <c r="R176" s="312" t="n">
        <v>1.1</v>
      </c>
      <c r="S176" s="310"/>
      <c r="T176" s="651" t="n">
        <v>0</v>
      </c>
      <c r="U176" s="652" t="n">
        <v>0</v>
      </c>
      <c r="V176" s="651" t="n">
        <v>0</v>
      </c>
      <c r="W176" s="652" t="n">
        <v>0</v>
      </c>
      <c r="X176" s="651" t="n">
        <v>0</v>
      </c>
      <c r="Y176" s="312" t="n">
        <v>0</v>
      </c>
      <c r="Z176" s="313" t="n">
        <v>0</v>
      </c>
      <c r="AA176" s="314" t="n">
        <v>0</v>
      </c>
      <c r="AB176" s="313" t="n">
        <v>0</v>
      </c>
      <c r="AC176" s="314" t="n">
        <v>0</v>
      </c>
      <c r="AE176" s="324" t="n">
        <v>17</v>
      </c>
      <c r="AF176" s="315"/>
      <c r="AG176" s="311" t="n">
        <v>0</v>
      </c>
      <c r="AH176" s="309" t="n">
        <v>0</v>
      </c>
      <c r="AI176" s="310"/>
      <c r="AJ176" s="311" t="n">
        <v>36</v>
      </c>
      <c r="AK176" s="309" t="n">
        <v>26.4</v>
      </c>
      <c r="AL176" s="311" t="n">
        <v>36</v>
      </c>
      <c r="AM176" s="309" t="n">
        <v>26.4</v>
      </c>
      <c r="AN176" s="310" t="n">
        <v>36</v>
      </c>
      <c r="AO176" s="309" t="n">
        <v>26.4</v>
      </c>
      <c r="AP176" s="310"/>
      <c r="AQ176" s="311" t="n">
        <v>62</v>
      </c>
      <c r="AR176" s="309" t="n">
        <v>0</v>
      </c>
      <c r="AS176" s="311" t="n">
        <v>62</v>
      </c>
      <c r="AT176" s="309" t="n">
        <v>0</v>
      </c>
      <c r="AU176" s="310" t="n">
        <v>62</v>
      </c>
      <c r="AV176" s="309" t="n">
        <v>0</v>
      </c>
      <c r="AW176" s="310" t="n">
        <v>62</v>
      </c>
      <c r="AX176" s="309" t="n">
        <v>0</v>
      </c>
      <c r="AY176" s="310" t="n">
        <v>62</v>
      </c>
      <c r="AZ176" s="309" t="n">
        <v>0</v>
      </c>
    </row>
    <row r="177" customFormat="false" ht="12.75" hidden="false" customHeight="false" outlineLevel="0" collapsed="false">
      <c r="A177" s="268"/>
      <c r="B177" s="306" t="s">
        <v>130</v>
      </c>
      <c r="C177" s="305" t="s">
        <v>706</v>
      </c>
      <c r="D177" s="306" t="n">
        <v>58</v>
      </c>
      <c r="E177" s="306" t="n">
        <v>0</v>
      </c>
      <c r="F177" s="324" t="s">
        <v>705</v>
      </c>
      <c r="G177" s="307" t="n">
        <v>24</v>
      </c>
      <c r="H177" s="143" t="n">
        <v>48.7603305785124</v>
      </c>
      <c r="I177" s="410"/>
      <c r="J177" s="311" t="s">
        <v>12</v>
      </c>
      <c r="K177" s="309" t="s">
        <v>12</v>
      </c>
      <c r="L177" s="650"/>
      <c r="M177" s="651" t="n">
        <v>0</v>
      </c>
      <c r="N177" s="652" t="n">
        <v>1.2</v>
      </c>
      <c r="O177" s="651" t="n">
        <v>0</v>
      </c>
      <c r="P177" s="312" t="n">
        <v>1.2</v>
      </c>
      <c r="Q177" s="652" t="n">
        <v>0</v>
      </c>
      <c r="R177" s="312" t="n">
        <v>1.2</v>
      </c>
      <c r="S177" s="310"/>
      <c r="T177" s="651" t="n">
        <v>0</v>
      </c>
      <c r="U177" s="652" t="n">
        <v>0</v>
      </c>
      <c r="V177" s="651" t="n">
        <v>0</v>
      </c>
      <c r="W177" s="652" t="n">
        <v>0</v>
      </c>
      <c r="X177" s="651" t="n">
        <v>0</v>
      </c>
      <c r="Y177" s="312" t="n">
        <v>0</v>
      </c>
      <c r="Z177" s="313" t="n">
        <v>0</v>
      </c>
      <c r="AA177" s="314" t="n">
        <v>0</v>
      </c>
      <c r="AB177" s="313" t="n">
        <v>0</v>
      </c>
      <c r="AC177" s="314" t="n">
        <v>0</v>
      </c>
      <c r="AE177" s="324" t="n">
        <v>9</v>
      </c>
      <c r="AF177" s="315"/>
      <c r="AG177" s="311" t="n">
        <v>0</v>
      </c>
      <c r="AH177" s="309" t="n">
        <v>0</v>
      </c>
      <c r="AI177" s="310"/>
      <c r="AJ177" s="311" t="n">
        <v>29</v>
      </c>
      <c r="AK177" s="309" t="n">
        <v>28.8</v>
      </c>
      <c r="AL177" s="311" t="n">
        <v>29</v>
      </c>
      <c r="AM177" s="309" t="n">
        <v>28.8</v>
      </c>
      <c r="AN177" s="311" t="n">
        <v>29</v>
      </c>
      <c r="AO177" s="309" t="n">
        <v>28.8</v>
      </c>
      <c r="AP177" s="310"/>
      <c r="AQ177" s="311" t="n">
        <v>58</v>
      </c>
      <c r="AR177" s="309" t="n">
        <v>0</v>
      </c>
      <c r="AS177" s="311" t="n">
        <v>58</v>
      </c>
      <c r="AT177" s="309" t="n">
        <v>0</v>
      </c>
      <c r="AU177" s="311" t="n">
        <v>58</v>
      </c>
      <c r="AV177" s="309" t="n">
        <v>0</v>
      </c>
      <c r="AW177" s="310" t="n">
        <v>58</v>
      </c>
      <c r="AX177" s="309" t="n">
        <v>0</v>
      </c>
      <c r="AY177" s="311" t="n">
        <v>58</v>
      </c>
      <c r="AZ177" s="309" t="n">
        <v>0</v>
      </c>
    </row>
    <row r="178" customFormat="false" ht="12.75" hidden="false" customHeight="false" outlineLevel="0" collapsed="false">
      <c r="A178" s="268"/>
      <c r="B178" s="306" t="s">
        <v>130</v>
      </c>
      <c r="C178" s="327" t="s">
        <v>707</v>
      </c>
      <c r="D178" s="306" t="n">
        <v>63</v>
      </c>
      <c r="E178" s="306" t="n">
        <v>0</v>
      </c>
      <c r="F178" s="324" t="s">
        <v>705</v>
      </c>
      <c r="G178" s="144" t="n">
        <v>24</v>
      </c>
      <c r="H178" s="143" t="n">
        <v>57.0247933884298</v>
      </c>
      <c r="I178" s="410"/>
      <c r="J178" s="311" t="s">
        <v>12</v>
      </c>
      <c r="K178" s="309" t="s">
        <v>12</v>
      </c>
      <c r="L178" s="650"/>
      <c r="M178" s="651" t="n">
        <v>0</v>
      </c>
      <c r="N178" s="652" t="n">
        <v>1.5</v>
      </c>
      <c r="O178" s="651" t="n">
        <v>0</v>
      </c>
      <c r="P178" s="312" t="n">
        <v>1.5</v>
      </c>
      <c r="Q178" s="652" t="n">
        <v>0</v>
      </c>
      <c r="R178" s="312" t="n">
        <v>1.5</v>
      </c>
      <c r="S178" s="310"/>
      <c r="T178" s="651" t="n">
        <v>0</v>
      </c>
      <c r="U178" s="652" t="n">
        <v>0.5</v>
      </c>
      <c r="V178" s="651" t="n">
        <v>0</v>
      </c>
      <c r="W178" s="652" t="n">
        <v>0</v>
      </c>
      <c r="X178" s="651" t="n">
        <v>0</v>
      </c>
      <c r="Y178" s="312" t="n">
        <v>0</v>
      </c>
      <c r="Z178" s="313" t="n">
        <v>0</v>
      </c>
      <c r="AA178" s="314" t="n">
        <v>0</v>
      </c>
      <c r="AB178" s="313" t="n">
        <v>0</v>
      </c>
      <c r="AC178" s="314" t="n">
        <v>0</v>
      </c>
      <c r="AE178" s="324" t="n">
        <v>6</v>
      </c>
      <c r="AF178" s="315"/>
      <c r="AG178" s="311" t="n">
        <v>0</v>
      </c>
      <c r="AH178" s="309" t="n">
        <v>0</v>
      </c>
      <c r="AI178" s="310"/>
      <c r="AJ178" s="311" t="n">
        <v>27</v>
      </c>
      <c r="AK178" s="309" t="n">
        <v>36</v>
      </c>
      <c r="AL178" s="311" t="n">
        <v>27</v>
      </c>
      <c r="AM178" s="309" t="n">
        <v>36</v>
      </c>
      <c r="AN178" s="310" t="n">
        <v>27</v>
      </c>
      <c r="AO178" s="309" t="n">
        <v>36</v>
      </c>
      <c r="AP178" s="310"/>
      <c r="AQ178" s="311" t="n">
        <v>51</v>
      </c>
      <c r="AR178" s="309" t="n">
        <v>12</v>
      </c>
      <c r="AS178" s="311" t="n">
        <v>63</v>
      </c>
      <c r="AT178" s="309" t="n">
        <v>0</v>
      </c>
      <c r="AU178" s="310" t="n">
        <v>63</v>
      </c>
      <c r="AV178" s="309" t="n">
        <v>0</v>
      </c>
      <c r="AW178" s="310" t="n">
        <v>63</v>
      </c>
      <c r="AX178" s="309" t="n">
        <v>0</v>
      </c>
      <c r="AY178" s="310" t="n">
        <v>63</v>
      </c>
      <c r="AZ178" s="309" t="n">
        <v>0</v>
      </c>
    </row>
    <row r="179" customFormat="false" ht="12.75" hidden="false" customHeight="false" outlineLevel="0" collapsed="false">
      <c r="A179" s="268"/>
      <c r="B179" s="306" t="s">
        <v>200</v>
      </c>
      <c r="C179" s="305" t="s">
        <v>708</v>
      </c>
      <c r="D179" s="306" t="n">
        <v>61</v>
      </c>
      <c r="E179" s="306" t="n">
        <v>0</v>
      </c>
      <c r="F179" s="324" t="s">
        <v>705</v>
      </c>
      <c r="G179" s="307" t="n">
        <v>24</v>
      </c>
      <c r="H179" s="143" t="n">
        <v>48.7603305785124</v>
      </c>
      <c r="I179" s="410"/>
      <c r="J179" s="311" t="s">
        <v>12</v>
      </c>
      <c r="K179" s="309" t="s">
        <v>12</v>
      </c>
      <c r="L179" s="650"/>
      <c r="M179" s="651" t="n">
        <v>0</v>
      </c>
      <c r="N179" s="652" t="n">
        <v>1.2</v>
      </c>
      <c r="O179" s="651" t="n">
        <v>0</v>
      </c>
      <c r="P179" s="312" t="n">
        <v>1.2</v>
      </c>
      <c r="Q179" s="652" t="n">
        <v>0</v>
      </c>
      <c r="R179" s="312" t="n">
        <v>1.2</v>
      </c>
      <c r="S179" s="310"/>
      <c r="T179" s="651" t="n">
        <v>0</v>
      </c>
      <c r="U179" s="652" t="n">
        <v>0</v>
      </c>
      <c r="V179" s="651" t="n">
        <v>0</v>
      </c>
      <c r="W179" s="652" t="n">
        <v>0</v>
      </c>
      <c r="X179" s="651" t="n">
        <v>0</v>
      </c>
      <c r="Y179" s="312" t="n">
        <v>0</v>
      </c>
      <c r="Z179" s="313" t="n">
        <v>0</v>
      </c>
      <c r="AA179" s="314" t="n">
        <v>0</v>
      </c>
      <c r="AB179" s="313" t="n">
        <v>0</v>
      </c>
      <c r="AC179" s="314" t="n">
        <v>0</v>
      </c>
      <c r="AE179" s="324" t="n">
        <v>12</v>
      </c>
      <c r="AF179" s="315"/>
      <c r="AG179" s="311" t="n">
        <v>0</v>
      </c>
      <c r="AH179" s="309" t="n">
        <v>0</v>
      </c>
      <c r="AI179" s="310"/>
      <c r="AJ179" s="311" t="n">
        <v>32</v>
      </c>
      <c r="AK179" s="309" t="n">
        <v>28.8</v>
      </c>
      <c r="AL179" s="311" t="n">
        <v>32</v>
      </c>
      <c r="AM179" s="309" t="n">
        <v>28.8</v>
      </c>
      <c r="AN179" s="311" t="n">
        <v>32</v>
      </c>
      <c r="AO179" s="309" t="n">
        <v>28.8</v>
      </c>
      <c r="AP179" s="310"/>
      <c r="AQ179" s="311" t="n">
        <v>61</v>
      </c>
      <c r="AR179" s="309" t="n">
        <v>0</v>
      </c>
      <c r="AS179" s="311" t="n">
        <v>61</v>
      </c>
      <c r="AT179" s="309" t="n">
        <v>0</v>
      </c>
      <c r="AU179" s="311" t="n">
        <v>61</v>
      </c>
      <c r="AV179" s="309" t="n">
        <v>0</v>
      </c>
      <c r="AW179" s="310" t="n">
        <v>61</v>
      </c>
      <c r="AX179" s="309" t="n">
        <v>0</v>
      </c>
      <c r="AY179" s="311" t="n">
        <v>61</v>
      </c>
      <c r="AZ179" s="309" t="n">
        <v>0</v>
      </c>
    </row>
    <row r="180" customFormat="false" ht="12.75" hidden="false" customHeight="false" outlineLevel="0" collapsed="false">
      <c r="A180" s="268"/>
      <c r="B180" s="306" t="s">
        <v>112</v>
      </c>
      <c r="C180" s="305" t="s">
        <v>715</v>
      </c>
      <c r="D180" s="306" t="n">
        <v>300</v>
      </c>
      <c r="E180" s="306" t="n">
        <v>2.5</v>
      </c>
      <c r="F180" s="324" t="s">
        <v>710</v>
      </c>
      <c r="G180" s="144" t="n">
        <v>24</v>
      </c>
      <c r="H180" s="143" t="n">
        <v>299.173553719008</v>
      </c>
      <c r="I180" s="410"/>
      <c r="J180" s="311" t="s">
        <v>12</v>
      </c>
      <c r="K180" s="309" t="s">
        <v>12</v>
      </c>
      <c r="L180" s="650"/>
      <c r="M180" s="651" t="s">
        <v>12</v>
      </c>
      <c r="N180" s="652" t="s">
        <v>12</v>
      </c>
      <c r="O180" s="651" t="s">
        <v>12</v>
      </c>
      <c r="P180" s="312" t="s">
        <v>12</v>
      </c>
      <c r="Q180" s="652" t="s">
        <v>12</v>
      </c>
      <c r="R180" s="312" t="s">
        <v>12</v>
      </c>
      <c r="S180" s="310"/>
      <c r="T180" s="651" t="n">
        <v>0</v>
      </c>
      <c r="U180" s="652" t="n">
        <v>8.7</v>
      </c>
      <c r="V180" s="651" t="n">
        <v>0</v>
      </c>
      <c r="W180" s="652" t="n">
        <v>8.5</v>
      </c>
      <c r="X180" s="651" t="n">
        <v>0</v>
      </c>
      <c r="Y180" s="312" t="n">
        <v>8.5</v>
      </c>
      <c r="Z180" s="313" t="n">
        <v>0</v>
      </c>
      <c r="AA180" s="314" t="n">
        <v>8.5</v>
      </c>
      <c r="AB180" s="313" t="n">
        <v>0</v>
      </c>
      <c r="AC180" s="314" t="n">
        <v>8.5</v>
      </c>
      <c r="AE180" s="324" t="n">
        <v>1</v>
      </c>
      <c r="AF180" s="315"/>
      <c r="AG180" s="311" t="n">
        <v>0</v>
      </c>
      <c r="AH180" s="309" t="n">
        <v>0</v>
      </c>
      <c r="AI180" s="310"/>
      <c r="AJ180" s="311" t="s">
        <v>12</v>
      </c>
      <c r="AK180" s="309" t="s">
        <v>12</v>
      </c>
      <c r="AL180" s="311" t="s">
        <v>12</v>
      </c>
      <c r="AM180" s="309" t="s">
        <v>12</v>
      </c>
      <c r="AN180" s="310" t="s">
        <v>12</v>
      </c>
      <c r="AO180" s="309" t="s">
        <v>12</v>
      </c>
      <c r="AP180" s="310"/>
      <c r="AQ180" s="311" t="n">
        <v>91</v>
      </c>
      <c r="AR180" s="309" t="n">
        <v>208.8</v>
      </c>
      <c r="AS180" s="311" t="n">
        <v>96</v>
      </c>
      <c r="AT180" s="309" t="n">
        <v>204</v>
      </c>
      <c r="AU180" s="310" t="n">
        <v>96</v>
      </c>
      <c r="AV180" s="309" t="n">
        <v>204</v>
      </c>
      <c r="AW180" s="310" t="n">
        <v>96</v>
      </c>
      <c r="AX180" s="309" t="n">
        <v>204</v>
      </c>
      <c r="AY180" s="310" t="n">
        <v>96</v>
      </c>
      <c r="AZ180" s="309" t="n">
        <v>204</v>
      </c>
    </row>
    <row r="181" customFormat="false" ht="12.75" hidden="false" customHeight="false" outlineLevel="0" collapsed="false">
      <c r="A181" s="268"/>
      <c r="B181" s="306" t="s">
        <v>112</v>
      </c>
      <c r="C181" s="305" t="s">
        <v>715</v>
      </c>
      <c r="D181" s="306" t="n">
        <v>300</v>
      </c>
      <c r="E181" s="306" t="n">
        <v>2.5</v>
      </c>
      <c r="F181" s="324" t="s">
        <v>710</v>
      </c>
      <c r="G181" s="307" t="n">
        <v>48</v>
      </c>
      <c r="H181" s="143" t="n">
        <v>299.173553719008</v>
      </c>
      <c r="I181" s="410"/>
      <c r="J181" s="311" t="s">
        <v>12</v>
      </c>
      <c r="K181" s="309" t="s">
        <v>12</v>
      </c>
      <c r="L181" s="650"/>
      <c r="M181" s="651" t="s">
        <v>12</v>
      </c>
      <c r="N181" s="652" t="s">
        <v>12</v>
      </c>
      <c r="O181" s="651" t="s">
        <v>12</v>
      </c>
      <c r="P181" s="312" t="s">
        <v>12</v>
      </c>
      <c r="Q181" s="652" t="s">
        <v>12</v>
      </c>
      <c r="R181" s="312" t="s">
        <v>12</v>
      </c>
      <c r="S181" s="310"/>
      <c r="T181" s="651" t="n">
        <v>0</v>
      </c>
      <c r="U181" s="652" t="n">
        <v>4.4</v>
      </c>
      <c r="V181" s="651" t="n">
        <v>0</v>
      </c>
      <c r="W181" s="652" t="n">
        <v>4.3</v>
      </c>
      <c r="X181" s="651" t="n">
        <v>0</v>
      </c>
      <c r="Y181" s="312" t="n">
        <v>4.3</v>
      </c>
      <c r="Z181" s="313" t="n">
        <v>0</v>
      </c>
      <c r="AA181" s="314" t="n">
        <v>4.3</v>
      </c>
      <c r="AB181" s="313" t="n">
        <v>0</v>
      </c>
      <c r="AC181" s="314" t="n">
        <v>4.3</v>
      </c>
      <c r="AE181" s="324" t="n">
        <v>1</v>
      </c>
      <c r="AF181" s="315"/>
      <c r="AG181" s="311" t="n">
        <v>0</v>
      </c>
      <c r="AH181" s="309" t="n">
        <v>0</v>
      </c>
      <c r="AI181" s="310"/>
      <c r="AJ181" s="311" t="s">
        <v>12</v>
      </c>
      <c r="AK181" s="309" t="s">
        <v>12</v>
      </c>
      <c r="AL181" s="311" t="s">
        <v>12</v>
      </c>
      <c r="AM181" s="309" t="s">
        <v>12</v>
      </c>
      <c r="AN181" s="311" t="s">
        <v>12</v>
      </c>
      <c r="AO181" s="309" t="s">
        <v>12</v>
      </c>
      <c r="AP181" s="310"/>
      <c r="AQ181" s="311" t="n">
        <v>89</v>
      </c>
      <c r="AR181" s="309" t="n">
        <v>211.2</v>
      </c>
      <c r="AS181" s="311" t="n">
        <v>94</v>
      </c>
      <c r="AT181" s="309" t="n">
        <v>206.4</v>
      </c>
      <c r="AU181" s="311" t="n">
        <v>94</v>
      </c>
      <c r="AV181" s="309" t="n">
        <v>206.4</v>
      </c>
      <c r="AW181" s="310" t="n">
        <v>94</v>
      </c>
      <c r="AX181" s="309" t="n">
        <v>206.4</v>
      </c>
      <c r="AY181" s="311" t="n">
        <v>94</v>
      </c>
      <c r="AZ181" s="309" t="n">
        <v>206.4</v>
      </c>
      <c r="BA181" s="2"/>
      <c r="BB181" s="2"/>
      <c r="BC181" s="2"/>
      <c r="BD181" s="2"/>
      <c r="BE181" s="2"/>
      <c r="BF181" s="2"/>
      <c r="BG181" s="2"/>
      <c r="BH181" s="2"/>
      <c r="BI181" s="2"/>
    </row>
    <row r="182" customFormat="false" ht="12.75" hidden="false" customHeight="false" outlineLevel="0" collapsed="false">
      <c r="A182" s="268"/>
      <c r="B182" s="306" t="s">
        <v>124</v>
      </c>
      <c r="C182" s="305" t="s">
        <v>718</v>
      </c>
      <c r="D182" s="306" t="n">
        <v>413</v>
      </c>
      <c r="E182" s="306" t="n">
        <v>2.5</v>
      </c>
      <c r="F182" s="324" t="s">
        <v>710</v>
      </c>
      <c r="G182" s="144" t="n">
        <v>24</v>
      </c>
      <c r="H182" s="143" t="n">
        <v>305.785123966942</v>
      </c>
      <c r="I182" s="410"/>
      <c r="J182" s="311" t="s">
        <v>12</v>
      </c>
      <c r="K182" s="309" t="s">
        <v>12</v>
      </c>
      <c r="L182" s="650"/>
      <c r="M182" s="651" t="s">
        <v>12</v>
      </c>
      <c r="N182" s="652" t="s">
        <v>12</v>
      </c>
      <c r="O182" s="651" t="s">
        <v>12</v>
      </c>
      <c r="P182" s="312" t="s">
        <v>12</v>
      </c>
      <c r="Q182" s="652" t="s">
        <v>12</v>
      </c>
      <c r="R182" s="312" t="s">
        <v>12</v>
      </c>
      <c r="S182" s="310"/>
      <c r="T182" s="651" t="n">
        <v>0</v>
      </c>
      <c r="U182" s="652" t="n">
        <v>10</v>
      </c>
      <c r="V182" s="651" t="n">
        <v>0</v>
      </c>
      <c r="W182" s="652" t="n">
        <v>6.7</v>
      </c>
      <c r="X182" s="651" t="n">
        <v>0</v>
      </c>
      <c r="Y182" s="312" t="n">
        <v>6.7</v>
      </c>
      <c r="Z182" s="313" t="n">
        <v>0</v>
      </c>
      <c r="AA182" s="314" t="n">
        <v>6.6</v>
      </c>
      <c r="AB182" s="313" t="n">
        <v>0</v>
      </c>
      <c r="AC182" s="314" t="n">
        <v>6.6</v>
      </c>
      <c r="AE182" s="324" t="n">
        <v>107</v>
      </c>
      <c r="AF182" s="315"/>
      <c r="AG182" s="311" t="n">
        <v>0</v>
      </c>
      <c r="AH182" s="309" t="n">
        <v>0</v>
      </c>
      <c r="AI182" s="310"/>
      <c r="AJ182" s="311" t="s">
        <v>12</v>
      </c>
      <c r="AK182" s="309" t="s">
        <v>12</v>
      </c>
      <c r="AL182" s="311" t="s">
        <v>12</v>
      </c>
      <c r="AM182" s="309" t="s">
        <v>12</v>
      </c>
      <c r="AN182" s="310" t="s">
        <v>12</v>
      </c>
      <c r="AO182" s="309" t="s">
        <v>12</v>
      </c>
      <c r="AP182" s="310"/>
      <c r="AQ182" s="311" t="n">
        <v>173</v>
      </c>
      <c r="AR182" s="309" t="n">
        <v>240</v>
      </c>
      <c r="AS182" s="311" t="n">
        <v>252</v>
      </c>
      <c r="AT182" s="309" t="n">
        <v>160.8</v>
      </c>
      <c r="AU182" s="310" t="n">
        <v>252</v>
      </c>
      <c r="AV182" s="309" t="n">
        <v>160.8</v>
      </c>
      <c r="AW182" s="310" t="n">
        <v>255</v>
      </c>
      <c r="AX182" s="309" t="n">
        <v>158.4</v>
      </c>
      <c r="AY182" s="310" t="n">
        <v>255</v>
      </c>
      <c r="AZ182" s="309" t="n">
        <v>158.4</v>
      </c>
      <c r="BA182" s="2"/>
      <c r="BB182" s="2"/>
      <c r="BC182" s="2"/>
      <c r="BD182" s="2"/>
      <c r="BE182" s="2"/>
      <c r="BF182" s="2"/>
      <c r="BG182" s="2"/>
      <c r="BH182" s="2"/>
      <c r="BI182" s="2"/>
    </row>
    <row r="183" customFormat="false" ht="12.75" hidden="false" customHeight="false" outlineLevel="0" collapsed="false">
      <c r="A183" s="268"/>
      <c r="B183" s="306" t="s">
        <v>124</v>
      </c>
      <c r="C183" s="305" t="s">
        <v>718</v>
      </c>
      <c r="D183" s="306" t="n">
        <v>413</v>
      </c>
      <c r="E183" s="306" t="n">
        <v>2.5</v>
      </c>
      <c r="F183" s="324" t="s">
        <v>710</v>
      </c>
      <c r="G183" s="307" t="n">
        <v>48</v>
      </c>
      <c r="H183" s="143" t="n">
        <v>305.785123966942</v>
      </c>
      <c r="I183" s="410"/>
      <c r="J183" s="311" t="s">
        <v>12</v>
      </c>
      <c r="K183" s="309" t="s">
        <v>12</v>
      </c>
      <c r="L183" s="650"/>
      <c r="M183" s="651" t="s">
        <v>12</v>
      </c>
      <c r="N183" s="652" t="s">
        <v>12</v>
      </c>
      <c r="O183" s="651" t="s">
        <v>12</v>
      </c>
      <c r="P183" s="312" t="s">
        <v>12</v>
      </c>
      <c r="Q183" s="652" t="s">
        <v>12</v>
      </c>
      <c r="R183" s="312" t="s">
        <v>12</v>
      </c>
      <c r="S183" s="310"/>
      <c r="T183" s="651" t="n">
        <v>0</v>
      </c>
      <c r="U183" s="652" t="n">
        <v>5</v>
      </c>
      <c r="V183" s="651" t="n">
        <v>0</v>
      </c>
      <c r="W183" s="652" t="n">
        <v>3.4</v>
      </c>
      <c r="X183" s="651" t="n">
        <v>0</v>
      </c>
      <c r="Y183" s="312" t="n">
        <v>3.4</v>
      </c>
      <c r="Z183" s="313" t="n">
        <v>0</v>
      </c>
      <c r="AA183" s="314" t="n">
        <v>3.3</v>
      </c>
      <c r="AB183" s="313" t="n">
        <v>0</v>
      </c>
      <c r="AC183" s="314" t="n">
        <v>3.3</v>
      </c>
      <c r="AE183" s="324" t="n">
        <v>107</v>
      </c>
      <c r="AF183" s="315"/>
      <c r="AG183" s="311" t="n">
        <v>0</v>
      </c>
      <c r="AH183" s="309" t="n">
        <v>0</v>
      </c>
      <c r="AI183" s="310"/>
      <c r="AJ183" s="311" t="s">
        <v>12</v>
      </c>
      <c r="AK183" s="309" t="s">
        <v>12</v>
      </c>
      <c r="AL183" s="311" t="s">
        <v>12</v>
      </c>
      <c r="AM183" s="309" t="s">
        <v>12</v>
      </c>
      <c r="AN183" s="311" t="s">
        <v>12</v>
      </c>
      <c r="AO183" s="309" t="s">
        <v>12</v>
      </c>
      <c r="AP183" s="310"/>
      <c r="AQ183" s="311" t="n">
        <v>173</v>
      </c>
      <c r="AR183" s="309" t="n">
        <v>240</v>
      </c>
      <c r="AS183" s="311" t="n">
        <v>250</v>
      </c>
      <c r="AT183" s="309" t="n">
        <v>163.2</v>
      </c>
      <c r="AU183" s="311" t="n">
        <v>250</v>
      </c>
      <c r="AV183" s="309" t="n">
        <v>163.2</v>
      </c>
      <c r="AW183" s="310" t="n">
        <v>255</v>
      </c>
      <c r="AX183" s="309" t="n">
        <v>158.4</v>
      </c>
      <c r="AY183" s="311" t="n">
        <v>255</v>
      </c>
      <c r="AZ183" s="309" t="n">
        <v>158.4</v>
      </c>
      <c r="BA183" s="2"/>
      <c r="BB183" s="2"/>
      <c r="BC183" s="2"/>
      <c r="BD183" s="2"/>
      <c r="BE183" s="2"/>
      <c r="BF183" s="2"/>
      <c r="BG183" s="2"/>
      <c r="BH183" s="2"/>
      <c r="BI183" s="2"/>
    </row>
    <row r="184" customFormat="false" ht="12.75" hidden="false" customHeight="false" outlineLevel="0" collapsed="false">
      <c r="A184" s="268"/>
      <c r="B184" s="306" t="s">
        <v>130</v>
      </c>
      <c r="C184" s="305" t="s">
        <v>719</v>
      </c>
      <c r="D184" s="306" t="n">
        <v>161</v>
      </c>
      <c r="E184" s="306" t="n">
        <v>2.5</v>
      </c>
      <c r="F184" s="324" t="s">
        <v>710</v>
      </c>
      <c r="G184" s="144" t="n">
        <v>24</v>
      </c>
      <c r="H184" s="143" t="n">
        <v>100</v>
      </c>
      <c r="I184" s="410"/>
      <c r="J184" s="311" t="s">
        <v>12</v>
      </c>
      <c r="K184" s="309" t="s">
        <v>12</v>
      </c>
      <c r="L184" s="650"/>
      <c r="M184" s="651" t="n">
        <v>0</v>
      </c>
      <c r="N184" s="652" t="n">
        <v>4</v>
      </c>
      <c r="O184" s="651" t="n">
        <v>0</v>
      </c>
      <c r="P184" s="312" t="n">
        <v>1.5</v>
      </c>
      <c r="Q184" s="652" t="n">
        <v>0</v>
      </c>
      <c r="R184" s="312" t="n">
        <v>0.7</v>
      </c>
      <c r="S184" s="310"/>
      <c r="T184" s="651" t="n">
        <v>0</v>
      </c>
      <c r="U184" s="652" t="n">
        <v>1.7</v>
      </c>
      <c r="V184" s="651" t="n">
        <v>0</v>
      </c>
      <c r="W184" s="652" t="n">
        <v>1.7</v>
      </c>
      <c r="X184" s="651" t="n">
        <v>0</v>
      </c>
      <c r="Y184" s="312" t="n">
        <v>1.7</v>
      </c>
      <c r="Z184" s="313" t="n">
        <v>0</v>
      </c>
      <c r="AA184" s="314" t="n">
        <v>1.7</v>
      </c>
      <c r="AB184" s="313" t="n">
        <v>0</v>
      </c>
      <c r="AC184" s="314" t="n">
        <v>1.7</v>
      </c>
      <c r="AE184" s="324" t="n">
        <v>61</v>
      </c>
      <c r="AF184" s="315"/>
      <c r="AG184" s="311" t="n">
        <v>0</v>
      </c>
      <c r="AH184" s="309" t="n">
        <v>0</v>
      </c>
      <c r="AI184" s="310"/>
      <c r="AJ184" s="311" t="n">
        <v>65</v>
      </c>
      <c r="AK184" s="309" t="n">
        <v>96</v>
      </c>
      <c r="AL184" s="311" t="n">
        <v>125</v>
      </c>
      <c r="AM184" s="309" t="n">
        <v>36</v>
      </c>
      <c r="AN184" s="310" t="n">
        <v>144</v>
      </c>
      <c r="AO184" s="309" t="n">
        <v>16.8</v>
      </c>
      <c r="AP184" s="310"/>
      <c r="AQ184" s="311" t="n">
        <v>120</v>
      </c>
      <c r="AR184" s="309" t="n">
        <v>40.8</v>
      </c>
      <c r="AS184" s="311" t="n">
        <v>120</v>
      </c>
      <c r="AT184" s="309" t="n">
        <v>40.8</v>
      </c>
      <c r="AU184" s="310" t="n">
        <v>120</v>
      </c>
      <c r="AV184" s="309" t="n">
        <v>40.8</v>
      </c>
      <c r="AW184" s="310" t="n">
        <v>120</v>
      </c>
      <c r="AX184" s="309" t="n">
        <v>40.8</v>
      </c>
      <c r="AY184" s="310" t="n">
        <v>120</v>
      </c>
      <c r="AZ184" s="309" t="n">
        <v>40.8</v>
      </c>
    </row>
    <row r="185" customFormat="false" ht="12.75" hidden="false" customHeight="false" outlineLevel="0" collapsed="false">
      <c r="A185" s="268"/>
      <c r="B185" s="306" t="s">
        <v>130</v>
      </c>
      <c r="C185" s="305" t="s">
        <v>720</v>
      </c>
      <c r="D185" s="306" t="n">
        <v>288</v>
      </c>
      <c r="E185" s="306" t="n">
        <v>2.5</v>
      </c>
      <c r="F185" s="324" t="s">
        <v>710</v>
      </c>
      <c r="G185" s="307" t="n">
        <v>24</v>
      </c>
      <c r="H185" s="143" t="n">
        <v>205.785123966942</v>
      </c>
      <c r="I185" s="410"/>
      <c r="J185" s="311" t="s">
        <v>12</v>
      </c>
      <c r="K185" s="309" t="s">
        <v>12</v>
      </c>
      <c r="L185" s="650"/>
      <c r="M185" s="651" t="s">
        <v>12</v>
      </c>
      <c r="N185" s="652" t="s">
        <v>12</v>
      </c>
      <c r="O185" s="651" t="s">
        <v>12</v>
      </c>
      <c r="P185" s="312" t="s">
        <v>12</v>
      </c>
      <c r="Q185" s="652" t="s">
        <v>12</v>
      </c>
      <c r="R185" s="312" t="s">
        <v>12</v>
      </c>
      <c r="S185" s="310"/>
      <c r="T185" s="651" t="n">
        <v>0</v>
      </c>
      <c r="U185" s="652" t="n">
        <v>7.3</v>
      </c>
      <c r="V185" s="651" t="n">
        <v>0</v>
      </c>
      <c r="W185" s="652" t="n">
        <v>4.2</v>
      </c>
      <c r="X185" s="651" t="n">
        <v>0</v>
      </c>
      <c r="Y185" s="312" t="n">
        <v>4.2</v>
      </c>
      <c r="Z185" s="313" t="n">
        <v>0</v>
      </c>
      <c r="AA185" s="314" t="n">
        <v>4.1</v>
      </c>
      <c r="AB185" s="313" t="n">
        <v>0</v>
      </c>
      <c r="AC185" s="314" t="n">
        <v>4.1</v>
      </c>
      <c r="AE185" s="324" t="n">
        <v>82</v>
      </c>
      <c r="AF185" s="315"/>
      <c r="AG185" s="311" t="n">
        <v>0</v>
      </c>
      <c r="AH185" s="309" t="n">
        <v>0</v>
      </c>
      <c r="AI185" s="310"/>
      <c r="AJ185" s="311" t="s">
        <v>12</v>
      </c>
      <c r="AK185" s="309" t="s">
        <v>12</v>
      </c>
      <c r="AL185" s="311" t="s">
        <v>12</v>
      </c>
      <c r="AM185" s="309" t="s">
        <v>12</v>
      </c>
      <c r="AN185" s="311" t="s">
        <v>12</v>
      </c>
      <c r="AO185" s="309" t="s">
        <v>12</v>
      </c>
      <c r="AP185" s="310"/>
      <c r="AQ185" s="311" t="n">
        <v>113</v>
      </c>
      <c r="AR185" s="309" t="n">
        <v>175.2</v>
      </c>
      <c r="AS185" s="311" t="n">
        <v>187</v>
      </c>
      <c r="AT185" s="309" t="n">
        <v>100.8</v>
      </c>
      <c r="AU185" s="311" t="n">
        <v>187</v>
      </c>
      <c r="AV185" s="309" t="n">
        <v>100.8</v>
      </c>
      <c r="AW185" s="310" t="n">
        <v>190</v>
      </c>
      <c r="AX185" s="309" t="n">
        <v>98.4</v>
      </c>
      <c r="AY185" s="311" t="n">
        <v>190</v>
      </c>
      <c r="AZ185" s="309" t="n">
        <v>98.4</v>
      </c>
    </row>
    <row r="186" customFormat="false" ht="12.75" hidden="false" customHeight="false" outlineLevel="0" collapsed="false">
      <c r="A186" s="268"/>
      <c r="B186" s="306" t="s">
        <v>130</v>
      </c>
      <c r="C186" s="305" t="s">
        <v>721</v>
      </c>
      <c r="D186" s="306" t="n">
        <v>245</v>
      </c>
      <c r="E186" s="306" t="n">
        <v>2.5</v>
      </c>
      <c r="F186" s="324" t="s">
        <v>710</v>
      </c>
      <c r="G186" s="144" t="n">
        <v>24</v>
      </c>
      <c r="H186" s="143" t="n">
        <v>203.305785123967</v>
      </c>
      <c r="I186" s="410"/>
      <c r="J186" s="311" t="s">
        <v>12</v>
      </c>
      <c r="K186" s="309" t="s">
        <v>12</v>
      </c>
      <c r="L186" s="650"/>
      <c r="M186" s="651" t="s">
        <v>12</v>
      </c>
      <c r="N186" s="652" t="s">
        <v>12</v>
      </c>
      <c r="O186" s="651" t="s">
        <v>12</v>
      </c>
      <c r="P186" s="312" t="s">
        <v>12</v>
      </c>
      <c r="Q186" s="652" t="s">
        <v>12</v>
      </c>
      <c r="R186" s="312" t="s">
        <v>12</v>
      </c>
      <c r="S186" s="310"/>
      <c r="T186" s="651" t="n">
        <v>0</v>
      </c>
      <c r="U186" s="652" t="n">
        <v>7.3</v>
      </c>
      <c r="V186" s="651" t="n">
        <v>0</v>
      </c>
      <c r="W186" s="652" t="n">
        <v>4.2</v>
      </c>
      <c r="X186" s="651" t="n">
        <v>0</v>
      </c>
      <c r="Y186" s="312" t="n">
        <v>4.2</v>
      </c>
      <c r="Z186" s="313" t="n">
        <v>0</v>
      </c>
      <c r="AA186" s="314" t="n">
        <v>4.1</v>
      </c>
      <c r="AB186" s="313" t="n">
        <v>0</v>
      </c>
      <c r="AC186" s="314" t="n">
        <v>4.1</v>
      </c>
      <c r="AE186" s="324" t="n">
        <v>42</v>
      </c>
      <c r="AF186" s="315"/>
      <c r="AG186" s="311" t="n">
        <v>0</v>
      </c>
      <c r="AH186" s="309" t="n">
        <v>0</v>
      </c>
      <c r="AI186" s="310"/>
      <c r="AJ186" s="311" t="s">
        <v>12</v>
      </c>
      <c r="AK186" s="309" t="s">
        <v>12</v>
      </c>
      <c r="AL186" s="311" t="s">
        <v>12</v>
      </c>
      <c r="AM186" s="309" t="s">
        <v>12</v>
      </c>
      <c r="AN186" s="310" t="s">
        <v>12</v>
      </c>
      <c r="AO186" s="309" t="s">
        <v>12</v>
      </c>
      <c r="AP186" s="310"/>
      <c r="AQ186" s="311" t="n">
        <v>70</v>
      </c>
      <c r="AR186" s="309" t="n">
        <v>175.2</v>
      </c>
      <c r="AS186" s="311" t="n">
        <v>144</v>
      </c>
      <c r="AT186" s="309" t="n">
        <v>100.8</v>
      </c>
      <c r="AU186" s="310" t="n">
        <v>144</v>
      </c>
      <c r="AV186" s="309" t="n">
        <v>100.8</v>
      </c>
      <c r="AW186" s="310" t="n">
        <v>147</v>
      </c>
      <c r="AX186" s="309" t="n">
        <v>98.4</v>
      </c>
      <c r="AY186" s="310" t="n">
        <v>147</v>
      </c>
      <c r="AZ186" s="309" t="n">
        <v>98.4</v>
      </c>
      <c r="BA186" s="2"/>
      <c r="BB186" s="2"/>
      <c r="BC186" s="2"/>
      <c r="BD186" s="2"/>
      <c r="BE186" s="2"/>
    </row>
    <row r="187" customFormat="false" ht="12.75" hidden="false" customHeight="false" outlineLevel="0" collapsed="false">
      <c r="A187" s="268"/>
      <c r="B187" s="306" t="s">
        <v>130</v>
      </c>
      <c r="C187" s="305" t="s">
        <v>722</v>
      </c>
      <c r="D187" s="306" t="n">
        <v>468</v>
      </c>
      <c r="E187" s="306" t="n">
        <v>2.5</v>
      </c>
      <c r="F187" s="324" t="s">
        <v>710</v>
      </c>
      <c r="G187" s="307" t="n">
        <v>24</v>
      </c>
      <c r="H187" s="143" t="n">
        <v>311.570247933884</v>
      </c>
      <c r="I187" s="410"/>
      <c r="J187" s="311" t="s">
        <v>12</v>
      </c>
      <c r="K187" s="309" t="s">
        <v>12</v>
      </c>
      <c r="L187" s="650"/>
      <c r="M187" s="651" t="s">
        <v>12</v>
      </c>
      <c r="N187" s="652" t="s">
        <v>12</v>
      </c>
      <c r="O187" s="651" t="s">
        <v>12</v>
      </c>
      <c r="P187" s="312" t="s">
        <v>12</v>
      </c>
      <c r="Q187" s="652" t="s">
        <v>12</v>
      </c>
      <c r="R187" s="312" t="s">
        <v>12</v>
      </c>
      <c r="S187" s="310"/>
      <c r="T187" s="651" t="n">
        <v>0</v>
      </c>
      <c r="U187" s="652" t="n">
        <v>10.2</v>
      </c>
      <c r="V187" s="651" t="n">
        <v>0</v>
      </c>
      <c r="W187" s="652" t="n">
        <v>7.5</v>
      </c>
      <c r="X187" s="651" t="n">
        <v>0</v>
      </c>
      <c r="Y187" s="312" t="n">
        <v>7.5</v>
      </c>
      <c r="Z187" s="313" t="n">
        <v>0</v>
      </c>
      <c r="AA187" s="314" t="n">
        <v>7.4</v>
      </c>
      <c r="AB187" s="313" t="n">
        <v>0</v>
      </c>
      <c r="AC187" s="314" t="n">
        <v>7.4</v>
      </c>
      <c r="AE187" s="324" t="n">
        <v>156</v>
      </c>
      <c r="AF187" s="315"/>
      <c r="AG187" s="311" t="n">
        <v>0</v>
      </c>
      <c r="AH187" s="309" t="n">
        <v>0</v>
      </c>
      <c r="AI187" s="310"/>
      <c r="AJ187" s="311" t="s">
        <v>12</v>
      </c>
      <c r="AK187" s="309" t="s">
        <v>12</v>
      </c>
      <c r="AL187" s="311" t="s">
        <v>12</v>
      </c>
      <c r="AM187" s="309" t="s">
        <v>12</v>
      </c>
      <c r="AN187" s="311" t="s">
        <v>12</v>
      </c>
      <c r="AO187" s="309" t="s">
        <v>12</v>
      </c>
      <c r="AP187" s="310"/>
      <c r="AQ187" s="311" t="n">
        <v>223</v>
      </c>
      <c r="AR187" s="309" t="n">
        <v>244.8</v>
      </c>
      <c r="AS187" s="311" t="n">
        <v>288</v>
      </c>
      <c r="AT187" s="309" t="n">
        <v>180</v>
      </c>
      <c r="AU187" s="311" t="n">
        <v>288</v>
      </c>
      <c r="AV187" s="309" t="n">
        <v>180</v>
      </c>
      <c r="AW187" s="310" t="n">
        <v>290</v>
      </c>
      <c r="AX187" s="309" t="n">
        <v>177.6</v>
      </c>
      <c r="AY187" s="311" t="n">
        <v>290</v>
      </c>
      <c r="AZ187" s="309" t="n">
        <v>177.6</v>
      </c>
      <c r="BA187" s="2"/>
      <c r="BB187" s="2"/>
      <c r="BC187" s="2"/>
      <c r="BD187" s="2"/>
      <c r="BE187" s="2"/>
    </row>
    <row r="188" customFormat="false" ht="12.75" hidden="false" customHeight="false" outlineLevel="0" collapsed="false">
      <c r="A188" s="268"/>
      <c r="B188" s="306" t="s">
        <v>130</v>
      </c>
      <c r="C188" s="305" t="s">
        <v>722</v>
      </c>
      <c r="D188" s="306" t="n">
        <v>468</v>
      </c>
      <c r="E188" s="306" t="n">
        <v>2.5</v>
      </c>
      <c r="F188" s="324" t="s">
        <v>710</v>
      </c>
      <c r="G188" s="144" t="n">
        <v>48</v>
      </c>
      <c r="H188" s="143" t="n">
        <v>311.570247933884</v>
      </c>
      <c r="I188" s="410"/>
      <c r="J188" s="311" t="s">
        <v>12</v>
      </c>
      <c r="K188" s="309" t="s">
        <v>12</v>
      </c>
      <c r="L188" s="650"/>
      <c r="M188" s="651" t="s">
        <v>12</v>
      </c>
      <c r="N188" s="652" t="s">
        <v>12</v>
      </c>
      <c r="O188" s="651" t="s">
        <v>12</v>
      </c>
      <c r="P188" s="312" t="s">
        <v>12</v>
      </c>
      <c r="Q188" s="652" t="s">
        <v>12</v>
      </c>
      <c r="R188" s="312" t="s">
        <v>12</v>
      </c>
      <c r="S188" s="310"/>
      <c r="T188" s="651" t="n">
        <v>0</v>
      </c>
      <c r="U188" s="652" t="n">
        <v>5.1</v>
      </c>
      <c r="V188" s="651" t="n">
        <v>0</v>
      </c>
      <c r="W188" s="652" t="n">
        <v>3.8</v>
      </c>
      <c r="X188" s="651" t="n">
        <v>0</v>
      </c>
      <c r="Y188" s="312" t="n">
        <v>3.8</v>
      </c>
      <c r="Z188" s="313" t="n">
        <v>0</v>
      </c>
      <c r="AA188" s="314" t="n">
        <v>3.7</v>
      </c>
      <c r="AB188" s="313" t="n">
        <v>0</v>
      </c>
      <c r="AC188" s="314" t="n">
        <v>3.7</v>
      </c>
      <c r="AE188" s="324" t="n">
        <v>156</v>
      </c>
      <c r="AF188" s="315"/>
      <c r="AG188" s="311" t="n">
        <v>0</v>
      </c>
      <c r="AH188" s="309" t="n">
        <v>0</v>
      </c>
      <c r="AI188" s="310"/>
      <c r="AJ188" s="311" t="s">
        <v>12</v>
      </c>
      <c r="AK188" s="309" t="s">
        <v>12</v>
      </c>
      <c r="AL188" s="311" t="s">
        <v>12</v>
      </c>
      <c r="AM188" s="309" t="s">
        <v>12</v>
      </c>
      <c r="AN188" s="310" t="s">
        <v>12</v>
      </c>
      <c r="AO188" s="309" t="s">
        <v>12</v>
      </c>
      <c r="AP188" s="310"/>
      <c r="AQ188" s="311" t="n">
        <v>223</v>
      </c>
      <c r="AR188" s="309" t="n">
        <v>244.8</v>
      </c>
      <c r="AS188" s="311" t="n">
        <v>286</v>
      </c>
      <c r="AT188" s="309" t="n">
        <v>182.4</v>
      </c>
      <c r="AU188" s="310" t="n">
        <v>286</v>
      </c>
      <c r="AV188" s="309" t="n">
        <v>182.4</v>
      </c>
      <c r="AW188" s="310" t="n">
        <v>290</v>
      </c>
      <c r="AX188" s="309" t="n">
        <v>177.6</v>
      </c>
      <c r="AY188" s="310" t="n">
        <v>290</v>
      </c>
      <c r="AZ188" s="309" t="n">
        <v>177.6</v>
      </c>
      <c r="BA188" s="2"/>
      <c r="BB188" s="2"/>
      <c r="BC188" s="2"/>
      <c r="BD188" s="2"/>
      <c r="BE188" s="2"/>
    </row>
    <row r="189" customFormat="false" ht="12.75" hidden="false" customHeight="false" outlineLevel="0" collapsed="false">
      <c r="A189" s="268"/>
      <c r="B189" s="306" t="s">
        <v>130</v>
      </c>
      <c r="C189" s="305" t="s">
        <v>723</v>
      </c>
      <c r="D189" s="306" t="n">
        <v>377</v>
      </c>
      <c r="E189" s="306" t="n">
        <v>2.5</v>
      </c>
      <c r="F189" s="324" t="s">
        <v>710</v>
      </c>
      <c r="G189" s="307" t="n">
        <v>24</v>
      </c>
      <c r="H189" s="143" t="n">
        <v>237.190082644628</v>
      </c>
      <c r="I189" s="410"/>
      <c r="J189" s="311" t="s">
        <v>12</v>
      </c>
      <c r="K189" s="309" t="s">
        <v>12</v>
      </c>
      <c r="L189" s="650"/>
      <c r="M189" s="651" t="s">
        <v>12</v>
      </c>
      <c r="N189" s="652" t="s">
        <v>12</v>
      </c>
      <c r="O189" s="651" t="s">
        <v>12</v>
      </c>
      <c r="P189" s="312" t="s">
        <v>12</v>
      </c>
      <c r="Q189" s="652" t="s">
        <v>12</v>
      </c>
      <c r="R189" s="312" t="s">
        <v>12</v>
      </c>
      <c r="S189" s="310"/>
      <c r="T189" s="651" t="n">
        <v>0</v>
      </c>
      <c r="U189" s="652" t="n">
        <v>7.9</v>
      </c>
      <c r="V189" s="651" t="n">
        <v>0</v>
      </c>
      <c r="W189" s="652" t="n">
        <v>5</v>
      </c>
      <c r="X189" s="651" t="n">
        <v>0</v>
      </c>
      <c r="Y189" s="312" t="n">
        <v>5</v>
      </c>
      <c r="Z189" s="313" t="n">
        <v>0</v>
      </c>
      <c r="AA189" s="314" t="n">
        <v>5</v>
      </c>
      <c r="AB189" s="313" t="n">
        <v>0</v>
      </c>
      <c r="AC189" s="314" t="n">
        <v>5</v>
      </c>
      <c r="AE189" s="324" t="n">
        <v>140</v>
      </c>
      <c r="AF189" s="315"/>
      <c r="AG189" s="311" t="n">
        <v>0</v>
      </c>
      <c r="AH189" s="309" t="n">
        <v>0</v>
      </c>
      <c r="AI189" s="310"/>
      <c r="AJ189" s="311" t="s">
        <v>12</v>
      </c>
      <c r="AK189" s="309" t="s">
        <v>12</v>
      </c>
      <c r="AL189" s="311" t="s">
        <v>12</v>
      </c>
      <c r="AM189" s="309" t="s">
        <v>12</v>
      </c>
      <c r="AN189" s="311" t="s">
        <v>12</v>
      </c>
      <c r="AO189" s="309" t="s">
        <v>12</v>
      </c>
      <c r="AP189" s="310"/>
      <c r="AQ189" s="311" t="n">
        <v>187</v>
      </c>
      <c r="AR189" s="309" t="n">
        <v>189.6</v>
      </c>
      <c r="AS189" s="311" t="n">
        <v>257</v>
      </c>
      <c r="AT189" s="309" t="n">
        <v>120</v>
      </c>
      <c r="AU189" s="311" t="n">
        <v>257</v>
      </c>
      <c r="AV189" s="309" t="n">
        <v>120</v>
      </c>
      <c r="AW189" s="310" t="n">
        <v>257</v>
      </c>
      <c r="AX189" s="309" t="n">
        <v>120</v>
      </c>
      <c r="AY189" s="311" t="n">
        <v>257</v>
      </c>
      <c r="AZ189" s="309" t="n">
        <v>120</v>
      </c>
      <c r="BA189" s="2"/>
      <c r="BB189" s="2"/>
      <c r="BC189" s="2"/>
      <c r="BD189" s="2"/>
      <c r="BE189" s="2"/>
    </row>
    <row r="190" customFormat="false" ht="12.75" hidden="false" customHeight="false" outlineLevel="0" collapsed="false">
      <c r="A190" s="268"/>
      <c r="B190" s="306" t="s">
        <v>130</v>
      </c>
      <c r="C190" s="305" t="s">
        <v>723</v>
      </c>
      <c r="D190" s="306" t="n">
        <v>377</v>
      </c>
      <c r="E190" s="306" t="n">
        <v>2.5</v>
      </c>
      <c r="F190" s="324" t="s">
        <v>710</v>
      </c>
      <c r="G190" s="144" t="n">
        <v>48</v>
      </c>
      <c r="H190" s="143" t="n">
        <v>237.190082644628</v>
      </c>
      <c r="I190" s="410"/>
      <c r="J190" s="311" t="s">
        <v>12</v>
      </c>
      <c r="K190" s="309" t="s">
        <v>12</v>
      </c>
      <c r="L190" s="650"/>
      <c r="M190" s="651" t="s">
        <v>12</v>
      </c>
      <c r="N190" s="652" t="s">
        <v>12</v>
      </c>
      <c r="O190" s="651" t="s">
        <v>12</v>
      </c>
      <c r="P190" s="312" t="s">
        <v>12</v>
      </c>
      <c r="Q190" s="652" t="s">
        <v>12</v>
      </c>
      <c r="R190" s="312" t="s">
        <v>12</v>
      </c>
      <c r="S190" s="310"/>
      <c r="T190" s="651" t="n">
        <v>0</v>
      </c>
      <c r="U190" s="652" t="n">
        <v>4</v>
      </c>
      <c r="V190" s="651" t="n">
        <v>0</v>
      </c>
      <c r="W190" s="652" t="n">
        <v>2.5</v>
      </c>
      <c r="X190" s="651" t="n">
        <v>0</v>
      </c>
      <c r="Y190" s="312" t="n">
        <v>2.5</v>
      </c>
      <c r="Z190" s="313" t="n">
        <v>0</v>
      </c>
      <c r="AA190" s="314" t="n">
        <v>2.5</v>
      </c>
      <c r="AB190" s="313" t="n">
        <v>0</v>
      </c>
      <c r="AC190" s="314" t="n">
        <v>2.5</v>
      </c>
      <c r="AE190" s="324" t="n">
        <v>140</v>
      </c>
      <c r="AF190" s="315"/>
      <c r="AG190" s="311" t="n">
        <v>0</v>
      </c>
      <c r="AH190" s="309" t="n">
        <v>0</v>
      </c>
      <c r="AI190" s="310"/>
      <c r="AJ190" s="311" t="s">
        <v>12</v>
      </c>
      <c r="AK190" s="309" t="s">
        <v>12</v>
      </c>
      <c r="AL190" s="311" t="s">
        <v>12</v>
      </c>
      <c r="AM190" s="309" t="s">
        <v>12</v>
      </c>
      <c r="AN190" s="310" t="s">
        <v>12</v>
      </c>
      <c r="AO190" s="309" t="s">
        <v>12</v>
      </c>
      <c r="AP190" s="310"/>
      <c r="AQ190" s="311" t="n">
        <v>185</v>
      </c>
      <c r="AR190" s="309" t="n">
        <v>192</v>
      </c>
      <c r="AS190" s="311" t="n">
        <v>257</v>
      </c>
      <c r="AT190" s="309" t="n">
        <v>120</v>
      </c>
      <c r="AU190" s="310" t="n">
        <v>257</v>
      </c>
      <c r="AV190" s="309" t="n">
        <v>120</v>
      </c>
      <c r="AW190" s="310" t="n">
        <v>257</v>
      </c>
      <c r="AX190" s="309" t="n">
        <v>120</v>
      </c>
      <c r="AY190" s="310" t="n">
        <v>257</v>
      </c>
      <c r="AZ190" s="309" t="n">
        <v>120</v>
      </c>
      <c r="BA190" s="2"/>
      <c r="BB190" s="2"/>
      <c r="BC190" s="2"/>
      <c r="BD190" s="2"/>
      <c r="BE190" s="2"/>
    </row>
    <row r="191" customFormat="false" ht="12.75" hidden="false" customHeight="false" outlineLevel="0" collapsed="false">
      <c r="A191" s="268"/>
      <c r="B191" s="306" t="s">
        <v>130</v>
      </c>
      <c r="C191" s="327" t="s">
        <v>725</v>
      </c>
      <c r="D191" s="306" t="n">
        <v>404</v>
      </c>
      <c r="E191" s="306" t="n">
        <v>2.5</v>
      </c>
      <c r="F191" s="324" t="s">
        <v>710</v>
      </c>
      <c r="G191" s="307" t="n">
        <v>24</v>
      </c>
      <c r="H191" s="143" t="n">
        <v>313.223140495868</v>
      </c>
      <c r="I191" s="410"/>
      <c r="J191" s="311" t="s">
        <v>12</v>
      </c>
      <c r="K191" s="309" t="s">
        <v>12</v>
      </c>
      <c r="L191" s="650"/>
      <c r="M191" s="651" t="s">
        <v>12</v>
      </c>
      <c r="N191" s="652" t="s">
        <v>12</v>
      </c>
      <c r="O191" s="651" t="s">
        <v>12</v>
      </c>
      <c r="P191" s="312" t="s">
        <v>12</v>
      </c>
      <c r="Q191" s="652" t="s">
        <v>12</v>
      </c>
      <c r="R191" s="312" t="s">
        <v>12</v>
      </c>
      <c r="S191" s="310"/>
      <c r="T191" s="651" t="n">
        <v>0</v>
      </c>
      <c r="U191" s="652" t="n">
        <v>10.4</v>
      </c>
      <c r="V191" s="651" t="n">
        <v>0</v>
      </c>
      <c r="W191" s="652" t="n">
        <v>7.9</v>
      </c>
      <c r="X191" s="651" t="n">
        <v>0</v>
      </c>
      <c r="Y191" s="312" t="n">
        <v>7.9</v>
      </c>
      <c r="Z191" s="313" t="n">
        <v>0</v>
      </c>
      <c r="AA191" s="314" t="n">
        <v>7.9</v>
      </c>
      <c r="AB191" s="313" t="n">
        <v>0</v>
      </c>
      <c r="AC191" s="314" t="n">
        <v>7.9</v>
      </c>
      <c r="AE191" s="324" t="n">
        <v>91</v>
      </c>
      <c r="AF191" s="315"/>
      <c r="AG191" s="311" t="n">
        <v>0</v>
      </c>
      <c r="AH191" s="309" t="n">
        <v>0</v>
      </c>
      <c r="AI191" s="310"/>
      <c r="AJ191" s="311" t="s">
        <v>12</v>
      </c>
      <c r="AK191" s="309" t="s">
        <v>12</v>
      </c>
      <c r="AL191" s="311" t="s">
        <v>12</v>
      </c>
      <c r="AM191" s="309" t="s">
        <v>12</v>
      </c>
      <c r="AN191" s="311" t="s">
        <v>12</v>
      </c>
      <c r="AO191" s="309" t="s">
        <v>12</v>
      </c>
      <c r="AP191" s="310"/>
      <c r="AQ191" s="311" t="n">
        <v>154</v>
      </c>
      <c r="AR191" s="309" t="n">
        <v>249.6</v>
      </c>
      <c r="AS191" s="311" t="n">
        <v>214</v>
      </c>
      <c r="AT191" s="309" t="n">
        <v>189.6</v>
      </c>
      <c r="AU191" s="311" t="n">
        <v>214</v>
      </c>
      <c r="AV191" s="309" t="n">
        <v>189.6</v>
      </c>
      <c r="AW191" s="310" t="n">
        <v>214</v>
      </c>
      <c r="AX191" s="309" t="n">
        <v>189.6</v>
      </c>
      <c r="AY191" s="311" t="n">
        <v>214</v>
      </c>
      <c r="AZ191" s="309" t="n">
        <v>189.6</v>
      </c>
    </row>
    <row r="192" customFormat="false" ht="12.75" hidden="false" customHeight="false" outlineLevel="0" collapsed="false">
      <c r="A192" s="268"/>
      <c r="B192" s="306" t="s">
        <v>130</v>
      </c>
      <c r="C192" s="327" t="s">
        <v>725</v>
      </c>
      <c r="D192" s="306" t="n">
        <v>404</v>
      </c>
      <c r="E192" s="306" t="n">
        <v>2.5</v>
      </c>
      <c r="F192" s="324" t="s">
        <v>710</v>
      </c>
      <c r="G192" s="144" t="n">
        <v>48</v>
      </c>
      <c r="H192" s="143" t="n">
        <v>313.223140495868</v>
      </c>
      <c r="I192" s="410"/>
      <c r="J192" s="311" t="s">
        <v>12</v>
      </c>
      <c r="K192" s="309" t="s">
        <v>12</v>
      </c>
      <c r="L192" s="650"/>
      <c r="M192" s="651" t="s">
        <v>12</v>
      </c>
      <c r="N192" s="652" t="s">
        <v>12</v>
      </c>
      <c r="O192" s="651" t="s">
        <v>12</v>
      </c>
      <c r="P192" s="312" t="s">
        <v>12</v>
      </c>
      <c r="Q192" s="652" t="s">
        <v>12</v>
      </c>
      <c r="R192" s="312" t="s">
        <v>12</v>
      </c>
      <c r="S192" s="310"/>
      <c r="T192" s="651" t="n">
        <v>0</v>
      </c>
      <c r="U192" s="652" t="n">
        <v>5.2</v>
      </c>
      <c r="V192" s="651" t="n">
        <v>0</v>
      </c>
      <c r="W192" s="652" t="n">
        <v>4</v>
      </c>
      <c r="X192" s="651" t="n">
        <v>0</v>
      </c>
      <c r="Y192" s="312" t="n">
        <v>4</v>
      </c>
      <c r="Z192" s="313" t="n">
        <v>0</v>
      </c>
      <c r="AA192" s="314" t="n">
        <v>4</v>
      </c>
      <c r="AB192" s="313" t="n">
        <v>0</v>
      </c>
      <c r="AC192" s="314" t="n">
        <v>4</v>
      </c>
      <c r="AE192" s="324" t="n">
        <v>91</v>
      </c>
      <c r="AF192" s="315"/>
      <c r="AG192" s="311" t="n">
        <v>0</v>
      </c>
      <c r="AH192" s="309" t="n">
        <v>0</v>
      </c>
      <c r="AI192" s="310"/>
      <c r="AJ192" s="311" t="s">
        <v>12</v>
      </c>
      <c r="AK192" s="309" t="s">
        <v>12</v>
      </c>
      <c r="AL192" s="311" t="s">
        <v>12</v>
      </c>
      <c r="AM192" s="309" t="s">
        <v>12</v>
      </c>
      <c r="AN192" s="310" t="s">
        <v>12</v>
      </c>
      <c r="AO192" s="309" t="s">
        <v>12</v>
      </c>
      <c r="AP192" s="310"/>
      <c r="AQ192" s="311" t="n">
        <v>154</v>
      </c>
      <c r="AR192" s="309" t="n">
        <v>249.6</v>
      </c>
      <c r="AS192" s="311" t="n">
        <v>212</v>
      </c>
      <c r="AT192" s="309" t="n">
        <v>192</v>
      </c>
      <c r="AU192" s="310" t="n">
        <v>212</v>
      </c>
      <c r="AV192" s="309" t="n">
        <v>192</v>
      </c>
      <c r="AW192" s="310" t="n">
        <v>212</v>
      </c>
      <c r="AX192" s="309" t="n">
        <v>192</v>
      </c>
      <c r="AY192" s="310" t="n">
        <v>212</v>
      </c>
      <c r="AZ192" s="309" t="n">
        <v>192</v>
      </c>
    </row>
    <row r="193" customFormat="false" ht="12.75" hidden="false" customHeight="false" outlineLevel="0" collapsed="false">
      <c r="A193" s="268"/>
      <c r="B193" s="306" t="s">
        <v>465</v>
      </c>
      <c r="C193" s="305" t="s">
        <v>726</v>
      </c>
      <c r="D193" s="306" t="n">
        <v>288</v>
      </c>
      <c r="E193" s="306" t="n">
        <v>2.5</v>
      </c>
      <c r="F193" s="324" t="s">
        <v>710</v>
      </c>
      <c r="G193" s="307" t="n">
        <v>24</v>
      </c>
      <c r="H193" s="143" t="n">
        <v>186.776859504132</v>
      </c>
      <c r="I193" s="410"/>
      <c r="J193" s="311" t="s">
        <v>12</v>
      </c>
      <c r="K193" s="309" t="s">
        <v>12</v>
      </c>
      <c r="L193" s="650"/>
      <c r="M193" s="651" t="s">
        <v>12</v>
      </c>
      <c r="N193" s="652" t="s">
        <v>12</v>
      </c>
      <c r="O193" s="651" t="s">
        <v>12</v>
      </c>
      <c r="P193" s="312" t="s">
        <v>12</v>
      </c>
      <c r="Q193" s="652" t="s">
        <v>12</v>
      </c>
      <c r="R193" s="312" t="s">
        <v>12</v>
      </c>
      <c r="S193" s="310"/>
      <c r="T193" s="651" t="n">
        <v>0</v>
      </c>
      <c r="U193" s="652" t="n">
        <v>6.7</v>
      </c>
      <c r="V193" s="651" t="n">
        <v>0</v>
      </c>
      <c r="W193" s="652" t="n">
        <v>3.4</v>
      </c>
      <c r="X193" s="651" t="n">
        <v>0</v>
      </c>
      <c r="Y193" s="312" t="n">
        <v>3.4</v>
      </c>
      <c r="Z193" s="313" t="n">
        <v>0</v>
      </c>
      <c r="AA193" s="314" t="n">
        <v>3.3</v>
      </c>
      <c r="AB193" s="313" t="n">
        <v>0</v>
      </c>
      <c r="AC193" s="314" t="n">
        <v>3.3</v>
      </c>
      <c r="AE193" s="324" t="n">
        <v>101</v>
      </c>
      <c r="AF193" s="315"/>
      <c r="AG193" s="311" t="n">
        <v>0</v>
      </c>
      <c r="AH193" s="309" t="n">
        <v>0</v>
      </c>
      <c r="AI193" s="310"/>
      <c r="AJ193" s="311" t="s">
        <v>12</v>
      </c>
      <c r="AK193" s="309" t="s">
        <v>12</v>
      </c>
      <c r="AL193" s="311" t="s">
        <v>12</v>
      </c>
      <c r="AM193" s="309" t="s">
        <v>12</v>
      </c>
      <c r="AN193" s="311" t="s">
        <v>12</v>
      </c>
      <c r="AO193" s="309" t="s">
        <v>12</v>
      </c>
      <c r="AP193" s="310"/>
      <c r="AQ193" s="311" t="n">
        <v>127</v>
      </c>
      <c r="AR193" s="309" t="n">
        <v>160.8</v>
      </c>
      <c r="AS193" s="311" t="n">
        <v>206</v>
      </c>
      <c r="AT193" s="309" t="n">
        <v>81.6</v>
      </c>
      <c r="AU193" s="311" t="n">
        <v>206</v>
      </c>
      <c r="AV193" s="309" t="n">
        <v>81.6</v>
      </c>
      <c r="AW193" s="310" t="n">
        <v>209</v>
      </c>
      <c r="AX193" s="309" t="n">
        <v>79.2</v>
      </c>
      <c r="AY193" s="311" t="n">
        <v>209</v>
      </c>
      <c r="AZ193" s="309" t="n">
        <v>79.2</v>
      </c>
    </row>
    <row r="194" customFormat="false" ht="12.75" hidden="false" customHeight="false" outlineLevel="0" collapsed="false">
      <c r="A194" s="268"/>
      <c r="B194" s="306" t="s">
        <v>465</v>
      </c>
      <c r="C194" s="305" t="s">
        <v>726</v>
      </c>
      <c r="D194" s="306" t="n">
        <v>288</v>
      </c>
      <c r="E194" s="306" t="n">
        <v>2.5</v>
      </c>
      <c r="F194" s="324" t="s">
        <v>710</v>
      </c>
      <c r="G194" s="144" t="n">
        <v>48</v>
      </c>
      <c r="H194" s="143" t="n">
        <v>186.776859504132</v>
      </c>
      <c r="I194" s="410"/>
      <c r="J194" s="311" t="s">
        <v>12</v>
      </c>
      <c r="K194" s="309" t="s">
        <v>12</v>
      </c>
      <c r="L194" s="650"/>
      <c r="M194" s="651" t="s">
        <v>12</v>
      </c>
      <c r="N194" s="652" t="s">
        <v>12</v>
      </c>
      <c r="O194" s="651" t="s">
        <v>12</v>
      </c>
      <c r="P194" s="312" t="s">
        <v>12</v>
      </c>
      <c r="Q194" s="652" t="s">
        <v>12</v>
      </c>
      <c r="R194" s="312" t="s">
        <v>12</v>
      </c>
      <c r="S194" s="310"/>
      <c r="T194" s="651" t="n">
        <v>0</v>
      </c>
      <c r="U194" s="652" t="n">
        <v>3.4</v>
      </c>
      <c r="V194" s="651" t="n">
        <v>0</v>
      </c>
      <c r="W194" s="652" t="n">
        <v>1.7</v>
      </c>
      <c r="X194" s="651" t="n">
        <v>0</v>
      </c>
      <c r="Y194" s="312" t="n">
        <v>1.7</v>
      </c>
      <c r="Z194" s="313" t="n">
        <v>0</v>
      </c>
      <c r="AA194" s="314" t="n">
        <v>1.7</v>
      </c>
      <c r="AB194" s="313" t="n">
        <v>0</v>
      </c>
      <c r="AC194" s="314" t="n">
        <v>1.7</v>
      </c>
      <c r="AE194" s="324" t="n">
        <v>101</v>
      </c>
      <c r="AF194" s="315"/>
      <c r="AG194" s="311" t="n">
        <v>0</v>
      </c>
      <c r="AH194" s="309" t="n">
        <v>0</v>
      </c>
      <c r="AI194" s="310"/>
      <c r="AJ194" s="311" t="s">
        <v>12</v>
      </c>
      <c r="AK194" s="309" t="s">
        <v>12</v>
      </c>
      <c r="AL194" s="311" t="s">
        <v>12</v>
      </c>
      <c r="AM194" s="309" t="s">
        <v>12</v>
      </c>
      <c r="AN194" s="310" t="s">
        <v>12</v>
      </c>
      <c r="AO194" s="309" t="s">
        <v>12</v>
      </c>
      <c r="AP194" s="310"/>
      <c r="AQ194" s="311" t="n">
        <v>125</v>
      </c>
      <c r="AR194" s="309" t="n">
        <v>163.2</v>
      </c>
      <c r="AS194" s="311" t="n">
        <v>206</v>
      </c>
      <c r="AT194" s="309" t="n">
        <v>81.6</v>
      </c>
      <c r="AU194" s="310" t="n">
        <v>206</v>
      </c>
      <c r="AV194" s="309" t="n">
        <v>81.6</v>
      </c>
      <c r="AW194" s="310" t="n">
        <v>206</v>
      </c>
      <c r="AX194" s="309" t="n">
        <v>81.6</v>
      </c>
      <c r="AY194" s="310" t="n">
        <v>206</v>
      </c>
      <c r="AZ194" s="309" t="n">
        <v>81.6</v>
      </c>
    </row>
    <row r="195" customFormat="false" ht="12.75" hidden="false" customHeight="false" outlineLevel="0" collapsed="false">
      <c r="A195" s="268"/>
      <c r="B195" s="306" t="s">
        <v>200</v>
      </c>
      <c r="C195" s="305" t="s">
        <v>728</v>
      </c>
      <c r="D195" s="306" t="n">
        <v>315</v>
      </c>
      <c r="E195" s="306" t="n">
        <v>2.5</v>
      </c>
      <c r="F195" s="324" t="s">
        <v>710</v>
      </c>
      <c r="G195" s="307" t="n">
        <v>24</v>
      </c>
      <c r="H195" s="143" t="n">
        <v>253.719008264463</v>
      </c>
      <c r="I195" s="410"/>
      <c r="J195" s="311"/>
      <c r="K195" s="309"/>
      <c r="L195" s="650"/>
      <c r="M195" s="311" t="s">
        <v>12</v>
      </c>
      <c r="N195" s="653" t="s">
        <v>12</v>
      </c>
      <c r="O195" s="311" t="s">
        <v>12</v>
      </c>
      <c r="P195" s="328" t="s">
        <v>12</v>
      </c>
      <c r="Q195" s="310" t="s">
        <v>12</v>
      </c>
      <c r="R195" s="328" t="s">
        <v>12</v>
      </c>
      <c r="S195" s="310"/>
      <c r="T195" s="651" t="n">
        <v>0</v>
      </c>
      <c r="U195" s="652" t="n">
        <v>8.7</v>
      </c>
      <c r="V195" s="651" t="n">
        <v>0</v>
      </c>
      <c r="W195" s="652" t="n">
        <v>5.8</v>
      </c>
      <c r="X195" s="651" t="n">
        <v>0</v>
      </c>
      <c r="Y195" s="312" t="n">
        <v>5.8</v>
      </c>
      <c r="Z195" s="313" t="n">
        <v>0</v>
      </c>
      <c r="AA195" s="314" t="n">
        <v>5.8</v>
      </c>
      <c r="AB195" s="313" t="n">
        <v>0</v>
      </c>
      <c r="AC195" s="314" t="n">
        <v>5.8</v>
      </c>
      <c r="AE195" s="324" t="n">
        <v>61</v>
      </c>
      <c r="AF195" s="315"/>
      <c r="AG195" s="311" t="n">
        <v>0</v>
      </c>
      <c r="AH195" s="309" t="n">
        <v>0</v>
      </c>
      <c r="AI195" s="310"/>
      <c r="AJ195" s="311" t="s">
        <v>12</v>
      </c>
      <c r="AK195" s="309" t="s">
        <v>12</v>
      </c>
      <c r="AL195" s="311" t="s">
        <v>12</v>
      </c>
      <c r="AM195" s="309" t="s">
        <v>12</v>
      </c>
      <c r="AN195" s="311" t="s">
        <v>12</v>
      </c>
      <c r="AO195" s="309" t="s">
        <v>12</v>
      </c>
      <c r="AP195" s="310"/>
      <c r="AQ195" s="311" t="n">
        <v>106</v>
      </c>
      <c r="AR195" s="309" t="n">
        <v>208.8</v>
      </c>
      <c r="AS195" s="311" t="n">
        <v>176</v>
      </c>
      <c r="AT195" s="309" t="n">
        <v>139.2</v>
      </c>
      <c r="AU195" s="311" t="n">
        <v>176</v>
      </c>
      <c r="AV195" s="309" t="n">
        <v>139.2</v>
      </c>
      <c r="AW195" s="310" t="n">
        <v>176</v>
      </c>
      <c r="AX195" s="309" t="n">
        <v>139.2</v>
      </c>
      <c r="AY195" s="311" t="n">
        <v>176</v>
      </c>
      <c r="AZ195" s="309" t="n">
        <v>139.2</v>
      </c>
    </row>
    <row r="196" customFormat="false" ht="12.75" hidden="false" customHeight="false" outlineLevel="0" collapsed="false">
      <c r="A196" s="268"/>
      <c r="B196" s="306" t="s">
        <v>200</v>
      </c>
      <c r="C196" s="305" t="s">
        <v>728</v>
      </c>
      <c r="D196" s="306" t="n">
        <v>315</v>
      </c>
      <c r="E196" s="306" t="n">
        <v>2.5</v>
      </c>
      <c r="F196" s="324" t="s">
        <v>710</v>
      </c>
      <c r="G196" s="144" t="n">
        <v>48</v>
      </c>
      <c r="H196" s="143" t="n">
        <v>253.719008264463</v>
      </c>
      <c r="I196" s="410"/>
      <c r="J196" s="311"/>
      <c r="K196" s="309"/>
      <c r="L196" s="650"/>
      <c r="M196" s="311" t="s">
        <v>12</v>
      </c>
      <c r="N196" s="653" t="s">
        <v>12</v>
      </c>
      <c r="O196" s="311" t="s">
        <v>12</v>
      </c>
      <c r="P196" s="328" t="s">
        <v>12</v>
      </c>
      <c r="Q196" s="310" t="s">
        <v>12</v>
      </c>
      <c r="R196" s="328" t="s">
        <v>12</v>
      </c>
      <c r="S196" s="310"/>
      <c r="T196" s="651" t="n">
        <v>0</v>
      </c>
      <c r="U196" s="652" t="n">
        <v>4.4</v>
      </c>
      <c r="V196" s="651" t="n">
        <v>0</v>
      </c>
      <c r="W196" s="652" t="n">
        <v>2.9</v>
      </c>
      <c r="X196" s="651" t="n">
        <v>0</v>
      </c>
      <c r="Y196" s="312" t="n">
        <v>2.9</v>
      </c>
      <c r="Z196" s="313" t="n">
        <v>0</v>
      </c>
      <c r="AA196" s="314" t="n">
        <v>2.9</v>
      </c>
      <c r="AB196" s="313" t="n">
        <v>0</v>
      </c>
      <c r="AC196" s="314" t="n">
        <v>2.9</v>
      </c>
      <c r="AE196" s="324" t="n">
        <v>61</v>
      </c>
      <c r="AF196" s="315"/>
      <c r="AG196" s="311" t="n">
        <v>0</v>
      </c>
      <c r="AH196" s="309" t="n">
        <v>0</v>
      </c>
      <c r="AI196" s="310"/>
      <c r="AJ196" s="311" t="s">
        <v>12</v>
      </c>
      <c r="AK196" s="309" t="s">
        <v>12</v>
      </c>
      <c r="AL196" s="311" t="s">
        <v>12</v>
      </c>
      <c r="AM196" s="309" t="s">
        <v>12</v>
      </c>
      <c r="AN196" s="310" t="s">
        <v>12</v>
      </c>
      <c r="AO196" s="309" t="s">
        <v>12</v>
      </c>
      <c r="AP196" s="310"/>
      <c r="AQ196" s="311" t="n">
        <v>104</v>
      </c>
      <c r="AR196" s="309" t="n">
        <v>211.2</v>
      </c>
      <c r="AS196" s="311" t="n">
        <v>176</v>
      </c>
      <c r="AT196" s="309" t="n">
        <v>139.2</v>
      </c>
      <c r="AU196" s="310" t="n">
        <v>176</v>
      </c>
      <c r="AV196" s="309" t="n">
        <v>139.2</v>
      </c>
      <c r="AW196" s="310" t="n">
        <v>176</v>
      </c>
      <c r="AX196" s="309" t="n">
        <v>139.2</v>
      </c>
      <c r="AY196" s="310" t="n">
        <v>176</v>
      </c>
      <c r="AZ196" s="309" t="n">
        <v>139.2</v>
      </c>
    </row>
    <row r="197" customFormat="false" ht="12.75" hidden="false" customHeight="false" outlineLevel="0" collapsed="false">
      <c r="A197" s="268"/>
      <c r="B197" s="306" t="s">
        <v>200</v>
      </c>
      <c r="C197" s="305" t="s">
        <v>730</v>
      </c>
      <c r="D197" s="306" t="n">
        <v>338</v>
      </c>
      <c r="E197" s="306" t="n">
        <v>2.5</v>
      </c>
      <c r="F197" s="324" t="s">
        <v>710</v>
      </c>
      <c r="G197" s="307" t="n">
        <v>24</v>
      </c>
      <c r="H197" s="143" t="n">
        <v>296.694214876033</v>
      </c>
      <c r="I197" s="410"/>
      <c r="J197" s="311" t="s">
        <v>12</v>
      </c>
      <c r="K197" s="309" t="s">
        <v>12</v>
      </c>
      <c r="L197" s="650"/>
      <c r="M197" s="651" t="s">
        <v>12</v>
      </c>
      <c r="N197" s="652" t="s">
        <v>12</v>
      </c>
      <c r="O197" s="651" t="s">
        <v>12</v>
      </c>
      <c r="P197" s="312" t="s">
        <v>12</v>
      </c>
      <c r="Q197" s="652" t="s">
        <v>12</v>
      </c>
      <c r="R197" s="312" t="s">
        <v>12</v>
      </c>
      <c r="S197" s="310"/>
      <c r="T197" s="651" t="n">
        <v>0</v>
      </c>
      <c r="U197" s="652" t="n">
        <v>9.6</v>
      </c>
      <c r="V197" s="651" t="n">
        <v>0</v>
      </c>
      <c r="W197" s="652" t="n">
        <v>6.7</v>
      </c>
      <c r="X197" s="651" t="n">
        <v>0</v>
      </c>
      <c r="Y197" s="312" t="n">
        <v>6.7</v>
      </c>
      <c r="Z197" s="313" t="n">
        <v>0</v>
      </c>
      <c r="AA197" s="314" t="n">
        <v>6.6</v>
      </c>
      <c r="AB197" s="313" t="n">
        <v>0</v>
      </c>
      <c r="AC197" s="314" t="n">
        <v>6.6</v>
      </c>
      <c r="AE197" s="324" t="n">
        <v>41</v>
      </c>
      <c r="AF197" s="315"/>
      <c r="AG197" s="311" t="n">
        <v>0</v>
      </c>
      <c r="AH197" s="309" t="n">
        <v>0</v>
      </c>
      <c r="AI197" s="310"/>
      <c r="AJ197" s="311" t="s">
        <v>12</v>
      </c>
      <c r="AK197" s="309" t="s">
        <v>12</v>
      </c>
      <c r="AL197" s="311" t="s">
        <v>12</v>
      </c>
      <c r="AM197" s="309" t="s">
        <v>12</v>
      </c>
      <c r="AN197" s="311" t="s">
        <v>12</v>
      </c>
      <c r="AO197" s="309" t="s">
        <v>12</v>
      </c>
      <c r="AP197" s="310"/>
      <c r="AQ197" s="311" t="n">
        <v>108</v>
      </c>
      <c r="AR197" s="309" t="n">
        <v>230.4</v>
      </c>
      <c r="AS197" s="311" t="n">
        <v>177</v>
      </c>
      <c r="AT197" s="309" t="n">
        <v>160.8</v>
      </c>
      <c r="AU197" s="311" t="n">
        <v>177</v>
      </c>
      <c r="AV197" s="309" t="n">
        <v>160.8</v>
      </c>
      <c r="AW197" s="310" t="n">
        <v>180</v>
      </c>
      <c r="AX197" s="309" t="n">
        <v>158.4</v>
      </c>
      <c r="AY197" s="311" t="n">
        <v>180</v>
      </c>
      <c r="AZ197" s="309" t="n">
        <v>158.4</v>
      </c>
      <c r="BA197" s="2"/>
      <c r="BB197" s="2"/>
      <c r="BC197" s="2"/>
      <c r="BD197" s="2"/>
      <c r="BE197" s="2"/>
    </row>
    <row r="198" customFormat="false" ht="12.75" hidden="false" customHeight="false" outlineLevel="0" collapsed="false">
      <c r="A198" s="268"/>
      <c r="B198" s="306" t="s">
        <v>200</v>
      </c>
      <c r="C198" s="305" t="s">
        <v>730</v>
      </c>
      <c r="D198" s="306" t="n">
        <v>338</v>
      </c>
      <c r="E198" s="306" t="n">
        <v>2.5</v>
      </c>
      <c r="F198" s="324" t="s">
        <v>710</v>
      </c>
      <c r="G198" s="144" t="n">
        <v>48</v>
      </c>
      <c r="H198" s="143" t="n">
        <v>296.694214876033</v>
      </c>
      <c r="I198" s="410"/>
      <c r="J198" s="311" t="s">
        <v>12</v>
      </c>
      <c r="K198" s="309" t="s">
        <v>12</v>
      </c>
      <c r="L198" s="650"/>
      <c r="M198" s="651" t="s">
        <v>12</v>
      </c>
      <c r="N198" s="652" t="s">
        <v>12</v>
      </c>
      <c r="O198" s="651" t="s">
        <v>12</v>
      </c>
      <c r="P198" s="312" t="s">
        <v>12</v>
      </c>
      <c r="Q198" s="652" t="s">
        <v>12</v>
      </c>
      <c r="R198" s="312" t="s">
        <v>12</v>
      </c>
      <c r="S198" s="310"/>
      <c r="T198" s="651" t="n">
        <v>0</v>
      </c>
      <c r="U198" s="652" t="n">
        <v>4.8</v>
      </c>
      <c r="V198" s="651" t="n">
        <v>0</v>
      </c>
      <c r="W198" s="652" t="n">
        <v>3.4</v>
      </c>
      <c r="X198" s="651" t="n">
        <v>0</v>
      </c>
      <c r="Y198" s="312" t="n">
        <v>3.4</v>
      </c>
      <c r="Z198" s="313" t="n">
        <v>0</v>
      </c>
      <c r="AA198" s="314" t="n">
        <v>3.3</v>
      </c>
      <c r="AB198" s="313" t="n">
        <v>0</v>
      </c>
      <c r="AC198" s="314" t="n">
        <v>3.3</v>
      </c>
      <c r="AE198" s="324" t="n">
        <v>41</v>
      </c>
      <c r="AF198" s="315"/>
      <c r="AG198" s="311" t="n">
        <v>0</v>
      </c>
      <c r="AH198" s="309" t="n">
        <v>0</v>
      </c>
      <c r="AI198" s="310"/>
      <c r="AJ198" s="311" t="s">
        <v>12</v>
      </c>
      <c r="AK198" s="309" t="s">
        <v>12</v>
      </c>
      <c r="AL198" s="311" t="s">
        <v>12</v>
      </c>
      <c r="AM198" s="309" t="s">
        <v>12</v>
      </c>
      <c r="AN198" s="310" t="s">
        <v>12</v>
      </c>
      <c r="AO198" s="309" t="s">
        <v>12</v>
      </c>
      <c r="AP198" s="310"/>
      <c r="AQ198" s="311" t="n">
        <v>108</v>
      </c>
      <c r="AR198" s="309" t="n">
        <v>230.4</v>
      </c>
      <c r="AS198" s="311" t="n">
        <v>175</v>
      </c>
      <c r="AT198" s="309" t="n">
        <v>163.2</v>
      </c>
      <c r="AU198" s="310" t="n">
        <v>175</v>
      </c>
      <c r="AV198" s="309" t="n">
        <v>163.2</v>
      </c>
      <c r="AW198" s="310" t="n">
        <v>180</v>
      </c>
      <c r="AX198" s="309" t="n">
        <v>158.4</v>
      </c>
      <c r="AY198" s="310" t="n">
        <v>180</v>
      </c>
      <c r="AZ198" s="309" t="n">
        <v>158.4</v>
      </c>
      <c r="BA198" s="2"/>
      <c r="BB198" s="2"/>
      <c r="BC198" s="2"/>
      <c r="BD198" s="2"/>
      <c r="BE198" s="2"/>
    </row>
    <row r="199" customFormat="false" ht="12.75" hidden="false" customHeight="false" outlineLevel="0" collapsed="false">
      <c r="A199" s="268"/>
      <c r="B199" s="306" t="s">
        <v>497</v>
      </c>
      <c r="C199" s="305" t="s">
        <v>732</v>
      </c>
      <c r="D199" s="306" t="n">
        <v>110</v>
      </c>
      <c r="E199" s="306" t="n">
        <v>2.5</v>
      </c>
      <c r="F199" s="324" t="s">
        <v>710</v>
      </c>
      <c r="G199" s="307" t="n">
        <v>24</v>
      </c>
      <c r="H199" s="143" t="n">
        <v>89.2561983471074</v>
      </c>
      <c r="I199" s="410"/>
      <c r="J199" s="311" t="s">
        <v>12</v>
      </c>
      <c r="K199" s="309" t="s">
        <v>12</v>
      </c>
      <c r="L199" s="650"/>
      <c r="M199" s="651" t="n">
        <v>0</v>
      </c>
      <c r="N199" s="652" t="n">
        <v>3.4</v>
      </c>
      <c r="O199" s="651" t="n">
        <v>0</v>
      </c>
      <c r="P199" s="312" t="n">
        <v>1.1</v>
      </c>
      <c r="Q199" s="652" t="n">
        <v>0</v>
      </c>
      <c r="R199" s="312" t="n">
        <v>0.3</v>
      </c>
      <c r="S199" s="310"/>
      <c r="T199" s="651" t="n">
        <v>0</v>
      </c>
      <c r="U199" s="652" t="n">
        <v>1.7</v>
      </c>
      <c r="V199" s="651" t="n">
        <v>0</v>
      </c>
      <c r="W199" s="652" t="n">
        <v>1.7</v>
      </c>
      <c r="X199" s="651" t="n">
        <v>0</v>
      </c>
      <c r="Y199" s="312" t="n">
        <v>1.7</v>
      </c>
      <c r="Z199" s="313" t="n">
        <v>0</v>
      </c>
      <c r="AA199" s="314" t="n">
        <v>1.7</v>
      </c>
      <c r="AB199" s="313" t="n">
        <v>0</v>
      </c>
      <c r="AC199" s="314" t="n">
        <v>1.7</v>
      </c>
      <c r="AE199" s="324" t="n">
        <v>21</v>
      </c>
      <c r="AF199" s="315"/>
      <c r="AG199" s="311" t="n">
        <v>0</v>
      </c>
      <c r="AH199" s="309" t="n">
        <v>0</v>
      </c>
      <c r="AI199" s="310"/>
      <c r="AJ199" s="311" t="n">
        <v>28</v>
      </c>
      <c r="AK199" s="309" t="n">
        <v>81.6</v>
      </c>
      <c r="AL199" s="311" t="n">
        <v>84</v>
      </c>
      <c r="AM199" s="309" t="n">
        <v>26.4</v>
      </c>
      <c r="AN199" s="311" t="n">
        <v>103</v>
      </c>
      <c r="AO199" s="309" t="n">
        <v>7.2</v>
      </c>
      <c r="AP199" s="310"/>
      <c r="AQ199" s="311" t="n">
        <v>69</v>
      </c>
      <c r="AR199" s="309" t="n">
        <v>40.8</v>
      </c>
      <c r="AS199" s="311" t="n">
        <v>69</v>
      </c>
      <c r="AT199" s="309" t="n">
        <v>40.8</v>
      </c>
      <c r="AU199" s="311" t="n">
        <v>69</v>
      </c>
      <c r="AV199" s="309" t="n">
        <v>40.8</v>
      </c>
      <c r="AW199" s="310" t="n">
        <v>69</v>
      </c>
      <c r="AX199" s="309" t="n">
        <v>40.8</v>
      </c>
      <c r="AY199" s="311" t="n">
        <v>69</v>
      </c>
      <c r="AZ199" s="309" t="n">
        <v>40.8</v>
      </c>
    </row>
    <row r="200" s="668" customFormat="true" ht="12.75" hidden="false" customHeight="false" outlineLevel="0" collapsed="false">
      <c r="A200" s="268"/>
      <c r="B200" s="329" t="s">
        <v>497</v>
      </c>
      <c r="C200" s="654" t="s">
        <v>733</v>
      </c>
      <c r="D200" s="329" t="n">
        <v>64</v>
      </c>
      <c r="E200" s="329" t="n">
        <v>2.5</v>
      </c>
      <c r="F200" s="655" t="s">
        <v>710</v>
      </c>
      <c r="G200" s="656" t="n">
        <v>24</v>
      </c>
      <c r="H200" s="657" t="n">
        <v>58.6776859504132</v>
      </c>
      <c r="I200" s="410"/>
      <c r="J200" s="658" t="s">
        <v>12</v>
      </c>
      <c r="K200" s="659" t="s">
        <v>12</v>
      </c>
      <c r="L200" s="660"/>
      <c r="M200" s="661" t="n">
        <v>0</v>
      </c>
      <c r="N200" s="662" t="n">
        <v>1.5</v>
      </c>
      <c r="O200" s="661" t="n">
        <v>0</v>
      </c>
      <c r="P200" s="663" t="n">
        <v>1.5</v>
      </c>
      <c r="Q200" s="662" t="n">
        <v>0</v>
      </c>
      <c r="R200" s="663" t="n">
        <v>1.5</v>
      </c>
      <c r="S200" s="660"/>
      <c r="T200" s="661" t="n">
        <v>0</v>
      </c>
      <c r="U200" s="662" t="n">
        <v>0.5</v>
      </c>
      <c r="V200" s="661" t="n">
        <v>0</v>
      </c>
      <c r="W200" s="662" t="n">
        <v>0</v>
      </c>
      <c r="X200" s="661" t="n">
        <v>0</v>
      </c>
      <c r="Y200" s="663" t="n">
        <v>0</v>
      </c>
      <c r="Z200" s="664" t="n">
        <v>0</v>
      </c>
      <c r="AA200" s="665" t="n">
        <v>0</v>
      </c>
      <c r="AB200" s="664" t="n">
        <v>0</v>
      </c>
      <c r="AC200" s="665" t="n">
        <v>0</v>
      </c>
      <c r="AD200" s="666"/>
      <c r="AE200" s="655" t="n">
        <v>5</v>
      </c>
      <c r="AF200" s="667"/>
      <c r="AG200" s="658" t="n">
        <v>0</v>
      </c>
      <c r="AH200" s="659" t="n">
        <v>0</v>
      </c>
      <c r="AI200" s="660"/>
      <c r="AJ200" s="658" t="n">
        <v>28</v>
      </c>
      <c r="AK200" s="659" t="n">
        <v>36</v>
      </c>
      <c r="AL200" s="658" t="n">
        <v>28</v>
      </c>
      <c r="AM200" s="659" t="n">
        <v>36</v>
      </c>
      <c r="AN200" s="660" t="n">
        <v>28</v>
      </c>
      <c r="AO200" s="659" t="n">
        <v>36</v>
      </c>
      <c r="AP200" s="660"/>
      <c r="AQ200" s="658" t="n">
        <v>52</v>
      </c>
      <c r="AR200" s="659" t="n">
        <v>12</v>
      </c>
      <c r="AS200" s="658" t="n">
        <v>64</v>
      </c>
      <c r="AT200" s="659" t="n">
        <v>0</v>
      </c>
      <c r="AU200" s="660" t="n">
        <v>64</v>
      </c>
      <c r="AV200" s="659" t="n">
        <v>0</v>
      </c>
      <c r="AW200" s="660" t="n">
        <v>64</v>
      </c>
      <c r="AX200" s="659" t="n">
        <v>0</v>
      </c>
      <c r="AY200" s="660" t="n">
        <v>64</v>
      </c>
      <c r="AZ200" s="659" t="n">
        <v>0</v>
      </c>
    </row>
    <row r="201" s="668" customFormat="true" ht="12.75" hidden="false" customHeight="false" outlineLevel="0" collapsed="false">
      <c r="A201" s="666"/>
      <c r="B201" s="329" t="s">
        <v>497</v>
      </c>
      <c r="C201" s="654" t="s">
        <v>734</v>
      </c>
      <c r="D201" s="329" t="n">
        <v>348</v>
      </c>
      <c r="E201" s="329" t="n">
        <v>2.5</v>
      </c>
      <c r="F201" s="655" t="s">
        <v>710</v>
      </c>
      <c r="G201" s="669" t="n">
        <v>24</v>
      </c>
      <c r="H201" s="657" t="n">
        <v>161.98347107438</v>
      </c>
      <c r="I201" s="410"/>
      <c r="J201" s="658" t="s">
        <v>12</v>
      </c>
      <c r="K201" s="659" t="s">
        <v>12</v>
      </c>
      <c r="L201" s="660"/>
      <c r="M201" s="661" t="s">
        <v>12</v>
      </c>
      <c r="N201" s="662" t="s">
        <v>12</v>
      </c>
      <c r="O201" s="661" t="s">
        <v>12</v>
      </c>
      <c r="P201" s="663" t="s">
        <v>12</v>
      </c>
      <c r="Q201" s="662" t="s">
        <v>12</v>
      </c>
      <c r="R201" s="663" t="s">
        <v>12</v>
      </c>
      <c r="S201" s="660"/>
      <c r="T201" s="661" t="n">
        <v>0</v>
      </c>
      <c r="U201" s="662" t="n">
        <v>5.6</v>
      </c>
      <c r="V201" s="661" t="n">
        <v>0</v>
      </c>
      <c r="W201" s="662" t="n">
        <v>3.4</v>
      </c>
      <c r="X201" s="661" t="n">
        <v>0</v>
      </c>
      <c r="Y201" s="663" t="n">
        <v>3.4</v>
      </c>
      <c r="Z201" s="664" t="n">
        <v>0</v>
      </c>
      <c r="AA201" s="665" t="n">
        <v>3.3</v>
      </c>
      <c r="AB201" s="664" t="n">
        <v>0</v>
      </c>
      <c r="AC201" s="665" t="n">
        <v>3.3</v>
      </c>
      <c r="AD201" s="666"/>
      <c r="AE201" s="655" t="n">
        <v>186</v>
      </c>
      <c r="AF201" s="667"/>
      <c r="AG201" s="658" t="n">
        <v>0</v>
      </c>
      <c r="AH201" s="659" t="n">
        <v>0</v>
      </c>
      <c r="AI201" s="660"/>
      <c r="AJ201" s="658" t="s">
        <v>12</v>
      </c>
      <c r="AK201" s="659" t="s">
        <v>12</v>
      </c>
      <c r="AL201" s="658" t="s">
        <v>12</v>
      </c>
      <c r="AM201" s="659" t="s">
        <v>12</v>
      </c>
      <c r="AN201" s="658" t="s">
        <v>12</v>
      </c>
      <c r="AO201" s="659" t="s">
        <v>12</v>
      </c>
      <c r="AP201" s="660"/>
      <c r="AQ201" s="658" t="n">
        <v>214</v>
      </c>
      <c r="AR201" s="659" t="n">
        <v>134.4</v>
      </c>
      <c r="AS201" s="658" t="n">
        <v>266</v>
      </c>
      <c r="AT201" s="659" t="n">
        <v>81.6</v>
      </c>
      <c r="AU201" s="658" t="n">
        <v>266</v>
      </c>
      <c r="AV201" s="659" t="n">
        <v>81.6</v>
      </c>
      <c r="AW201" s="660" t="n">
        <v>269</v>
      </c>
      <c r="AX201" s="659" t="n">
        <v>79.2</v>
      </c>
      <c r="AY201" s="658" t="n">
        <v>269</v>
      </c>
      <c r="AZ201" s="659" t="n">
        <v>79.2</v>
      </c>
    </row>
    <row r="202" s="668" customFormat="true" ht="12.75" hidden="false" customHeight="false" outlineLevel="0" collapsed="false">
      <c r="A202" s="666"/>
      <c r="B202" s="329" t="s">
        <v>497</v>
      </c>
      <c r="C202" s="654" t="s">
        <v>734</v>
      </c>
      <c r="D202" s="329" t="n">
        <v>348</v>
      </c>
      <c r="E202" s="329" t="n">
        <v>2.5</v>
      </c>
      <c r="F202" s="655" t="s">
        <v>710</v>
      </c>
      <c r="G202" s="656" t="n">
        <v>48</v>
      </c>
      <c r="H202" s="657" t="n">
        <v>161.98347107438</v>
      </c>
      <c r="I202" s="410"/>
      <c r="J202" s="658" t="s">
        <v>12</v>
      </c>
      <c r="K202" s="659" t="s">
        <v>12</v>
      </c>
      <c r="L202" s="660"/>
      <c r="M202" s="661" t="s">
        <v>12</v>
      </c>
      <c r="N202" s="662" t="s">
        <v>12</v>
      </c>
      <c r="O202" s="661" t="s">
        <v>12</v>
      </c>
      <c r="P202" s="663" t="s">
        <v>12</v>
      </c>
      <c r="Q202" s="662" t="s">
        <v>12</v>
      </c>
      <c r="R202" s="663" t="s">
        <v>12</v>
      </c>
      <c r="S202" s="660"/>
      <c r="T202" s="661" t="n">
        <v>0</v>
      </c>
      <c r="U202" s="662" t="n">
        <v>2.8</v>
      </c>
      <c r="V202" s="661" t="n">
        <v>0</v>
      </c>
      <c r="W202" s="662" t="n">
        <v>1.7</v>
      </c>
      <c r="X202" s="661" t="n">
        <v>0</v>
      </c>
      <c r="Y202" s="663" t="n">
        <v>1.7</v>
      </c>
      <c r="Z202" s="664" t="n">
        <v>0</v>
      </c>
      <c r="AA202" s="665" t="n">
        <v>1.7</v>
      </c>
      <c r="AB202" s="664" t="n">
        <v>0</v>
      </c>
      <c r="AC202" s="665" t="n">
        <v>1.7</v>
      </c>
      <c r="AD202" s="666"/>
      <c r="AE202" s="655" t="n">
        <v>186</v>
      </c>
      <c r="AF202" s="667"/>
      <c r="AG202" s="658" t="n">
        <v>0</v>
      </c>
      <c r="AH202" s="659" t="n">
        <v>0</v>
      </c>
      <c r="AI202" s="660"/>
      <c r="AJ202" s="658" t="s">
        <v>12</v>
      </c>
      <c r="AK202" s="659" t="s">
        <v>12</v>
      </c>
      <c r="AL202" s="658" t="s">
        <v>12</v>
      </c>
      <c r="AM202" s="659" t="s">
        <v>12</v>
      </c>
      <c r="AN202" s="660" t="s">
        <v>12</v>
      </c>
      <c r="AO202" s="659" t="s">
        <v>12</v>
      </c>
      <c r="AP202" s="660"/>
      <c r="AQ202" s="658" t="n">
        <v>214</v>
      </c>
      <c r="AR202" s="659" t="n">
        <v>134.4</v>
      </c>
      <c r="AS202" s="658" t="n">
        <v>266</v>
      </c>
      <c r="AT202" s="659" t="n">
        <v>81.6</v>
      </c>
      <c r="AU202" s="660" t="n">
        <v>266</v>
      </c>
      <c r="AV202" s="659" t="n">
        <v>81.6</v>
      </c>
      <c r="AW202" s="660" t="n">
        <v>266</v>
      </c>
      <c r="AX202" s="659" t="n">
        <v>81.6</v>
      </c>
      <c r="AY202" s="660" t="n">
        <v>266</v>
      </c>
      <c r="AZ202" s="659" t="n">
        <v>81.6</v>
      </c>
    </row>
    <row r="203" s="668" customFormat="true" ht="13.5" hidden="false" customHeight="false" outlineLevel="0" collapsed="false">
      <c r="A203" s="268"/>
      <c r="B203" s="670" t="s">
        <v>497</v>
      </c>
      <c r="C203" s="671" t="s">
        <v>735</v>
      </c>
      <c r="D203" s="670" t="n">
        <v>172</v>
      </c>
      <c r="E203" s="670" t="n">
        <v>2.5</v>
      </c>
      <c r="F203" s="672" t="s">
        <v>710</v>
      </c>
      <c r="G203" s="673" t="n">
        <v>24</v>
      </c>
      <c r="H203" s="674" t="n">
        <v>151.239669421488</v>
      </c>
      <c r="I203" s="638"/>
      <c r="J203" s="675" t="s">
        <v>12</v>
      </c>
      <c r="K203" s="676" t="s">
        <v>12</v>
      </c>
      <c r="L203" s="677"/>
      <c r="M203" s="678" t="n">
        <v>29</v>
      </c>
      <c r="N203" s="679" t="n">
        <v>4.2</v>
      </c>
      <c r="O203" s="678" t="n">
        <v>0</v>
      </c>
      <c r="P203" s="680" t="n">
        <v>2.7</v>
      </c>
      <c r="Q203" s="679" t="n">
        <v>0</v>
      </c>
      <c r="R203" s="680" t="n">
        <v>1.9</v>
      </c>
      <c r="S203" s="677"/>
      <c r="T203" s="678" t="n">
        <v>0</v>
      </c>
      <c r="U203" s="679" t="n">
        <v>5</v>
      </c>
      <c r="V203" s="678" t="n">
        <v>0</v>
      </c>
      <c r="W203" s="679" t="n">
        <v>2.5</v>
      </c>
      <c r="X203" s="678" t="n">
        <v>0</v>
      </c>
      <c r="Y203" s="680" t="n">
        <v>2.5</v>
      </c>
      <c r="Z203" s="681" t="n">
        <v>0</v>
      </c>
      <c r="AA203" s="682" t="n">
        <v>2.5</v>
      </c>
      <c r="AB203" s="681" t="n">
        <v>0</v>
      </c>
      <c r="AC203" s="682" t="n">
        <v>2.5</v>
      </c>
      <c r="AD203" s="683"/>
      <c r="AE203" s="672" t="n">
        <v>21</v>
      </c>
      <c r="AF203" s="684"/>
      <c r="AG203" s="675" t="n">
        <v>0</v>
      </c>
      <c r="AH203" s="676" t="n">
        <v>0</v>
      </c>
      <c r="AI203" s="677"/>
      <c r="AJ203" s="675" t="n">
        <v>42</v>
      </c>
      <c r="AK203" s="676" t="n">
        <v>100.8</v>
      </c>
      <c r="AL203" s="675" t="n">
        <v>107</v>
      </c>
      <c r="AM203" s="676" t="n">
        <v>64.8</v>
      </c>
      <c r="AN203" s="675" t="n">
        <v>126</v>
      </c>
      <c r="AO203" s="676" t="n">
        <v>45.6</v>
      </c>
      <c r="AP203" s="677"/>
      <c r="AQ203" s="675" t="n">
        <v>52</v>
      </c>
      <c r="AR203" s="676" t="n">
        <v>120</v>
      </c>
      <c r="AS203" s="675" t="n">
        <v>112</v>
      </c>
      <c r="AT203" s="676" t="n">
        <v>60</v>
      </c>
      <c r="AU203" s="675" t="n">
        <v>112</v>
      </c>
      <c r="AV203" s="676" t="n">
        <v>60</v>
      </c>
      <c r="AW203" s="677" t="n">
        <v>112</v>
      </c>
      <c r="AX203" s="676" t="n">
        <v>60</v>
      </c>
      <c r="AY203" s="675" t="n">
        <v>112</v>
      </c>
      <c r="AZ203" s="676" t="n">
        <v>60</v>
      </c>
    </row>
    <row r="205" customFormat="false" ht="12.75" hidden="false" customHeight="false" outlineLevel="0" collapsed="false">
      <c r="A205" s="685"/>
      <c r="B205" s="686"/>
      <c r="C205" s="490"/>
      <c r="D205" s="686"/>
      <c r="E205" s="686"/>
      <c r="F205" s="490"/>
      <c r="G205" s="490"/>
      <c r="H205" s="473"/>
      <c r="I205" s="473"/>
      <c r="J205" s="377"/>
      <c r="K205" s="377"/>
      <c r="L205" s="687"/>
      <c r="M205" s="377"/>
      <c r="N205" s="688"/>
      <c r="O205" s="377"/>
      <c r="P205" s="688"/>
      <c r="Q205" s="377"/>
      <c r="R205" s="688"/>
      <c r="S205" s="377"/>
      <c r="T205" s="490"/>
      <c r="U205" s="490"/>
      <c r="V205" s="490"/>
      <c r="W205" s="490"/>
      <c r="X205" s="490"/>
      <c r="Y205" s="490"/>
      <c r="Z205" s="490"/>
      <c r="AA205" s="490"/>
      <c r="AB205" s="490"/>
      <c r="AC205" s="490"/>
      <c r="AD205" s="410"/>
      <c r="AE205" s="490"/>
      <c r="AF205" s="473"/>
      <c r="AG205" s="377"/>
      <c r="AH205" s="377"/>
      <c r="AI205" s="377"/>
      <c r="AJ205" s="377"/>
      <c r="AK205" s="377"/>
      <c r="AL205" s="377"/>
      <c r="AM205" s="377"/>
      <c r="AN205" s="377"/>
      <c r="AO205" s="377"/>
      <c r="AP205" s="377"/>
      <c r="AQ205" s="377"/>
      <c r="AR205" s="377"/>
      <c r="AS205" s="377"/>
      <c r="AT205" s="377"/>
      <c r="AU205" s="377"/>
      <c r="AV205" s="377"/>
      <c r="AW205" s="377"/>
      <c r="AX205" s="377"/>
      <c r="AY205" s="377"/>
      <c r="AZ205" s="377"/>
    </row>
    <row r="206" customFormat="false" ht="12.75" hidden="false" customHeight="false" outlineLevel="0" collapsed="false">
      <c r="B206" s="410"/>
      <c r="C206" s="410"/>
      <c r="D206" s="410"/>
      <c r="E206" s="410"/>
      <c r="F206" s="410"/>
      <c r="G206" s="410"/>
      <c r="H206" s="410"/>
      <c r="I206" s="410"/>
      <c r="J206" s="410"/>
      <c r="K206" s="410"/>
      <c r="L206" s="689"/>
      <c r="M206" s="410"/>
      <c r="N206" s="410"/>
      <c r="O206" s="410"/>
      <c r="P206" s="410"/>
      <c r="Q206" s="410"/>
      <c r="R206" s="410"/>
      <c r="S206" s="410"/>
      <c r="T206" s="410"/>
      <c r="U206" s="410"/>
      <c r="V206" s="410"/>
      <c r="W206" s="410"/>
      <c r="X206" s="410"/>
      <c r="Y206" s="410"/>
      <c r="Z206" s="410"/>
      <c r="AA206" s="410"/>
      <c r="AB206" s="410"/>
      <c r="AC206" s="410"/>
      <c r="AD206" s="410"/>
      <c r="AE206" s="410"/>
      <c r="AF206" s="410"/>
      <c r="AG206" s="410"/>
      <c r="AH206" s="410"/>
      <c r="AI206" s="410"/>
      <c r="AJ206" s="410"/>
      <c r="AK206" s="410"/>
      <c r="AL206" s="410"/>
      <c r="AM206" s="410"/>
      <c r="AN206" s="410"/>
      <c r="AO206" s="410"/>
      <c r="AP206" s="410"/>
      <c r="AQ206" s="410"/>
      <c r="AR206" s="410"/>
      <c r="AS206" s="410"/>
      <c r="AT206" s="410"/>
      <c r="AU206" s="410"/>
      <c r="AV206" s="410"/>
      <c r="AW206" s="410"/>
      <c r="AX206" s="410"/>
      <c r="AY206" s="410"/>
      <c r="AZ206" s="410"/>
    </row>
    <row r="207" customFormat="false" ht="12.75" hidden="false" customHeight="false" outlineLevel="0" collapsed="false">
      <c r="A207" s="685"/>
      <c r="B207" s="686"/>
      <c r="C207" s="490"/>
      <c r="D207" s="686"/>
      <c r="E207" s="686"/>
      <c r="F207" s="490"/>
      <c r="G207" s="490"/>
      <c r="H207" s="473"/>
      <c r="I207" s="473"/>
      <c r="J207" s="377"/>
      <c r="K207" s="377"/>
      <c r="L207" s="687"/>
      <c r="M207" s="377"/>
      <c r="N207" s="688"/>
      <c r="O207" s="377"/>
      <c r="P207" s="688"/>
      <c r="Q207" s="377"/>
      <c r="R207" s="688"/>
      <c r="S207" s="377"/>
      <c r="T207" s="490"/>
      <c r="U207" s="490"/>
      <c r="V207" s="490"/>
      <c r="W207" s="490"/>
      <c r="X207" s="490"/>
      <c r="Y207" s="490"/>
      <c r="Z207" s="490"/>
      <c r="AA207" s="490"/>
      <c r="AB207" s="490"/>
      <c r="AC207" s="490"/>
      <c r="AD207" s="410"/>
      <c r="AE207" s="490"/>
      <c r="AF207" s="473"/>
      <c r="AG207" s="377"/>
      <c r="AH207" s="377"/>
      <c r="AI207" s="377"/>
      <c r="AJ207" s="377"/>
      <c r="AK207" s="377"/>
      <c r="AL207" s="377"/>
      <c r="AM207" s="377"/>
      <c r="AN207" s="377"/>
      <c r="AO207" s="377"/>
      <c r="AP207" s="377"/>
      <c r="AQ207" s="377"/>
      <c r="AR207" s="377"/>
      <c r="AS207" s="377"/>
      <c r="AT207" s="377"/>
      <c r="AU207" s="377"/>
      <c r="AV207" s="377"/>
      <c r="AW207" s="377"/>
      <c r="AX207" s="377"/>
      <c r="AY207" s="377"/>
      <c r="AZ207" s="377"/>
    </row>
    <row r="208" customFormat="false" ht="12.75" hidden="false" customHeight="false" outlineLevel="0" collapsed="false">
      <c r="C208" s="211"/>
    </row>
    <row r="209" customFormat="false" ht="12.75" hidden="false" customHeight="false" outlineLevel="0" collapsed="false">
      <c r="C209" s="211"/>
    </row>
    <row r="210" customFormat="false" ht="12.75" hidden="false" customHeight="false" outlineLevel="0" collapsed="false">
      <c r="C210" s="211"/>
    </row>
    <row r="211" customFormat="false" ht="12.75" hidden="false" customHeight="false" outlineLevel="0" collapsed="false">
      <c r="C211" s="211"/>
    </row>
    <row r="212" customFormat="false" ht="12.75" hidden="false" customHeight="false" outlineLevel="0" collapsed="false">
      <c r="C212" s="211"/>
    </row>
    <row r="213" customFormat="false" ht="12.75" hidden="false" customHeight="false" outlineLevel="0" collapsed="false">
      <c r="C213" s="211"/>
    </row>
    <row r="214" customFormat="false" ht="12.75" hidden="false" customHeight="false" outlineLevel="0" collapsed="false">
      <c r="C214" s="211"/>
    </row>
    <row r="215" customFormat="false" ht="12.75" hidden="false" customHeight="false" outlineLevel="0" collapsed="false">
      <c r="C215" s="211"/>
    </row>
    <row r="216" customFormat="false" ht="12.75" hidden="false" customHeight="false" outlineLevel="0" collapsed="false">
      <c r="C216" s="211"/>
    </row>
    <row r="217" customFormat="false" ht="12.75" hidden="false" customHeight="false" outlineLevel="0" collapsed="false">
      <c r="C217" s="211"/>
    </row>
    <row r="218" customFormat="false" ht="12.75" hidden="false" customHeight="false" outlineLevel="0" collapsed="false">
      <c r="C218" s="211"/>
    </row>
    <row r="219" customFormat="false" ht="12.75" hidden="false" customHeight="false" outlineLevel="0" collapsed="false">
      <c r="C219" s="211"/>
    </row>
    <row r="220" customFormat="false" ht="12.75" hidden="false" customHeight="false" outlineLevel="0" collapsed="false">
      <c r="C220" s="211"/>
    </row>
    <row r="221" customFormat="false" ht="12.75" hidden="false" customHeight="false" outlineLevel="0" collapsed="false">
      <c r="C221" s="211"/>
    </row>
    <row r="222" customFormat="false" ht="12.75" hidden="false" customHeight="false" outlineLevel="0" collapsed="false">
      <c r="C222" s="211"/>
    </row>
    <row r="223" customFormat="false" ht="12.75" hidden="false" customHeight="false" outlineLevel="0" collapsed="false">
      <c r="C223" s="211"/>
    </row>
    <row r="224" customFormat="false" ht="12.75" hidden="false" customHeight="false" outlineLevel="0" collapsed="false">
      <c r="C224" s="211"/>
    </row>
    <row r="225" customFormat="false" ht="12.75" hidden="false" customHeight="false" outlineLevel="0" collapsed="false">
      <c r="C225" s="211"/>
    </row>
    <row r="226" customFormat="false" ht="12.75" hidden="false" customHeight="false" outlineLevel="0" collapsed="false">
      <c r="C226" s="211"/>
    </row>
    <row r="227" customFormat="false" ht="12.75" hidden="false" customHeight="false" outlineLevel="0" collapsed="false">
      <c r="C227" s="211"/>
    </row>
    <row r="228" customFormat="false" ht="12.75" hidden="false" customHeight="false" outlineLevel="0" collapsed="false">
      <c r="C228" s="211"/>
    </row>
    <row r="229" customFormat="false" ht="12.75" hidden="false" customHeight="false" outlineLevel="0" collapsed="false">
      <c r="C229" s="211"/>
    </row>
    <row r="230" customFormat="false" ht="12.75" hidden="false" customHeight="false" outlineLevel="0" collapsed="false">
      <c r="C230" s="211"/>
    </row>
    <row r="231" customFormat="false" ht="12.75" hidden="false" customHeight="false" outlineLevel="0" collapsed="false">
      <c r="C231" s="211"/>
    </row>
    <row r="232" customFormat="false" ht="12.75" hidden="false" customHeight="false" outlineLevel="0" collapsed="false">
      <c r="C232" s="211"/>
    </row>
    <row r="233" customFormat="false" ht="12.75" hidden="false" customHeight="false" outlineLevel="0" collapsed="false">
      <c r="C233" s="211"/>
    </row>
    <row r="234" customFormat="false" ht="12.75" hidden="false" customHeight="false" outlineLevel="0" collapsed="false">
      <c r="C234" s="211"/>
    </row>
    <row r="235" customFormat="false" ht="12.75" hidden="false" customHeight="false" outlineLevel="0" collapsed="false">
      <c r="C235" s="211"/>
    </row>
    <row r="236" customFormat="false" ht="12.75" hidden="false" customHeight="false" outlineLevel="0" collapsed="false">
      <c r="C236" s="211"/>
    </row>
  </sheetData>
  <autoFilter ref="A28:BI203"/>
  <mergeCells count="101">
    <mergeCell ref="B1:G1"/>
    <mergeCell ref="H1:H3"/>
    <mergeCell ref="J1:K1"/>
    <mergeCell ref="M1:AC1"/>
    <mergeCell ref="J3:K3"/>
    <mergeCell ref="M3:N3"/>
    <mergeCell ref="O3:P3"/>
    <mergeCell ref="Q3:R3"/>
    <mergeCell ref="T3:U3"/>
    <mergeCell ref="V3:W3"/>
    <mergeCell ref="X3:Y3"/>
    <mergeCell ref="Z3:AA3"/>
    <mergeCell ref="AB3:AC3"/>
    <mergeCell ref="B4:C16"/>
    <mergeCell ref="D4:G11"/>
    <mergeCell ref="H4:H11"/>
    <mergeCell ref="J4:K11"/>
    <mergeCell ref="M4:N4"/>
    <mergeCell ref="O4:P11"/>
    <mergeCell ref="Q4:R11"/>
    <mergeCell ref="T4:U4"/>
    <mergeCell ref="V4:W11"/>
    <mergeCell ref="X4:Y11"/>
    <mergeCell ref="Z4:AA11"/>
    <mergeCell ref="AB4:AC11"/>
    <mergeCell ref="T6:U11"/>
    <mergeCell ref="D12:G13"/>
    <mergeCell ref="J12:K12"/>
    <mergeCell ref="M12:N12"/>
    <mergeCell ref="O12:P12"/>
    <mergeCell ref="Q12:R12"/>
    <mergeCell ref="T12:U12"/>
    <mergeCell ref="V12:W12"/>
    <mergeCell ref="X12:Y12"/>
    <mergeCell ref="Z12:AA12"/>
    <mergeCell ref="AB12:AC12"/>
    <mergeCell ref="J13:K13"/>
    <mergeCell ref="M13:N13"/>
    <mergeCell ref="O13:P13"/>
    <mergeCell ref="Q13:R13"/>
    <mergeCell ref="T13:U13"/>
    <mergeCell ref="V13:W13"/>
    <mergeCell ref="D14:G14"/>
    <mergeCell ref="J14:K14"/>
    <mergeCell ref="M14:N14"/>
    <mergeCell ref="O14:P14"/>
    <mergeCell ref="Q14:R14"/>
    <mergeCell ref="T14:U14"/>
    <mergeCell ref="V14:W14"/>
    <mergeCell ref="X14:Y14"/>
    <mergeCell ref="Z14:AA14"/>
    <mergeCell ref="AB14:AC14"/>
    <mergeCell ref="D15:G15"/>
    <mergeCell ref="J15:K15"/>
    <mergeCell ref="M15:N15"/>
    <mergeCell ref="O15:P15"/>
    <mergeCell ref="Q15:R15"/>
    <mergeCell ref="T15:U15"/>
    <mergeCell ref="V15:W15"/>
    <mergeCell ref="X15:Y15"/>
    <mergeCell ref="Z15:AA15"/>
    <mergeCell ref="AB15:AC15"/>
    <mergeCell ref="D16:G16"/>
    <mergeCell ref="J16:K16"/>
    <mergeCell ref="M16:N16"/>
    <mergeCell ref="O16:P16"/>
    <mergeCell ref="Q16:R16"/>
    <mergeCell ref="T16:U16"/>
    <mergeCell ref="V16:W16"/>
    <mergeCell ref="X16:Y16"/>
    <mergeCell ref="Z16:AA16"/>
    <mergeCell ref="AB16:AC16"/>
    <mergeCell ref="B22:G26"/>
    <mergeCell ref="H22:H26"/>
    <mergeCell ref="J22:K24"/>
    <mergeCell ref="M22:AC22"/>
    <mergeCell ref="AE22:AE26"/>
    <mergeCell ref="AG22:AH24"/>
    <mergeCell ref="AJ22:AZ22"/>
    <mergeCell ref="M24:R24"/>
    <mergeCell ref="T24:AC24"/>
    <mergeCell ref="AJ24:AO24"/>
    <mergeCell ref="AQ24:AZ24"/>
    <mergeCell ref="J26:K26"/>
    <mergeCell ref="M26:N26"/>
    <mergeCell ref="O26:P26"/>
    <mergeCell ref="Q26:R26"/>
    <mergeCell ref="T26:U26"/>
    <mergeCell ref="V26:W26"/>
    <mergeCell ref="X26:Y26"/>
    <mergeCell ref="Z26:AA26"/>
    <mergeCell ref="AB26:AC26"/>
    <mergeCell ref="AG26:AH26"/>
    <mergeCell ref="AJ26:AK26"/>
    <mergeCell ref="AL26:AM26"/>
    <mergeCell ref="AN26:AO26"/>
    <mergeCell ref="AQ26:AR26"/>
    <mergeCell ref="AS26:AT26"/>
    <mergeCell ref="AU26:AV26"/>
    <mergeCell ref="AW26:AX26"/>
    <mergeCell ref="AY26:AZ26"/>
  </mergeCells>
  <conditionalFormatting sqref="F3">
    <cfRule type="expression" priority="2" aboveAverage="0" equalAverage="0" bottom="0" percent="0" rank="0" text="" dxfId="121">
      <formula>ISERROR(F3)</formula>
    </cfRule>
    <cfRule type="cellIs" priority="3" operator="lessThan" aboveAverage="0" equalAverage="0" bottom="0" percent="0" rank="0" text="" dxfId="122">
      <formula>0</formula>
    </cfRule>
  </conditionalFormatting>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&amp;C&amp;1#&amp;"Calibri,Normal"&amp;8&amp;Ked7d31Orange Restricted</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47"/>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G22" activeCellId="0" sqref="G22"/>
    </sheetView>
  </sheetViews>
  <sheetFormatPr defaultColWidth="10.6875" defaultRowHeight="12.75" zeroHeight="false" outlineLevelRow="0" outlineLevelCol="0"/>
  <cols>
    <col collapsed="false" customWidth="true" hidden="false" outlineLevel="0" max="3" min="3" style="0" width="39.14"/>
    <col collapsed="false" customWidth="true" hidden="false" outlineLevel="0" max="4" min="4" style="0" width="36"/>
    <col collapsed="false" customWidth="true" hidden="false" outlineLevel="0" max="5" min="5" style="0" width="12.86"/>
    <col collapsed="false" customWidth="true" hidden="false" outlineLevel="0" max="7" min="7" style="0" width="39.14"/>
    <col collapsed="false" customWidth="true" hidden="false" outlineLevel="0" max="9" min="9" style="0" width="29.42"/>
    <col collapsed="false" customWidth="true" hidden="false" outlineLevel="0" max="12" min="12" style="0" width="40.15"/>
    <col collapsed="false" customWidth="true" hidden="false" outlineLevel="0" max="16" min="16" style="0" width="39.01"/>
  </cols>
  <sheetData>
    <row r="1" customFormat="false" ht="12.75" hidden="false" customHeight="false" outlineLevel="0" collapsed="false">
      <c r="A1" s="690" t="s">
        <v>829</v>
      </c>
      <c r="B1" s="121" t="s">
        <v>74</v>
      </c>
      <c r="C1" s="122" t="s">
        <v>75</v>
      </c>
    </row>
    <row r="2" customFormat="false" ht="12.75" hidden="false" customHeight="false" outlineLevel="0" collapsed="false">
      <c r="A2" s="0" t="s">
        <v>830</v>
      </c>
      <c r="B2" s="691" t="e">
        <f aca="false">VLOOKUP($C2,#REF!,9,0)</f>
        <v>#VALUE!</v>
      </c>
      <c r="C2" s="324" t="s">
        <v>831</v>
      </c>
    </row>
    <row r="3" customFormat="false" ht="12.75" hidden="false" customHeight="false" outlineLevel="0" collapsed="false">
      <c r="A3" s="0" t="s">
        <v>832</v>
      </c>
      <c r="B3" s="691" t="e">
        <f aca="false">VLOOKUP($C3,#REF!,9,0)</f>
        <v>#VALUE!</v>
      </c>
      <c r="C3" s="146" t="s">
        <v>833</v>
      </c>
    </row>
    <row r="4" customFormat="false" ht="12.75" hidden="false" customHeight="false" outlineLevel="0" collapsed="false">
      <c r="A4" s="0" t="s">
        <v>830</v>
      </c>
      <c r="B4" s="691" t="e">
        <f aca="false">VLOOKUP($C4,#REF!,9,0)</f>
        <v>#VALUE!</v>
      </c>
      <c r="C4" s="324" t="s">
        <v>834</v>
      </c>
    </row>
    <row r="5" customFormat="false" ht="12.75" hidden="false" customHeight="false" outlineLevel="0" collapsed="false">
      <c r="A5" s="0" t="s">
        <v>832</v>
      </c>
      <c r="B5" s="691" t="e">
        <f aca="false">VLOOKUP($C5,#REF!,9,0)</f>
        <v>#VALUE!</v>
      </c>
      <c r="C5" s="146" t="s">
        <v>835</v>
      </c>
    </row>
    <row r="6" customFormat="false" ht="12.75" hidden="false" customHeight="false" outlineLevel="0" collapsed="false">
      <c r="A6" s="0" t="s">
        <v>830</v>
      </c>
      <c r="B6" s="691" t="e">
        <f aca="false">VLOOKUP($C6,#REF!,9,0)</f>
        <v>#VALUE!</v>
      </c>
      <c r="C6" s="324" t="s">
        <v>836</v>
      </c>
    </row>
    <row r="7" customFormat="false" ht="12.75" hidden="false" customHeight="false" outlineLevel="0" collapsed="false">
      <c r="A7" s="0" t="s">
        <v>832</v>
      </c>
      <c r="B7" s="691" t="e">
        <f aca="false">VLOOKUP($C7,#REF!,9,0)</f>
        <v>#VALUE!</v>
      </c>
      <c r="C7" s="146" t="s">
        <v>837</v>
      </c>
    </row>
    <row r="8" customFormat="false" ht="12.75" hidden="false" customHeight="false" outlineLevel="0" collapsed="false">
      <c r="A8" s="0" t="s">
        <v>830</v>
      </c>
      <c r="B8" s="691" t="e">
        <f aca="false">VLOOKUP($C8,#REF!,9,0)</f>
        <v>#VALUE!</v>
      </c>
      <c r="C8" s="324" t="s">
        <v>838</v>
      </c>
    </row>
    <row r="9" customFormat="false" ht="12.75" hidden="false" customHeight="false" outlineLevel="0" collapsed="false">
      <c r="A9" s="0" t="s">
        <v>832</v>
      </c>
      <c r="B9" s="691" t="e">
        <f aca="false">VLOOKUP($C9,#REF!,9,0)</f>
        <v>#VALUE!</v>
      </c>
      <c r="C9" s="146" t="s">
        <v>839</v>
      </c>
    </row>
    <row r="10" customFormat="false" ht="12.75" hidden="false" customHeight="false" outlineLevel="0" collapsed="false">
      <c r="A10" s="0" t="s">
        <v>830</v>
      </c>
      <c r="B10" s="691" t="e">
        <f aca="false">VLOOKUP($C10,#REF!,9,0)</f>
        <v>#VALUE!</v>
      </c>
      <c r="C10" s="324" t="s">
        <v>840</v>
      </c>
    </row>
    <row r="11" customFormat="false" ht="12.75" hidden="false" customHeight="false" outlineLevel="0" collapsed="false">
      <c r="A11" s="0" t="s">
        <v>832</v>
      </c>
      <c r="B11" s="691" t="e">
        <f aca="false">VLOOKUP($C11,#REF!,9,0)</f>
        <v>#VALUE!</v>
      </c>
      <c r="C11" s="146" t="s">
        <v>841</v>
      </c>
    </row>
    <row r="12" customFormat="false" ht="12.75" hidden="false" customHeight="false" outlineLevel="0" collapsed="false">
      <c r="A12" s="0" t="s">
        <v>830</v>
      </c>
      <c r="B12" s="691" t="e">
        <f aca="false">VLOOKUP($C12,#REF!,9,0)</f>
        <v>#VALUE!</v>
      </c>
      <c r="C12" s="324" t="s">
        <v>798</v>
      </c>
    </row>
    <row r="13" customFormat="false" ht="12.75" hidden="false" customHeight="false" outlineLevel="0" collapsed="false">
      <c r="A13" s="0" t="s">
        <v>832</v>
      </c>
      <c r="B13" s="691" t="e">
        <f aca="false">VLOOKUP($C13,#REF!,9,0)</f>
        <v>#VALUE!</v>
      </c>
      <c r="C13" s="146" t="s">
        <v>842</v>
      </c>
    </row>
    <row r="14" customFormat="false" ht="12.75" hidden="false" customHeight="false" outlineLevel="0" collapsed="false">
      <c r="A14" s="0" t="s">
        <v>830</v>
      </c>
      <c r="B14" s="691" t="e">
        <f aca="false">VLOOKUP($C14,#REF!,9,0)</f>
        <v>#VALUE!</v>
      </c>
      <c r="C14" s="324" t="s">
        <v>843</v>
      </c>
    </row>
    <row r="15" customFormat="false" ht="12.75" hidden="false" customHeight="false" outlineLevel="0" collapsed="false">
      <c r="A15" s="0" t="s">
        <v>832</v>
      </c>
      <c r="B15" s="691" t="e">
        <f aca="false">VLOOKUP($C15,#REF!,9,0)</f>
        <v>#VALUE!</v>
      </c>
      <c r="C15" s="146" t="s">
        <v>844</v>
      </c>
    </row>
    <row r="16" customFormat="false" ht="12.75" hidden="false" customHeight="false" outlineLevel="0" collapsed="false">
      <c r="A16" s="0" t="s">
        <v>830</v>
      </c>
      <c r="B16" s="691" t="e">
        <f aca="false">VLOOKUP($C16,#REF!,9,0)</f>
        <v>#VALUE!</v>
      </c>
      <c r="C16" s="324" t="s">
        <v>845</v>
      </c>
    </row>
    <row r="17" customFormat="false" ht="12.75" hidden="false" customHeight="false" outlineLevel="0" collapsed="false">
      <c r="A17" s="0" t="s">
        <v>832</v>
      </c>
      <c r="B17" s="691" t="e">
        <f aca="false">VLOOKUP($C17,#REF!,9,0)</f>
        <v>#VALUE!</v>
      </c>
      <c r="C17" s="146" t="s">
        <v>846</v>
      </c>
    </row>
    <row r="18" customFormat="false" ht="12.75" hidden="false" customHeight="false" outlineLevel="0" collapsed="false">
      <c r="A18" s="0" t="s">
        <v>830</v>
      </c>
      <c r="B18" s="691" t="e">
        <f aca="false">VLOOKUP($C18,#REF!,9,0)</f>
        <v>#VALUE!</v>
      </c>
      <c r="C18" s="324" t="s">
        <v>847</v>
      </c>
    </row>
    <row r="19" customFormat="false" ht="12.75" hidden="false" customHeight="false" outlineLevel="0" collapsed="false">
      <c r="A19" s="0" t="s">
        <v>832</v>
      </c>
      <c r="B19" s="691" t="e">
        <f aca="false">VLOOKUP($C19,#REF!,9,0)</f>
        <v>#VALUE!</v>
      </c>
      <c r="C19" s="146" t="s">
        <v>848</v>
      </c>
    </row>
    <row r="20" customFormat="false" ht="12.75" hidden="false" customHeight="false" outlineLevel="0" collapsed="false">
      <c r="A20" s="0" t="s">
        <v>830</v>
      </c>
      <c r="B20" s="691" t="e">
        <f aca="false">VLOOKUP($C20,#REF!,9,0)</f>
        <v>#VALUE!</v>
      </c>
      <c r="C20" s="324" t="s">
        <v>849</v>
      </c>
    </row>
    <row r="21" customFormat="false" ht="12.75" hidden="false" customHeight="false" outlineLevel="0" collapsed="false">
      <c r="A21" s="0" t="s">
        <v>832</v>
      </c>
      <c r="B21" s="691" t="e">
        <f aca="false">VLOOKUP($C21,#REF!,9,0)</f>
        <v>#VALUE!</v>
      </c>
      <c r="C21" s="146" t="s">
        <v>850</v>
      </c>
    </row>
    <row r="22" customFormat="false" ht="12.75" hidden="false" customHeight="false" outlineLevel="0" collapsed="false">
      <c r="A22" s="0" t="s">
        <v>830</v>
      </c>
      <c r="B22" s="691" t="e">
        <f aca="false">VLOOKUP($C22,#REF!,9,0)</f>
        <v>#VALUE!</v>
      </c>
      <c r="C22" s="324" t="s">
        <v>851</v>
      </c>
    </row>
    <row r="23" customFormat="false" ht="12.75" hidden="false" customHeight="false" outlineLevel="0" collapsed="false">
      <c r="A23" s="0" t="s">
        <v>832</v>
      </c>
      <c r="B23" s="691" t="e">
        <f aca="false">VLOOKUP($C23,#REF!,9,0)</f>
        <v>#VALUE!</v>
      </c>
      <c r="C23" s="146" t="s">
        <v>803</v>
      </c>
    </row>
    <row r="24" customFormat="false" ht="12.75" hidden="false" customHeight="false" outlineLevel="0" collapsed="false">
      <c r="A24" s="0" t="s">
        <v>830</v>
      </c>
      <c r="B24" s="691" t="e">
        <f aca="false">VLOOKUP($C24,#REF!,9,0)</f>
        <v>#VALUE!</v>
      </c>
      <c r="C24" s="324" t="s">
        <v>852</v>
      </c>
    </row>
    <row r="25" customFormat="false" ht="12.75" hidden="false" customHeight="false" outlineLevel="0" collapsed="false">
      <c r="A25" s="0" t="s">
        <v>832</v>
      </c>
      <c r="B25" s="691"/>
      <c r="C25" s="324"/>
    </row>
    <row r="26" customFormat="false" ht="12.75" hidden="false" customHeight="false" outlineLevel="0" collapsed="false">
      <c r="A26" s="0" t="s">
        <v>830</v>
      </c>
      <c r="B26" s="691" t="e">
        <f aca="false">VLOOKUP($C26,#REF!,9,0)</f>
        <v>#VALUE!</v>
      </c>
      <c r="C26" s="146" t="s">
        <v>794</v>
      </c>
    </row>
    <row r="27" customFormat="false" ht="12.75" hidden="false" customHeight="false" outlineLevel="0" collapsed="false">
      <c r="A27" s="0" t="s">
        <v>832</v>
      </c>
      <c r="B27" s="691" t="e">
        <f aca="false">VLOOKUP($C27,#REF!,9,0)</f>
        <v>#VALUE!</v>
      </c>
      <c r="C27" s="324" t="s">
        <v>853</v>
      </c>
    </row>
    <row r="28" customFormat="false" ht="12.75" hidden="false" customHeight="false" outlineLevel="0" collapsed="false">
      <c r="A28" s="0" t="s">
        <v>830</v>
      </c>
      <c r="B28" s="691"/>
      <c r="C28" s="324"/>
    </row>
    <row r="29" customFormat="false" ht="12.75" hidden="false" customHeight="false" outlineLevel="0" collapsed="false">
      <c r="A29" s="0" t="s">
        <v>832</v>
      </c>
      <c r="B29" s="691" t="e">
        <f aca="false">VLOOKUP($C29,#REF!,9,0)</f>
        <v>#VALUE!</v>
      </c>
      <c r="C29" s="146" t="s">
        <v>798</v>
      </c>
    </row>
    <row r="30" customFormat="false" ht="12.75" hidden="false" customHeight="false" outlineLevel="0" collapsed="false">
      <c r="A30" s="0" t="s">
        <v>832</v>
      </c>
      <c r="B30" s="691" t="e">
        <f aca="false">VLOOKUP($C30,#REF!,9,0)</f>
        <v>#VALUE!</v>
      </c>
      <c r="C30" s="324" t="s">
        <v>842</v>
      </c>
    </row>
    <row r="31" customFormat="false" ht="12.75" hidden="false" customHeight="false" outlineLevel="0" collapsed="false">
      <c r="A31" s="0" t="s">
        <v>830</v>
      </c>
      <c r="B31" s="375" t="s">
        <v>90</v>
      </c>
      <c r="C31" s="146" t="s">
        <v>854</v>
      </c>
    </row>
    <row r="32" customFormat="false" ht="12.75" hidden="false" customHeight="false" outlineLevel="0" collapsed="false">
      <c r="A32" s="0" t="s">
        <v>832</v>
      </c>
    </row>
    <row r="33" customFormat="false" ht="12.75" hidden="false" customHeight="false" outlineLevel="0" collapsed="false">
      <c r="A33" s="0" t="s">
        <v>830</v>
      </c>
    </row>
    <row r="34" customFormat="false" ht="12.75" hidden="false" customHeight="false" outlineLevel="0" collapsed="false">
      <c r="A34" s="0" t="s">
        <v>832</v>
      </c>
    </row>
    <row r="35" customFormat="false" ht="12.75" hidden="false" customHeight="false" outlineLevel="0" collapsed="false">
      <c r="A35" s="0" t="s">
        <v>830</v>
      </c>
    </row>
    <row r="36" customFormat="false" ht="12.75" hidden="false" customHeight="false" outlineLevel="0" collapsed="false">
      <c r="A36" s="0" t="s">
        <v>832</v>
      </c>
    </row>
    <row r="37" customFormat="false" ht="12.75" hidden="false" customHeight="false" outlineLevel="0" collapsed="false">
      <c r="A37" s="0" t="s">
        <v>830</v>
      </c>
    </row>
    <row r="38" customFormat="false" ht="12.75" hidden="false" customHeight="false" outlineLevel="0" collapsed="false">
      <c r="A38" s="0" t="s">
        <v>832</v>
      </c>
    </row>
    <row r="39" customFormat="false" ht="12.75" hidden="false" customHeight="false" outlineLevel="0" collapsed="false">
      <c r="A39" s="0" t="s">
        <v>830</v>
      </c>
    </row>
    <row r="40" customFormat="false" ht="12.75" hidden="false" customHeight="false" outlineLevel="0" collapsed="false">
      <c r="A40" s="0" t="s">
        <v>832</v>
      </c>
    </row>
    <row r="41" customFormat="false" ht="12.75" hidden="false" customHeight="false" outlineLevel="0" collapsed="false">
      <c r="A41" s="0" t="s">
        <v>830</v>
      </c>
    </row>
    <row r="42" customFormat="false" ht="12.75" hidden="false" customHeight="false" outlineLevel="0" collapsed="false">
      <c r="A42" s="0" t="s">
        <v>832</v>
      </c>
    </row>
    <row r="43" customFormat="false" ht="12.75" hidden="false" customHeight="false" outlineLevel="0" collapsed="false">
      <c r="A43" s="0" t="s">
        <v>830</v>
      </c>
    </row>
    <row r="44" customFormat="false" ht="12.75" hidden="false" customHeight="false" outlineLevel="0" collapsed="false">
      <c r="A44" s="0" t="s">
        <v>832</v>
      </c>
    </row>
    <row r="45" customFormat="false" ht="12.75" hidden="false" customHeight="false" outlineLevel="0" collapsed="false">
      <c r="A45" s="0" t="s">
        <v>830</v>
      </c>
    </row>
    <row r="46" customFormat="false" ht="12.75" hidden="false" customHeight="false" outlineLevel="0" collapsed="false">
      <c r="A46" s="0" t="s">
        <v>832</v>
      </c>
    </row>
    <row r="47" customFormat="false" ht="12.75" hidden="false" customHeight="false" outlineLevel="0" collapsed="false">
      <c r="A47" s="0" t="s">
        <v>830</v>
      </c>
    </row>
  </sheetData>
  <autoFilter ref="A1:C47"/>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&amp;C&amp;1#&amp;"Calibri,Normal"&amp;8&amp;Ked7d31Orange Restricted</oddFooter>
  </headerFooter>
  <drawing r:id="rId1"/>
</worksheet>
</file>

<file path=docMetadata/LabelInfo.xml><?xml version="1.0" encoding="utf-8"?>
<clbl:labelList xmlns:clbl="http://schemas.microsoft.com/office/2020/mipLabelMetadata">
  <clbl:label id="{e6c818a6-e1a0-4a6e-a969-20d857c5dc62}" enabled="1" method="Standard" siteId="{90c7a20a-f34b-40bf-bc48-b9253b6f5d20}" contentBits="2" removed="0"/>
</clbl:labelLis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Company>FT</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2010-12-27T18:19:24Z</dcterms:created>
  <dc:creator>agarcgar</dc:creator>
  <dc:description/>
  <dc:language>es-ES</dc:language>
  <cp:lastModifiedBy>Nortia Telecom</cp:lastModifiedBy>
  <cp:lastPrinted>2014-06-13T10:20:39Z</cp:lastPrinted>
  <dcterms:modified xsi:type="dcterms:W3CDTF">2025-03-28T09:13:21Z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6c818a6-e1a0-4a6e-a969-20d857c5dc62_ActionId">
    <vt:lpwstr>d3b1d4f7-6fc3-40f7-b5b9-e2c0784dce4b</vt:lpwstr>
  </property>
  <property fmtid="{D5CDD505-2E9C-101B-9397-08002B2CF9AE}" pid="3" name="MSIP_Label_e6c818a6-e1a0-4a6e-a969-20d857c5dc62_ContentBits">
    <vt:lpwstr>2</vt:lpwstr>
  </property>
  <property fmtid="{D5CDD505-2E9C-101B-9397-08002B2CF9AE}" pid="4" name="MSIP_Label_e6c818a6-e1a0-4a6e-a969-20d857c5dc62_Enabled">
    <vt:lpwstr>true</vt:lpwstr>
  </property>
  <property fmtid="{D5CDD505-2E9C-101B-9397-08002B2CF9AE}" pid="5" name="MSIP_Label_e6c818a6-e1a0-4a6e-a969-20d857c5dc62_Method">
    <vt:lpwstr>Standard</vt:lpwstr>
  </property>
  <property fmtid="{D5CDD505-2E9C-101B-9397-08002B2CF9AE}" pid="6" name="MSIP_Label_e6c818a6-e1a0-4a6e-a969-20d857c5dc62_Name">
    <vt:lpwstr>Orange_restricted_internal.2</vt:lpwstr>
  </property>
  <property fmtid="{D5CDD505-2E9C-101B-9397-08002B2CF9AE}" pid="7" name="MSIP_Label_e6c818a6-e1a0-4a6e-a969-20d857c5dc62_SetDate">
    <vt:lpwstr>2025-01-22T10:14:30Z</vt:lpwstr>
  </property>
  <property fmtid="{D5CDD505-2E9C-101B-9397-08002B2CF9AE}" pid="8" name="MSIP_Label_e6c818a6-e1a0-4a6e-a969-20d857c5dc62_SiteId">
    <vt:lpwstr>90c7a20a-f34b-40bf-bc48-b9253b6f5d20</vt:lpwstr>
  </property>
  <property fmtid="{D5CDD505-2E9C-101B-9397-08002B2CF9AE}" pid="9" name="_NewReviewCycle">
    <vt:lpwstr/>
  </property>
</Properties>
</file>